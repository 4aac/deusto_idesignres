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NL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80" i="59" l="1"/>
  <c r="AA78" i="59"/>
  <c r="AA89" i="59"/>
  <c r="Z5" i="59"/>
  <c r="AA5" i="59"/>
  <c r="Z115" i="59"/>
  <c r="Z111" i="59"/>
  <c r="Z107" i="59"/>
  <c r="Z103" i="59"/>
  <c r="Z99" i="59"/>
  <c r="AA54" i="57"/>
  <c r="T75" i="57"/>
  <c r="D75" i="57"/>
  <c r="J75" i="57"/>
  <c r="W75" i="57"/>
  <c r="G75" i="57"/>
  <c r="E75" i="57"/>
  <c r="L54" i="57"/>
  <c r="R54" i="57"/>
  <c r="W54" i="57"/>
  <c r="P54" i="57"/>
  <c r="O54" i="57"/>
  <c r="G54" i="57"/>
  <c r="U54" i="57"/>
  <c r="M54" i="57"/>
  <c r="K54" i="57"/>
  <c r="E54" i="57"/>
  <c r="S39" i="57"/>
  <c r="Q39" i="57"/>
  <c r="K39" i="57"/>
  <c r="Q16" i="57"/>
  <c r="I16" i="57"/>
  <c r="W16" i="57"/>
  <c r="K75" i="57"/>
  <c r="Y75" i="57"/>
  <c r="Q75" i="57"/>
  <c r="U75" i="57"/>
  <c r="O75" i="57"/>
  <c r="F75" i="57"/>
  <c r="S54" i="57"/>
  <c r="Q54" i="57"/>
  <c r="I54" i="57"/>
  <c r="O39" i="57"/>
  <c r="I39" i="57"/>
  <c r="U39" i="57"/>
  <c r="E39" i="57"/>
  <c r="S16" i="57"/>
  <c r="Y16" i="57"/>
  <c r="O16" i="57"/>
  <c r="M16" i="57"/>
  <c r="G16" i="57"/>
  <c r="AA98" i="59" l="1"/>
  <c r="AA102" i="59"/>
  <c r="AA106" i="59"/>
  <c r="AA113" i="59"/>
  <c r="AA114" i="59"/>
  <c r="Z54" i="55"/>
  <c r="AA66" i="59"/>
  <c r="AA70" i="59"/>
  <c r="AA74" i="59"/>
  <c r="AA79" i="59"/>
  <c r="AA81" i="59"/>
  <c r="AA82" i="59"/>
  <c r="AA84" i="59"/>
  <c r="AA88" i="59"/>
  <c r="AA93" i="59"/>
  <c r="AA109" i="59"/>
  <c r="AA117" i="59"/>
  <c r="AA121" i="59"/>
  <c r="H39" i="57"/>
  <c r="J54" i="57"/>
  <c r="E16" i="57"/>
  <c r="AA94" i="59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K16" i="57"/>
  <c r="U16" i="57"/>
  <c r="M39" i="57"/>
  <c r="G39" i="57"/>
  <c r="W39" i="57"/>
  <c r="Y39" i="57"/>
  <c r="Y54" i="57"/>
  <c r="I75" i="57"/>
  <c r="S75" i="57"/>
  <c r="M75" i="57"/>
  <c r="AA97" i="59"/>
  <c r="AA101" i="59"/>
  <c r="AA105" i="59"/>
  <c r="AA110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AA12" i="59"/>
  <c r="AA13" i="59" s="1"/>
  <c r="Z12" i="59"/>
  <c r="Z13" i="59" s="1"/>
  <c r="AA96" i="59"/>
  <c r="Z10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4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<sst xmlns="http://schemas.openxmlformats.org/spreadsheetml/2006/main" count="722" uniqueCount="281">
  <si>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</si>
  <si>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</si>
  <si>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</si>
  <si>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</si>
  <si>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</si>
  <si>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</si>
  <si>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</si>
  <si>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</si>
  <si>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</si>
  <si>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</si>
  <si>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</si>
  <si>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</si>
  <si>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</si>
  <si>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</si>
  <si>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</si>
  <si>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</si>
  <si>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</si>
  <si>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</si>
  <si>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</si>
  <si>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</si>
  <si>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</si>
  <si>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</si>
  <si>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</si>
  <si>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</si>
  <si>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</si>
  <si>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</si>
  <si>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</si>
  <si>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</si>
  <si>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</si>
  <si>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</si>
  <si>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</si>
  <si>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</si>
  <si>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</si>
  <si>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</si>
  <si>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</si>
  <si>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</si>
  <si>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</si>
  <si>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</si>
  <si>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</si>
  <si>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</si>
  <si>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</si>
  <si>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</si>
  <si>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</si>
  <si>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</si>
  <si>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</si>
  <si>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</si>
  <si>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</si>
  <si>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</si>
  <si>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</si>
  <si>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</si>
  <si>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</si>
  <si>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</si>
  <si>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</si>
  <si>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</si>
  <si>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</si>
  <si>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</si>
  <si>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</si>
  <si>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</si>
  <si>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</si>
  <si>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</si>
  <si>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</si>
  <si>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</si>
  <si>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</si>
  <si>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</si>
  <si>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</si>
  <si>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</si>
  <si>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</si>
  <si>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</si>
  <si>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</si>
  <si>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</si>
  <si>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</si>
  <si>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</si>
  <si>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</si>
  <si>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</si>
  <si>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</si>
  <si>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</si>
  <si>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</si>
  <si>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</si>
  <si>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</si>
  <si>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</si>
  <si>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</si>
  <si>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</si>
  <si>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</si>
  <si>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</si>
  <si>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</si>
  <si>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</si>
  <si>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</si>
  <si>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</si>
  <si>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</si>
  <si>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</si>
  <si>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</si>
  <si>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</si>
  <si>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</si>
  <si>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</si>
  <si>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</si>
  <si>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</si>
  <si>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</si>
  <si>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</si>
  <si>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</si>
  <si>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</si>
  <si>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</si>
  <si>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</si>
  <si>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</si>
  <si>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</si>
  <si>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</si>
  <si>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</si>
  <si>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</si>
  <si>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</si>
  <si>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</si>
  <si>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</si>
  <si>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</si>
  <si>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</si>
  <si>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</si>
  <si>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</si>
  <si>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</si>
  <si>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</si>
  <si>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</si>
  <si>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</si>
  <si>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</si>
  <si>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</si>
  <si>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</si>
  <si>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</si>
  <si>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</si>
  <si>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</si>
  <si>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</si>
  <si>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</si>
  <si>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</si>
  <si>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</si>
  <si>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</si>
  <si>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</si>
  <si>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</si>
  <si>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</si>
  <si>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</si>
  <si>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</si>
  <si>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</si>
  <si>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</si>
  <si>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</si>
  <si>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</si>
  <si>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</si>
  <si>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</si>
  <si>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</si>
  <si>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</si>
  <si>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</si>
  <si>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</si>
  <si>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</si>
  <si>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</si>
  <si>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</si>
  <si>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</si>
  <si>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</si>
  <si>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</si>
  <si>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</si>
  <si>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</si>
  <si>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</si>
  <si>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</si>
  <si>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</si>
  <si>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</si>
  <si>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</si>
  <si>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</si>
  <si>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</si>
  <si>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</si>
  <si>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</si>
  <si>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</si>
  <si>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</si>
  <si>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</si>
  <si>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</si>
  <si>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</si>
  <si>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</si>
  <si>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</si>
  <si>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</si>
  <si>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</si>
  <si>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</si>
  <si>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</si>
  <si>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</si>
  <si>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</si>
  <si>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</si>
  <si>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</si>
  <si>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</si>
  <si>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</si>
  <si>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</si>
  <si>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</si>
  <si>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</si>
  <si>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</si>
  <si>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</si>
  <si>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</si>
  <si>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</si>
  <si>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</si>
  <si>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</si>
  <si>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</si>
  <si>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</si>
  <si>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</si>
  <si>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</si>
  <si>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</si>
  <si>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</si>
  <si>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</si>
  <si>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</si>
  <si>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</si>
  <si>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</si>
  <si>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</si>
  <si>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</si>
  <si>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</si>
  <si>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</si>
  <si>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</si>
  <si>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</si>
  <si>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</si>
  <si>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</si>
  <si>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</si>
  <si>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</si>
  <si>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</si>
  <si>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</si>
  <si>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</si>
  <si>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</si>
  <si>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</si>
  <si>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</si>
  <si>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</si>
  <si>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</si>
  <si>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</si>
  <si>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</si>
  <si>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</si>
  <si>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</si>
  <si>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</si>
  <si>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</si>
  <si>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</si>
  <si>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</si>
  <si>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</si>
  <si>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</si>
  <si>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</si>
  <si>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</si>
  <si>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</si>
  <si>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</si>
  <si>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</si>
  <si>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</si>
  <si>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</si>
  <si>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</si>
  <si>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</si>
  <si>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</si>
  <si>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</si>
  <si>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</si>
  <si>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</si>
  <si>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</si>
  <si>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</si>
  <si>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</si>
  <si>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</si>
  <si>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</si>
  <si>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</si>
  <si>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</si>
  <si>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</si>
  <si>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</si>
  <si>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</si>
  <si>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</si>
  <si>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</si>
  <si>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</si>
  <si>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</si>
  <si>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</si>
  <si>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</si>
  <si>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</si>
  <si>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</si>
  <si>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</si>
  <si>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</si>
  <si>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</si>
  <si>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</si>
  <si>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</si>
  <si>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</si>
  <si>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</si>
  <si>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</si>
  <si>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</si>
  <si>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</si>
  <si>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</si>
  <si>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</si>
  <si>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</si>
  <si>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</si>
  <si>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</si>
  <si>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</si>
  <si>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</si>
  <si>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</si>
  <si>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</si>
  <si>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</si>
  <si>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</si>
  <si>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</si>
  <si>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</si>
  <si>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NL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</si>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</sst>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45967.47824074074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452191</v>
      </c>
      <c r="E2" s="19">
        <v>482941</v>
      </c>
      <c r="F2" s="19">
        <v>502901</v>
      </c>
      <c r="G2" s="19">
        <v>514901</v>
      </c>
      <c r="H2" s="19">
        <v>531573</v>
      </c>
      <c r="I2" s="19">
        <v>553122</v>
      </c>
      <c r="J2" s="19">
        <v>587444</v>
      </c>
      <c r="K2" s="19">
        <v>622775</v>
      </c>
      <c r="L2" s="19">
        <v>651299</v>
      </c>
      <c r="M2" s="19">
        <v>630173</v>
      </c>
      <c r="N2" s="19">
        <v>643022</v>
      </c>
      <c r="O2" s="19">
        <v>656013</v>
      </c>
      <c r="P2" s="19">
        <v>658232</v>
      </c>
      <c r="Q2" s="19">
        <v>665567</v>
      </c>
      <c r="R2" s="19">
        <v>678627</v>
      </c>
      <c r="S2" s="19">
        <v>699175</v>
      </c>
      <c r="T2" s="19">
        <v>720175</v>
      </c>
      <c r="U2" s="19">
        <v>750861</v>
      </c>
      <c r="V2" s="19">
        <v>787273</v>
      </c>
      <c r="W2" s="19">
        <v>829767</v>
      </c>
      <c r="X2" s="19">
        <v>816463</v>
      </c>
      <c r="Y2" s="19">
        <v>891550</v>
      </c>
      <c r="Z2" s="19">
        <v>993820</v>
      </c>
      <c r="AA2" s="19">
        <v>1050133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225287</v>
      </c>
      <c r="E3" s="23">
        <v>237739</v>
      </c>
      <c r="F3" s="23">
        <v>249214</v>
      </c>
      <c r="G3" s="23">
        <v>255198</v>
      </c>
      <c r="H3" s="23">
        <v>260558</v>
      </c>
      <c r="I3" s="23">
        <v>267616</v>
      </c>
      <c r="J3" s="23">
        <v>274712</v>
      </c>
      <c r="K3" s="23">
        <v>285873</v>
      </c>
      <c r="L3" s="23">
        <v>294904</v>
      </c>
      <c r="M3" s="23">
        <v>285927</v>
      </c>
      <c r="N3" s="23">
        <v>290857</v>
      </c>
      <c r="O3" s="23">
        <v>300190</v>
      </c>
      <c r="P3" s="23">
        <v>300662</v>
      </c>
      <c r="Q3" s="23">
        <v>304838</v>
      </c>
      <c r="R3" s="23">
        <v>309660</v>
      </c>
      <c r="S3" s="23">
        <v>316815</v>
      </c>
      <c r="T3" s="23">
        <v>323097</v>
      </c>
      <c r="U3" s="23">
        <v>337163</v>
      </c>
      <c r="V3" s="23">
        <v>352300</v>
      </c>
      <c r="W3" s="23">
        <v>364276</v>
      </c>
      <c r="X3" s="23">
        <v>348703</v>
      </c>
      <c r="Y3" s="23">
        <v>380427</v>
      </c>
      <c r="Z3" s="23">
        <v>437447</v>
      </c>
      <c r="AA3" s="23">
        <v>471023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405973</v>
      </c>
      <c r="E4" s="27">
        <v>430475</v>
      </c>
      <c r="F4" s="27">
        <v>449144</v>
      </c>
      <c r="G4" s="27">
        <v>459576</v>
      </c>
      <c r="H4" s="27">
        <v>473572</v>
      </c>
      <c r="I4" s="27">
        <v>492241</v>
      </c>
      <c r="J4" s="27">
        <v>522057</v>
      </c>
      <c r="K4" s="27">
        <v>554653</v>
      </c>
      <c r="L4" s="27">
        <v>580170</v>
      </c>
      <c r="M4" s="27">
        <v>564180</v>
      </c>
      <c r="N4" s="27">
        <v>575705</v>
      </c>
      <c r="O4" s="27">
        <v>589169</v>
      </c>
      <c r="P4" s="27">
        <v>593115</v>
      </c>
      <c r="Q4" s="27">
        <v>598320</v>
      </c>
      <c r="R4" s="27">
        <v>609309</v>
      </c>
      <c r="S4" s="27">
        <v>627626</v>
      </c>
      <c r="T4" s="27">
        <v>644312</v>
      </c>
      <c r="U4" s="27">
        <v>671934</v>
      </c>
      <c r="V4" s="27">
        <v>703557</v>
      </c>
      <c r="W4" s="27">
        <v>739508</v>
      </c>
      <c r="X4" s="27">
        <v>726149</v>
      </c>
      <c r="Y4" s="27">
        <v>791730</v>
      </c>
      <c r="Z4" s="27">
        <v>888174</v>
      </c>
      <c r="AA4" s="27">
        <v>944801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10449</v>
      </c>
      <c r="E6" s="19">
        <v>10796</v>
      </c>
      <c r="F6" s="19">
        <v>10498</v>
      </c>
      <c r="G6" s="19">
        <v>10647</v>
      </c>
      <c r="H6" s="19">
        <v>9965</v>
      </c>
      <c r="I6" s="19">
        <v>10350</v>
      </c>
      <c r="J6" s="19">
        <v>11513</v>
      </c>
      <c r="K6" s="19">
        <v>11408</v>
      </c>
      <c r="L6" s="19">
        <v>10762</v>
      </c>
      <c r="M6" s="19">
        <v>9868</v>
      </c>
      <c r="N6" s="19">
        <v>11496</v>
      </c>
      <c r="O6" s="19">
        <v>10486</v>
      </c>
      <c r="P6" s="19">
        <v>11170</v>
      </c>
      <c r="Q6" s="19">
        <v>12278</v>
      </c>
      <c r="R6" s="19">
        <v>12222</v>
      </c>
      <c r="S6" s="19">
        <v>12627</v>
      </c>
      <c r="T6" s="19">
        <v>13424</v>
      </c>
      <c r="U6" s="19">
        <v>14776</v>
      </c>
      <c r="V6" s="19">
        <v>13855</v>
      </c>
      <c r="W6" s="19">
        <v>14594</v>
      </c>
      <c r="X6" s="19">
        <v>14185</v>
      </c>
      <c r="Y6" s="19">
        <v>14752</v>
      </c>
      <c r="Z6" s="19">
        <v>16318</v>
      </c>
      <c r="AA6" s="19">
        <v>18393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73929</v>
      </c>
      <c r="E7" s="23">
        <v>79279</v>
      </c>
      <c r="F7" s="23">
        <v>78381</v>
      </c>
      <c r="G7" s="23">
        <v>78313</v>
      </c>
      <c r="H7" s="23">
        <v>80958</v>
      </c>
      <c r="I7" s="23">
        <v>85690</v>
      </c>
      <c r="J7" s="23">
        <v>91957</v>
      </c>
      <c r="K7" s="23">
        <v>96428</v>
      </c>
      <c r="L7" s="23">
        <v>102260</v>
      </c>
      <c r="M7" s="23">
        <v>90014</v>
      </c>
      <c r="N7" s="23">
        <v>91890</v>
      </c>
      <c r="O7" s="23">
        <v>97062</v>
      </c>
      <c r="P7" s="23">
        <v>100005</v>
      </c>
      <c r="Q7" s="23">
        <v>98777</v>
      </c>
      <c r="R7" s="23">
        <v>94166</v>
      </c>
      <c r="S7" s="23">
        <v>95632</v>
      </c>
      <c r="T7" s="23">
        <v>93991</v>
      </c>
      <c r="U7" s="23">
        <v>98589</v>
      </c>
      <c r="V7" s="23">
        <v>103759</v>
      </c>
      <c r="W7" s="23">
        <v>105749</v>
      </c>
      <c r="X7" s="23">
        <v>103231</v>
      </c>
      <c r="Y7" s="23">
        <v>116527</v>
      </c>
      <c r="Z7" s="23">
        <v>141430</v>
      </c>
      <c r="AA7" s="23">
        <v>142262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21482</v>
      </c>
      <c r="E8" s="23">
        <v>23523</v>
      </c>
      <c r="F8" s="23">
        <v>24770</v>
      </c>
      <c r="G8" s="23">
        <v>24837</v>
      </c>
      <c r="H8" s="23">
        <v>25118</v>
      </c>
      <c r="I8" s="23">
        <v>26482</v>
      </c>
      <c r="J8" s="23">
        <v>28306</v>
      </c>
      <c r="K8" s="23">
        <v>30813</v>
      </c>
      <c r="L8" s="23">
        <v>33104</v>
      </c>
      <c r="M8" s="23">
        <v>33394</v>
      </c>
      <c r="N8" s="23">
        <v>29984</v>
      </c>
      <c r="O8" s="23">
        <v>29686</v>
      </c>
      <c r="P8" s="23">
        <v>27183</v>
      </c>
      <c r="Q8" s="23">
        <v>25598</v>
      </c>
      <c r="R8" s="23">
        <v>25828</v>
      </c>
      <c r="S8" s="23">
        <v>26128</v>
      </c>
      <c r="T8" s="23">
        <v>28180</v>
      </c>
      <c r="U8" s="23">
        <v>29966</v>
      </c>
      <c r="V8" s="23">
        <v>32629</v>
      </c>
      <c r="W8" s="23">
        <v>36247</v>
      </c>
      <c r="X8" s="23">
        <v>38666</v>
      </c>
      <c r="Y8" s="23">
        <v>41332</v>
      </c>
      <c r="Z8" s="23">
        <v>43981</v>
      </c>
      <c r="AA8" s="23">
        <v>48484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82926</v>
      </c>
      <c r="E9" s="23">
        <v>88169</v>
      </c>
      <c r="F9" s="23">
        <v>92219</v>
      </c>
      <c r="G9" s="23">
        <v>90991</v>
      </c>
      <c r="H9" s="23">
        <v>94000</v>
      </c>
      <c r="I9" s="23">
        <v>96778</v>
      </c>
      <c r="J9" s="23">
        <v>100984</v>
      </c>
      <c r="K9" s="23">
        <v>107432</v>
      </c>
      <c r="L9" s="23">
        <v>110254</v>
      </c>
      <c r="M9" s="23">
        <v>104609</v>
      </c>
      <c r="N9" s="23">
        <v>106847</v>
      </c>
      <c r="O9" s="23">
        <v>109993</v>
      </c>
      <c r="P9" s="23">
        <v>111966</v>
      </c>
      <c r="Q9" s="23">
        <v>116247</v>
      </c>
      <c r="R9" s="23">
        <v>119502</v>
      </c>
      <c r="S9" s="23">
        <v>126257</v>
      </c>
      <c r="T9" s="23">
        <v>130779</v>
      </c>
      <c r="U9" s="23">
        <v>136823</v>
      </c>
      <c r="V9" s="23">
        <v>143061</v>
      </c>
      <c r="W9" s="23">
        <v>152441</v>
      </c>
      <c r="X9" s="23">
        <v>142537</v>
      </c>
      <c r="Y9" s="23">
        <v>161895</v>
      </c>
      <c r="Z9" s="23">
        <v>181768</v>
      </c>
      <c r="AA9" s="23">
        <v>189463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18133</v>
      </c>
      <c r="E10" s="23">
        <v>20294</v>
      </c>
      <c r="F10" s="23">
        <v>21821</v>
      </c>
      <c r="G10" s="23">
        <v>23083</v>
      </c>
      <c r="H10" s="23">
        <v>23458</v>
      </c>
      <c r="I10" s="23">
        <v>24355</v>
      </c>
      <c r="J10" s="23">
        <v>25794</v>
      </c>
      <c r="K10" s="23">
        <v>28276</v>
      </c>
      <c r="L10" s="23">
        <v>28914</v>
      </c>
      <c r="M10" s="23">
        <v>27626</v>
      </c>
      <c r="N10" s="23">
        <v>27843</v>
      </c>
      <c r="O10" s="23">
        <v>27886</v>
      </c>
      <c r="P10" s="23">
        <v>27633</v>
      </c>
      <c r="Q10" s="23">
        <v>27602</v>
      </c>
      <c r="R10" s="23">
        <v>27924</v>
      </c>
      <c r="S10" s="23">
        <v>28817</v>
      </c>
      <c r="T10" s="23">
        <v>30005</v>
      </c>
      <c r="U10" s="23">
        <v>31006</v>
      </c>
      <c r="V10" s="23">
        <v>32358</v>
      </c>
      <c r="W10" s="23">
        <v>34452</v>
      </c>
      <c r="X10" s="23">
        <v>36960</v>
      </c>
      <c r="Y10" s="23">
        <v>39019</v>
      </c>
      <c r="Z10" s="23">
        <v>44323</v>
      </c>
      <c r="AA10" s="23">
        <v>47186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29670</v>
      </c>
      <c r="E11" s="23">
        <v>32053</v>
      </c>
      <c r="F11" s="23">
        <v>33803</v>
      </c>
      <c r="G11" s="23">
        <v>35672</v>
      </c>
      <c r="H11" s="23">
        <v>36164</v>
      </c>
      <c r="I11" s="23">
        <v>37327</v>
      </c>
      <c r="J11" s="23">
        <v>37104</v>
      </c>
      <c r="K11" s="23">
        <v>37202</v>
      </c>
      <c r="L11" s="23">
        <v>36978</v>
      </c>
      <c r="M11" s="23">
        <v>44177</v>
      </c>
      <c r="N11" s="23">
        <v>51454</v>
      </c>
      <c r="O11" s="23">
        <v>51549</v>
      </c>
      <c r="P11" s="23">
        <v>54017</v>
      </c>
      <c r="Q11" s="23">
        <v>52022</v>
      </c>
      <c r="R11" s="23">
        <v>55231</v>
      </c>
      <c r="S11" s="23">
        <v>54915</v>
      </c>
      <c r="T11" s="23">
        <v>52353</v>
      </c>
      <c r="U11" s="23">
        <v>50940</v>
      </c>
      <c r="V11" s="23">
        <v>50410</v>
      </c>
      <c r="W11" s="23">
        <v>51649</v>
      </c>
      <c r="X11" s="23">
        <v>52838</v>
      </c>
      <c r="Y11" s="23">
        <v>51072</v>
      </c>
      <c r="Z11" s="23">
        <v>51766</v>
      </c>
      <c r="AA11" s="23">
        <v>48271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32538</v>
      </c>
      <c r="E12" s="23">
        <v>26756</v>
      </c>
      <c r="F12" s="23">
        <v>28919</v>
      </c>
      <c r="G12" s="23">
        <v>31680</v>
      </c>
      <c r="H12" s="23">
        <v>34306</v>
      </c>
      <c r="I12" s="23">
        <v>35314</v>
      </c>
      <c r="J12" s="23">
        <v>40557</v>
      </c>
      <c r="K12" s="23">
        <v>45644</v>
      </c>
      <c r="L12" s="23">
        <v>46840</v>
      </c>
      <c r="M12" s="23">
        <v>37445</v>
      </c>
      <c r="N12" s="23">
        <v>35788</v>
      </c>
      <c r="O12" s="23">
        <v>36613</v>
      </c>
      <c r="P12" s="23">
        <v>31700</v>
      </c>
      <c r="Q12" s="23">
        <v>33630</v>
      </c>
      <c r="R12" s="23">
        <v>35816</v>
      </c>
      <c r="S12" s="23">
        <v>36277</v>
      </c>
      <c r="T12" s="23">
        <v>37535</v>
      </c>
      <c r="U12" s="23">
        <v>41501</v>
      </c>
      <c r="V12" s="23">
        <v>45337</v>
      </c>
      <c r="W12" s="23">
        <v>46104</v>
      </c>
      <c r="X12" s="23">
        <v>47533</v>
      </c>
      <c r="Y12" s="23">
        <v>50712</v>
      </c>
      <c r="Z12" s="23">
        <v>61450</v>
      </c>
      <c r="AA12" s="23">
        <v>75564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53043</v>
      </c>
      <c r="E13" s="23">
        <v>58649</v>
      </c>
      <c r="F13" s="23">
        <v>58989</v>
      </c>
      <c r="G13" s="23">
        <v>58916</v>
      </c>
      <c r="H13" s="23">
        <v>60686</v>
      </c>
      <c r="I13" s="23">
        <v>64043</v>
      </c>
      <c r="J13" s="23">
        <v>69790</v>
      </c>
      <c r="K13" s="23">
        <v>76609</v>
      </c>
      <c r="L13" s="23">
        <v>82806</v>
      </c>
      <c r="M13" s="23">
        <v>81068</v>
      </c>
      <c r="N13" s="23">
        <v>79673</v>
      </c>
      <c r="O13" s="23">
        <v>82734</v>
      </c>
      <c r="P13" s="23">
        <v>83411</v>
      </c>
      <c r="Q13" s="23">
        <v>84211</v>
      </c>
      <c r="R13" s="23">
        <v>88521</v>
      </c>
      <c r="S13" s="23">
        <v>95888</v>
      </c>
      <c r="T13" s="23">
        <v>102752</v>
      </c>
      <c r="U13" s="23">
        <v>109098</v>
      </c>
      <c r="V13" s="23">
        <v>116053</v>
      </c>
      <c r="W13" s="23">
        <v>123794</v>
      </c>
      <c r="X13" s="23">
        <v>117468</v>
      </c>
      <c r="Y13" s="23">
        <v>131034</v>
      </c>
      <c r="Z13" s="23">
        <v>145331</v>
      </c>
      <c r="AA13" s="23">
        <v>155979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74184</v>
      </c>
      <c r="E14" s="23">
        <v>80654</v>
      </c>
      <c r="F14" s="23">
        <v>88798</v>
      </c>
      <c r="G14" s="23">
        <v>94211</v>
      </c>
      <c r="H14" s="23">
        <v>97381</v>
      </c>
      <c r="I14" s="23">
        <v>100056</v>
      </c>
      <c r="J14" s="23">
        <v>103804</v>
      </c>
      <c r="K14" s="23">
        <v>107946</v>
      </c>
      <c r="L14" s="23">
        <v>114815</v>
      </c>
      <c r="M14" s="23">
        <v>122211</v>
      </c>
      <c r="N14" s="23">
        <v>126482</v>
      </c>
      <c r="O14" s="23">
        <v>128349</v>
      </c>
      <c r="P14" s="23">
        <v>131202</v>
      </c>
      <c r="Q14" s="23">
        <v>133077</v>
      </c>
      <c r="R14" s="23">
        <v>134807</v>
      </c>
      <c r="S14" s="23">
        <v>135300</v>
      </c>
      <c r="T14" s="23">
        <v>138906</v>
      </c>
      <c r="U14" s="23">
        <v>142308</v>
      </c>
      <c r="V14" s="23">
        <v>148427</v>
      </c>
      <c r="W14" s="23">
        <v>155795</v>
      </c>
      <c r="X14" s="23">
        <v>157030</v>
      </c>
      <c r="Y14" s="23">
        <v>169077</v>
      </c>
      <c r="Z14" s="23">
        <v>181780</v>
      </c>
      <c r="AA14" s="23">
        <v>196934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9619</v>
      </c>
      <c r="E15" s="23">
        <v>10302</v>
      </c>
      <c r="F15" s="23">
        <v>10946</v>
      </c>
      <c r="G15" s="23">
        <v>11226</v>
      </c>
      <c r="H15" s="23">
        <v>11536</v>
      </c>
      <c r="I15" s="23">
        <v>11846</v>
      </c>
      <c r="J15" s="23">
        <v>12248</v>
      </c>
      <c r="K15" s="23">
        <v>12895</v>
      </c>
      <c r="L15" s="23">
        <v>13437</v>
      </c>
      <c r="M15" s="23">
        <v>13768</v>
      </c>
      <c r="N15" s="23">
        <v>14248</v>
      </c>
      <c r="O15" s="23">
        <v>14811</v>
      </c>
      <c r="P15" s="23">
        <v>14828</v>
      </c>
      <c r="Q15" s="23">
        <v>14878</v>
      </c>
      <c r="R15" s="23">
        <v>15292</v>
      </c>
      <c r="S15" s="23">
        <v>15785</v>
      </c>
      <c r="T15" s="23">
        <v>16387</v>
      </c>
      <c r="U15" s="23">
        <v>16927</v>
      </c>
      <c r="V15" s="23">
        <v>17668</v>
      </c>
      <c r="W15" s="23">
        <v>18683</v>
      </c>
      <c r="X15" s="23">
        <v>15701</v>
      </c>
      <c r="Y15" s="23">
        <v>16310</v>
      </c>
      <c r="Z15" s="23">
        <v>20027</v>
      </c>
      <c r="AA15" s="23">
        <v>22265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405973</v>
      </c>
      <c r="E16" s="30">
        <f t="shared" ref="E16:Y16" si="0">SUM(E6:E15)</f>
        <v>430475</v>
      </c>
      <c r="F16" s="30">
        <f t="shared" si="0"/>
        <v>449144</v>
      </c>
      <c r="G16" s="30">
        <f t="shared" si="0"/>
        <v>459576</v>
      </c>
      <c r="H16" s="30">
        <f t="shared" si="0"/>
        <v>473572</v>
      </c>
      <c r="I16" s="30">
        <f t="shared" si="0"/>
        <v>492241</v>
      </c>
      <c r="J16" s="30">
        <f t="shared" si="0"/>
        <v>522057</v>
      </c>
      <c r="K16" s="30">
        <f t="shared" si="0"/>
        <v>554653</v>
      </c>
      <c r="L16" s="30">
        <f t="shared" si="0"/>
        <v>580170</v>
      </c>
      <c r="M16" s="30">
        <f t="shared" si="0"/>
        <v>564180</v>
      </c>
      <c r="N16" s="30">
        <f t="shared" si="0"/>
        <v>575705</v>
      </c>
      <c r="O16" s="30">
        <f t="shared" si="0"/>
        <v>589169</v>
      </c>
      <c r="P16" s="30">
        <f t="shared" si="0"/>
        <v>593115</v>
      </c>
      <c r="Q16" s="30">
        <f t="shared" si="0"/>
        <v>598320</v>
      </c>
      <c r="R16" s="30">
        <f t="shared" si="0"/>
        <v>609309</v>
      </c>
      <c r="S16" s="30">
        <f t="shared" si="0"/>
        <v>627626</v>
      </c>
      <c r="T16" s="30">
        <f t="shared" si="0"/>
        <v>644312</v>
      </c>
      <c r="U16" s="30">
        <f t="shared" si="0"/>
        <v>671934</v>
      </c>
      <c r="V16" s="30">
        <f t="shared" si="0"/>
        <v>703557</v>
      </c>
      <c r="W16" s="30">
        <f t="shared" si="0"/>
        <v>739508</v>
      </c>
      <c r="X16" s="30">
        <f t="shared" si="0"/>
        <v>726149</v>
      </c>
      <c r="Y16" s="30">
        <f t="shared" si="0"/>
        <v>791730</v>
      </c>
      <c r="Z16" s="30">
        <f t="shared" ref="Z16:AA16" si="1">SUM(Z6:Z15)</f>
        <v>888174</v>
      </c>
      <c r="AA16" s="30">
        <f t="shared" si="1"/>
        <v>944801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10449</v>
      </c>
      <c r="E18" s="19">
        <v>10796</v>
      </c>
      <c r="F18" s="19">
        <v>10498</v>
      </c>
      <c r="G18" s="19">
        <v>10647</v>
      </c>
      <c r="H18" s="19">
        <v>9965</v>
      </c>
      <c r="I18" s="19">
        <v>10350</v>
      </c>
      <c r="J18" s="19">
        <v>11513</v>
      </c>
      <c r="K18" s="19">
        <v>11408</v>
      </c>
      <c r="L18" s="19">
        <v>10762</v>
      </c>
      <c r="M18" s="19">
        <v>9868</v>
      </c>
      <c r="N18" s="19">
        <v>11496</v>
      </c>
      <c r="O18" s="19">
        <v>10486</v>
      </c>
      <c r="P18" s="19">
        <v>11170</v>
      </c>
      <c r="Q18" s="19">
        <v>12278</v>
      </c>
      <c r="R18" s="19">
        <v>12222</v>
      </c>
      <c r="S18" s="19">
        <v>12627</v>
      </c>
      <c r="T18" s="19">
        <v>13424</v>
      </c>
      <c r="U18" s="19">
        <v>14776</v>
      </c>
      <c r="V18" s="19">
        <v>13855</v>
      </c>
      <c r="W18" s="19">
        <v>14594</v>
      </c>
      <c r="X18" s="19">
        <v>14185</v>
      </c>
      <c r="Y18" s="19">
        <v>14752</v>
      </c>
      <c r="Z18" s="19">
        <v>16318</v>
      </c>
      <c r="AA18" s="19">
        <v>18393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9253</v>
      </c>
      <c r="E19" s="23">
        <v>11614</v>
      </c>
      <c r="F19" s="23">
        <v>10685.999999999998</v>
      </c>
      <c r="G19" s="23">
        <v>11189.000000000002</v>
      </c>
      <c r="H19" s="23">
        <v>11847</v>
      </c>
      <c r="I19" s="23">
        <v>12994.000000000002</v>
      </c>
      <c r="J19" s="23">
        <v>16440</v>
      </c>
      <c r="K19" s="23">
        <v>15860</v>
      </c>
      <c r="L19" s="23">
        <v>22151</v>
      </c>
      <c r="M19" s="23">
        <v>16152</v>
      </c>
      <c r="N19" s="23">
        <v>17652</v>
      </c>
      <c r="O19" s="23">
        <v>19097</v>
      </c>
      <c r="P19" s="23">
        <v>21691</v>
      </c>
      <c r="Q19" s="23">
        <v>22612</v>
      </c>
      <c r="R19" s="23">
        <v>17022</v>
      </c>
      <c r="S19" s="23">
        <v>12746</v>
      </c>
      <c r="T19" s="23">
        <v>8128</v>
      </c>
      <c r="U19" s="23">
        <v>7709.9999999999991</v>
      </c>
      <c r="V19" s="23">
        <v>7519</v>
      </c>
      <c r="W19" s="23">
        <v>5927</v>
      </c>
      <c r="X19" s="23">
        <v>3165</v>
      </c>
      <c r="Y19" s="23">
        <v>6438</v>
      </c>
      <c r="Z19" s="23">
        <v>16954</v>
      </c>
      <c r="AA19" s="23">
        <v>5762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57479</v>
      </c>
      <c r="E20" s="23">
        <v>60442</v>
      </c>
      <c r="F20" s="23">
        <v>59889</v>
      </c>
      <c r="G20" s="23">
        <v>58978</v>
      </c>
      <c r="H20" s="23">
        <v>61334</v>
      </c>
      <c r="I20" s="23">
        <v>64117</v>
      </c>
      <c r="J20" s="23">
        <v>66057</v>
      </c>
      <c r="K20" s="23">
        <v>70622</v>
      </c>
      <c r="L20" s="23">
        <v>70346</v>
      </c>
      <c r="M20" s="23">
        <v>61992</v>
      </c>
      <c r="N20" s="23">
        <v>62837</v>
      </c>
      <c r="O20" s="23">
        <v>66266</v>
      </c>
      <c r="P20" s="23">
        <v>66223</v>
      </c>
      <c r="Q20" s="23">
        <v>64215</v>
      </c>
      <c r="R20" s="23">
        <v>65571</v>
      </c>
      <c r="S20" s="23">
        <v>70958</v>
      </c>
      <c r="T20" s="23">
        <v>73940</v>
      </c>
      <c r="U20" s="23">
        <v>79216</v>
      </c>
      <c r="V20" s="23">
        <v>83919</v>
      </c>
      <c r="W20" s="23">
        <v>86468</v>
      </c>
      <c r="X20" s="23">
        <v>85598</v>
      </c>
      <c r="Y20" s="23">
        <v>95886</v>
      </c>
      <c r="Z20" s="23">
        <v>102836</v>
      </c>
      <c r="AA20" s="23">
        <v>109965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4483</v>
      </c>
      <c r="E21" s="23">
        <v>4292</v>
      </c>
      <c r="F21" s="23">
        <v>4731</v>
      </c>
      <c r="G21" s="23">
        <v>4899.9999999999991</v>
      </c>
      <c r="H21" s="23">
        <v>4551</v>
      </c>
      <c r="I21" s="23">
        <v>5359</v>
      </c>
      <c r="J21" s="23">
        <v>6075</v>
      </c>
      <c r="K21" s="23">
        <v>6416</v>
      </c>
      <c r="L21" s="23">
        <v>5968</v>
      </c>
      <c r="M21" s="23">
        <v>8222</v>
      </c>
      <c r="N21" s="23">
        <v>7757</v>
      </c>
      <c r="O21" s="23">
        <v>7849.9999999999991</v>
      </c>
      <c r="P21" s="23">
        <v>8203</v>
      </c>
      <c r="Q21" s="23">
        <v>7963</v>
      </c>
      <c r="R21" s="23">
        <v>7424</v>
      </c>
      <c r="S21" s="23">
        <v>7707.9999999999991</v>
      </c>
      <c r="T21" s="23">
        <v>7735</v>
      </c>
      <c r="U21" s="23">
        <v>7406.0000000000009</v>
      </c>
      <c r="V21" s="23">
        <v>8019</v>
      </c>
      <c r="W21" s="23">
        <v>9129</v>
      </c>
      <c r="X21" s="23">
        <v>10178</v>
      </c>
      <c r="Y21" s="23">
        <v>9560</v>
      </c>
      <c r="Z21" s="23">
        <v>16474</v>
      </c>
      <c r="AA21" s="23">
        <v>21408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2714</v>
      </c>
      <c r="E22" s="23">
        <v>2931</v>
      </c>
      <c r="F22" s="23">
        <v>3075</v>
      </c>
      <c r="G22" s="23">
        <v>3246</v>
      </c>
      <c r="H22" s="23">
        <v>3225.9999999999995</v>
      </c>
      <c r="I22" s="23">
        <v>3220</v>
      </c>
      <c r="J22" s="23">
        <v>3385</v>
      </c>
      <c r="K22" s="23">
        <v>3530</v>
      </c>
      <c r="L22" s="23">
        <v>3795</v>
      </c>
      <c r="M22" s="23">
        <v>3648.0000000000005</v>
      </c>
      <c r="N22" s="23">
        <v>3644</v>
      </c>
      <c r="O22" s="23">
        <v>3849</v>
      </c>
      <c r="P22" s="23">
        <v>3888</v>
      </c>
      <c r="Q22" s="23">
        <v>3987</v>
      </c>
      <c r="R22" s="23">
        <v>4149</v>
      </c>
      <c r="S22" s="23">
        <v>4220</v>
      </c>
      <c r="T22" s="23">
        <v>4188</v>
      </c>
      <c r="U22" s="23">
        <v>4257</v>
      </c>
      <c r="V22" s="23">
        <v>4302</v>
      </c>
      <c r="W22" s="23">
        <v>4225</v>
      </c>
      <c r="X22" s="23">
        <v>4290</v>
      </c>
      <c r="Y22" s="23">
        <v>4643</v>
      </c>
      <c r="Z22" s="23">
        <v>5166</v>
      </c>
      <c r="AA22" s="23">
        <v>5127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21482</v>
      </c>
      <c r="E23" s="23">
        <v>23523</v>
      </c>
      <c r="F23" s="23">
        <v>24770</v>
      </c>
      <c r="G23" s="23">
        <v>24837</v>
      </c>
      <c r="H23" s="23">
        <v>25118</v>
      </c>
      <c r="I23" s="23">
        <v>26482</v>
      </c>
      <c r="J23" s="23">
        <v>28306</v>
      </c>
      <c r="K23" s="23">
        <v>30813</v>
      </c>
      <c r="L23" s="23">
        <v>33104</v>
      </c>
      <c r="M23" s="23">
        <v>33394</v>
      </c>
      <c r="N23" s="23">
        <v>29984</v>
      </c>
      <c r="O23" s="23">
        <v>29686</v>
      </c>
      <c r="P23" s="23">
        <v>27183</v>
      </c>
      <c r="Q23" s="23">
        <v>25598</v>
      </c>
      <c r="R23" s="23">
        <v>25828</v>
      </c>
      <c r="S23" s="23">
        <v>26128</v>
      </c>
      <c r="T23" s="23">
        <v>28180</v>
      </c>
      <c r="U23" s="23">
        <v>29966</v>
      </c>
      <c r="V23" s="23">
        <v>32629</v>
      </c>
      <c r="W23" s="23">
        <v>36247</v>
      </c>
      <c r="X23" s="23">
        <v>38666</v>
      </c>
      <c r="Y23" s="23">
        <v>41332</v>
      </c>
      <c r="Z23" s="23">
        <v>43981</v>
      </c>
      <c r="AA23" s="23">
        <v>48484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55145</v>
      </c>
      <c r="E24" s="23">
        <v>58953</v>
      </c>
      <c r="F24" s="23">
        <v>62125</v>
      </c>
      <c r="G24" s="23">
        <v>60816</v>
      </c>
      <c r="H24" s="23">
        <v>62700</v>
      </c>
      <c r="I24" s="23">
        <v>64218</v>
      </c>
      <c r="J24" s="23">
        <v>66711</v>
      </c>
      <c r="K24" s="23">
        <v>71192</v>
      </c>
      <c r="L24" s="23">
        <v>73532</v>
      </c>
      <c r="M24" s="23">
        <v>70392</v>
      </c>
      <c r="N24" s="23">
        <v>72006</v>
      </c>
      <c r="O24" s="23">
        <v>74452</v>
      </c>
      <c r="P24" s="23">
        <v>75664</v>
      </c>
      <c r="Q24" s="23">
        <v>78857</v>
      </c>
      <c r="R24" s="23">
        <v>79917</v>
      </c>
      <c r="S24" s="23">
        <v>83548</v>
      </c>
      <c r="T24" s="23">
        <v>86726</v>
      </c>
      <c r="U24" s="23">
        <v>90625</v>
      </c>
      <c r="V24" s="23">
        <v>95182</v>
      </c>
      <c r="W24" s="23">
        <v>102275</v>
      </c>
      <c r="X24" s="23">
        <v>103442</v>
      </c>
      <c r="Y24" s="23">
        <v>117519</v>
      </c>
      <c r="Z24" s="23">
        <v>121882</v>
      </c>
      <c r="AA24" s="23">
        <v>124979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19867</v>
      </c>
      <c r="E25" s="23">
        <v>20816</v>
      </c>
      <c r="F25" s="23">
        <v>21127</v>
      </c>
      <c r="G25" s="23">
        <v>21552</v>
      </c>
      <c r="H25" s="23">
        <v>22694</v>
      </c>
      <c r="I25" s="23">
        <v>23773</v>
      </c>
      <c r="J25" s="23">
        <v>25222</v>
      </c>
      <c r="K25" s="23">
        <v>26567</v>
      </c>
      <c r="L25" s="23">
        <v>27171</v>
      </c>
      <c r="M25" s="23">
        <v>24850</v>
      </c>
      <c r="N25" s="23">
        <v>25633</v>
      </c>
      <c r="O25" s="23">
        <v>25811</v>
      </c>
      <c r="P25" s="23">
        <v>26418</v>
      </c>
      <c r="Q25" s="23">
        <v>27247</v>
      </c>
      <c r="R25" s="23">
        <v>28688</v>
      </c>
      <c r="S25" s="23">
        <v>30824</v>
      </c>
      <c r="T25" s="23">
        <v>31135</v>
      </c>
      <c r="U25" s="23">
        <v>32437</v>
      </c>
      <c r="V25" s="23">
        <v>33015</v>
      </c>
      <c r="W25" s="23">
        <v>34710</v>
      </c>
      <c r="X25" s="23">
        <v>30329</v>
      </c>
      <c r="Y25" s="23">
        <v>34289</v>
      </c>
      <c r="Z25" s="23">
        <v>43945</v>
      </c>
      <c r="AA25" s="23">
        <v>45597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7914</v>
      </c>
      <c r="E26" s="23">
        <v>8400</v>
      </c>
      <c r="F26" s="23">
        <v>8967</v>
      </c>
      <c r="G26" s="23">
        <v>8623</v>
      </c>
      <c r="H26" s="23">
        <v>8606</v>
      </c>
      <c r="I26" s="23">
        <v>8787</v>
      </c>
      <c r="J26" s="23">
        <v>9051</v>
      </c>
      <c r="K26" s="23">
        <v>9673</v>
      </c>
      <c r="L26" s="23">
        <v>9551</v>
      </c>
      <c r="M26" s="23">
        <v>9367</v>
      </c>
      <c r="N26" s="23">
        <v>9208</v>
      </c>
      <c r="O26" s="23">
        <v>9730</v>
      </c>
      <c r="P26" s="23">
        <v>9884</v>
      </c>
      <c r="Q26" s="23">
        <v>10143</v>
      </c>
      <c r="R26" s="23">
        <v>10897</v>
      </c>
      <c r="S26" s="23">
        <v>11885</v>
      </c>
      <c r="T26" s="23">
        <v>12918</v>
      </c>
      <c r="U26" s="23">
        <v>13761</v>
      </c>
      <c r="V26" s="23">
        <v>14864</v>
      </c>
      <c r="W26" s="23">
        <v>15456</v>
      </c>
      <c r="X26" s="23">
        <v>8766</v>
      </c>
      <c r="Y26" s="23">
        <v>10087</v>
      </c>
      <c r="Z26" s="23">
        <v>15941</v>
      </c>
      <c r="AA26" s="23">
        <v>18887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18133</v>
      </c>
      <c r="E27" s="23">
        <v>20294</v>
      </c>
      <c r="F27" s="23">
        <v>21821</v>
      </c>
      <c r="G27" s="23">
        <v>23083</v>
      </c>
      <c r="H27" s="23">
        <v>23458</v>
      </c>
      <c r="I27" s="23">
        <v>24355</v>
      </c>
      <c r="J27" s="23">
        <v>25794</v>
      </c>
      <c r="K27" s="23">
        <v>28276</v>
      </c>
      <c r="L27" s="23">
        <v>28914</v>
      </c>
      <c r="M27" s="23">
        <v>27626</v>
      </c>
      <c r="N27" s="23">
        <v>27843</v>
      </c>
      <c r="O27" s="23">
        <v>27886</v>
      </c>
      <c r="P27" s="23">
        <v>27633</v>
      </c>
      <c r="Q27" s="23">
        <v>27602</v>
      </c>
      <c r="R27" s="23">
        <v>27924</v>
      </c>
      <c r="S27" s="23">
        <v>28817</v>
      </c>
      <c r="T27" s="23">
        <v>30005</v>
      </c>
      <c r="U27" s="23">
        <v>31006</v>
      </c>
      <c r="V27" s="23">
        <v>32358</v>
      </c>
      <c r="W27" s="23">
        <v>34452</v>
      </c>
      <c r="X27" s="23">
        <v>36960</v>
      </c>
      <c r="Y27" s="23">
        <v>39019</v>
      </c>
      <c r="Z27" s="23">
        <v>44323</v>
      </c>
      <c r="AA27" s="23">
        <v>47186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29670</v>
      </c>
      <c r="E28" s="23">
        <v>32053</v>
      </c>
      <c r="F28" s="23">
        <v>33803</v>
      </c>
      <c r="G28" s="23">
        <v>35672</v>
      </c>
      <c r="H28" s="23">
        <v>36164</v>
      </c>
      <c r="I28" s="23">
        <v>37327</v>
      </c>
      <c r="J28" s="23">
        <v>37104</v>
      </c>
      <c r="K28" s="23">
        <v>37202</v>
      </c>
      <c r="L28" s="23">
        <v>36978</v>
      </c>
      <c r="M28" s="23">
        <v>44177</v>
      </c>
      <c r="N28" s="23">
        <v>51454</v>
      </c>
      <c r="O28" s="23">
        <v>51549</v>
      </c>
      <c r="P28" s="23">
        <v>54017</v>
      </c>
      <c r="Q28" s="23">
        <v>52022</v>
      </c>
      <c r="R28" s="23">
        <v>55231</v>
      </c>
      <c r="S28" s="23">
        <v>54915</v>
      </c>
      <c r="T28" s="23">
        <v>52353</v>
      </c>
      <c r="U28" s="23">
        <v>50940</v>
      </c>
      <c r="V28" s="23">
        <v>50410</v>
      </c>
      <c r="W28" s="23">
        <v>51649</v>
      </c>
      <c r="X28" s="23">
        <v>52838</v>
      </c>
      <c r="Y28" s="23">
        <v>51072</v>
      </c>
      <c r="Z28" s="23">
        <v>51766</v>
      </c>
      <c r="AA28" s="23">
        <v>48271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32538</v>
      </c>
      <c r="E29" s="23">
        <v>26756</v>
      </c>
      <c r="F29" s="23">
        <v>28919</v>
      </c>
      <c r="G29" s="23">
        <v>31680</v>
      </c>
      <c r="H29" s="23">
        <v>34306</v>
      </c>
      <c r="I29" s="23">
        <v>35314</v>
      </c>
      <c r="J29" s="23">
        <v>40557</v>
      </c>
      <c r="K29" s="23">
        <v>45644</v>
      </c>
      <c r="L29" s="23">
        <v>46840</v>
      </c>
      <c r="M29" s="23">
        <v>37445</v>
      </c>
      <c r="N29" s="23">
        <v>35788</v>
      </c>
      <c r="O29" s="23">
        <v>36613</v>
      </c>
      <c r="P29" s="23">
        <v>31700</v>
      </c>
      <c r="Q29" s="23">
        <v>33630</v>
      </c>
      <c r="R29" s="23">
        <v>35816</v>
      </c>
      <c r="S29" s="23">
        <v>36277</v>
      </c>
      <c r="T29" s="23">
        <v>37535</v>
      </c>
      <c r="U29" s="23">
        <v>41501</v>
      </c>
      <c r="V29" s="23">
        <v>45337</v>
      </c>
      <c r="W29" s="23">
        <v>46104</v>
      </c>
      <c r="X29" s="23">
        <v>47533</v>
      </c>
      <c r="Y29" s="23">
        <v>50712</v>
      </c>
      <c r="Z29" s="23">
        <v>61450</v>
      </c>
      <c r="AA29" s="23">
        <v>75564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31704</v>
      </c>
      <c r="E30" s="23">
        <v>35214</v>
      </c>
      <c r="F30" s="23">
        <v>36168</v>
      </c>
      <c r="G30" s="23">
        <v>36443</v>
      </c>
      <c r="H30" s="23">
        <v>37799</v>
      </c>
      <c r="I30" s="23">
        <v>39767</v>
      </c>
      <c r="J30" s="23">
        <v>42989</v>
      </c>
      <c r="K30" s="23">
        <v>46313</v>
      </c>
      <c r="L30" s="23">
        <v>49451</v>
      </c>
      <c r="M30" s="23">
        <v>48609</v>
      </c>
      <c r="N30" s="23">
        <v>48082</v>
      </c>
      <c r="O30" s="23">
        <v>49619</v>
      </c>
      <c r="P30" s="23">
        <v>49397</v>
      </c>
      <c r="Q30" s="23">
        <v>49251</v>
      </c>
      <c r="R30" s="23">
        <v>51591</v>
      </c>
      <c r="S30" s="23">
        <v>54992</v>
      </c>
      <c r="T30" s="23">
        <v>56939</v>
      </c>
      <c r="U30" s="23">
        <v>59523</v>
      </c>
      <c r="V30" s="23">
        <v>62456</v>
      </c>
      <c r="W30" s="23">
        <v>65436</v>
      </c>
      <c r="X30" s="23">
        <v>67882</v>
      </c>
      <c r="Y30" s="23">
        <v>74731</v>
      </c>
      <c r="Z30" s="23">
        <v>81277</v>
      </c>
      <c r="AA30" s="23">
        <v>87475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21339</v>
      </c>
      <c r="E31" s="23">
        <v>23435</v>
      </c>
      <c r="F31" s="23">
        <v>22821</v>
      </c>
      <c r="G31" s="23">
        <v>22473</v>
      </c>
      <c r="H31" s="23">
        <v>22887</v>
      </c>
      <c r="I31" s="23">
        <v>24276</v>
      </c>
      <c r="J31" s="23">
        <v>26801</v>
      </c>
      <c r="K31" s="23">
        <v>30296</v>
      </c>
      <c r="L31" s="23">
        <v>33355</v>
      </c>
      <c r="M31" s="23">
        <v>32459</v>
      </c>
      <c r="N31" s="23">
        <v>31591</v>
      </c>
      <c r="O31" s="23">
        <v>33115</v>
      </c>
      <c r="P31" s="23">
        <v>34014</v>
      </c>
      <c r="Q31" s="23">
        <v>34960</v>
      </c>
      <c r="R31" s="23">
        <v>36930</v>
      </c>
      <c r="S31" s="23">
        <v>40896</v>
      </c>
      <c r="T31" s="23">
        <v>45813</v>
      </c>
      <c r="U31" s="23">
        <v>49575</v>
      </c>
      <c r="V31" s="23">
        <v>53597</v>
      </c>
      <c r="W31" s="23">
        <v>58358</v>
      </c>
      <c r="X31" s="23">
        <v>49586</v>
      </c>
      <c r="Y31" s="23">
        <v>56303</v>
      </c>
      <c r="Z31" s="23">
        <v>64054</v>
      </c>
      <c r="AA31" s="23">
        <v>68504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30193</v>
      </c>
      <c r="E32" s="23">
        <v>32491</v>
      </c>
      <c r="F32" s="23">
        <v>34848</v>
      </c>
      <c r="G32" s="23">
        <v>36845</v>
      </c>
      <c r="H32" s="23">
        <v>37604</v>
      </c>
      <c r="I32" s="23">
        <v>38299</v>
      </c>
      <c r="J32" s="23">
        <v>39092</v>
      </c>
      <c r="K32" s="23">
        <v>40666</v>
      </c>
      <c r="L32" s="23">
        <v>42717</v>
      </c>
      <c r="M32" s="23">
        <v>44796</v>
      </c>
      <c r="N32" s="23">
        <v>46166</v>
      </c>
      <c r="O32" s="23">
        <v>46333</v>
      </c>
      <c r="P32" s="23">
        <v>47045</v>
      </c>
      <c r="Q32" s="23">
        <v>47582</v>
      </c>
      <c r="R32" s="23">
        <v>47578</v>
      </c>
      <c r="S32" s="23">
        <v>47534</v>
      </c>
      <c r="T32" s="23">
        <v>48156</v>
      </c>
      <c r="U32" s="23">
        <v>49393</v>
      </c>
      <c r="V32" s="23">
        <v>51373</v>
      </c>
      <c r="W32" s="23">
        <v>53899</v>
      </c>
      <c r="X32" s="23">
        <v>56182</v>
      </c>
      <c r="Y32" s="23">
        <v>58244</v>
      </c>
      <c r="Z32" s="23">
        <v>63093</v>
      </c>
      <c r="AA32" s="23">
        <v>67869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18566</v>
      </c>
      <c r="E33" s="23">
        <v>19765</v>
      </c>
      <c r="F33" s="23">
        <v>21295</v>
      </c>
      <c r="G33" s="23">
        <v>22227</v>
      </c>
      <c r="H33" s="23">
        <v>22881</v>
      </c>
      <c r="I33" s="23">
        <v>23592</v>
      </c>
      <c r="J33" s="23">
        <v>24634</v>
      </c>
      <c r="K33" s="23">
        <v>25740</v>
      </c>
      <c r="L33" s="23">
        <v>27430</v>
      </c>
      <c r="M33" s="23">
        <v>28740</v>
      </c>
      <c r="N33" s="23">
        <v>29308</v>
      </c>
      <c r="O33" s="23">
        <v>29647</v>
      </c>
      <c r="P33" s="23">
        <v>29876</v>
      </c>
      <c r="Q33" s="23">
        <v>30178</v>
      </c>
      <c r="R33" s="23">
        <v>30720</v>
      </c>
      <c r="S33" s="23">
        <v>31545</v>
      </c>
      <c r="T33" s="23">
        <v>32616</v>
      </c>
      <c r="U33" s="23">
        <v>33531</v>
      </c>
      <c r="V33" s="23">
        <v>34965</v>
      </c>
      <c r="W33" s="23">
        <v>36363</v>
      </c>
      <c r="X33" s="23">
        <v>37458</v>
      </c>
      <c r="Y33" s="23">
        <v>39389</v>
      </c>
      <c r="Z33" s="23">
        <v>43421</v>
      </c>
      <c r="AA33" s="23">
        <v>47064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25425</v>
      </c>
      <c r="E34" s="23">
        <v>28398</v>
      </c>
      <c r="F34" s="23">
        <v>32655</v>
      </c>
      <c r="G34" s="23">
        <v>35139</v>
      </c>
      <c r="H34" s="23">
        <v>36896</v>
      </c>
      <c r="I34" s="23">
        <v>38165</v>
      </c>
      <c r="J34" s="23">
        <v>40078</v>
      </c>
      <c r="K34" s="23">
        <v>41540</v>
      </c>
      <c r="L34" s="23">
        <v>44668</v>
      </c>
      <c r="M34" s="23">
        <v>48675</v>
      </c>
      <c r="N34" s="23">
        <v>51008</v>
      </c>
      <c r="O34" s="23">
        <v>52369</v>
      </c>
      <c r="P34" s="23">
        <v>54281</v>
      </c>
      <c r="Q34" s="23">
        <v>55317</v>
      </c>
      <c r="R34" s="23">
        <v>56509</v>
      </c>
      <c r="S34" s="23">
        <v>56221</v>
      </c>
      <c r="T34" s="23">
        <v>58134</v>
      </c>
      <c r="U34" s="23">
        <v>59384</v>
      </c>
      <c r="V34" s="23">
        <v>62089</v>
      </c>
      <c r="W34" s="23">
        <v>65533</v>
      </c>
      <c r="X34" s="23">
        <v>63390</v>
      </c>
      <c r="Y34" s="23">
        <v>71444</v>
      </c>
      <c r="Z34" s="23">
        <v>75266</v>
      </c>
      <c r="AA34" s="23">
        <v>82001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4376</v>
      </c>
      <c r="E35" s="23">
        <v>4729</v>
      </c>
      <c r="F35" s="23">
        <v>5127</v>
      </c>
      <c r="G35" s="23">
        <v>5334</v>
      </c>
      <c r="H35" s="23">
        <v>5527</v>
      </c>
      <c r="I35" s="23">
        <v>5708</v>
      </c>
      <c r="J35" s="23">
        <v>5929</v>
      </c>
      <c r="K35" s="23">
        <v>6262</v>
      </c>
      <c r="L35" s="23">
        <v>6463</v>
      </c>
      <c r="M35" s="23">
        <v>6580</v>
      </c>
      <c r="N35" s="23">
        <v>6838</v>
      </c>
      <c r="O35" s="23">
        <v>7147</v>
      </c>
      <c r="P35" s="23">
        <v>7209</v>
      </c>
      <c r="Q35" s="23">
        <v>7219</v>
      </c>
      <c r="R35" s="23">
        <v>7502</v>
      </c>
      <c r="S35" s="23">
        <v>7925</v>
      </c>
      <c r="T35" s="23">
        <v>8197</v>
      </c>
      <c r="U35" s="23">
        <v>8410</v>
      </c>
      <c r="V35" s="23">
        <v>8676</v>
      </c>
      <c r="W35" s="23">
        <v>9102</v>
      </c>
      <c r="X35" s="23">
        <v>6504</v>
      </c>
      <c r="Y35" s="23">
        <v>6428</v>
      </c>
      <c r="Z35" s="23">
        <v>9371</v>
      </c>
      <c r="AA35" s="23">
        <v>10656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5167</v>
      </c>
      <c r="E36" s="23">
        <v>5479</v>
      </c>
      <c r="F36" s="23">
        <v>5697</v>
      </c>
      <c r="G36" s="23">
        <v>5738</v>
      </c>
      <c r="H36" s="23">
        <v>5802</v>
      </c>
      <c r="I36" s="23">
        <v>5894</v>
      </c>
      <c r="J36" s="23">
        <v>6033</v>
      </c>
      <c r="K36" s="23">
        <v>6338</v>
      </c>
      <c r="L36" s="23">
        <v>6634</v>
      </c>
      <c r="M36" s="23">
        <v>6793</v>
      </c>
      <c r="N36" s="23">
        <v>6961</v>
      </c>
      <c r="O36" s="23">
        <v>7194</v>
      </c>
      <c r="P36" s="23">
        <v>7107</v>
      </c>
      <c r="Q36" s="23">
        <v>7155</v>
      </c>
      <c r="R36" s="23">
        <v>7283</v>
      </c>
      <c r="S36" s="23">
        <v>7302</v>
      </c>
      <c r="T36" s="23">
        <v>7570</v>
      </c>
      <c r="U36" s="23">
        <v>7821</v>
      </c>
      <c r="V36" s="23">
        <v>8230</v>
      </c>
      <c r="W36" s="23">
        <v>8734</v>
      </c>
      <c r="X36" s="23">
        <v>8245</v>
      </c>
      <c r="Y36" s="23">
        <v>8896</v>
      </c>
      <c r="Z36" s="23">
        <v>9612</v>
      </c>
      <c r="AA36" s="23">
        <v>10469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76</v>
      </c>
      <c r="E37" s="23">
        <v>94</v>
      </c>
      <c r="F37" s="23">
        <v>122</v>
      </c>
      <c r="G37" s="23">
        <v>154</v>
      </c>
      <c r="H37" s="23">
        <v>207</v>
      </c>
      <c r="I37" s="23">
        <v>244</v>
      </c>
      <c r="J37" s="23">
        <v>286</v>
      </c>
      <c r="K37" s="23">
        <v>295</v>
      </c>
      <c r="L37" s="23">
        <v>340</v>
      </c>
      <c r="M37" s="23">
        <v>395</v>
      </c>
      <c r="N37" s="23">
        <v>449</v>
      </c>
      <c r="O37" s="23">
        <v>470</v>
      </c>
      <c r="P37" s="23">
        <v>512</v>
      </c>
      <c r="Q37" s="23">
        <v>504</v>
      </c>
      <c r="R37" s="23">
        <v>507</v>
      </c>
      <c r="S37" s="23">
        <v>558</v>
      </c>
      <c r="T37" s="23">
        <v>620</v>
      </c>
      <c r="U37" s="23">
        <v>696</v>
      </c>
      <c r="V37" s="23">
        <v>762</v>
      </c>
      <c r="W37" s="23">
        <v>847</v>
      </c>
      <c r="X37" s="23">
        <v>952</v>
      </c>
      <c r="Y37" s="23">
        <v>986</v>
      </c>
      <c r="Z37" s="23">
        <v>1044</v>
      </c>
      <c r="AA37" s="23">
        <v>1140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405973</v>
      </c>
      <c r="E39" s="30">
        <f t="shared" ref="E39:Y39" si="2">SUM(E18:E38)</f>
        <v>430475</v>
      </c>
      <c r="F39" s="30">
        <f t="shared" si="2"/>
        <v>449144</v>
      </c>
      <c r="G39" s="30">
        <f t="shared" si="2"/>
        <v>459576</v>
      </c>
      <c r="H39" s="30">
        <f t="shared" si="2"/>
        <v>473572</v>
      </c>
      <c r="I39" s="30">
        <f t="shared" si="2"/>
        <v>492241</v>
      </c>
      <c r="J39" s="30">
        <f t="shared" si="2"/>
        <v>522057</v>
      </c>
      <c r="K39" s="30">
        <f t="shared" si="2"/>
        <v>554653</v>
      </c>
      <c r="L39" s="30">
        <f t="shared" si="2"/>
        <v>580170</v>
      </c>
      <c r="M39" s="30">
        <f t="shared" si="2"/>
        <v>564180</v>
      </c>
      <c r="N39" s="30">
        <f t="shared" si="2"/>
        <v>575705</v>
      </c>
      <c r="O39" s="30">
        <f t="shared" si="2"/>
        <v>589169</v>
      </c>
      <c r="P39" s="30">
        <f t="shared" si="2"/>
        <v>593115</v>
      </c>
      <c r="Q39" s="30">
        <f t="shared" si="2"/>
        <v>598320</v>
      </c>
      <c r="R39" s="30">
        <f t="shared" si="2"/>
        <v>609309</v>
      </c>
      <c r="S39" s="30">
        <f t="shared" si="2"/>
        <v>627626</v>
      </c>
      <c r="T39" s="30">
        <f t="shared" si="2"/>
        <v>644312</v>
      </c>
      <c r="U39" s="30">
        <f t="shared" si="2"/>
        <v>671934</v>
      </c>
      <c r="V39" s="30">
        <f t="shared" si="2"/>
        <v>703557</v>
      </c>
      <c r="W39" s="30">
        <f t="shared" si="2"/>
        <v>739508</v>
      </c>
      <c r="X39" s="30">
        <f t="shared" si="2"/>
        <v>726149</v>
      </c>
      <c r="Y39" s="30">
        <f t="shared" si="2"/>
        <v>791730</v>
      </c>
      <c r="Z39" s="30">
        <f t="shared" ref="Z39:AA39" si="3">SUM(Z18:Z38)</f>
        <v>888174</v>
      </c>
      <c r="AA39" s="30">
        <f t="shared" si="3"/>
        <v>944801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10098</v>
      </c>
      <c r="E41" s="19">
        <v>10776</v>
      </c>
      <c r="F41" s="19">
        <v>11248</v>
      </c>
      <c r="G41" s="19">
        <v>11492</v>
      </c>
      <c r="H41" s="19">
        <v>11703</v>
      </c>
      <c r="I41" s="19">
        <v>11998</v>
      </c>
      <c r="J41" s="19">
        <v>10931</v>
      </c>
      <c r="K41" s="19">
        <v>11305</v>
      </c>
      <c r="L41" s="19">
        <v>10869</v>
      </c>
      <c r="M41" s="19">
        <v>11485</v>
      </c>
      <c r="N41" s="19">
        <v>11120</v>
      </c>
      <c r="O41" s="19">
        <v>11422</v>
      </c>
      <c r="P41" s="19">
        <v>12465</v>
      </c>
      <c r="Q41" s="19">
        <v>12747</v>
      </c>
      <c r="R41" s="19">
        <v>13315</v>
      </c>
      <c r="S41" s="19">
        <v>13457</v>
      </c>
      <c r="T41" s="19">
        <v>13968</v>
      </c>
      <c r="U41" s="19">
        <v>14414</v>
      </c>
      <c r="V41" s="19">
        <v>14945</v>
      </c>
      <c r="W41" s="19">
        <v>15185</v>
      </c>
      <c r="X41" s="19">
        <v>15523</v>
      </c>
      <c r="Y41" s="19">
        <v>15832</v>
      </c>
      <c r="Z41" s="19">
        <v>16561</v>
      </c>
      <c r="AA41" s="19">
        <v>18769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1233</v>
      </c>
      <c r="E42" s="23">
        <v>1179</v>
      </c>
      <c r="F42" s="23">
        <v>1172</v>
      </c>
      <c r="G42" s="23">
        <v>1149</v>
      </c>
      <c r="H42" s="23">
        <v>1004</v>
      </c>
      <c r="I42" s="23">
        <v>1006</v>
      </c>
      <c r="J42" s="23">
        <v>1030</v>
      </c>
      <c r="K42" s="23">
        <v>1116</v>
      </c>
      <c r="L42" s="23">
        <v>1097</v>
      </c>
      <c r="M42" s="23">
        <v>997</v>
      </c>
      <c r="N42" s="23">
        <v>1003</v>
      </c>
      <c r="O42" s="23">
        <v>1077</v>
      </c>
      <c r="P42" s="23">
        <v>1055</v>
      </c>
      <c r="Q42" s="23">
        <v>1080</v>
      </c>
      <c r="R42" s="23">
        <v>1084</v>
      </c>
      <c r="S42" s="23">
        <v>1094</v>
      </c>
      <c r="T42" s="23">
        <v>1132</v>
      </c>
      <c r="U42" s="23">
        <v>1144</v>
      </c>
      <c r="V42" s="23">
        <v>1152</v>
      </c>
      <c r="W42" s="23">
        <v>1162</v>
      </c>
      <c r="X42" s="23">
        <v>1160</v>
      </c>
      <c r="Y42" s="23">
        <v>1367</v>
      </c>
      <c r="Z42" s="23">
        <v>1272</v>
      </c>
      <c r="AA42" s="23">
        <v>1247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4973</v>
      </c>
      <c r="E43" s="23">
        <v>5295</v>
      </c>
      <c r="F43" s="23">
        <v>5067</v>
      </c>
      <c r="G43" s="23">
        <v>4888</v>
      </c>
      <c r="H43" s="23">
        <v>4950</v>
      </c>
      <c r="I43" s="23">
        <v>4969</v>
      </c>
      <c r="J43" s="23">
        <v>4946</v>
      </c>
      <c r="K43" s="23">
        <v>5225</v>
      </c>
      <c r="L43" s="23">
        <v>5173</v>
      </c>
      <c r="M43" s="23">
        <v>4802</v>
      </c>
      <c r="N43" s="23">
        <v>4321</v>
      </c>
      <c r="O43" s="23">
        <v>4321</v>
      </c>
      <c r="P43" s="23">
        <v>3972</v>
      </c>
      <c r="Q43" s="23">
        <v>3863</v>
      </c>
      <c r="R43" s="23">
        <v>3900</v>
      </c>
      <c r="S43" s="23">
        <v>3837</v>
      </c>
      <c r="T43" s="23">
        <v>3983</v>
      </c>
      <c r="U43" s="23">
        <v>4123</v>
      </c>
      <c r="V43" s="23">
        <v>4423</v>
      </c>
      <c r="W43" s="23">
        <v>4685</v>
      </c>
      <c r="X43" s="23">
        <v>4685</v>
      </c>
      <c r="Y43" s="23">
        <v>4426</v>
      </c>
      <c r="Z43" s="23">
        <v>4928</v>
      </c>
      <c r="AA43" s="23">
        <v>4748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530</v>
      </c>
      <c r="E44" s="23">
        <v>1343</v>
      </c>
      <c r="F44" s="23">
        <v>926</v>
      </c>
      <c r="G44" s="23">
        <v>1099</v>
      </c>
      <c r="H44" s="23">
        <v>1413</v>
      </c>
      <c r="I44" s="23">
        <v>2023</v>
      </c>
      <c r="J44" s="23">
        <v>1703</v>
      </c>
      <c r="K44" s="23">
        <v>1787</v>
      </c>
      <c r="L44" s="23">
        <v>2170</v>
      </c>
      <c r="M44" s="23">
        <v>1288</v>
      </c>
      <c r="N44" s="23">
        <v>483</v>
      </c>
      <c r="O44" s="23">
        <v>703</v>
      </c>
      <c r="P44" s="23">
        <v>791</v>
      </c>
      <c r="Q44" s="23">
        <v>403</v>
      </c>
      <c r="R44" s="23">
        <v>-501</v>
      </c>
      <c r="S44" s="23">
        <v>1334</v>
      </c>
      <c r="T44" s="23">
        <v>1302</v>
      </c>
      <c r="U44" s="23">
        <v>1392</v>
      </c>
      <c r="V44" s="23">
        <v>1047</v>
      </c>
      <c r="W44" s="23">
        <v>1502</v>
      </c>
      <c r="X44" s="23">
        <v>159</v>
      </c>
      <c r="Y44" s="23">
        <v>1239</v>
      </c>
      <c r="Z44" s="23">
        <v>3582</v>
      </c>
      <c r="AA44" s="23">
        <v>2686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6282</v>
      </c>
      <c r="E45" s="23">
        <v>7082</v>
      </c>
      <c r="F45" s="23">
        <v>7716</v>
      </c>
      <c r="G45" s="23">
        <v>7673</v>
      </c>
      <c r="H45" s="23">
        <v>8289</v>
      </c>
      <c r="I45" s="23">
        <v>8579</v>
      </c>
      <c r="J45" s="23">
        <v>9622</v>
      </c>
      <c r="K45" s="23">
        <v>10081</v>
      </c>
      <c r="L45" s="23">
        <v>9573</v>
      </c>
      <c r="M45" s="23">
        <v>7147</v>
      </c>
      <c r="N45" s="23">
        <v>7821</v>
      </c>
      <c r="O45" s="23">
        <v>8500</v>
      </c>
      <c r="P45" s="23">
        <v>8217</v>
      </c>
      <c r="Q45" s="23">
        <v>7504</v>
      </c>
      <c r="R45" s="23">
        <v>7339</v>
      </c>
      <c r="S45" s="23">
        <v>8628</v>
      </c>
      <c r="T45" s="23">
        <v>9350</v>
      </c>
      <c r="U45" s="23">
        <v>10328</v>
      </c>
      <c r="V45" s="23">
        <v>10972</v>
      </c>
      <c r="W45" s="23">
        <v>9463</v>
      </c>
      <c r="X45" s="23">
        <v>8251</v>
      </c>
      <c r="Y45" s="23">
        <v>10660</v>
      </c>
      <c r="Z45" s="23">
        <v>7890</v>
      </c>
      <c r="AA45" s="23">
        <v>7441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2418</v>
      </c>
      <c r="E46" s="23">
        <v>2752</v>
      </c>
      <c r="F46" s="23">
        <v>3172</v>
      </c>
      <c r="G46" s="23">
        <v>2872</v>
      </c>
      <c r="H46" s="23">
        <v>2703</v>
      </c>
      <c r="I46" s="23">
        <v>2469</v>
      </c>
      <c r="J46" s="23">
        <v>2403</v>
      </c>
      <c r="K46" s="23">
        <v>2668</v>
      </c>
      <c r="L46" s="23">
        <v>2732</v>
      </c>
      <c r="M46" s="23">
        <v>2860</v>
      </c>
      <c r="N46" s="23">
        <v>2826</v>
      </c>
      <c r="O46" s="23">
        <v>2978</v>
      </c>
      <c r="P46" s="23">
        <v>3664</v>
      </c>
      <c r="Q46" s="23">
        <v>2558</v>
      </c>
      <c r="R46" s="23">
        <v>2753</v>
      </c>
      <c r="S46" s="23">
        <v>3572</v>
      </c>
      <c r="T46" s="23">
        <v>4290</v>
      </c>
      <c r="U46" s="23">
        <v>4668</v>
      </c>
      <c r="V46" s="23">
        <v>4974</v>
      </c>
      <c r="W46" s="23">
        <v>5799</v>
      </c>
      <c r="X46" s="23">
        <v>6515</v>
      </c>
      <c r="Y46" s="23">
        <v>7562</v>
      </c>
      <c r="Z46" s="23">
        <v>8547</v>
      </c>
      <c r="AA46" s="23">
        <v>9921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3982</v>
      </c>
      <c r="E47" s="23">
        <v>4124</v>
      </c>
      <c r="F47" s="23">
        <v>4202</v>
      </c>
      <c r="G47" s="23">
        <v>4027</v>
      </c>
      <c r="H47" s="23">
        <v>3969</v>
      </c>
      <c r="I47" s="23">
        <v>3985</v>
      </c>
      <c r="J47" s="23">
        <v>4310</v>
      </c>
      <c r="K47" s="23">
        <v>4719</v>
      </c>
      <c r="L47" s="23">
        <v>4717</v>
      </c>
      <c r="M47" s="23">
        <v>4671</v>
      </c>
      <c r="N47" s="23">
        <v>4171</v>
      </c>
      <c r="O47" s="23">
        <v>4370</v>
      </c>
      <c r="P47" s="23">
        <v>4179</v>
      </c>
      <c r="Q47" s="23">
        <v>4173</v>
      </c>
      <c r="R47" s="23">
        <v>4358</v>
      </c>
      <c r="S47" s="23">
        <v>4354</v>
      </c>
      <c r="T47" s="23">
        <v>4810</v>
      </c>
      <c r="U47" s="23">
        <v>4936</v>
      </c>
      <c r="V47" s="23">
        <v>5110</v>
      </c>
      <c r="W47" s="23">
        <v>5254</v>
      </c>
      <c r="X47" s="23">
        <v>5453</v>
      </c>
      <c r="Y47" s="23">
        <v>5612</v>
      </c>
      <c r="Z47" s="23">
        <v>5921</v>
      </c>
      <c r="AA47" s="23">
        <v>6042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6985</v>
      </c>
      <c r="E48" s="23">
        <v>6815</v>
      </c>
      <c r="F48" s="23">
        <v>6698</v>
      </c>
      <c r="G48" s="23">
        <v>6614</v>
      </c>
      <c r="H48" s="23">
        <v>7206</v>
      </c>
      <c r="I48" s="23">
        <v>7718</v>
      </c>
      <c r="J48" s="23">
        <v>8142</v>
      </c>
      <c r="K48" s="23">
        <v>8726</v>
      </c>
      <c r="L48" s="23">
        <v>8863</v>
      </c>
      <c r="M48" s="23">
        <v>7483</v>
      </c>
      <c r="N48" s="23">
        <v>7568</v>
      </c>
      <c r="O48" s="23">
        <v>7971</v>
      </c>
      <c r="P48" s="23">
        <v>8093</v>
      </c>
      <c r="Q48" s="23">
        <v>7883</v>
      </c>
      <c r="R48" s="23">
        <v>8466</v>
      </c>
      <c r="S48" s="23">
        <v>8446</v>
      </c>
      <c r="T48" s="23">
        <v>9079</v>
      </c>
      <c r="U48" s="23">
        <v>9188</v>
      </c>
      <c r="V48" s="23">
        <v>9935</v>
      </c>
      <c r="W48" s="23">
        <v>9928</v>
      </c>
      <c r="X48" s="23">
        <v>9321</v>
      </c>
      <c r="Y48" s="23">
        <v>10528</v>
      </c>
      <c r="Z48" s="23">
        <v>11898</v>
      </c>
      <c r="AA48" s="23">
        <v>11651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5439</v>
      </c>
      <c r="E49" s="23">
        <v>5050</v>
      </c>
      <c r="F49" s="23">
        <v>4074</v>
      </c>
      <c r="G49" s="23">
        <v>3589</v>
      </c>
      <c r="H49" s="23">
        <v>3853</v>
      </c>
      <c r="I49" s="23">
        <v>5212</v>
      </c>
      <c r="J49" s="23">
        <v>5579</v>
      </c>
      <c r="K49" s="23">
        <v>5782</v>
      </c>
      <c r="L49" s="23">
        <v>5097</v>
      </c>
      <c r="M49" s="23">
        <v>4869</v>
      </c>
      <c r="N49" s="23">
        <v>4958</v>
      </c>
      <c r="O49" s="23">
        <v>4615</v>
      </c>
      <c r="P49" s="23">
        <v>4499</v>
      </c>
      <c r="Q49" s="23">
        <v>4560</v>
      </c>
      <c r="R49" s="23">
        <v>4630</v>
      </c>
      <c r="S49" s="23">
        <v>5268</v>
      </c>
      <c r="T49" s="23">
        <v>4526</v>
      </c>
      <c r="U49" s="23">
        <v>4703</v>
      </c>
      <c r="V49" s="23">
        <v>5396</v>
      </c>
      <c r="W49" s="23">
        <v>5451</v>
      </c>
      <c r="X49" s="23">
        <v>5219</v>
      </c>
      <c r="Y49" s="23">
        <v>5504</v>
      </c>
      <c r="Z49" s="23">
        <v>7008</v>
      </c>
      <c r="AA49" s="23">
        <v>6768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2940</v>
      </c>
      <c r="E50" s="23">
        <v>2699</v>
      </c>
      <c r="F50" s="23">
        <v>2192</v>
      </c>
      <c r="G50" s="23">
        <v>2216</v>
      </c>
      <c r="H50" s="23">
        <v>2101</v>
      </c>
      <c r="I50" s="23">
        <v>1810</v>
      </c>
      <c r="J50" s="23">
        <v>2144</v>
      </c>
      <c r="K50" s="23">
        <v>2485</v>
      </c>
      <c r="L50" s="23">
        <v>2679</v>
      </c>
      <c r="M50" s="23">
        <v>1954</v>
      </c>
      <c r="N50" s="23">
        <v>1845</v>
      </c>
      <c r="O50" s="23">
        <v>2221</v>
      </c>
      <c r="P50" s="23">
        <v>2209</v>
      </c>
      <c r="Q50" s="23">
        <v>2241</v>
      </c>
      <c r="R50" s="23">
        <v>2210</v>
      </c>
      <c r="S50" s="23">
        <v>2483</v>
      </c>
      <c r="T50" s="23">
        <v>2718</v>
      </c>
      <c r="U50" s="23">
        <v>2796</v>
      </c>
      <c r="V50" s="23">
        <v>2737</v>
      </c>
      <c r="W50" s="23">
        <v>2947</v>
      </c>
      <c r="X50" s="23">
        <v>3175</v>
      </c>
      <c r="Y50" s="23">
        <v>3245</v>
      </c>
      <c r="Z50" s="23">
        <v>3397</v>
      </c>
      <c r="AA50" s="23">
        <v>3768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4666</v>
      </c>
      <c r="E51" s="23">
        <v>4712</v>
      </c>
      <c r="F51" s="23">
        <v>4762</v>
      </c>
      <c r="G51" s="23">
        <v>4934</v>
      </c>
      <c r="H51" s="23">
        <v>5648</v>
      </c>
      <c r="I51" s="23">
        <v>5733</v>
      </c>
      <c r="J51" s="23">
        <v>6546</v>
      </c>
      <c r="K51" s="23">
        <v>7196</v>
      </c>
      <c r="L51" s="23">
        <v>7300</v>
      </c>
      <c r="M51" s="23">
        <v>6275</v>
      </c>
      <c r="N51" s="23">
        <v>8117</v>
      </c>
      <c r="O51" s="23">
        <v>9204</v>
      </c>
      <c r="P51" s="23">
        <v>8396</v>
      </c>
      <c r="Q51" s="23">
        <v>8777</v>
      </c>
      <c r="R51" s="23">
        <v>9555</v>
      </c>
      <c r="S51" s="23">
        <v>9598</v>
      </c>
      <c r="T51" s="23">
        <v>9730</v>
      </c>
      <c r="U51" s="23">
        <v>11327</v>
      </c>
      <c r="V51" s="23">
        <v>12382</v>
      </c>
      <c r="W51" s="23">
        <v>14033</v>
      </c>
      <c r="X51" s="23">
        <v>15371</v>
      </c>
      <c r="Y51" s="23">
        <v>18585</v>
      </c>
      <c r="Z51" s="23">
        <v>19308</v>
      </c>
      <c r="AA51" s="23">
        <v>22576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3035</v>
      </c>
      <c r="E52" s="23">
        <v>3486</v>
      </c>
      <c r="F52" s="23">
        <v>3502</v>
      </c>
      <c r="G52" s="23">
        <v>3484</v>
      </c>
      <c r="H52" s="23">
        <v>3679</v>
      </c>
      <c r="I52" s="23">
        <v>3556</v>
      </c>
      <c r="J52" s="23">
        <v>3580</v>
      </c>
      <c r="K52" s="23">
        <v>4245</v>
      </c>
      <c r="L52" s="23">
        <v>4513</v>
      </c>
      <c r="M52" s="23">
        <v>3084</v>
      </c>
      <c r="N52" s="23">
        <v>3585</v>
      </c>
      <c r="O52" s="23">
        <v>3599</v>
      </c>
      <c r="P52" s="23">
        <v>3203</v>
      </c>
      <c r="Q52" s="23">
        <v>3284</v>
      </c>
      <c r="R52" s="23">
        <v>3186</v>
      </c>
      <c r="S52" s="23">
        <v>3449</v>
      </c>
      <c r="T52" s="23">
        <v>3542</v>
      </c>
      <c r="U52" s="23">
        <v>4110</v>
      </c>
      <c r="V52" s="23">
        <v>4292</v>
      </c>
      <c r="W52" s="23">
        <v>4466</v>
      </c>
      <c r="X52" s="23">
        <v>4235</v>
      </c>
      <c r="Y52" s="23">
        <v>4333</v>
      </c>
      <c r="Z52" s="23">
        <v>4877</v>
      </c>
      <c r="AA52" s="23">
        <v>5707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4898</v>
      </c>
      <c r="E53" s="23">
        <v>5129</v>
      </c>
      <c r="F53" s="23">
        <v>5158</v>
      </c>
      <c r="G53" s="23">
        <v>4941</v>
      </c>
      <c r="H53" s="23">
        <v>4816</v>
      </c>
      <c r="I53" s="23">
        <v>5059</v>
      </c>
      <c r="J53" s="23">
        <v>5121</v>
      </c>
      <c r="K53" s="23">
        <v>5287</v>
      </c>
      <c r="L53" s="23">
        <v>5563</v>
      </c>
      <c r="M53" s="23">
        <v>5077</v>
      </c>
      <c r="N53" s="23">
        <v>5019</v>
      </c>
      <c r="O53" s="23">
        <v>5285</v>
      </c>
      <c r="P53" s="23">
        <v>5480</v>
      </c>
      <c r="Q53" s="23">
        <v>5142</v>
      </c>
      <c r="R53" s="23">
        <v>5276</v>
      </c>
      <c r="S53" s="23">
        <v>5438</v>
      </c>
      <c r="T53" s="23">
        <v>5510</v>
      </c>
      <c r="U53" s="23">
        <v>6087</v>
      </c>
      <c r="V53" s="23">
        <v>6554</v>
      </c>
      <c r="W53" s="23">
        <v>6593</v>
      </c>
      <c r="X53" s="23">
        <v>6531</v>
      </c>
      <c r="Y53" s="23">
        <v>6993</v>
      </c>
      <c r="Z53" s="23">
        <v>7647</v>
      </c>
      <c r="AA53" s="23">
        <v>8641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57479</v>
      </c>
      <c r="E54" s="30">
        <f t="shared" ref="E54:Y54" si="4">SUM(E41:E53)</f>
        <v>60442</v>
      </c>
      <c r="F54" s="30">
        <f t="shared" si="4"/>
        <v>59889</v>
      </c>
      <c r="G54" s="30">
        <f t="shared" si="4"/>
        <v>58978</v>
      </c>
      <c r="H54" s="30">
        <f t="shared" si="4"/>
        <v>61334</v>
      </c>
      <c r="I54" s="30">
        <f t="shared" si="4"/>
        <v>64117</v>
      </c>
      <c r="J54" s="30">
        <f t="shared" si="4"/>
        <v>66057</v>
      </c>
      <c r="K54" s="30">
        <f t="shared" si="4"/>
        <v>70622</v>
      </c>
      <c r="L54" s="30">
        <f t="shared" si="4"/>
        <v>70346</v>
      </c>
      <c r="M54" s="30">
        <f t="shared" si="4"/>
        <v>61992</v>
      </c>
      <c r="N54" s="30">
        <f t="shared" si="4"/>
        <v>62837</v>
      </c>
      <c r="O54" s="30">
        <f t="shared" si="4"/>
        <v>66266</v>
      </c>
      <c r="P54" s="30">
        <f t="shared" si="4"/>
        <v>66223</v>
      </c>
      <c r="Q54" s="30">
        <f t="shared" si="4"/>
        <v>64215</v>
      </c>
      <c r="R54" s="30">
        <f t="shared" si="4"/>
        <v>65571</v>
      </c>
      <c r="S54" s="30">
        <f t="shared" si="4"/>
        <v>70958</v>
      </c>
      <c r="T54" s="30">
        <f t="shared" si="4"/>
        <v>73940</v>
      </c>
      <c r="U54" s="30">
        <f t="shared" si="4"/>
        <v>79216</v>
      </c>
      <c r="V54" s="30">
        <f t="shared" si="4"/>
        <v>83919</v>
      </c>
      <c r="W54" s="30">
        <f t="shared" si="4"/>
        <v>86468</v>
      </c>
      <c r="X54" s="30">
        <f t="shared" si="4"/>
        <v>85598</v>
      </c>
      <c r="Y54" s="30">
        <f t="shared" si="4"/>
        <v>95886</v>
      </c>
      <c r="Z54" s="30">
        <f t="shared" ref="Z54:AA54" si="5">SUM(Z41:Z53)</f>
        <v>102836</v>
      </c>
      <c r="AA54" s="30">
        <f t="shared" si="5"/>
        <v>109965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10098</v>
      </c>
      <c r="E56" s="19">
        <v>10776</v>
      </c>
      <c r="F56" s="19">
        <v>11248</v>
      </c>
      <c r="G56" s="19">
        <v>11492</v>
      </c>
      <c r="H56" s="19">
        <v>11703</v>
      </c>
      <c r="I56" s="19">
        <v>11998</v>
      </c>
      <c r="J56" s="19">
        <v>10931</v>
      </c>
      <c r="K56" s="19">
        <v>11305</v>
      </c>
      <c r="L56" s="19">
        <v>10869</v>
      </c>
      <c r="M56" s="19">
        <v>11485</v>
      </c>
      <c r="N56" s="19">
        <v>11120</v>
      </c>
      <c r="O56" s="19">
        <v>11422</v>
      </c>
      <c r="P56" s="19">
        <v>12465</v>
      </c>
      <c r="Q56" s="19">
        <v>12747</v>
      </c>
      <c r="R56" s="19">
        <v>13315</v>
      </c>
      <c r="S56" s="19">
        <v>13457</v>
      </c>
      <c r="T56" s="19">
        <v>13968</v>
      </c>
      <c r="U56" s="19">
        <v>14414</v>
      </c>
      <c r="V56" s="19">
        <v>14945</v>
      </c>
      <c r="W56" s="19">
        <v>15185</v>
      </c>
      <c r="X56" s="19">
        <v>15523</v>
      </c>
      <c r="Y56" s="19">
        <v>15832</v>
      </c>
      <c r="Z56" s="19">
        <v>16561</v>
      </c>
      <c r="AA56" s="19">
        <v>18769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1233</v>
      </c>
      <c r="E57" s="23">
        <v>1179</v>
      </c>
      <c r="F57" s="23">
        <v>1172</v>
      </c>
      <c r="G57" s="23">
        <v>1149</v>
      </c>
      <c r="H57" s="23">
        <v>1004</v>
      </c>
      <c r="I57" s="23">
        <v>1006</v>
      </c>
      <c r="J57" s="23">
        <v>1030</v>
      </c>
      <c r="K57" s="23">
        <v>1116</v>
      </c>
      <c r="L57" s="23">
        <v>1097</v>
      </c>
      <c r="M57" s="23">
        <v>997</v>
      </c>
      <c r="N57" s="23">
        <v>1003</v>
      </c>
      <c r="O57" s="23">
        <v>1077</v>
      </c>
      <c r="P57" s="23">
        <v>1055</v>
      </c>
      <c r="Q57" s="23">
        <v>1080</v>
      </c>
      <c r="R57" s="23">
        <v>1084</v>
      </c>
      <c r="S57" s="23">
        <v>1094</v>
      </c>
      <c r="T57" s="23">
        <v>1132</v>
      </c>
      <c r="U57" s="23">
        <v>1144</v>
      </c>
      <c r="V57" s="23">
        <v>1152</v>
      </c>
      <c r="W57" s="23">
        <v>1162</v>
      </c>
      <c r="X57" s="23">
        <v>1160</v>
      </c>
      <c r="Y57" s="23">
        <v>1367</v>
      </c>
      <c r="Z57" s="23">
        <v>1272</v>
      </c>
      <c r="AA57" s="23">
        <v>1247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925</v>
      </c>
      <c r="E58" s="23">
        <v>1050</v>
      </c>
      <c r="F58" s="23">
        <v>898</v>
      </c>
      <c r="G58" s="23">
        <v>958</v>
      </c>
      <c r="H58" s="23">
        <v>961</v>
      </c>
      <c r="I58" s="23">
        <v>938</v>
      </c>
      <c r="J58" s="23">
        <v>941</v>
      </c>
      <c r="K58" s="23">
        <v>1013</v>
      </c>
      <c r="L58" s="23">
        <v>1098</v>
      </c>
      <c r="M58" s="23">
        <v>967</v>
      </c>
      <c r="N58" s="23">
        <v>793</v>
      </c>
      <c r="O58" s="23">
        <v>836</v>
      </c>
      <c r="P58" s="23">
        <v>746</v>
      </c>
      <c r="Q58" s="23">
        <v>650</v>
      </c>
      <c r="R58" s="23">
        <v>679</v>
      </c>
      <c r="S58" s="23">
        <v>776</v>
      </c>
      <c r="T58" s="23">
        <v>877</v>
      </c>
      <c r="U58" s="23">
        <v>967</v>
      </c>
      <c r="V58" s="23">
        <v>1064</v>
      </c>
      <c r="W58" s="23">
        <v>1180</v>
      </c>
      <c r="X58" s="23">
        <v>1228</v>
      </c>
      <c r="Y58" s="23">
        <v>1370</v>
      </c>
      <c r="Z58" s="23">
        <v>1494</v>
      </c>
      <c r="AA58" s="23">
        <v>1495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1394</v>
      </c>
      <c r="E59" s="23">
        <v>1589</v>
      </c>
      <c r="F59" s="23">
        <v>1669</v>
      </c>
      <c r="G59" s="23">
        <v>1628</v>
      </c>
      <c r="H59" s="23">
        <v>1684</v>
      </c>
      <c r="I59" s="23">
        <v>1616</v>
      </c>
      <c r="J59" s="23">
        <v>1682</v>
      </c>
      <c r="K59" s="23">
        <v>1814</v>
      </c>
      <c r="L59" s="23">
        <v>1717</v>
      </c>
      <c r="M59" s="23">
        <v>1584</v>
      </c>
      <c r="N59" s="23">
        <v>1554</v>
      </c>
      <c r="O59" s="23">
        <v>1567</v>
      </c>
      <c r="P59" s="23">
        <v>1408</v>
      </c>
      <c r="Q59" s="23">
        <v>1494</v>
      </c>
      <c r="R59" s="23">
        <v>1641</v>
      </c>
      <c r="S59" s="23">
        <v>1593</v>
      </c>
      <c r="T59" s="23">
        <v>1705</v>
      </c>
      <c r="U59" s="23">
        <v>1808</v>
      </c>
      <c r="V59" s="23">
        <v>2040</v>
      </c>
      <c r="W59" s="23">
        <v>2306</v>
      </c>
      <c r="X59" s="23">
        <v>2345</v>
      </c>
      <c r="Y59" s="23">
        <v>1939</v>
      </c>
      <c r="Z59" s="23">
        <v>2245</v>
      </c>
      <c r="AA59" s="23">
        <v>2087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2654</v>
      </c>
      <c r="E60" s="23">
        <v>2656</v>
      </c>
      <c r="F60" s="23">
        <v>2500</v>
      </c>
      <c r="G60" s="23">
        <v>2302</v>
      </c>
      <c r="H60" s="23">
        <v>2305</v>
      </c>
      <c r="I60" s="23">
        <v>2415</v>
      </c>
      <c r="J60" s="23">
        <v>2323</v>
      </c>
      <c r="K60" s="23">
        <v>2398</v>
      </c>
      <c r="L60" s="23">
        <v>2358</v>
      </c>
      <c r="M60" s="23">
        <v>2251</v>
      </c>
      <c r="N60" s="23">
        <v>1974</v>
      </c>
      <c r="O60" s="23">
        <v>1918</v>
      </c>
      <c r="P60" s="23">
        <v>1818</v>
      </c>
      <c r="Q60" s="23">
        <v>1719</v>
      </c>
      <c r="R60" s="23">
        <v>1580</v>
      </c>
      <c r="S60" s="23">
        <v>1468</v>
      </c>
      <c r="T60" s="23">
        <v>1401</v>
      </c>
      <c r="U60" s="23">
        <v>1348</v>
      </c>
      <c r="V60" s="23">
        <v>1319</v>
      </c>
      <c r="W60" s="23">
        <v>1199</v>
      </c>
      <c r="X60" s="23">
        <v>1112</v>
      </c>
      <c r="Y60" s="23">
        <v>1117</v>
      </c>
      <c r="Z60" s="23">
        <v>1189</v>
      </c>
      <c r="AA60" s="23">
        <v>1166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530</v>
      </c>
      <c r="E61" s="23">
        <v>1343</v>
      </c>
      <c r="F61" s="23">
        <v>926</v>
      </c>
      <c r="G61" s="23">
        <v>1099</v>
      </c>
      <c r="H61" s="23">
        <v>1413</v>
      </c>
      <c r="I61" s="23">
        <v>2023</v>
      </c>
      <c r="J61" s="23">
        <v>1703</v>
      </c>
      <c r="K61" s="23">
        <v>1787</v>
      </c>
      <c r="L61" s="23">
        <v>2170</v>
      </c>
      <c r="M61" s="23">
        <v>1288</v>
      </c>
      <c r="N61" s="23">
        <v>483</v>
      </c>
      <c r="O61" s="23">
        <v>703</v>
      </c>
      <c r="P61" s="23">
        <v>791</v>
      </c>
      <c r="Q61" s="23">
        <v>403</v>
      </c>
      <c r="R61" s="23">
        <v>-501</v>
      </c>
      <c r="S61" s="23">
        <v>1334</v>
      </c>
      <c r="T61" s="23">
        <v>1302</v>
      </c>
      <c r="U61" s="23">
        <v>1392</v>
      </c>
      <c r="V61" s="23">
        <v>1047</v>
      </c>
      <c r="W61" s="23">
        <v>1502</v>
      </c>
      <c r="X61" s="23">
        <v>159</v>
      </c>
      <c r="Y61" s="23">
        <v>1239</v>
      </c>
      <c r="Z61" s="23">
        <v>3582</v>
      </c>
      <c r="AA61" s="23">
        <v>2686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6282</v>
      </c>
      <c r="E62" s="23">
        <v>7082</v>
      </c>
      <c r="F62" s="23">
        <v>7716</v>
      </c>
      <c r="G62" s="23">
        <v>7673</v>
      </c>
      <c r="H62" s="23">
        <v>8289</v>
      </c>
      <c r="I62" s="23">
        <v>8579</v>
      </c>
      <c r="J62" s="23">
        <v>9622</v>
      </c>
      <c r="K62" s="23">
        <v>10081</v>
      </c>
      <c r="L62" s="23">
        <v>9573</v>
      </c>
      <c r="M62" s="23">
        <v>7147</v>
      </c>
      <c r="N62" s="23">
        <v>7821</v>
      </c>
      <c r="O62" s="23">
        <v>8500</v>
      </c>
      <c r="P62" s="23">
        <v>8217</v>
      </c>
      <c r="Q62" s="23">
        <v>7504</v>
      </c>
      <c r="R62" s="23">
        <v>7339</v>
      </c>
      <c r="S62" s="23">
        <v>8628</v>
      </c>
      <c r="T62" s="23">
        <v>9350</v>
      </c>
      <c r="U62" s="23">
        <v>10328</v>
      </c>
      <c r="V62" s="23">
        <v>10972</v>
      </c>
      <c r="W62" s="23">
        <v>9463</v>
      </c>
      <c r="X62" s="23">
        <v>8251</v>
      </c>
      <c r="Y62" s="23">
        <v>10660</v>
      </c>
      <c r="Z62" s="23">
        <v>7890</v>
      </c>
      <c r="AA62" s="23">
        <v>7441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2418</v>
      </c>
      <c r="E63" s="23">
        <v>2752</v>
      </c>
      <c r="F63" s="23">
        <v>3172</v>
      </c>
      <c r="G63" s="23">
        <v>2872</v>
      </c>
      <c r="H63" s="23">
        <v>2703</v>
      </c>
      <c r="I63" s="23">
        <v>2469</v>
      </c>
      <c r="J63" s="23">
        <v>2403</v>
      </c>
      <c r="K63" s="23">
        <v>2668</v>
      </c>
      <c r="L63" s="23">
        <v>2732</v>
      </c>
      <c r="M63" s="23">
        <v>2860</v>
      </c>
      <c r="N63" s="23">
        <v>2826</v>
      </c>
      <c r="O63" s="23">
        <v>2978</v>
      </c>
      <c r="P63" s="23">
        <v>3664</v>
      </c>
      <c r="Q63" s="23">
        <v>2558</v>
      </c>
      <c r="R63" s="23">
        <v>2753</v>
      </c>
      <c r="S63" s="23">
        <v>3572</v>
      </c>
      <c r="T63" s="23">
        <v>4290</v>
      </c>
      <c r="U63" s="23">
        <v>4668</v>
      </c>
      <c r="V63" s="23">
        <v>4974</v>
      </c>
      <c r="W63" s="23">
        <v>5799</v>
      </c>
      <c r="X63" s="23">
        <v>6515</v>
      </c>
      <c r="Y63" s="23">
        <v>7562</v>
      </c>
      <c r="Z63" s="23">
        <v>8547</v>
      </c>
      <c r="AA63" s="23">
        <v>9921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2103</v>
      </c>
      <c r="E64" s="23">
        <v>2198</v>
      </c>
      <c r="F64" s="23">
        <v>2302</v>
      </c>
      <c r="G64" s="23">
        <v>2272</v>
      </c>
      <c r="H64" s="23">
        <v>2206</v>
      </c>
      <c r="I64" s="23">
        <v>2258</v>
      </c>
      <c r="J64" s="23">
        <v>2381</v>
      </c>
      <c r="K64" s="23">
        <v>2550</v>
      </c>
      <c r="L64" s="23">
        <v>2510</v>
      </c>
      <c r="M64" s="23">
        <v>2530</v>
      </c>
      <c r="N64" s="23">
        <v>2288</v>
      </c>
      <c r="O64" s="23">
        <v>2384</v>
      </c>
      <c r="P64" s="23">
        <v>2438</v>
      </c>
      <c r="Q64" s="23">
        <v>2489</v>
      </c>
      <c r="R64" s="23">
        <v>2742</v>
      </c>
      <c r="S64" s="23">
        <v>2734</v>
      </c>
      <c r="T64" s="23">
        <v>2967</v>
      </c>
      <c r="U64" s="23">
        <v>3007</v>
      </c>
      <c r="V64" s="23">
        <v>3002</v>
      </c>
      <c r="W64" s="23">
        <v>3052</v>
      </c>
      <c r="X64" s="23">
        <v>3137</v>
      </c>
      <c r="Y64" s="23">
        <v>3281</v>
      </c>
      <c r="Z64" s="23">
        <v>3533</v>
      </c>
      <c r="AA64" s="23">
        <v>3549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1879</v>
      </c>
      <c r="E65" s="23">
        <v>1926</v>
      </c>
      <c r="F65" s="23">
        <v>1900</v>
      </c>
      <c r="G65" s="23">
        <v>1755</v>
      </c>
      <c r="H65" s="23">
        <v>1763</v>
      </c>
      <c r="I65" s="23">
        <v>1727</v>
      </c>
      <c r="J65" s="23">
        <v>1929</v>
      </c>
      <c r="K65" s="23">
        <v>2169</v>
      </c>
      <c r="L65" s="23">
        <v>2207</v>
      </c>
      <c r="M65" s="23">
        <v>2141</v>
      </c>
      <c r="N65" s="23">
        <v>1883</v>
      </c>
      <c r="O65" s="23">
        <v>1986</v>
      </c>
      <c r="P65" s="23">
        <v>1741</v>
      </c>
      <c r="Q65" s="23">
        <v>1684</v>
      </c>
      <c r="R65" s="23">
        <v>1616</v>
      </c>
      <c r="S65" s="23">
        <v>1620</v>
      </c>
      <c r="T65" s="23">
        <v>1843</v>
      </c>
      <c r="U65" s="23">
        <v>1929</v>
      </c>
      <c r="V65" s="23">
        <v>2108</v>
      </c>
      <c r="W65" s="23">
        <v>2202</v>
      </c>
      <c r="X65" s="23">
        <v>2316</v>
      </c>
      <c r="Y65" s="23">
        <v>2331</v>
      </c>
      <c r="Z65" s="23">
        <v>2388</v>
      </c>
      <c r="AA65" s="23">
        <v>2493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1919</v>
      </c>
      <c r="E66" s="23">
        <v>1675</v>
      </c>
      <c r="F66" s="23">
        <v>1725</v>
      </c>
      <c r="G66" s="23">
        <v>1815</v>
      </c>
      <c r="H66" s="23">
        <v>2338</v>
      </c>
      <c r="I66" s="23">
        <v>2571</v>
      </c>
      <c r="J66" s="23">
        <v>2825</v>
      </c>
      <c r="K66" s="23">
        <v>2983</v>
      </c>
      <c r="L66" s="23">
        <v>2682</v>
      </c>
      <c r="M66" s="23">
        <v>1710</v>
      </c>
      <c r="N66" s="23">
        <v>1749</v>
      </c>
      <c r="O66" s="23">
        <v>1729</v>
      </c>
      <c r="P66" s="23">
        <v>1843</v>
      </c>
      <c r="Q66" s="23">
        <v>1815</v>
      </c>
      <c r="R66" s="23">
        <v>2104</v>
      </c>
      <c r="S66" s="23">
        <v>1829</v>
      </c>
      <c r="T66" s="23">
        <v>2067</v>
      </c>
      <c r="U66" s="23">
        <v>2106</v>
      </c>
      <c r="V66" s="23">
        <v>2353</v>
      </c>
      <c r="W66" s="23">
        <v>1964</v>
      </c>
      <c r="X66" s="23">
        <v>1666</v>
      </c>
      <c r="Y66" s="23">
        <v>2509</v>
      </c>
      <c r="Z66" s="23">
        <v>2674</v>
      </c>
      <c r="AA66" s="23">
        <v>1886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5066</v>
      </c>
      <c r="E67" s="23">
        <v>5140</v>
      </c>
      <c r="F67" s="23">
        <v>4973</v>
      </c>
      <c r="G67" s="23">
        <v>4799</v>
      </c>
      <c r="H67" s="23">
        <v>4868</v>
      </c>
      <c r="I67" s="23">
        <v>5147</v>
      </c>
      <c r="J67" s="23">
        <v>5317</v>
      </c>
      <c r="K67" s="23">
        <v>5743</v>
      </c>
      <c r="L67" s="23">
        <v>6181</v>
      </c>
      <c r="M67" s="23">
        <v>5773</v>
      </c>
      <c r="N67" s="23">
        <v>5819</v>
      </c>
      <c r="O67" s="23">
        <v>6242</v>
      </c>
      <c r="P67" s="23">
        <v>6250</v>
      </c>
      <c r="Q67" s="23">
        <v>6068</v>
      </c>
      <c r="R67" s="23">
        <v>6362</v>
      </c>
      <c r="S67" s="23">
        <v>6617</v>
      </c>
      <c r="T67" s="23">
        <v>7012</v>
      </c>
      <c r="U67" s="23">
        <v>7082</v>
      </c>
      <c r="V67" s="23">
        <v>7582</v>
      </c>
      <c r="W67" s="23">
        <v>7964</v>
      </c>
      <c r="X67" s="23">
        <v>7655</v>
      </c>
      <c r="Y67" s="23">
        <v>8019</v>
      </c>
      <c r="Z67" s="23">
        <v>9224</v>
      </c>
      <c r="AA67" s="23">
        <v>9765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5439</v>
      </c>
      <c r="E68" s="23">
        <v>5050</v>
      </c>
      <c r="F68" s="23">
        <v>4074</v>
      </c>
      <c r="G68" s="23">
        <v>3589</v>
      </c>
      <c r="H68" s="23">
        <v>3853</v>
      </c>
      <c r="I68" s="23">
        <v>5212</v>
      </c>
      <c r="J68" s="23">
        <v>5579</v>
      </c>
      <c r="K68" s="23">
        <v>5782</v>
      </c>
      <c r="L68" s="23">
        <v>5097</v>
      </c>
      <c r="M68" s="23">
        <v>4869</v>
      </c>
      <c r="N68" s="23">
        <v>4958</v>
      </c>
      <c r="O68" s="23">
        <v>4615</v>
      </c>
      <c r="P68" s="23">
        <v>4499</v>
      </c>
      <c r="Q68" s="23">
        <v>4560</v>
      </c>
      <c r="R68" s="23">
        <v>4630</v>
      </c>
      <c r="S68" s="23">
        <v>5268</v>
      </c>
      <c r="T68" s="23">
        <v>4526</v>
      </c>
      <c r="U68" s="23">
        <v>4703</v>
      </c>
      <c r="V68" s="23">
        <v>5396</v>
      </c>
      <c r="W68" s="23">
        <v>5451</v>
      </c>
      <c r="X68" s="23">
        <v>5219</v>
      </c>
      <c r="Y68" s="23">
        <v>5504</v>
      </c>
      <c r="Z68" s="23">
        <v>7008</v>
      </c>
      <c r="AA68" s="23">
        <v>6768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2940</v>
      </c>
      <c r="E69" s="23">
        <v>2699</v>
      </c>
      <c r="F69" s="23">
        <v>2192</v>
      </c>
      <c r="G69" s="23">
        <v>2216</v>
      </c>
      <c r="H69" s="23">
        <v>2101</v>
      </c>
      <c r="I69" s="23">
        <v>1810</v>
      </c>
      <c r="J69" s="23">
        <v>2144</v>
      </c>
      <c r="K69" s="23">
        <v>2485</v>
      </c>
      <c r="L69" s="23">
        <v>2679</v>
      </c>
      <c r="M69" s="23">
        <v>1954</v>
      </c>
      <c r="N69" s="23">
        <v>1845</v>
      </c>
      <c r="O69" s="23">
        <v>2221</v>
      </c>
      <c r="P69" s="23">
        <v>2209</v>
      </c>
      <c r="Q69" s="23">
        <v>2241</v>
      </c>
      <c r="R69" s="23">
        <v>2210</v>
      </c>
      <c r="S69" s="23">
        <v>2483</v>
      </c>
      <c r="T69" s="23">
        <v>2718</v>
      </c>
      <c r="U69" s="23">
        <v>2796</v>
      </c>
      <c r="V69" s="23">
        <v>2737</v>
      </c>
      <c r="W69" s="23">
        <v>2947</v>
      </c>
      <c r="X69" s="23">
        <v>3175</v>
      </c>
      <c r="Y69" s="23">
        <v>3245</v>
      </c>
      <c r="Z69" s="23">
        <v>3397</v>
      </c>
      <c r="AA69" s="23">
        <v>3768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4666</v>
      </c>
      <c r="E70" s="23">
        <v>4712</v>
      </c>
      <c r="F70" s="23">
        <v>4762</v>
      </c>
      <c r="G70" s="23">
        <v>4934</v>
      </c>
      <c r="H70" s="23">
        <v>5648</v>
      </c>
      <c r="I70" s="23">
        <v>5733</v>
      </c>
      <c r="J70" s="23">
        <v>6546</v>
      </c>
      <c r="K70" s="23">
        <v>7196</v>
      </c>
      <c r="L70" s="23">
        <v>7300</v>
      </c>
      <c r="M70" s="23">
        <v>6275</v>
      </c>
      <c r="N70" s="23">
        <v>8117</v>
      </c>
      <c r="O70" s="23">
        <v>9204</v>
      </c>
      <c r="P70" s="23">
        <v>8396</v>
      </c>
      <c r="Q70" s="23">
        <v>8777</v>
      </c>
      <c r="R70" s="23">
        <v>9555</v>
      </c>
      <c r="S70" s="23">
        <v>9598</v>
      </c>
      <c r="T70" s="23">
        <v>9730</v>
      </c>
      <c r="U70" s="23">
        <v>11327</v>
      </c>
      <c r="V70" s="23">
        <v>12382</v>
      </c>
      <c r="W70" s="23">
        <v>14033</v>
      </c>
      <c r="X70" s="23">
        <v>15371</v>
      </c>
      <c r="Y70" s="23">
        <v>18585</v>
      </c>
      <c r="Z70" s="23">
        <v>19308</v>
      </c>
      <c r="AA70" s="23">
        <v>22576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2159</v>
      </c>
      <c r="E71" s="23">
        <v>2028</v>
      </c>
      <c r="F71" s="23">
        <v>1976</v>
      </c>
      <c r="G71" s="23">
        <v>2035</v>
      </c>
      <c r="H71" s="23">
        <v>2187</v>
      </c>
      <c r="I71" s="23">
        <v>2048</v>
      </c>
      <c r="J71" s="23">
        <v>2126</v>
      </c>
      <c r="K71" s="23">
        <v>2356</v>
      </c>
      <c r="L71" s="23">
        <v>2447</v>
      </c>
      <c r="M71" s="23">
        <v>1144</v>
      </c>
      <c r="N71" s="23">
        <v>1714</v>
      </c>
      <c r="O71" s="23">
        <v>2083</v>
      </c>
      <c r="P71" s="23">
        <v>1766</v>
      </c>
      <c r="Q71" s="23">
        <v>1718</v>
      </c>
      <c r="R71" s="23">
        <v>1676</v>
      </c>
      <c r="S71" s="23">
        <v>2026</v>
      </c>
      <c r="T71" s="23">
        <v>2213</v>
      </c>
      <c r="U71" s="23">
        <v>2564</v>
      </c>
      <c r="V71" s="23">
        <v>2901</v>
      </c>
      <c r="W71" s="23">
        <v>2935</v>
      </c>
      <c r="X71" s="23">
        <v>2613</v>
      </c>
      <c r="Y71" s="23">
        <v>2787</v>
      </c>
      <c r="Z71" s="23">
        <v>3080</v>
      </c>
      <c r="AA71" s="23">
        <v>3906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876</v>
      </c>
      <c r="E72" s="23">
        <v>1458</v>
      </c>
      <c r="F72" s="23">
        <v>1526</v>
      </c>
      <c r="G72" s="23">
        <v>1449</v>
      </c>
      <c r="H72" s="23">
        <v>1492</v>
      </c>
      <c r="I72" s="23">
        <v>1508</v>
      </c>
      <c r="J72" s="23">
        <v>1454</v>
      </c>
      <c r="K72" s="23">
        <v>1889</v>
      </c>
      <c r="L72" s="23">
        <v>2066</v>
      </c>
      <c r="M72" s="23">
        <v>1940</v>
      </c>
      <c r="N72" s="23">
        <v>1871</v>
      </c>
      <c r="O72" s="23">
        <v>1516</v>
      </c>
      <c r="P72" s="23">
        <v>1437</v>
      </c>
      <c r="Q72" s="23">
        <v>1566</v>
      </c>
      <c r="R72" s="23">
        <v>1510</v>
      </c>
      <c r="S72" s="23">
        <v>1423</v>
      </c>
      <c r="T72" s="23">
        <v>1329</v>
      </c>
      <c r="U72" s="23">
        <v>1546</v>
      </c>
      <c r="V72" s="23">
        <v>1391</v>
      </c>
      <c r="W72" s="23">
        <v>1531</v>
      </c>
      <c r="X72" s="23">
        <v>1622</v>
      </c>
      <c r="Y72" s="23">
        <v>1546</v>
      </c>
      <c r="Z72" s="23">
        <v>1797</v>
      </c>
      <c r="AA72" s="23">
        <v>1801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2857</v>
      </c>
      <c r="E73" s="23">
        <v>2830</v>
      </c>
      <c r="F73" s="23">
        <v>2776</v>
      </c>
      <c r="G73" s="23">
        <v>2651</v>
      </c>
      <c r="H73" s="23">
        <v>2536</v>
      </c>
      <c r="I73" s="23">
        <v>2638</v>
      </c>
      <c r="J73" s="23">
        <v>2639</v>
      </c>
      <c r="K73" s="23">
        <v>2741</v>
      </c>
      <c r="L73" s="23">
        <v>2881</v>
      </c>
      <c r="M73" s="23">
        <v>2510</v>
      </c>
      <c r="N73" s="23">
        <v>2320</v>
      </c>
      <c r="O73" s="23">
        <v>2279</v>
      </c>
      <c r="P73" s="23">
        <v>2279</v>
      </c>
      <c r="Q73" s="23">
        <v>2127</v>
      </c>
      <c r="R73" s="23">
        <v>2177</v>
      </c>
      <c r="S73" s="23">
        <v>2266</v>
      </c>
      <c r="T73" s="23">
        <v>2332</v>
      </c>
      <c r="U73" s="23">
        <v>2663</v>
      </c>
      <c r="V73" s="23">
        <v>2784</v>
      </c>
      <c r="W73" s="23">
        <v>2888</v>
      </c>
      <c r="X73" s="23">
        <v>2953</v>
      </c>
      <c r="Y73" s="23">
        <v>3192</v>
      </c>
      <c r="Z73" s="23">
        <v>3248</v>
      </c>
      <c r="AA73" s="23">
        <v>3394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2041</v>
      </c>
      <c r="E74" s="23">
        <v>2299</v>
      </c>
      <c r="F74" s="23">
        <v>2382</v>
      </c>
      <c r="G74" s="23">
        <v>2290</v>
      </c>
      <c r="H74" s="23">
        <v>2280</v>
      </c>
      <c r="I74" s="23">
        <v>2421</v>
      </c>
      <c r="J74" s="23">
        <v>2482</v>
      </c>
      <c r="K74" s="23">
        <v>2546</v>
      </c>
      <c r="L74" s="23">
        <v>2682</v>
      </c>
      <c r="M74" s="23">
        <v>2567</v>
      </c>
      <c r="N74" s="23">
        <v>2699</v>
      </c>
      <c r="O74" s="23">
        <v>3006</v>
      </c>
      <c r="P74" s="23">
        <v>3201</v>
      </c>
      <c r="Q74" s="23">
        <v>3015</v>
      </c>
      <c r="R74" s="23">
        <v>3099</v>
      </c>
      <c r="S74" s="23">
        <v>3172</v>
      </c>
      <c r="T74" s="23">
        <v>3178</v>
      </c>
      <c r="U74" s="23">
        <v>3424</v>
      </c>
      <c r="V74" s="23">
        <v>3770</v>
      </c>
      <c r="W74" s="23">
        <v>3705</v>
      </c>
      <c r="X74" s="23">
        <v>3578</v>
      </c>
      <c r="Y74" s="23">
        <v>3801</v>
      </c>
      <c r="Z74" s="23">
        <v>4399</v>
      </c>
      <c r="AA74" s="23">
        <v>5247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57479</v>
      </c>
      <c r="E75" s="30">
        <f t="shared" ref="E75:Y75" si="6">SUM(E56:E74)</f>
        <v>60442</v>
      </c>
      <c r="F75" s="30">
        <f t="shared" si="6"/>
        <v>59889</v>
      </c>
      <c r="G75" s="30">
        <f t="shared" si="6"/>
        <v>58978</v>
      </c>
      <c r="H75" s="30">
        <f t="shared" si="6"/>
        <v>61334</v>
      </c>
      <c r="I75" s="30">
        <f t="shared" si="6"/>
        <v>64117</v>
      </c>
      <c r="J75" s="30">
        <f t="shared" si="6"/>
        <v>66057</v>
      </c>
      <c r="K75" s="30">
        <f t="shared" si="6"/>
        <v>70622</v>
      </c>
      <c r="L75" s="30">
        <f t="shared" si="6"/>
        <v>70346</v>
      </c>
      <c r="M75" s="30">
        <f t="shared" si="6"/>
        <v>61992</v>
      </c>
      <c r="N75" s="30">
        <f t="shared" si="6"/>
        <v>62837</v>
      </c>
      <c r="O75" s="30">
        <f t="shared" si="6"/>
        <v>66266</v>
      </c>
      <c r="P75" s="30">
        <f t="shared" si="6"/>
        <v>66223</v>
      </c>
      <c r="Q75" s="30">
        <f t="shared" si="6"/>
        <v>64215</v>
      </c>
      <c r="R75" s="30">
        <f t="shared" si="6"/>
        <v>65571</v>
      </c>
      <c r="S75" s="30">
        <f t="shared" si="6"/>
        <v>70958</v>
      </c>
      <c r="T75" s="30">
        <f t="shared" si="6"/>
        <v>73940</v>
      </c>
      <c r="U75" s="30">
        <f t="shared" si="6"/>
        <v>79216</v>
      </c>
      <c r="V75" s="30">
        <f t="shared" si="6"/>
        <v>83919</v>
      </c>
      <c r="W75" s="30">
        <f t="shared" si="6"/>
        <v>86468</v>
      </c>
      <c r="X75" s="30">
        <f t="shared" si="6"/>
        <v>85598</v>
      </c>
      <c r="Y75" s="30">
        <f t="shared" si="6"/>
        <v>95886</v>
      </c>
      <c r="Z75" s="30">
        <f t="shared" ref="Z75:AA75" si="7">SUM(Z56:Z74)</f>
        <v>102836</v>
      </c>
      <c r="AA75" s="30">
        <f t="shared" si="7"/>
        <v>109965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746493.67340036912</v>
      </c>
      <c r="E2" s="19">
        <v>763842.32465990598</v>
      </c>
      <c r="F2" s="19">
        <v>765724.3251622119</v>
      </c>
      <c r="G2" s="19">
        <v>766466.30071232363</v>
      </c>
      <c r="H2" s="19">
        <v>781927.8399429518</v>
      </c>
      <c r="I2" s="19">
        <v>797833.17908983235</v>
      </c>
      <c r="J2" s="19">
        <v>826051.54533260025</v>
      </c>
      <c r="K2" s="19">
        <v>858145.75710560905</v>
      </c>
      <c r="L2" s="19">
        <v>876310.39218120417</v>
      </c>
      <c r="M2" s="19">
        <v>844191.15436424385</v>
      </c>
      <c r="N2" s="19">
        <v>855329.5435531009</v>
      </c>
      <c r="O2" s="19">
        <v>870500.25519817381</v>
      </c>
      <c r="P2" s="19">
        <v>861987.96801179589</v>
      </c>
      <c r="Q2" s="19">
        <v>861719.93079570751</v>
      </c>
      <c r="R2" s="19">
        <v>875623.88930477505</v>
      </c>
      <c r="S2" s="19">
        <v>894188.89100000006</v>
      </c>
      <c r="T2" s="19">
        <v>915862.4296481912</v>
      </c>
      <c r="U2" s="19">
        <v>941341.93692960683</v>
      </c>
      <c r="V2" s="19">
        <v>962608.09120720485</v>
      </c>
      <c r="W2" s="19">
        <v>984749.64889944706</v>
      </c>
      <c r="X2" s="19">
        <v>946656.80893538718</v>
      </c>
      <c r="Y2" s="19">
        <v>1006071.546049729</v>
      </c>
      <c r="Z2" s="19">
        <v>1056451.0634194997</v>
      </c>
      <c r="AA2" s="19">
        <v>1050133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386647.88638858398</v>
      </c>
      <c r="E3" s="23">
        <v>394885.65463076555</v>
      </c>
      <c r="F3" s="23">
        <v>399695.57781359908</v>
      </c>
      <c r="G3" s="23">
        <v>399277.76478997408</v>
      </c>
      <c r="H3" s="23">
        <v>402319.90749732533</v>
      </c>
      <c r="I3" s="23">
        <v>405883.54555742897</v>
      </c>
      <c r="J3" s="23">
        <v>405191.09867253655</v>
      </c>
      <c r="K3" s="23">
        <v>412671.40670477028</v>
      </c>
      <c r="L3" s="23">
        <v>416112.52858892537</v>
      </c>
      <c r="M3" s="23">
        <v>407933.78471332043</v>
      </c>
      <c r="N3" s="23">
        <v>408497.44672341517</v>
      </c>
      <c r="O3" s="23">
        <v>410272.68286591396</v>
      </c>
      <c r="P3" s="23">
        <v>406945.50418929645</v>
      </c>
      <c r="Q3" s="23">
        <v>404391.76877234806</v>
      </c>
      <c r="R3" s="23">
        <v>407071.51162092364</v>
      </c>
      <c r="S3" s="23">
        <v>416085.81209999998</v>
      </c>
      <c r="T3" s="23">
        <v>421616.78571215662</v>
      </c>
      <c r="U3" s="23">
        <v>431100.95254877524</v>
      </c>
      <c r="V3" s="23">
        <v>441337.76111715223</v>
      </c>
      <c r="W3" s="23">
        <v>445936.24570299388</v>
      </c>
      <c r="X3" s="23">
        <v>418592.76275524194</v>
      </c>
      <c r="Y3" s="23">
        <v>437247.84599228128</v>
      </c>
      <c r="Z3" s="23">
        <v>467580.89279726538</v>
      </c>
      <c r="AA3" s="23">
        <v>471023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654722.76511683932</v>
      </c>
      <c r="E4" s="27">
        <v>670148.79504063458</v>
      </c>
      <c r="F4" s="27">
        <v>671617.09756527666</v>
      </c>
      <c r="G4" s="27">
        <v>672023.70256598922</v>
      </c>
      <c r="H4" s="27">
        <v>686170.95139260706</v>
      </c>
      <c r="I4" s="27">
        <v>700352.37649611849</v>
      </c>
      <c r="J4" s="27">
        <v>724522.83751227485</v>
      </c>
      <c r="K4" s="27">
        <v>753361.45744033321</v>
      </c>
      <c r="L4" s="27">
        <v>771759.95084607508</v>
      </c>
      <c r="M4" s="27">
        <v>746166.35735973052</v>
      </c>
      <c r="N4" s="27">
        <v>757267.17998304009</v>
      </c>
      <c r="O4" s="27">
        <v>773329.91193345992</v>
      </c>
      <c r="P4" s="27">
        <v>767601.76748303336</v>
      </c>
      <c r="Q4" s="27">
        <v>770434.14166978817</v>
      </c>
      <c r="R4" s="27">
        <v>783172.98367978015</v>
      </c>
      <c r="S4" s="27">
        <v>798302.61444000003</v>
      </c>
      <c r="T4" s="27">
        <v>816220.51220556744</v>
      </c>
      <c r="U4" s="27">
        <v>838962.73911122896</v>
      </c>
      <c r="V4" s="27">
        <v>857520.13816035353</v>
      </c>
      <c r="W4" s="27">
        <v>878016.04189341818</v>
      </c>
      <c r="X4" s="27">
        <v>842694.04948769661</v>
      </c>
      <c r="Y4" s="27">
        <v>899032.30535741383</v>
      </c>
      <c r="Z4" s="27">
        <v>950089.59888986999</v>
      </c>
      <c r="AA4" s="27">
        <v>944801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16851.36246180375</v>
      </c>
      <c r="E6" s="19">
        <v>16806.844511896605</v>
      </c>
      <c r="F6" s="19">
        <v>15697.941618367993</v>
      </c>
      <c r="G6" s="19">
        <v>15568.777223397406</v>
      </c>
      <c r="H6" s="19">
        <v>14438.551119211712</v>
      </c>
      <c r="I6" s="19">
        <v>14725.809302221527</v>
      </c>
      <c r="J6" s="19">
        <v>15978.008968903436</v>
      </c>
      <c r="K6" s="19">
        <v>15494.998686528912</v>
      </c>
      <c r="L6" s="19">
        <v>14315.942897780753</v>
      </c>
      <c r="M6" s="19">
        <v>13051.100029114503</v>
      </c>
      <c r="N6" s="19">
        <v>15121.53533682186</v>
      </c>
      <c r="O6" s="19">
        <v>13763.686576405515</v>
      </c>
      <c r="P6" s="19">
        <v>14456.069637061079</v>
      </c>
      <c r="Q6" s="19">
        <v>15809.918423956511</v>
      </c>
      <c r="R6" s="19">
        <v>15709.500773063048</v>
      </c>
      <c r="S6" s="19">
        <v>16060.786380000001</v>
      </c>
      <c r="T6" s="19">
        <v>17005.649678800855</v>
      </c>
      <c r="U6" s="19">
        <v>18449.004564596402</v>
      </c>
      <c r="V6" s="19">
        <v>16886.963691942085</v>
      </c>
      <c r="W6" s="19">
        <v>17327.420549057675</v>
      </c>
      <c r="X6" s="19">
        <v>16461.656067808366</v>
      </c>
      <c r="Y6" s="19">
        <v>16751.322507208984</v>
      </c>
      <c r="Z6" s="19">
        <v>17455.545956856313</v>
      </c>
      <c r="AA6" s="19">
        <v>18393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119227.13900264997</v>
      </c>
      <c r="E7" s="23">
        <v>123418.84272495841</v>
      </c>
      <c r="F7" s="23">
        <v>117205.21642115657</v>
      </c>
      <c r="G7" s="23">
        <v>114514.66616849076</v>
      </c>
      <c r="H7" s="23">
        <v>117302.17978014468</v>
      </c>
      <c r="I7" s="23">
        <v>121918.31875433456</v>
      </c>
      <c r="J7" s="23">
        <v>127620.06173486088</v>
      </c>
      <c r="K7" s="23">
        <v>130974.02992151209</v>
      </c>
      <c r="L7" s="23">
        <v>136029.39237382083</v>
      </c>
      <c r="M7" s="23">
        <v>119049.62687684565</v>
      </c>
      <c r="N7" s="23">
        <v>120869.68355084905</v>
      </c>
      <c r="O7" s="23">
        <v>127401.38722859738</v>
      </c>
      <c r="P7" s="23">
        <v>129425.17851873708</v>
      </c>
      <c r="Q7" s="23">
        <v>127191.42467528525</v>
      </c>
      <c r="R7" s="23">
        <v>121035.90654526713</v>
      </c>
      <c r="S7" s="23">
        <v>121638.16608000001</v>
      </c>
      <c r="T7" s="23">
        <v>119068.68436830836</v>
      </c>
      <c r="U7" s="23">
        <v>123096.16344200018</v>
      </c>
      <c r="V7" s="23">
        <v>126465.13646425253</v>
      </c>
      <c r="W7" s="23">
        <v>125555.52937113198</v>
      </c>
      <c r="X7" s="23">
        <v>119799.3103655922</v>
      </c>
      <c r="Y7" s="23">
        <v>132319.77750796781</v>
      </c>
      <c r="Z7" s="23">
        <v>151289.24284092343</v>
      </c>
      <c r="AA7" s="23">
        <v>142262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34644.556264184917</v>
      </c>
      <c r="E8" s="23">
        <v>36619.803950846966</v>
      </c>
      <c r="F8" s="23">
        <v>37039.246893405907</v>
      </c>
      <c r="G8" s="23">
        <v>36318.37324105583</v>
      </c>
      <c r="H8" s="23">
        <v>36394.132163809314</v>
      </c>
      <c r="I8" s="23">
        <v>37678.152844582655</v>
      </c>
      <c r="J8" s="23">
        <v>39283.724648117837</v>
      </c>
      <c r="K8" s="23">
        <v>41851.980586256606</v>
      </c>
      <c r="L8" s="23">
        <v>44035.957413876051</v>
      </c>
      <c r="M8" s="23">
        <v>44165.832425238114</v>
      </c>
      <c r="N8" s="23">
        <v>39440.163147117833</v>
      </c>
      <c r="O8" s="23">
        <v>38965.172583175103</v>
      </c>
      <c r="P8" s="23">
        <v>35179.887282384181</v>
      </c>
      <c r="Q8" s="23">
        <v>32961.58102430679</v>
      </c>
      <c r="R8" s="23">
        <v>33197.920632193782</v>
      </c>
      <c r="S8" s="23">
        <v>33233.248319999999</v>
      </c>
      <c r="T8" s="23">
        <v>35698.689507494644</v>
      </c>
      <c r="U8" s="23">
        <v>37414.920870512709</v>
      </c>
      <c r="V8" s="23">
        <v>39769.378441312037</v>
      </c>
      <c r="W8" s="23">
        <v>43035.974554042317</v>
      </c>
      <c r="X8" s="23">
        <v>44871.793691778512</v>
      </c>
      <c r="Y8" s="23">
        <v>46933.68098345727</v>
      </c>
      <c r="Z8" s="23">
        <v>47046.964501072282</v>
      </c>
      <c r="AA8" s="23">
        <v>48484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133736.82491219617</v>
      </c>
      <c r="E9" s="23">
        <v>137258.49145696664</v>
      </c>
      <c r="F9" s="23">
        <v>137897.54982894627</v>
      </c>
      <c r="G9" s="23">
        <v>133053.31157454246</v>
      </c>
      <c r="H9" s="23">
        <v>136199.07729110899</v>
      </c>
      <c r="I9" s="23">
        <v>137694.14228506232</v>
      </c>
      <c r="J9" s="23">
        <v>140147.94212765957</v>
      </c>
      <c r="K9" s="23">
        <v>145920.29267980138</v>
      </c>
      <c r="L9" s="23">
        <v>146663.25666715472</v>
      </c>
      <c r="M9" s="23">
        <v>138352.50536538701</v>
      </c>
      <c r="N9" s="23">
        <v>140543.7270470951</v>
      </c>
      <c r="O9" s="23">
        <v>144374.32553867745</v>
      </c>
      <c r="P9" s="23">
        <v>144904.95013278251</v>
      </c>
      <c r="Q9" s="23">
        <v>149686.88605877769</v>
      </c>
      <c r="R9" s="23">
        <v>153601.43686651779</v>
      </c>
      <c r="S9" s="23">
        <v>160591.32858</v>
      </c>
      <c r="T9" s="23">
        <v>165672.06937901498</v>
      </c>
      <c r="U9" s="23">
        <v>170834.33618988722</v>
      </c>
      <c r="V9" s="23">
        <v>174367.80315647251</v>
      </c>
      <c r="W9" s="23">
        <v>180992.82690961362</v>
      </c>
      <c r="X9" s="23">
        <v>165413.82241362007</v>
      </c>
      <c r="Y9" s="23">
        <v>183836.45317954166</v>
      </c>
      <c r="Z9" s="23">
        <v>194439.24975400529</v>
      </c>
      <c r="AA9" s="23">
        <v>189463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29243.540579949029</v>
      </c>
      <c r="E10" s="23">
        <v>31593.006902966812</v>
      </c>
      <c r="F10" s="23">
        <v>32629.527915260809</v>
      </c>
      <c r="G10" s="23">
        <v>33753.553550078177</v>
      </c>
      <c r="H10" s="23">
        <v>33988.914415902495</v>
      </c>
      <c r="I10" s="23">
        <v>34651.89232421307</v>
      </c>
      <c r="J10" s="23">
        <v>35797.512667757772</v>
      </c>
      <c r="K10" s="23">
        <v>38406.081947781517</v>
      </c>
      <c r="L10" s="23">
        <v>38462.290740237193</v>
      </c>
      <c r="M10" s="23">
        <v>36537.260782764213</v>
      </c>
      <c r="N10" s="23">
        <v>36623.948189207644</v>
      </c>
      <c r="O10" s="23">
        <v>36602.533270040454</v>
      </c>
      <c r="P10" s="23">
        <v>35762.271466509294</v>
      </c>
      <c r="Q10" s="23">
        <v>35542.056388503632</v>
      </c>
      <c r="R10" s="23">
        <v>35892.006184504382</v>
      </c>
      <c r="S10" s="23">
        <v>36653.494980000003</v>
      </c>
      <c r="T10" s="23">
        <v>38010.616702355459</v>
      </c>
      <c r="U10" s="23">
        <v>38713.44311923904</v>
      </c>
      <c r="V10" s="23">
        <v>39439.074063071959</v>
      </c>
      <c r="W10" s="23">
        <v>40904.775438956771</v>
      </c>
      <c r="X10" s="23">
        <v>42891.98507340128</v>
      </c>
      <c r="Y10" s="23">
        <v>44307.202610411288</v>
      </c>
      <c r="Z10" s="23">
        <v>47412.80570203103</v>
      </c>
      <c r="AA10" s="23">
        <v>47186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47849.547731047685</v>
      </c>
      <c r="E11" s="23">
        <v>49899.016963673756</v>
      </c>
      <c r="F11" s="23">
        <v>50546.534628090427</v>
      </c>
      <c r="G11" s="23">
        <v>52162.057021981054</v>
      </c>
      <c r="H11" s="23">
        <v>52398.972671868774</v>
      </c>
      <c r="I11" s="23">
        <v>53108.239982997387</v>
      </c>
      <c r="J11" s="23">
        <v>51493.7935188216</v>
      </c>
      <c r="K11" s="23">
        <v>50529.886144481818</v>
      </c>
      <c r="L11" s="23">
        <v>49189.271183250021</v>
      </c>
      <c r="M11" s="23">
        <v>58427.082082102897</v>
      </c>
      <c r="N11" s="23">
        <v>67681.235144470425</v>
      </c>
      <c r="O11" s="23">
        <v>67662.052195987781</v>
      </c>
      <c r="P11" s="23">
        <v>69908.103275302448</v>
      </c>
      <c r="Q11" s="23">
        <v>66986.771155812472</v>
      </c>
      <c r="R11" s="23">
        <v>70990.953788008934</v>
      </c>
      <c r="S11" s="23">
        <v>69848.585099999997</v>
      </c>
      <c r="T11" s="23">
        <v>66321.273661670231</v>
      </c>
      <c r="U11" s="23">
        <v>63602.618605883916</v>
      </c>
      <c r="V11" s="23">
        <v>61441.489694031072</v>
      </c>
      <c r="W11" s="23">
        <v>61322.731529277778</v>
      </c>
      <c r="X11" s="23">
        <v>61318.363292975562</v>
      </c>
      <c r="Y11" s="23">
        <v>57993.732584610712</v>
      </c>
      <c r="Z11" s="23">
        <v>55374.66552289643</v>
      </c>
      <c r="AA11" s="23">
        <v>48271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52474.842739225809</v>
      </c>
      <c r="E12" s="23">
        <v>41652.828062273577</v>
      </c>
      <c r="F12" s="23">
        <v>43243.358131223475</v>
      </c>
      <c r="G12" s="23">
        <v>46324.679481283914</v>
      </c>
      <c r="H12" s="23">
        <v>49706.867505838134</v>
      </c>
      <c r="I12" s="23">
        <v>50244.17678247836</v>
      </c>
      <c r="J12" s="23">
        <v>56285.947168576102</v>
      </c>
      <c r="K12" s="23">
        <v>61996.293833093063</v>
      </c>
      <c r="L12" s="23">
        <v>62308.006442301659</v>
      </c>
      <c r="M12" s="23">
        <v>49523.554984818868</v>
      </c>
      <c r="N12" s="23">
        <v>47074.591739229363</v>
      </c>
      <c r="O12" s="23">
        <v>48057.396206554942</v>
      </c>
      <c r="P12" s="23">
        <v>41025.730303924458</v>
      </c>
      <c r="Q12" s="23">
        <v>43304.085078812299</v>
      </c>
      <c r="R12" s="23">
        <v>46035.958082803641</v>
      </c>
      <c r="S12" s="23">
        <v>46142.167379999999</v>
      </c>
      <c r="T12" s="23">
        <v>47549.691648822271</v>
      </c>
      <c r="U12" s="23">
        <v>51817.280619607154</v>
      </c>
      <c r="V12" s="23">
        <v>55258.337993618065</v>
      </c>
      <c r="W12" s="23">
        <v>54739.16657487701</v>
      </c>
      <c r="X12" s="23">
        <v>55161.924418127244</v>
      </c>
      <c r="Y12" s="23">
        <v>57584.942176354525</v>
      </c>
      <c r="Z12" s="23">
        <v>65733.747950044155</v>
      </c>
      <c r="AA12" s="23">
        <v>75564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85543.766777821453</v>
      </c>
      <c r="E13" s="23">
        <v>91302.762484088918</v>
      </c>
      <c r="F13" s="23">
        <v>88207.837504849449</v>
      </c>
      <c r="G13" s="23">
        <v>86151.035868665509</v>
      </c>
      <c r="H13" s="23">
        <v>87929.544728598295</v>
      </c>
      <c r="I13" s="23">
        <v>91119.324168325926</v>
      </c>
      <c r="J13" s="23">
        <v>96856.183960720125</v>
      </c>
      <c r="K13" s="23">
        <v>104054.72952106359</v>
      </c>
      <c r="L13" s="23">
        <v>110151.08414733628</v>
      </c>
      <c r="M13" s="23">
        <v>107217.93445077569</v>
      </c>
      <c r="N13" s="23">
        <v>104799.76382138205</v>
      </c>
      <c r="O13" s="23">
        <v>108594.77829604557</v>
      </c>
      <c r="P13" s="23">
        <v>107949.43818235467</v>
      </c>
      <c r="Q13" s="23">
        <v>108435.33477763493</v>
      </c>
      <c r="R13" s="23">
        <v>113780.12746950696</v>
      </c>
      <c r="S13" s="23">
        <v>121963.78272</v>
      </c>
      <c r="T13" s="23">
        <v>130167.2017130621</v>
      </c>
      <c r="U13" s="23">
        <v>136217.48104956269</v>
      </c>
      <c r="V13" s="23">
        <v>141449.49818411798</v>
      </c>
      <c r="W13" s="23">
        <v>146980.31378991681</v>
      </c>
      <c r="X13" s="23">
        <v>136321.31229984583</v>
      </c>
      <c r="Y13" s="23">
        <v>148792.89543178023</v>
      </c>
      <c r="Z13" s="23">
        <v>155462.18589630377</v>
      </c>
      <c r="AA13" s="23">
        <v>155979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119638.38385170346</v>
      </c>
      <c r="E14" s="23">
        <v>125559.39581905416</v>
      </c>
      <c r="F14" s="23">
        <v>132782.03656199668</v>
      </c>
      <c r="G14" s="23">
        <v>137761.8175066679</v>
      </c>
      <c r="H14" s="23">
        <v>141097.89729452642</v>
      </c>
      <c r="I14" s="23">
        <v>142358.02662251954</v>
      </c>
      <c r="J14" s="23">
        <v>144061.60366612111</v>
      </c>
      <c r="K14" s="23">
        <v>146618.43690533398</v>
      </c>
      <c r="L14" s="23">
        <v>152730.43893409192</v>
      </c>
      <c r="M14" s="23">
        <v>161632.34552676455</v>
      </c>
      <c r="N14" s="23">
        <v>166371.08841961573</v>
      </c>
      <c r="O14" s="23">
        <v>168467.99622306612</v>
      </c>
      <c r="P14" s="23">
        <v>169799.93272351727</v>
      </c>
      <c r="Q14" s="23">
        <v>171358.24353354459</v>
      </c>
      <c r="R14" s="23">
        <v>173273.65985225906</v>
      </c>
      <c r="S14" s="23">
        <v>172093.48200000002</v>
      </c>
      <c r="T14" s="23">
        <v>175967.42955032119</v>
      </c>
      <c r="U14" s="23">
        <v>177682.7924728333</v>
      </c>
      <c r="V14" s="23">
        <v>180908.07361269489</v>
      </c>
      <c r="W14" s="23">
        <v>184975.02291629717</v>
      </c>
      <c r="X14" s="23">
        <v>182232.91169037347</v>
      </c>
      <c r="Y14" s="23">
        <v>191991.82182425252</v>
      </c>
      <c r="Z14" s="23">
        <v>194452.08628737225</v>
      </c>
      <c r="AA14" s="23">
        <v>196934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15512.800796257085</v>
      </c>
      <c r="E15" s="23">
        <v>16037.802163908746</v>
      </c>
      <c r="F15" s="23">
        <v>16367.84806197905</v>
      </c>
      <c r="G15" s="23">
        <v>16415.430929826176</v>
      </c>
      <c r="H15" s="23">
        <v>16714.814421598225</v>
      </c>
      <c r="I15" s="23">
        <v>16854.293429383208</v>
      </c>
      <c r="J15" s="23">
        <v>16998.059050736498</v>
      </c>
      <c r="K15" s="23">
        <v>17514.727214480219</v>
      </c>
      <c r="L15" s="23">
        <v>17874.310046225608</v>
      </c>
      <c r="M15" s="23">
        <v>18209.114835918979</v>
      </c>
      <c r="N15" s="23">
        <v>18741.443587251033</v>
      </c>
      <c r="O15" s="23">
        <v>19440.583814909602</v>
      </c>
      <c r="P15" s="23">
        <v>19190.205960460313</v>
      </c>
      <c r="Q15" s="23">
        <v>19157.840553154012</v>
      </c>
      <c r="R15" s="23">
        <v>19655.513485655385</v>
      </c>
      <c r="S15" s="23">
        <v>20077.572900000003</v>
      </c>
      <c r="T15" s="23">
        <v>20759.205995717344</v>
      </c>
      <c r="U15" s="23">
        <v>21134.69817710634</v>
      </c>
      <c r="V15" s="23">
        <v>21534.38285884033</v>
      </c>
      <c r="W15" s="23">
        <v>22182.280260246989</v>
      </c>
      <c r="X15" s="23">
        <v>18220.970174174068</v>
      </c>
      <c r="Y15" s="23">
        <v>18520.476551828804</v>
      </c>
      <c r="Z15" s="23">
        <v>21423.10447836508</v>
      </c>
      <c r="AA15" s="23">
        <v>22265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654722.76511683932</v>
      </c>
      <c r="E16" s="30">
        <f t="shared" ref="E16:S16" si="0">SUM(E6:E15)</f>
        <v>670148.79504063469</v>
      </c>
      <c r="F16" s="30">
        <f t="shared" si="0"/>
        <v>671617.09756527666</v>
      </c>
      <c r="G16" s="30">
        <f t="shared" si="0"/>
        <v>672023.70256598922</v>
      </c>
      <c r="H16" s="30">
        <f t="shared" si="0"/>
        <v>686170.95139260718</v>
      </c>
      <c r="I16" s="30">
        <f t="shared" si="0"/>
        <v>700352.37649611861</v>
      </c>
      <c r="J16" s="30">
        <f t="shared" si="0"/>
        <v>724522.83751227497</v>
      </c>
      <c r="K16" s="30">
        <f t="shared" si="0"/>
        <v>753361.45744033309</v>
      </c>
      <c r="L16" s="30">
        <f t="shared" si="0"/>
        <v>771759.95084607508</v>
      </c>
      <c r="M16" s="30">
        <f t="shared" si="0"/>
        <v>746166.35735973052</v>
      </c>
      <c r="N16" s="30">
        <f t="shared" si="0"/>
        <v>757267.17998304009</v>
      </c>
      <c r="O16" s="30">
        <f t="shared" si="0"/>
        <v>773329.91193345992</v>
      </c>
      <c r="P16" s="30">
        <f t="shared" si="0"/>
        <v>767601.76748303336</v>
      </c>
      <c r="Q16" s="30">
        <f t="shared" si="0"/>
        <v>770434.14166978817</v>
      </c>
      <c r="R16" s="30">
        <f t="shared" si="0"/>
        <v>783172.98367978027</v>
      </c>
      <c r="S16" s="30">
        <f t="shared" si="0"/>
        <v>798302.61444000015</v>
      </c>
      <c r="T16" s="30">
        <f t="shared" ref="T16:Y16" si="1">SUM(T6:T15)</f>
        <v>816220.51220556733</v>
      </c>
      <c r="U16" s="30">
        <f t="shared" si="1"/>
        <v>838962.73911122896</v>
      </c>
      <c r="V16" s="30">
        <f t="shared" si="1"/>
        <v>857520.13816035341</v>
      </c>
      <c r="W16" s="30">
        <f t="shared" si="1"/>
        <v>878016.04189341806</v>
      </c>
      <c r="X16" s="30">
        <f t="shared" si="1"/>
        <v>842694.04948769661</v>
      </c>
      <c r="Y16" s="30">
        <f t="shared" si="1"/>
        <v>899032.30535741383</v>
      </c>
      <c r="Z16" s="30">
        <f t="shared" ref="Z16:AA16" si="2">SUM(Z6:Z15)</f>
        <v>950089.59888986999</v>
      </c>
      <c r="AA16" s="30">
        <f t="shared" si="2"/>
        <v>944801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16851.36246180375</v>
      </c>
      <c r="E18" s="19">
        <v>16806.844511896605</v>
      </c>
      <c r="F18" s="19">
        <v>15697.941618367993</v>
      </c>
      <c r="G18" s="19">
        <v>15568.777223397406</v>
      </c>
      <c r="H18" s="19">
        <v>14438.551119211712</v>
      </c>
      <c r="I18" s="19">
        <v>14725.809302221527</v>
      </c>
      <c r="J18" s="19">
        <v>15978.008968903436</v>
      </c>
      <c r="K18" s="19">
        <v>15494.998686528912</v>
      </c>
      <c r="L18" s="19">
        <v>14315.942897780753</v>
      </c>
      <c r="M18" s="19">
        <v>13051.100029114503</v>
      </c>
      <c r="N18" s="19">
        <v>15121.53533682186</v>
      </c>
      <c r="O18" s="19">
        <v>13763.686576405515</v>
      </c>
      <c r="P18" s="19">
        <v>14456.069637061079</v>
      </c>
      <c r="Q18" s="19">
        <v>15809.918423956511</v>
      </c>
      <c r="R18" s="19">
        <v>15709.500773063048</v>
      </c>
      <c r="S18" s="19">
        <v>16060.786380000001</v>
      </c>
      <c r="T18" s="19">
        <v>17005.649678800855</v>
      </c>
      <c r="U18" s="19">
        <v>18449.004564596402</v>
      </c>
      <c r="V18" s="19">
        <v>16886.963691942085</v>
      </c>
      <c r="W18" s="19">
        <v>17327.420549057675</v>
      </c>
      <c r="X18" s="19">
        <v>16461.656067808366</v>
      </c>
      <c r="Y18" s="19">
        <v>16751.322507208984</v>
      </c>
      <c r="Z18" s="19">
        <v>17455.545956856313</v>
      </c>
      <c r="AA18" s="19">
        <v>18393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14922.543483497953</v>
      </c>
      <c r="E19" s="23">
        <v>18080.279007147754</v>
      </c>
      <c r="F19" s="23">
        <v>15979.063072383344</v>
      </c>
      <c r="G19" s="23">
        <v>16361.326979674426</v>
      </c>
      <c r="H19" s="23">
        <v>17165.430517742214</v>
      </c>
      <c r="I19" s="23">
        <v>18487.64889594846</v>
      </c>
      <c r="J19" s="23">
        <v>22815.814075286413</v>
      </c>
      <c r="K19" s="23">
        <v>21541.959955149767</v>
      </c>
      <c r="L19" s="23">
        <v>29465.940450542785</v>
      </c>
      <c r="M19" s="23">
        <v>21362.116707565612</v>
      </c>
      <c r="N19" s="23">
        <v>23218.975449337115</v>
      </c>
      <c r="O19" s="23">
        <v>25066.290534962438</v>
      </c>
      <c r="P19" s="23">
        <v>28072.211861906166</v>
      </c>
      <c r="Q19" s="23">
        <v>29116.621225159197</v>
      </c>
      <c r="R19" s="23">
        <v>21879.162343239994</v>
      </c>
      <c r="S19" s="23">
        <v>16212.14724</v>
      </c>
      <c r="T19" s="23">
        <v>10296.626980728051</v>
      </c>
      <c r="U19" s="23">
        <v>9626.5447477692378</v>
      </c>
      <c r="V19" s="23">
        <v>9164.4229519821383</v>
      </c>
      <c r="W19" s="23">
        <v>7037.1126212323452</v>
      </c>
      <c r="X19" s="23">
        <v>3672.9743711394767</v>
      </c>
      <c r="Y19" s="23">
        <v>7310.5351343147659</v>
      </c>
      <c r="Z19" s="23">
        <v>18135.882225305915</v>
      </c>
      <c r="AA19" s="23">
        <v>5762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92697.814426454002</v>
      </c>
      <c r="E20" s="23">
        <v>94094.043718789791</v>
      </c>
      <c r="F20" s="23">
        <v>89553.631699603808</v>
      </c>
      <c r="G20" s="23">
        <v>86241.696541892772</v>
      </c>
      <c r="H20" s="23">
        <v>88868.449006094452</v>
      </c>
      <c r="I20" s="23">
        <v>91224.610147878033</v>
      </c>
      <c r="J20" s="23">
        <v>91675.439803600646</v>
      </c>
      <c r="K20" s="23">
        <v>95922.843376581775</v>
      </c>
      <c r="L20" s="23">
        <v>93576.409504486612</v>
      </c>
      <c r="M20" s="23">
        <v>81988.629206005906</v>
      </c>
      <c r="N20" s="23">
        <v>82654.133260253584</v>
      </c>
      <c r="O20" s="23">
        <v>86979.253735655904</v>
      </c>
      <c r="P20" s="23">
        <v>85704.950722927111</v>
      </c>
      <c r="Q20" s="23">
        <v>82687.238279391371</v>
      </c>
      <c r="R20" s="23">
        <v>84281.433087098441</v>
      </c>
      <c r="S20" s="23">
        <v>90254.318520000001</v>
      </c>
      <c r="T20" s="23">
        <v>93667.888650963592</v>
      </c>
      <c r="U20" s="23">
        <v>98907.440822216333</v>
      </c>
      <c r="V20" s="23">
        <v>102283.44323811533</v>
      </c>
      <c r="W20" s="23">
        <v>102663.24517170887</v>
      </c>
      <c r="X20" s="23">
        <v>99336.259153490333</v>
      </c>
      <c r="Y20" s="23">
        <v>108881.32523903475</v>
      </c>
      <c r="Z20" s="23">
        <v>110004.81211050838</v>
      </c>
      <c r="AA20" s="23">
        <v>109965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7229.8457188502452</v>
      </c>
      <c r="E21" s="23">
        <v>6681.6391853520036</v>
      </c>
      <c r="F21" s="23">
        <v>7074.3914837587135</v>
      </c>
      <c r="G21" s="23">
        <v>7165.117722799594</v>
      </c>
      <c r="H21" s="23">
        <v>6594.0638377854993</v>
      </c>
      <c r="I21" s="23">
        <v>7624.6968164835907</v>
      </c>
      <c r="J21" s="23">
        <v>8431.0261865793782</v>
      </c>
      <c r="K21" s="23">
        <v>8714.5785039243947</v>
      </c>
      <c r="L21" s="23">
        <v>7938.8168754836961</v>
      </c>
      <c r="M21" s="23">
        <v>10874.153267063179</v>
      </c>
      <c r="N21" s="23">
        <v>10203.353306169725</v>
      </c>
      <c r="O21" s="23">
        <v>10303.732560059439</v>
      </c>
      <c r="P21" s="23">
        <v>10616.216583062849</v>
      </c>
      <c r="Q21" s="23">
        <v>10253.655351846041</v>
      </c>
      <c r="R21" s="23">
        <v>9542.409895207009</v>
      </c>
      <c r="S21" s="23">
        <v>9804.113519999999</v>
      </c>
      <c r="T21" s="23">
        <v>9798.7708779443255</v>
      </c>
      <c r="U21" s="23">
        <v>9246.9767058338512</v>
      </c>
      <c r="V21" s="23">
        <v>9773.8406240118074</v>
      </c>
      <c r="W21" s="23">
        <v>10838.839399228966</v>
      </c>
      <c r="X21" s="23">
        <v>11811.542859228308</v>
      </c>
      <c r="Y21" s="23">
        <v>10855.656397025345</v>
      </c>
      <c r="Z21" s="23">
        <v>17622.420890626971</v>
      </c>
      <c r="AA21" s="23">
        <v>21408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4376.935373847773</v>
      </c>
      <c r="E22" s="23">
        <v>4562.880813668854</v>
      </c>
      <c r="F22" s="23">
        <v>4598.1301654107046</v>
      </c>
      <c r="G22" s="23">
        <v>4746.5249241239771</v>
      </c>
      <c r="H22" s="23">
        <v>4674.2364185225269</v>
      </c>
      <c r="I22" s="23">
        <v>4581.3628940244753</v>
      </c>
      <c r="J22" s="23">
        <v>4697.7816693944351</v>
      </c>
      <c r="K22" s="23">
        <v>4794.648085856159</v>
      </c>
      <c r="L22" s="23">
        <v>5048.2255433077453</v>
      </c>
      <c r="M22" s="23">
        <v>4824.7276962109563</v>
      </c>
      <c r="N22" s="23">
        <v>4793.2215350886272</v>
      </c>
      <c r="O22" s="23">
        <v>5052.1103979195905</v>
      </c>
      <c r="P22" s="23">
        <v>5031.7993508409554</v>
      </c>
      <c r="Q22" s="23">
        <v>5133.909818888631</v>
      </c>
      <c r="R22" s="23">
        <v>5332.9012197216971</v>
      </c>
      <c r="S22" s="23">
        <v>5367.5868</v>
      </c>
      <c r="T22" s="23">
        <v>5305.397858672377</v>
      </c>
      <c r="U22" s="23">
        <v>5315.2011661807583</v>
      </c>
      <c r="V22" s="23">
        <v>5243.4296501432591</v>
      </c>
      <c r="W22" s="23">
        <v>5016.3321789618121</v>
      </c>
      <c r="X22" s="23">
        <v>4978.5339817340773</v>
      </c>
      <c r="Y22" s="23">
        <v>5272.2607375929574</v>
      </c>
      <c r="Z22" s="23">
        <v>5526.1276144821495</v>
      </c>
      <c r="AA22" s="23">
        <v>5127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34644.556264184917</v>
      </c>
      <c r="E23" s="23">
        <v>36619.803950846966</v>
      </c>
      <c r="F23" s="23">
        <v>37039.246893405907</v>
      </c>
      <c r="G23" s="23">
        <v>36318.37324105583</v>
      </c>
      <c r="H23" s="23">
        <v>36394.132163809314</v>
      </c>
      <c r="I23" s="23">
        <v>37678.152844582655</v>
      </c>
      <c r="J23" s="23">
        <v>39283.724648117837</v>
      </c>
      <c r="K23" s="23">
        <v>41851.980586256606</v>
      </c>
      <c r="L23" s="23">
        <v>44035.957413876051</v>
      </c>
      <c r="M23" s="23">
        <v>44165.832425238114</v>
      </c>
      <c r="N23" s="23">
        <v>39440.163147117833</v>
      </c>
      <c r="O23" s="23">
        <v>38965.172583175103</v>
      </c>
      <c r="P23" s="23">
        <v>35179.887282384181</v>
      </c>
      <c r="Q23" s="23">
        <v>32961.58102430679</v>
      </c>
      <c r="R23" s="23">
        <v>33197.920632193782</v>
      </c>
      <c r="S23" s="23">
        <v>33233.248319999999</v>
      </c>
      <c r="T23" s="23">
        <v>35698.689507494644</v>
      </c>
      <c r="U23" s="23">
        <v>37414.920870512709</v>
      </c>
      <c r="V23" s="23">
        <v>39769.378441312037</v>
      </c>
      <c r="W23" s="23">
        <v>43035.974554042317</v>
      </c>
      <c r="X23" s="23">
        <v>44871.793691778512</v>
      </c>
      <c r="Y23" s="23">
        <v>46933.68098345727</v>
      </c>
      <c r="Z23" s="23">
        <v>47046.964501072282</v>
      </c>
      <c r="AA23" s="23">
        <v>48484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88933.714513940839</v>
      </c>
      <c r="E24" s="23">
        <v>91776.019313619909</v>
      </c>
      <c r="F24" s="23">
        <v>92897.182610126838</v>
      </c>
      <c r="G24" s="23">
        <v>88929.346822404128</v>
      </c>
      <c r="H24" s="23">
        <v>90847.682405878004</v>
      </c>
      <c r="I24" s="23">
        <v>91368.311282131603</v>
      </c>
      <c r="J24" s="23">
        <v>92583.076202945987</v>
      </c>
      <c r="K24" s="23">
        <v>96697.05000800897</v>
      </c>
      <c r="L24" s="23">
        <v>97814.524545587657</v>
      </c>
      <c r="M24" s="23">
        <v>93098.199559123241</v>
      </c>
      <c r="N24" s="23">
        <v>94714.794142588275</v>
      </c>
      <c r="O24" s="23">
        <v>97724.012300833812</v>
      </c>
      <c r="P24" s="23">
        <v>97923.37090587194</v>
      </c>
      <c r="Q24" s="23">
        <v>101541.19051620284</v>
      </c>
      <c r="R24" s="23">
        <v>102721.00910496479</v>
      </c>
      <c r="S24" s="23">
        <v>106268.04312</v>
      </c>
      <c r="T24" s="23">
        <v>109865.31391862954</v>
      </c>
      <c r="U24" s="23">
        <v>113152.47960656125</v>
      </c>
      <c r="V24" s="23">
        <v>116011.18571825561</v>
      </c>
      <c r="W24" s="23">
        <v>121430.85765759037</v>
      </c>
      <c r="X24" s="23">
        <v>120044.17532366815</v>
      </c>
      <c r="Y24" s="23">
        <v>133446.22218849597</v>
      </c>
      <c r="Z24" s="23">
        <v>130378.52998612337</v>
      </c>
      <c r="AA24" s="23">
        <v>124979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32040.005553512787</v>
      </c>
      <c r="E25" s="23">
        <v>32405.638695779893</v>
      </c>
      <c r="F25" s="23">
        <v>31591.7710584169</v>
      </c>
      <c r="G25" s="23">
        <v>31514.819828934058</v>
      </c>
      <c r="H25" s="23">
        <v>32881.934681323692</v>
      </c>
      <c r="I25" s="23">
        <v>33823.83232287076</v>
      </c>
      <c r="J25" s="23">
        <v>35003.67777414075</v>
      </c>
      <c r="K25" s="23">
        <v>36084.820310748037</v>
      </c>
      <c r="L25" s="23">
        <v>36143.69861323182</v>
      </c>
      <c r="M25" s="23">
        <v>32865.812294638774</v>
      </c>
      <c r="N25" s="23">
        <v>33716.972450309215</v>
      </c>
      <c r="O25" s="23">
        <v>33878.935172954676</v>
      </c>
      <c r="P25" s="23">
        <v>34189.834169371497</v>
      </c>
      <c r="Q25" s="23">
        <v>35084.936251632433</v>
      </c>
      <c r="R25" s="23">
        <v>36874.010651090881</v>
      </c>
      <c r="S25" s="23">
        <v>39206.278559999999</v>
      </c>
      <c r="T25" s="23">
        <v>39442.1113490364</v>
      </c>
      <c r="U25" s="23">
        <v>40500.159790323058</v>
      </c>
      <c r="V25" s="23">
        <v>40239.848884118939</v>
      </c>
      <c r="W25" s="23">
        <v>41211.098208701653</v>
      </c>
      <c r="X25" s="23">
        <v>35196.726604198797</v>
      </c>
      <c r="Y25" s="23">
        <v>38936.150857489753</v>
      </c>
      <c r="Z25" s="23">
        <v>47008.454900971359</v>
      </c>
      <c r="AA25" s="23">
        <v>45597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12763.104844742547</v>
      </c>
      <c r="E26" s="23">
        <v>13076.833447566829</v>
      </c>
      <c r="F26" s="23">
        <v>13408.596160402534</v>
      </c>
      <c r="G26" s="23">
        <v>12609.144923204269</v>
      </c>
      <c r="H26" s="23">
        <v>12469.460203907274</v>
      </c>
      <c r="I26" s="23">
        <v>12501.998680059958</v>
      </c>
      <c r="J26" s="23">
        <v>12561.188150572831</v>
      </c>
      <c r="K26" s="23">
        <v>13138.42236104437</v>
      </c>
      <c r="L26" s="23">
        <v>12705.033508335251</v>
      </c>
      <c r="M26" s="23">
        <v>12388.493511625005</v>
      </c>
      <c r="N26" s="23">
        <v>12111.960454197606</v>
      </c>
      <c r="O26" s="23">
        <v>12771.378064888962</v>
      </c>
      <c r="P26" s="23">
        <v>12791.745057539096</v>
      </c>
      <c r="Q26" s="23">
        <v>13060.759290942407</v>
      </c>
      <c r="R26" s="23">
        <v>14006.41711046212</v>
      </c>
      <c r="S26" s="23">
        <v>15117.0069</v>
      </c>
      <c r="T26" s="23">
        <v>16364.644111349036</v>
      </c>
      <c r="U26" s="23">
        <v>17181.696793002917</v>
      </c>
      <c r="V26" s="23">
        <v>18116.768554097955</v>
      </c>
      <c r="W26" s="23">
        <v>18350.8710433216</v>
      </c>
      <c r="X26" s="23">
        <v>10172.920485753128</v>
      </c>
      <c r="Y26" s="23">
        <v>11454.080133555924</v>
      </c>
      <c r="Z26" s="23">
        <v>17052.264866910558</v>
      </c>
      <c r="AA26" s="23">
        <v>18887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29243.540579949029</v>
      </c>
      <c r="E27" s="23">
        <v>31593.006902966812</v>
      </c>
      <c r="F27" s="23">
        <v>32629.527915260809</v>
      </c>
      <c r="G27" s="23">
        <v>33753.553550078177</v>
      </c>
      <c r="H27" s="23">
        <v>33988.914415902495</v>
      </c>
      <c r="I27" s="23">
        <v>34651.89232421307</v>
      </c>
      <c r="J27" s="23">
        <v>35797.512667757772</v>
      </c>
      <c r="K27" s="23">
        <v>38406.081947781517</v>
      </c>
      <c r="L27" s="23">
        <v>38462.290740237193</v>
      </c>
      <c r="M27" s="23">
        <v>36537.260782764213</v>
      </c>
      <c r="N27" s="23">
        <v>36623.948189207644</v>
      </c>
      <c r="O27" s="23">
        <v>36602.533270040454</v>
      </c>
      <c r="P27" s="23">
        <v>35762.271466509294</v>
      </c>
      <c r="Q27" s="23">
        <v>35542.056388503632</v>
      </c>
      <c r="R27" s="23">
        <v>35892.006184504382</v>
      </c>
      <c r="S27" s="23">
        <v>36653.494980000003</v>
      </c>
      <c r="T27" s="23">
        <v>38010.616702355459</v>
      </c>
      <c r="U27" s="23">
        <v>38713.44311923904</v>
      </c>
      <c r="V27" s="23">
        <v>39439.074063071959</v>
      </c>
      <c r="W27" s="23">
        <v>40904.775438956771</v>
      </c>
      <c r="X27" s="23">
        <v>42891.98507340128</v>
      </c>
      <c r="Y27" s="23">
        <v>44307.202610411288</v>
      </c>
      <c r="Z27" s="23">
        <v>47412.80570203103</v>
      </c>
      <c r="AA27" s="23">
        <v>47186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47849.547731047685</v>
      </c>
      <c r="E28" s="23">
        <v>49899.016963673756</v>
      </c>
      <c r="F28" s="23">
        <v>50546.534628090427</v>
      </c>
      <c r="G28" s="23">
        <v>52162.057021981054</v>
      </c>
      <c r="H28" s="23">
        <v>52398.972671868774</v>
      </c>
      <c r="I28" s="23">
        <v>53108.239982997387</v>
      </c>
      <c r="J28" s="23">
        <v>51493.7935188216</v>
      </c>
      <c r="K28" s="23">
        <v>50529.886144481818</v>
      </c>
      <c r="L28" s="23">
        <v>49189.271183250021</v>
      </c>
      <c r="M28" s="23">
        <v>58427.082082102897</v>
      </c>
      <c r="N28" s="23">
        <v>67681.235144470425</v>
      </c>
      <c r="O28" s="23">
        <v>67662.052195987781</v>
      </c>
      <c r="P28" s="23">
        <v>69908.103275302448</v>
      </c>
      <c r="Q28" s="23">
        <v>66986.771155812472</v>
      </c>
      <c r="R28" s="23">
        <v>70990.953788008934</v>
      </c>
      <c r="S28" s="23">
        <v>69848.585099999997</v>
      </c>
      <c r="T28" s="23">
        <v>66321.273661670231</v>
      </c>
      <c r="U28" s="23">
        <v>63602.618605883916</v>
      </c>
      <c r="V28" s="23">
        <v>61441.489694031072</v>
      </c>
      <c r="W28" s="23">
        <v>61322.731529277778</v>
      </c>
      <c r="X28" s="23">
        <v>61318.363292975562</v>
      </c>
      <c r="Y28" s="23">
        <v>57993.732584610712</v>
      </c>
      <c r="Z28" s="23">
        <v>55374.66552289643</v>
      </c>
      <c r="AA28" s="23">
        <v>48271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52474.842739225809</v>
      </c>
      <c r="E29" s="23">
        <v>41652.828062273577</v>
      </c>
      <c r="F29" s="23">
        <v>43243.358131223475</v>
      </c>
      <c r="G29" s="23">
        <v>46324.679481283914</v>
      </c>
      <c r="H29" s="23">
        <v>49706.867505838134</v>
      </c>
      <c r="I29" s="23">
        <v>50244.17678247836</v>
      </c>
      <c r="J29" s="23">
        <v>56285.947168576102</v>
      </c>
      <c r="K29" s="23">
        <v>61996.293833093063</v>
      </c>
      <c r="L29" s="23">
        <v>62308.006442301659</v>
      </c>
      <c r="M29" s="23">
        <v>49523.554984818868</v>
      </c>
      <c r="N29" s="23">
        <v>47074.591739229363</v>
      </c>
      <c r="O29" s="23">
        <v>48057.396206554942</v>
      </c>
      <c r="P29" s="23">
        <v>41025.730303924458</v>
      </c>
      <c r="Q29" s="23">
        <v>43304.085078812299</v>
      </c>
      <c r="R29" s="23">
        <v>46035.958082803641</v>
      </c>
      <c r="S29" s="23">
        <v>46142.167379999999</v>
      </c>
      <c r="T29" s="23">
        <v>47549.691648822271</v>
      </c>
      <c r="U29" s="23">
        <v>51817.280619607154</v>
      </c>
      <c r="V29" s="23">
        <v>55258.337993618065</v>
      </c>
      <c r="W29" s="23">
        <v>54739.16657487701</v>
      </c>
      <c r="X29" s="23">
        <v>55161.924418127244</v>
      </c>
      <c r="Y29" s="23">
        <v>57584.942176354525</v>
      </c>
      <c r="Z29" s="23">
        <v>65733.747950044155</v>
      </c>
      <c r="AA29" s="23">
        <v>75564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51129.830174086143</v>
      </c>
      <c r="E30" s="23">
        <v>54819.953931264085</v>
      </c>
      <c r="F30" s="23">
        <v>54082.982706528252</v>
      </c>
      <c r="G30" s="23">
        <v>53289.466361629726</v>
      </c>
      <c r="H30" s="23">
        <v>54767.967260921578</v>
      </c>
      <c r="I30" s="23">
        <v>56579.831741202266</v>
      </c>
      <c r="J30" s="23">
        <v>59661.133289689031</v>
      </c>
      <c r="K30" s="23">
        <v>62904.967932083935</v>
      </c>
      <c r="L30" s="23">
        <v>65781.238825325781</v>
      </c>
      <c r="M30" s="23">
        <v>64288.703011271471</v>
      </c>
      <c r="N30" s="23">
        <v>63245.795238784682</v>
      </c>
      <c r="O30" s="23">
        <v>65128.777821348966</v>
      </c>
      <c r="P30" s="23">
        <v>63928.958984951307</v>
      </c>
      <c r="Q30" s="23">
        <v>63418.658763502368</v>
      </c>
      <c r="R30" s="23">
        <v>66312.293763958078</v>
      </c>
      <c r="S30" s="23">
        <v>69946.524480000007</v>
      </c>
      <c r="T30" s="23">
        <v>72130.86167023555</v>
      </c>
      <c r="U30" s="23">
        <v>74319.172895132084</v>
      </c>
      <c r="V30" s="23">
        <v>76123.580248569822</v>
      </c>
      <c r="W30" s="23">
        <v>77692.002949714821</v>
      </c>
      <c r="X30" s="23">
        <v>78776.88665456239</v>
      </c>
      <c r="Y30" s="23">
        <v>84859.211109424796</v>
      </c>
      <c r="Z30" s="23">
        <v>86942.910205626336</v>
      </c>
      <c r="AA30" s="23">
        <v>87475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34413.93660373531</v>
      </c>
      <c r="E31" s="23">
        <v>36482.808552824834</v>
      </c>
      <c r="F31" s="23">
        <v>34124.854798321205</v>
      </c>
      <c r="G31" s="23">
        <v>32861.569507035776</v>
      </c>
      <c r="H31" s="23">
        <v>33161.577467676718</v>
      </c>
      <c r="I31" s="23">
        <v>34539.492427123652</v>
      </c>
      <c r="J31" s="23">
        <v>37195.050671031095</v>
      </c>
      <c r="K31" s="23">
        <v>41149.761588979658</v>
      </c>
      <c r="L31" s="23">
        <v>44369.8453220105</v>
      </c>
      <c r="M31" s="23">
        <v>42929.231439504219</v>
      </c>
      <c r="N31" s="23">
        <v>41553.968582597372</v>
      </c>
      <c r="O31" s="23">
        <v>43466.000474696608</v>
      </c>
      <c r="P31" s="23">
        <v>44020.479197403365</v>
      </c>
      <c r="Q31" s="23">
        <v>45016.676014132565</v>
      </c>
      <c r="R31" s="23">
        <v>47467.833705548874</v>
      </c>
      <c r="S31" s="23">
        <v>52017.258240000003</v>
      </c>
      <c r="T31" s="23">
        <v>58036.340042826552</v>
      </c>
      <c r="U31" s="23">
        <v>61898.308154430604</v>
      </c>
      <c r="V31" s="23">
        <v>65325.917935548176</v>
      </c>
      <c r="W31" s="23">
        <v>69288.310840201986</v>
      </c>
      <c r="X31" s="23">
        <v>57544.425645283438</v>
      </c>
      <c r="Y31" s="23">
        <v>63933.684322355432</v>
      </c>
      <c r="Z31" s="23">
        <v>68519.27569067743</v>
      </c>
      <c r="AA31" s="23">
        <v>68504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48693.002852831916</v>
      </c>
      <c r="E32" s="23">
        <v>50580.880422011171</v>
      </c>
      <c r="F32" s="23">
        <v>52109.151220888532</v>
      </c>
      <c r="G32" s="23">
        <v>53877.298468683897</v>
      </c>
      <c r="H32" s="23">
        <v>54485.426621860235</v>
      </c>
      <c r="I32" s="23">
        <v>54491.185552249495</v>
      </c>
      <c r="J32" s="23">
        <v>54252.786121112928</v>
      </c>
      <c r="K32" s="23">
        <v>55234.889251962195</v>
      </c>
      <c r="L32" s="23">
        <v>56823.46522621264</v>
      </c>
      <c r="M32" s="23">
        <v>59245.751611695712</v>
      </c>
      <c r="N32" s="23">
        <v>60725.539349314371</v>
      </c>
      <c r="O32" s="23">
        <v>60815.648497482041</v>
      </c>
      <c r="P32" s="23">
        <v>60885.030982590732</v>
      </c>
      <c r="Q32" s="23">
        <v>61269.550289029052</v>
      </c>
      <c r="R32" s="23">
        <v>61154.19962205807</v>
      </c>
      <c r="S32" s="23">
        <v>60460.395960000002</v>
      </c>
      <c r="T32" s="23">
        <v>61004.474518201285</v>
      </c>
      <c r="U32" s="23">
        <v>61671.066760903501</v>
      </c>
      <c r="V32" s="23">
        <v>62615.228130360214</v>
      </c>
      <c r="W32" s="23">
        <v>63994.15103286691</v>
      </c>
      <c r="X32" s="23">
        <v>65199.066704378536</v>
      </c>
      <c r="Y32" s="23">
        <v>66137.745940203356</v>
      </c>
      <c r="Z32" s="23">
        <v>67491.283310205617</v>
      </c>
      <c r="AA32" s="23">
        <v>67869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29941.850460890844</v>
      </c>
      <c r="E33" s="23">
        <v>30769.477748947425</v>
      </c>
      <c r="F33" s="23">
        <v>31842.985974771043</v>
      </c>
      <c r="G33" s="23">
        <v>32501.851351972779</v>
      </c>
      <c r="H33" s="23">
        <v>33152.883909551747</v>
      </c>
      <c r="I33" s="23">
        <v>33566.308508020316</v>
      </c>
      <c r="J33" s="23">
        <v>34187.637708674301</v>
      </c>
      <c r="K33" s="23">
        <v>34961.541566554544</v>
      </c>
      <c r="L33" s="23">
        <v>36488.228367043863</v>
      </c>
      <c r="M33" s="23">
        <v>38010.601422451444</v>
      </c>
      <c r="N33" s="23">
        <v>38550.970568160672</v>
      </c>
      <c r="O33" s="23">
        <v>38913.982064723852</v>
      </c>
      <c r="P33" s="23">
        <v>38665.133077604012</v>
      </c>
      <c r="Q33" s="23">
        <v>38859.074621123924</v>
      </c>
      <c r="R33" s="23">
        <v>39485.834049132449</v>
      </c>
      <c r="S33" s="23">
        <v>40123.347300000001</v>
      </c>
      <c r="T33" s="23">
        <v>41318.256102783729</v>
      </c>
      <c r="U33" s="23">
        <v>41866.105309656334</v>
      </c>
      <c r="V33" s="23">
        <v>42616.577805034642</v>
      </c>
      <c r="W33" s="23">
        <v>43173.701070671799</v>
      </c>
      <c r="X33" s="23">
        <v>43469.912794357821</v>
      </c>
      <c r="Y33" s="23">
        <v>44727.348307785702</v>
      </c>
      <c r="Z33" s="23">
        <v>46447.926277280181</v>
      </c>
      <c r="AA33" s="23">
        <v>47064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41003.530537980703</v>
      </c>
      <c r="E34" s="23">
        <v>44209.037648095567</v>
      </c>
      <c r="F34" s="23">
        <v>48829.899366337093</v>
      </c>
      <c r="G34" s="23">
        <v>51382.66768601122</v>
      </c>
      <c r="H34" s="23">
        <v>53459.586763114436</v>
      </c>
      <c r="I34" s="23">
        <v>54300.532562249718</v>
      </c>
      <c r="J34" s="23">
        <v>55621.179836333875</v>
      </c>
      <c r="K34" s="23">
        <v>56422.006086817237</v>
      </c>
      <c r="L34" s="23">
        <v>59418.745340835412</v>
      </c>
      <c r="M34" s="23">
        <v>64375.992492617392</v>
      </c>
      <c r="N34" s="23">
        <v>67094.578502140692</v>
      </c>
      <c r="O34" s="23">
        <v>68738.365660860232</v>
      </c>
      <c r="P34" s="23">
        <v>70249.768663322509</v>
      </c>
      <c r="Q34" s="23">
        <v>71229.618623391623</v>
      </c>
      <c r="R34" s="23">
        <v>72633.626181068539</v>
      </c>
      <c r="S34" s="23">
        <v>71509.738740000001</v>
      </c>
      <c r="T34" s="23">
        <v>73644.698929336184</v>
      </c>
      <c r="U34" s="23">
        <v>74145.620402273475</v>
      </c>
      <c r="V34" s="23">
        <v>75676.267677300042</v>
      </c>
      <c r="W34" s="23">
        <v>77807.170812758442</v>
      </c>
      <c r="X34" s="23">
        <v>73563.932191637097</v>
      </c>
      <c r="Y34" s="23">
        <v>81126.727576263467</v>
      </c>
      <c r="Z34" s="23">
        <v>80512.876699886459</v>
      </c>
      <c r="AA34" s="23">
        <v>82001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7057.2841547376029</v>
      </c>
      <c r="E35" s="23">
        <v>7361.9458778028011</v>
      </c>
      <c r="F35" s="23">
        <v>7666.5409294506289</v>
      </c>
      <c r="G35" s="23">
        <v>7799.7424353904171</v>
      </c>
      <c r="H35" s="23">
        <v>8008.2159594463756</v>
      </c>
      <c r="I35" s="23">
        <v>8121.2482605874857</v>
      </c>
      <c r="J35" s="23">
        <v>8228.4039934533539</v>
      </c>
      <c r="K35" s="23">
        <v>8505.4068877142399</v>
      </c>
      <c r="L35" s="23">
        <v>8597.2810767847059</v>
      </c>
      <c r="M35" s="23">
        <v>8702.4967766085756</v>
      </c>
      <c r="N35" s="23">
        <v>8994.5249332974836</v>
      </c>
      <c r="O35" s="23">
        <v>9380.9906505407416</v>
      </c>
      <c r="P35" s="23">
        <v>9329.7946296842729</v>
      </c>
      <c r="Q35" s="23">
        <v>9295.6345579526023</v>
      </c>
      <c r="R35" s="23">
        <v>9642.6668957223847</v>
      </c>
      <c r="S35" s="23">
        <v>10080.1245</v>
      </c>
      <c r="T35" s="23">
        <v>10384.036830835117</v>
      </c>
      <c r="U35" s="23">
        <v>10500.550107488883</v>
      </c>
      <c r="V35" s="23">
        <v>10574.615445058789</v>
      </c>
      <c r="W35" s="23">
        <v>10806.782365185896</v>
      </c>
      <c r="X35" s="23">
        <v>7547.8752953842513</v>
      </c>
      <c r="Y35" s="23">
        <v>7299.1798451965387</v>
      </c>
      <c r="Z35" s="23">
        <v>10024.262848492494</v>
      </c>
      <c r="AA35" s="23">
        <v>10656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8332.9495492525584</v>
      </c>
      <c r="E36" s="23">
        <v>8529.5202927641258</v>
      </c>
      <c r="F36" s="23">
        <v>8518.8772527950532</v>
      </c>
      <c r="G36" s="23">
        <v>8390.4990802906286</v>
      </c>
      <c r="H36" s="23">
        <v>8406.6707068405776</v>
      </c>
      <c r="I36" s="23">
        <v>8385.8859929752343</v>
      </c>
      <c r="J36" s="23">
        <v>8372.7376104746309</v>
      </c>
      <c r="K36" s="23">
        <v>8608.6344385712</v>
      </c>
      <c r="L36" s="23">
        <v>8824.7505281432368</v>
      </c>
      <c r="M36" s="23">
        <v>8984.2037391340509</v>
      </c>
      <c r="N36" s="23">
        <v>9156.3158907112884</v>
      </c>
      <c r="O36" s="23">
        <v>9442.6817881614788</v>
      </c>
      <c r="P36" s="23">
        <v>9197.7875479492468</v>
      </c>
      <c r="Q36" s="23">
        <v>9213.2241670800486</v>
      </c>
      <c r="R36" s="23">
        <v>9361.176086583062</v>
      </c>
      <c r="S36" s="23">
        <v>9287.7058800000013</v>
      </c>
      <c r="T36" s="23">
        <v>9589.7473233404708</v>
      </c>
      <c r="U36" s="23">
        <v>9765.1370262390683</v>
      </c>
      <c r="V36" s="23">
        <v>10031.014881608326</v>
      </c>
      <c r="W36" s="23">
        <v>10369.85686415443</v>
      </c>
      <c r="X36" s="23">
        <v>9568.3013238688727</v>
      </c>
      <c r="Y36" s="23">
        <v>10101.665199575049</v>
      </c>
      <c r="Z36" s="23">
        <v>10282.06322694588</v>
      </c>
      <c r="AA36" s="23">
        <v>10469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122.56709226692364</v>
      </c>
      <c r="E37" s="23">
        <v>146.33599334181926</v>
      </c>
      <c r="F37" s="23">
        <v>182.42987973336781</v>
      </c>
      <c r="G37" s="23">
        <v>225.18941414513014</v>
      </c>
      <c r="H37" s="23">
        <v>299.92775531127188</v>
      </c>
      <c r="I37" s="23">
        <v>347.1591758204882</v>
      </c>
      <c r="J37" s="23">
        <v>396.91744680851059</v>
      </c>
      <c r="K37" s="23">
        <v>400.68588819477816</v>
      </c>
      <c r="L37" s="23">
        <v>452.27844129766362</v>
      </c>
      <c r="M37" s="23">
        <v>522.41432017635066</v>
      </c>
      <c r="N37" s="23">
        <v>590.60276324225947</v>
      </c>
      <c r="O37" s="23">
        <v>616.9113762073805</v>
      </c>
      <c r="P37" s="23">
        <v>662.62378282679254</v>
      </c>
      <c r="Q37" s="23">
        <v>648.9818281213619</v>
      </c>
      <c r="R37" s="23">
        <v>651.67050334993985</v>
      </c>
      <c r="S37" s="23">
        <v>709.74252000000001</v>
      </c>
      <c r="T37" s="23">
        <v>785.42184154175595</v>
      </c>
      <c r="U37" s="23">
        <v>869.01104337839035</v>
      </c>
      <c r="V37" s="23">
        <v>928.75253217321324</v>
      </c>
      <c r="W37" s="23">
        <v>1005.6410309066638</v>
      </c>
      <c r="X37" s="23">
        <v>1104.7935549209421</v>
      </c>
      <c r="Y37" s="23">
        <v>1119.6315070572164</v>
      </c>
      <c r="Z37" s="23">
        <v>1116.7784029267061</v>
      </c>
      <c r="AA37" s="23">
        <v>1140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654722.76511683944</v>
      </c>
      <c r="E39" s="30">
        <f t="shared" ref="E39:S39" si="3">SUM(E18:E38)</f>
        <v>670148.79504063469</v>
      </c>
      <c r="F39" s="30">
        <f t="shared" si="3"/>
        <v>671617.09756527678</v>
      </c>
      <c r="G39" s="30">
        <f t="shared" si="3"/>
        <v>672023.70256598899</v>
      </c>
      <c r="H39" s="30">
        <f t="shared" si="3"/>
        <v>686170.95139260718</v>
      </c>
      <c r="I39" s="30">
        <f t="shared" si="3"/>
        <v>700352.37649611861</v>
      </c>
      <c r="J39" s="30">
        <f t="shared" si="3"/>
        <v>724522.83751227485</v>
      </c>
      <c r="K39" s="30">
        <f t="shared" si="3"/>
        <v>753361.45744033332</v>
      </c>
      <c r="L39" s="30">
        <f t="shared" si="3"/>
        <v>771759.95084607508</v>
      </c>
      <c r="M39" s="30">
        <f t="shared" si="3"/>
        <v>746166.35735973041</v>
      </c>
      <c r="N39" s="30">
        <f t="shared" si="3"/>
        <v>757267.17998303997</v>
      </c>
      <c r="O39" s="30">
        <f t="shared" si="3"/>
        <v>773329.91193345992</v>
      </c>
      <c r="P39" s="30">
        <f t="shared" si="3"/>
        <v>767601.76748303347</v>
      </c>
      <c r="Q39" s="30">
        <f t="shared" si="3"/>
        <v>770434.14166978817</v>
      </c>
      <c r="R39" s="30">
        <f t="shared" si="3"/>
        <v>783172.98367978027</v>
      </c>
      <c r="S39" s="30">
        <f t="shared" si="3"/>
        <v>798302.61444000015</v>
      </c>
      <c r="T39" s="30">
        <f t="shared" ref="T39:Y39" si="4">SUM(T18:T38)</f>
        <v>816220.51220556756</v>
      </c>
      <c r="U39" s="30">
        <f t="shared" si="4"/>
        <v>838962.73911122885</v>
      </c>
      <c r="V39" s="30">
        <f t="shared" si="4"/>
        <v>857520.13816035341</v>
      </c>
      <c r="W39" s="30">
        <f t="shared" si="4"/>
        <v>878016.04189341806</v>
      </c>
      <c r="X39" s="30">
        <f t="shared" si="4"/>
        <v>842694.04948769673</v>
      </c>
      <c r="Y39" s="30">
        <f t="shared" si="4"/>
        <v>899032.30535741383</v>
      </c>
      <c r="Z39" s="30">
        <f t="shared" ref="Z39:AA39" si="5">SUM(Z18:Z38)</f>
        <v>950089.59888986999</v>
      </c>
      <c r="AA39" s="30">
        <f t="shared" si="5"/>
        <v>944801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16285.296022518354</v>
      </c>
      <c r="E41" s="19">
        <v>16775.709194164301</v>
      </c>
      <c r="F41" s="19">
        <v>16819.436780663287</v>
      </c>
      <c r="G41" s="19">
        <v>16804.394463349581</v>
      </c>
      <c r="H41" s="19">
        <v>16956.785122743069</v>
      </c>
      <c r="I41" s="19">
        <v>17070.556522517283</v>
      </c>
      <c r="J41" s="19">
        <v>15170.295842880523</v>
      </c>
      <c r="K41" s="19">
        <v>15355.09818997277</v>
      </c>
      <c r="L41" s="19">
        <v>14458.277583718547</v>
      </c>
      <c r="M41" s="19">
        <v>15189.69232208959</v>
      </c>
      <c r="N41" s="19">
        <v>14626.954849117874</v>
      </c>
      <c r="O41" s="19">
        <v>14992.259019235533</v>
      </c>
      <c r="P41" s="19">
        <v>16132.041900265564</v>
      </c>
      <c r="Q41" s="19">
        <v>16413.832069569446</v>
      </c>
      <c r="R41" s="19">
        <v>17114.384126438756</v>
      </c>
      <c r="S41" s="19">
        <v>17116.496580000003</v>
      </c>
      <c r="T41" s="19">
        <v>17694.794004282656</v>
      </c>
      <c r="U41" s="19">
        <v>17997.018935712815</v>
      </c>
      <c r="V41" s="19">
        <v>18215.494216966759</v>
      </c>
      <c r="W41" s="19">
        <v>18029.113405333756</v>
      </c>
      <c r="X41" s="19">
        <v>18014.401631342211</v>
      </c>
      <c r="Y41" s="19">
        <v>17977.693731977535</v>
      </c>
      <c r="Z41" s="19">
        <v>17715.485757537528</v>
      </c>
      <c r="AA41" s="19">
        <v>18769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1988.4897995410111</v>
      </c>
      <c r="E42" s="23">
        <v>1835.4269803192012</v>
      </c>
      <c r="F42" s="23">
        <v>1752.5231069467793</v>
      </c>
      <c r="G42" s="23">
        <v>1680.1469925503541</v>
      </c>
      <c r="H42" s="23">
        <v>1454.7220595773767</v>
      </c>
      <c r="I42" s="23">
        <v>1431.3202085057833</v>
      </c>
      <c r="J42" s="23">
        <v>1429.4579378068738</v>
      </c>
      <c r="K42" s="23">
        <v>1515.8150888995676</v>
      </c>
      <c r="L42" s="23">
        <v>1459.2630885398148</v>
      </c>
      <c r="M42" s="23">
        <v>1318.6001954830926</v>
      </c>
      <c r="N42" s="23">
        <v>1319.319758423132</v>
      </c>
      <c r="O42" s="23">
        <v>1413.6458556922314</v>
      </c>
      <c r="P42" s="23">
        <v>1365.3673650044261</v>
      </c>
      <c r="Q42" s="23">
        <v>1390.6753459743468</v>
      </c>
      <c r="R42" s="23">
        <v>1393.3152379316268</v>
      </c>
      <c r="S42" s="23">
        <v>1391.5023600000002</v>
      </c>
      <c r="T42" s="23">
        <v>1434.0282655246253</v>
      </c>
      <c r="U42" s="23">
        <v>1428.3744735989635</v>
      </c>
      <c r="V42" s="23">
        <v>1404.0983163563537</v>
      </c>
      <c r="W42" s="23">
        <v>1379.639761409142</v>
      </c>
      <c r="X42" s="23">
        <v>1346.1770207019883</v>
      </c>
      <c r="Y42" s="23">
        <v>1552.2680224616784</v>
      </c>
      <c r="Z42" s="23">
        <v>1360.6725368992052</v>
      </c>
      <c r="AA42" s="23">
        <v>1247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8020.0809189922529</v>
      </c>
      <c r="E43" s="23">
        <v>8243.0753696269476</v>
      </c>
      <c r="F43" s="23">
        <v>7576.8213164670051</v>
      </c>
      <c r="G43" s="23">
        <v>7147.570495723352</v>
      </c>
      <c r="H43" s="23">
        <v>7172.1854530956325</v>
      </c>
      <c r="I43" s="23">
        <v>7069.8112485737938</v>
      </c>
      <c r="J43" s="23">
        <v>6864.1737479541725</v>
      </c>
      <c r="K43" s="23">
        <v>7096.8941214159859</v>
      </c>
      <c r="L43" s="23">
        <v>6881.2834612729821</v>
      </c>
      <c r="M43" s="23">
        <v>6350.9710518654074</v>
      </c>
      <c r="N43" s="23">
        <v>5683.7294876833039</v>
      </c>
      <c r="O43" s="23">
        <v>5671.6469289193428</v>
      </c>
      <c r="P43" s="23">
        <v>5140.5110652109761</v>
      </c>
      <c r="Q43" s="23">
        <v>4974.239686573057</v>
      </c>
      <c r="R43" s="23">
        <v>5012.8500257687683</v>
      </c>
      <c r="S43" s="23">
        <v>4880.4337800000003</v>
      </c>
      <c r="T43" s="23">
        <v>5045.7019271948611</v>
      </c>
      <c r="U43" s="23">
        <v>5147.8915687487115</v>
      </c>
      <c r="V43" s="23">
        <v>5390.908726774438</v>
      </c>
      <c r="W43" s="23">
        <v>5562.4890552511451</v>
      </c>
      <c r="X43" s="23">
        <v>5436.9304672317367</v>
      </c>
      <c r="Y43" s="23">
        <v>5025.8509637274237</v>
      </c>
      <c r="Z43" s="23">
        <v>5271.5363693705058</v>
      </c>
      <c r="AA43" s="23">
        <v>4748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854.74419607196751</v>
      </c>
      <c r="E44" s="23">
        <v>2090.7365857240775</v>
      </c>
      <c r="F44" s="23">
        <v>1384.6726937139229</v>
      </c>
      <c r="G44" s="23">
        <v>1607.0335463993379</v>
      </c>
      <c r="H44" s="23">
        <v>2047.3329384291169</v>
      </c>
      <c r="I44" s="23">
        <v>2878.2910355936378</v>
      </c>
      <c r="J44" s="23">
        <v>2363.4629787234039</v>
      </c>
      <c r="K44" s="23">
        <v>2427.2057023866732</v>
      </c>
      <c r="L44" s="23">
        <v>2886.6006400468532</v>
      </c>
      <c r="M44" s="23">
        <v>1703.4674541446575</v>
      </c>
      <c r="N44" s="23">
        <v>635.32546691761991</v>
      </c>
      <c r="O44" s="23">
        <v>922.74190951869889</v>
      </c>
      <c r="P44" s="23">
        <v>1023.7019769843611</v>
      </c>
      <c r="Q44" s="23">
        <v>518.9279300256128</v>
      </c>
      <c r="R44" s="23">
        <v>-643.95842638721865</v>
      </c>
      <c r="S44" s="23">
        <v>1696.7679600000001</v>
      </c>
      <c r="T44" s="23">
        <v>1649.3858672376873</v>
      </c>
      <c r="U44" s="23">
        <v>1738.0220867567807</v>
      </c>
      <c r="V44" s="23">
        <v>1276.1206052301236</v>
      </c>
      <c r="W44" s="23">
        <v>1783.3209308403884</v>
      </c>
      <c r="X44" s="23">
        <v>184.51909163070357</v>
      </c>
      <c r="Y44" s="23">
        <v>1406.9203217483685</v>
      </c>
      <c r="Z44" s="23">
        <v>3831.7052100416299</v>
      </c>
      <c r="AA44" s="23">
        <v>2686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10131.137810800188</v>
      </c>
      <c r="E45" s="23">
        <v>11025.016009008128</v>
      </c>
      <c r="F45" s="23">
        <v>11537.942229693983</v>
      </c>
      <c r="G45" s="23">
        <v>11219.989446334959</v>
      </c>
      <c r="H45" s="23">
        <v>12010.150549638322</v>
      </c>
      <c r="I45" s="23">
        <v>12206.059710508065</v>
      </c>
      <c r="J45" s="23">
        <v>13353.635220949262</v>
      </c>
      <c r="K45" s="23">
        <v>13692.591318276471</v>
      </c>
      <c r="L45" s="23">
        <v>12734.29858394863</v>
      </c>
      <c r="M45" s="23">
        <v>9452.3927754439956</v>
      </c>
      <c r="N45" s="23">
        <v>10287.537218970405</v>
      </c>
      <c r="O45" s="23">
        <v>11156.907867580285</v>
      </c>
      <c r="P45" s="23">
        <v>10634.335202124521</v>
      </c>
      <c r="Q45" s="23">
        <v>9662.6183298069427</v>
      </c>
      <c r="R45" s="23">
        <v>9433.1554715684597</v>
      </c>
      <c r="S45" s="23">
        <v>10974.29832</v>
      </c>
      <c r="T45" s="23">
        <v>11844.668094218416</v>
      </c>
      <c r="U45" s="23">
        <v>12895.324793120712</v>
      </c>
      <c r="V45" s="23">
        <v>13373.061395019022</v>
      </c>
      <c r="W45" s="23">
        <v>11235.396783317308</v>
      </c>
      <c r="X45" s="23">
        <v>9575.2643084587107</v>
      </c>
      <c r="Y45" s="23">
        <v>12104.738200030353</v>
      </c>
      <c r="Z45" s="23">
        <v>8440.0206887851637</v>
      </c>
      <c r="AA45" s="23">
        <v>7441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3899.5688039660704</v>
      </c>
      <c r="E46" s="23">
        <v>4284.2197199647517</v>
      </c>
      <c r="F46" s="23">
        <v>4743.1768730675631</v>
      </c>
      <c r="G46" s="23">
        <v>4199.6363469143753</v>
      </c>
      <c r="H46" s="23">
        <v>3916.4479352964636</v>
      </c>
      <c r="I46" s="23">
        <v>3512.8524799212514</v>
      </c>
      <c r="J46" s="23">
        <v>3334.9392471358428</v>
      </c>
      <c r="K46" s="23">
        <v>3623.8303379785361</v>
      </c>
      <c r="L46" s="23">
        <v>3634.1902988976972</v>
      </c>
      <c r="M46" s="23">
        <v>3782.5441916566151</v>
      </c>
      <c r="N46" s="23">
        <v>3717.2458996049563</v>
      </c>
      <c r="O46" s="23">
        <v>3908.8554858416578</v>
      </c>
      <c r="P46" s="23">
        <v>4741.9014458542342</v>
      </c>
      <c r="Q46" s="23">
        <v>3293.8403101873882</v>
      </c>
      <c r="R46" s="23">
        <v>3538.5579797285691</v>
      </c>
      <c r="S46" s="23">
        <v>4543.3696800000007</v>
      </c>
      <c r="T46" s="23">
        <v>5434.6124197002146</v>
      </c>
      <c r="U46" s="23">
        <v>5828.3671702447218</v>
      </c>
      <c r="V46" s="23">
        <v>6062.4870013511318</v>
      </c>
      <c r="W46" s="23">
        <v>6885.1385339170529</v>
      </c>
      <c r="X46" s="23">
        <v>7560.6407671322877</v>
      </c>
      <c r="Y46" s="23">
        <v>8586.8696312035208</v>
      </c>
      <c r="Z46" s="23">
        <v>9142.8208906269701</v>
      </c>
      <c r="AA46" s="23">
        <v>9921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6421.8705448274986</v>
      </c>
      <c r="E47" s="23">
        <v>6420.1025164006669</v>
      </c>
      <c r="F47" s="23">
        <v>6283.3635626197665</v>
      </c>
      <c r="G47" s="23">
        <v>5888.5569530028515</v>
      </c>
      <c r="H47" s="23">
        <v>5750.7886996639527</v>
      </c>
      <c r="I47" s="23">
        <v>5669.7922772321535</v>
      </c>
      <c r="J47" s="23">
        <v>5981.5181669394433</v>
      </c>
      <c r="K47" s="23">
        <v>6409.6159538683323</v>
      </c>
      <c r="L47" s="23">
        <v>6274.6982576502332</v>
      </c>
      <c r="M47" s="23">
        <v>6177.7146570727446</v>
      </c>
      <c r="N47" s="23">
        <v>5486.4234420567136</v>
      </c>
      <c r="O47" s="23">
        <v>5735.963221332453</v>
      </c>
      <c r="P47" s="23">
        <v>5408.4077899085278</v>
      </c>
      <c r="Q47" s="23">
        <v>5373.4150173619901</v>
      </c>
      <c r="R47" s="23">
        <v>5601.5385672564853</v>
      </c>
      <c r="S47" s="23">
        <v>5538.0267600000006</v>
      </c>
      <c r="T47" s="23">
        <v>6093.3533190578155</v>
      </c>
      <c r="U47" s="23">
        <v>6162.9863651088144</v>
      </c>
      <c r="V47" s="23">
        <v>6228.2486081432016</v>
      </c>
      <c r="W47" s="23">
        <v>6238.0613652699076</v>
      </c>
      <c r="X47" s="23">
        <v>6328.1924947309844</v>
      </c>
      <c r="Y47" s="23">
        <v>6372.588253149187</v>
      </c>
      <c r="Z47" s="23">
        <v>6333.7595054875737</v>
      </c>
      <c r="AA47" s="23">
        <v>6042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11264.883414269232</v>
      </c>
      <c r="E48" s="23">
        <v>10609.359517281897</v>
      </c>
      <c r="F48" s="23">
        <v>10015.699462738505</v>
      </c>
      <c r="G48" s="23">
        <v>9671.446656856433</v>
      </c>
      <c r="H48" s="23">
        <v>10440.963308082248</v>
      </c>
      <c r="I48" s="23">
        <v>10981.043110584131</v>
      </c>
      <c r="J48" s="23">
        <v>11299.656824877249</v>
      </c>
      <c r="K48" s="23">
        <v>11852.152747076727</v>
      </c>
      <c r="L48" s="23">
        <v>11789.834780062332</v>
      </c>
      <c r="M48" s="23">
        <v>9896.7755895686896</v>
      </c>
      <c r="N48" s="23">
        <v>9954.7476886802233</v>
      </c>
      <c r="O48" s="23">
        <v>10462.554424997936</v>
      </c>
      <c r="P48" s="23">
        <v>10473.856004721156</v>
      </c>
      <c r="Q48" s="23">
        <v>10150.642363255349</v>
      </c>
      <c r="R48" s="23">
        <v>10881.740594399587</v>
      </c>
      <c r="S48" s="23">
        <v>10742.805240000002</v>
      </c>
      <c r="T48" s="23">
        <v>11501.362740899358</v>
      </c>
      <c r="U48" s="23">
        <v>11471.944635863003</v>
      </c>
      <c r="V48" s="23">
        <v>12109.129143229493</v>
      </c>
      <c r="W48" s="23">
        <v>11787.490147392395</v>
      </c>
      <c r="X48" s="23">
        <v>10816.996560313131</v>
      </c>
      <c r="Y48" s="23">
        <v>11954.848383669751</v>
      </c>
      <c r="Z48" s="23">
        <v>12727.422833354358</v>
      </c>
      <c r="AA48" s="23">
        <v>11651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8771.6107215762859</v>
      </c>
      <c r="E49" s="23">
        <v>7861.6677274062476</v>
      </c>
      <c r="F49" s="23">
        <v>6091.9617215880362</v>
      </c>
      <c r="G49" s="23">
        <v>5248.0831647199484</v>
      </c>
      <c r="H49" s="23">
        <v>5582.713242581307</v>
      </c>
      <c r="I49" s="23">
        <v>7415.5476408868208</v>
      </c>
      <c r="J49" s="23">
        <v>7742.6658592471349</v>
      </c>
      <c r="K49" s="23">
        <v>7853.4434086176516</v>
      </c>
      <c r="L49" s="23">
        <v>6780.1859273358577</v>
      </c>
      <c r="M49" s="23">
        <v>6439.5831011105101</v>
      </c>
      <c r="N49" s="23">
        <v>6521.6224947775554</v>
      </c>
      <c r="O49" s="23">
        <v>6057.5446833980022</v>
      </c>
      <c r="P49" s="23">
        <v>5822.5476541752723</v>
      </c>
      <c r="Q49" s="23">
        <v>5871.7403496694651</v>
      </c>
      <c r="R49" s="23">
        <v>5951.1527228998457</v>
      </c>
      <c r="S49" s="23">
        <v>6700.5799200000001</v>
      </c>
      <c r="T49" s="23">
        <v>5733.5794432548182</v>
      </c>
      <c r="U49" s="23">
        <v>5872.0674382307043</v>
      </c>
      <c r="V49" s="23">
        <v>6576.8355165441708</v>
      </c>
      <c r="W49" s="23">
        <v>6471.9589840286008</v>
      </c>
      <c r="X49" s="23">
        <v>6056.6360957273073</v>
      </c>
      <c r="Y49" s="23">
        <v>6249.9511306723316</v>
      </c>
      <c r="Z49" s="23">
        <v>7496.5354863126022</v>
      </c>
      <c r="AA49" s="23">
        <v>6768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4741.411200852046</v>
      </c>
      <c r="E50" s="23">
        <v>4201.7111279741512</v>
      </c>
      <c r="F50" s="23">
        <v>3277.756527668379</v>
      </c>
      <c r="G50" s="23">
        <v>3240.3879334130415</v>
      </c>
      <c r="H50" s="23">
        <v>3044.1942700917016</v>
      </c>
      <c r="I50" s="23">
        <v>2575.2381485044411</v>
      </c>
      <c r="J50" s="23">
        <v>2975.4930278232405</v>
      </c>
      <c r="K50" s="23">
        <v>3375.2692615729616</v>
      </c>
      <c r="L50" s="23">
        <v>3563.6880712836496</v>
      </c>
      <c r="M50" s="23">
        <v>2584.2976749989602</v>
      </c>
      <c r="N50" s="23">
        <v>2426.8643612070573</v>
      </c>
      <c r="O50" s="23">
        <v>2915.2343969289195</v>
      </c>
      <c r="P50" s="23">
        <v>2858.8592505163765</v>
      </c>
      <c r="Q50" s="23">
        <v>2885.6513428967696</v>
      </c>
      <c r="R50" s="23">
        <v>2840.6150146023019</v>
      </c>
      <c r="S50" s="23">
        <v>3158.2270200000003</v>
      </c>
      <c r="T50" s="23">
        <v>3443.1880085653106</v>
      </c>
      <c r="U50" s="23">
        <v>3491.0271225373267</v>
      </c>
      <c r="V50" s="23">
        <v>3335.9523366903995</v>
      </c>
      <c r="W50" s="23">
        <v>3498.9659009231859</v>
      </c>
      <c r="X50" s="23">
        <v>3684.579345455873</v>
      </c>
      <c r="Y50" s="23">
        <v>3684.7913188647744</v>
      </c>
      <c r="Z50" s="23">
        <v>3633.8086539674528</v>
      </c>
      <c r="AA50" s="23">
        <v>3768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7524.9743752298118</v>
      </c>
      <c r="E51" s="23">
        <v>7335.4808577303447</v>
      </c>
      <c r="F51" s="23">
        <v>7120.7466171335864</v>
      </c>
      <c r="G51" s="23">
        <v>7214.8348661822865</v>
      </c>
      <c r="H51" s="23">
        <v>8183.5360482998249</v>
      </c>
      <c r="I51" s="23">
        <v>8156.8178482740113</v>
      </c>
      <c r="J51" s="23">
        <v>9084.6909328968904</v>
      </c>
      <c r="K51" s="23">
        <v>9774.0191574563505</v>
      </c>
      <c r="L51" s="23">
        <v>9710.6841808027784</v>
      </c>
      <c r="M51" s="23">
        <v>8299.1135673584831</v>
      </c>
      <c r="N51" s="23">
        <v>10676.887815673543</v>
      </c>
      <c r="O51" s="23">
        <v>12080.96235449517</v>
      </c>
      <c r="P51" s="23">
        <v>10865.994688698731</v>
      </c>
      <c r="Q51" s="23">
        <v>11301.812510756336</v>
      </c>
      <c r="R51" s="23">
        <v>12281.482563133482</v>
      </c>
      <c r="S51" s="23">
        <v>12208.080120000001</v>
      </c>
      <c r="T51" s="23">
        <v>12326.055674518202</v>
      </c>
      <c r="U51" s="23">
        <v>14142.655299349177</v>
      </c>
      <c r="V51" s="23">
        <v>15091.619230142685</v>
      </c>
      <c r="W51" s="23">
        <v>16661.346619496118</v>
      </c>
      <c r="X51" s="23">
        <v>17838.006021732985</v>
      </c>
      <c r="Y51" s="23">
        <v>21103.804826225525</v>
      </c>
      <c r="Z51" s="23">
        <v>20653.982187460577</v>
      </c>
      <c r="AA51" s="23">
        <v>22576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4894.6200661857001</v>
      </c>
      <c r="E52" s="23">
        <v>5426.8858807402339</v>
      </c>
      <c r="F52" s="23">
        <v>5236.6347444774919</v>
      </c>
      <c r="G52" s="23">
        <v>5094.5449278028145</v>
      </c>
      <c r="H52" s="23">
        <v>5330.6000569573398</v>
      </c>
      <c r="I52" s="23">
        <v>5059.418152531377</v>
      </c>
      <c r="J52" s="23">
        <v>4968.4072013093282</v>
      </c>
      <c r="K52" s="23">
        <v>5765.8020182604514</v>
      </c>
      <c r="L52" s="23">
        <v>6003.3311928716348</v>
      </c>
      <c r="M52" s="23">
        <v>4078.7994010730772</v>
      </c>
      <c r="N52" s="23">
        <v>4715.614490475502</v>
      </c>
      <c r="O52" s="23">
        <v>4723.9660488731115</v>
      </c>
      <c r="P52" s="23">
        <v>4145.2812038949542</v>
      </c>
      <c r="Q52" s="23">
        <v>4228.6831816479216</v>
      </c>
      <c r="R52" s="23">
        <v>4095.1128672049476</v>
      </c>
      <c r="S52" s="23">
        <v>4386.9210600000006</v>
      </c>
      <c r="T52" s="23">
        <v>4487.0389721627407</v>
      </c>
      <c r="U52" s="23">
        <v>5131.6600406396328</v>
      </c>
      <c r="V52" s="23">
        <v>5231.2412967026657</v>
      </c>
      <c r="W52" s="23">
        <v>5302.4708902351367</v>
      </c>
      <c r="X52" s="23">
        <v>4914.7066229938964</v>
      </c>
      <c r="Y52" s="23">
        <v>4920.2467749279094</v>
      </c>
      <c r="Z52" s="23">
        <v>5216.9811025608678</v>
      </c>
      <c r="AA52" s="23">
        <v>5707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7899.126551623579</v>
      </c>
      <c r="E53" s="23">
        <v>7984.6522324488406</v>
      </c>
      <c r="F53" s="23">
        <v>7712.8960628255008</v>
      </c>
      <c r="G53" s="23">
        <v>7225.0707486434285</v>
      </c>
      <c r="H53" s="23">
        <v>6978.0293216380942</v>
      </c>
      <c r="I53" s="23">
        <v>7197.8617642452855</v>
      </c>
      <c r="J53" s="23">
        <v>7107.0428150572825</v>
      </c>
      <c r="K53" s="23">
        <v>7181.1060707992956</v>
      </c>
      <c r="L53" s="23">
        <v>7400.0734380555969</v>
      </c>
      <c r="M53" s="23">
        <v>6714.6772241400822</v>
      </c>
      <c r="N53" s="23">
        <v>6601.8602866657029</v>
      </c>
      <c r="O53" s="23">
        <v>6936.9715388425657</v>
      </c>
      <c r="P53" s="23">
        <v>7092.1451755680137</v>
      </c>
      <c r="Q53" s="23">
        <v>6621.1598416667512</v>
      </c>
      <c r="R53" s="23">
        <v>6781.4863425528265</v>
      </c>
      <c r="S53" s="23">
        <v>6916.8097200000002</v>
      </c>
      <c r="T53" s="23">
        <v>6980.1199143468948</v>
      </c>
      <c r="U53" s="23">
        <v>7600.100892304974</v>
      </c>
      <c r="V53" s="23">
        <v>7988.2468449648813</v>
      </c>
      <c r="W53" s="23">
        <v>7827.8527942947285</v>
      </c>
      <c r="X53" s="23">
        <v>7579.2087260385215</v>
      </c>
      <c r="Y53" s="23">
        <v>7940.7536803763842</v>
      </c>
      <c r="Z53" s="23">
        <v>8180.0808881039484</v>
      </c>
      <c r="AA53" s="23">
        <v>8641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92697.814426453988</v>
      </c>
      <c r="E54" s="30">
        <f t="shared" ref="E54:S54" si="6">SUM(E41:E53)</f>
        <v>94094.043718789791</v>
      </c>
      <c r="F54" s="30">
        <f t="shared" si="6"/>
        <v>89553.631699603793</v>
      </c>
      <c r="G54" s="30">
        <f t="shared" si="6"/>
        <v>86241.696541892758</v>
      </c>
      <c r="H54" s="30">
        <f t="shared" si="6"/>
        <v>88868.449006094437</v>
      </c>
      <c r="I54" s="30">
        <f t="shared" si="6"/>
        <v>91224.610147878062</v>
      </c>
      <c r="J54" s="30">
        <f t="shared" si="6"/>
        <v>91675.439803600646</v>
      </c>
      <c r="K54" s="30">
        <f t="shared" si="6"/>
        <v>95922.843376581775</v>
      </c>
      <c r="L54" s="30">
        <f t="shared" si="6"/>
        <v>93576.409504486597</v>
      </c>
      <c r="M54" s="30">
        <f t="shared" si="6"/>
        <v>81988.629206005891</v>
      </c>
      <c r="N54" s="30">
        <f t="shared" si="6"/>
        <v>82654.133260253599</v>
      </c>
      <c r="O54" s="30">
        <f t="shared" si="6"/>
        <v>86979.253735655919</v>
      </c>
      <c r="P54" s="30">
        <f t="shared" si="6"/>
        <v>85704.950722927111</v>
      </c>
      <c r="Q54" s="30">
        <f t="shared" si="6"/>
        <v>82687.238279391371</v>
      </c>
      <c r="R54" s="30">
        <f t="shared" si="6"/>
        <v>84281.433087098441</v>
      </c>
      <c r="S54" s="30">
        <f t="shared" si="6"/>
        <v>90254.318520000015</v>
      </c>
      <c r="T54" s="30">
        <f t="shared" ref="T54:Y54" si="7">SUM(T41:T53)</f>
        <v>93667.888650963607</v>
      </c>
      <c r="U54" s="30">
        <f t="shared" si="7"/>
        <v>98907.440822216333</v>
      </c>
      <c r="V54" s="30">
        <f t="shared" si="7"/>
        <v>102283.44323811533</v>
      </c>
      <c r="W54" s="30">
        <f t="shared" si="7"/>
        <v>102663.24517170888</v>
      </c>
      <c r="X54" s="30">
        <f t="shared" si="7"/>
        <v>99336.259153490319</v>
      </c>
      <c r="Y54" s="30">
        <f t="shared" si="7"/>
        <v>108881.32523903473</v>
      </c>
      <c r="Z54" s="30">
        <f t="shared" ref="Z54:AA54" si="8">SUM(Z41:Z53)</f>
        <v>110004.81211050838</v>
      </c>
      <c r="AA54" s="30">
        <f t="shared" si="8"/>
        <v>109965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16285.296022518354</v>
      </c>
      <c r="E56" s="19">
        <v>16775.709194164301</v>
      </c>
      <c r="F56" s="19">
        <v>16819.436780663287</v>
      </c>
      <c r="G56" s="19">
        <v>16804.394463349581</v>
      </c>
      <c r="H56" s="19">
        <v>16956.785122743069</v>
      </c>
      <c r="I56" s="19">
        <v>17070.556522517283</v>
      </c>
      <c r="J56" s="19">
        <v>15170.295842880523</v>
      </c>
      <c r="K56" s="19">
        <v>15355.09818997277</v>
      </c>
      <c r="L56" s="19">
        <v>14458.277583718547</v>
      </c>
      <c r="M56" s="19">
        <v>15189.69232208959</v>
      </c>
      <c r="N56" s="19">
        <v>14626.954849117874</v>
      </c>
      <c r="O56" s="19">
        <v>14992.259019235533</v>
      </c>
      <c r="P56" s="19">
        <v>16132.041900265564</v>
      </c>
      <c r="Q56" s="19">
        <v>16413.832069569446</v>
      </c>
      <c r="R56" s="19">
        <v>17114.384126438756</v>
      </c>
      <c r="S56" s="19">
        <v>17116.496580000003</v>
      </c>
      <c r="T56" s="19">
        <v>17694.794004282656</v>
      </c>
      <c r="U56" s="19">
        <v>17997.018935712815</v>
      </c>
      <c r="V56" s="19">
        <v>18215.494216966759</v>
      </c>
      <c r="W56" s="19">
        <v>18029.113405333756</v>
      </c>
      <c r="X56" s="19">
        <v>18014.401631342211</v>
      </c>
      <c r="Y56" s="19">
        <v>17977.693731977535</v>
      </c>
      <c r="Z56" s="19">
        <v>17715.485757537528</v>
      </c>
      <c r="AA56" s="19">
        <v>18769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1988.4897995410111</v>
      </c>
      <c r="E57" s="23">
        <v>1835.4269803192012</v>
      </c>
      <c r="F57" s="23">
        <v>1752.5231069467793</v>
      </c>
      <c r="G57" s="23">
        <v>1680.1469925503541</v>
      </c>
      <c r="H57" s="23">
        <v>1454.7220595773767</v>
      </c>
      <c r="I57" s="23">
        <v>1431.3202085057833</v>
      </c>
      <c r="J57" s="23">
        <v>1429.4579378068738</v>
      </c>
      <c r="K57" s="23">
        <v>1515.8150888995676</v>
      </c>
      <c r="L57" s="23">
        <v>1459.2630885398148</v>
      </c>
      <c r="M57" s="23">
        <v>1318.6001954830926</v>
      </c>
      <c r="N57" s="23">
        <v>1319.319758423132</v>
      </c>
      <c r="O57" s="23">
        <v>1413.6458556922314</v>
      </c>
      <c r="P57" s="23">
        <v>1365.3673650044261</v>
      </c>
      <c r="Q57" s="23">
        <v>1390.6753459743468</v>
      </c>
      <c r="R57" s="23">
        <v>1393.3152379316268</v>
      </c>
      <c r="S57" s="23">
        <v>1391.5023600000002</v>
      </c>
      <c r="T57" s="23">
        <v>1434.0282655246253</v>
      </c>
      <c r="U57" s="23">
        <v>1428.3744735989635</v>
      </c>
      <c r="V57" s="23">
        <v>1404.0983163563537</v>
      </c>
      <c r="W57" s="23">
        <v>1379.639761409142</v>
      </c>
      <c r="X57" s="23">
        <v>1346.1770207019883</v>
      </c>
      <c r="Y57" s="23">
        <v>1552.2680224616784</v>
      </c>
      <c r="Z57" s="23">
        <v>1360.6725368992052</v>
      </c>
      <c r="AA57" s="23">
        <v>1247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1491.7705308803206</v>
      </c>
      <c r="E58" s="23">
        <v>1634.6041809458536</v>
      </c>
      <c r="F58" s="23">
        <v>1342.8035409882318</v>
      </c>
      <c r="G58" s="23">
        <v>1400.8536282534719</v>
      </c>
      <c r="H58" s="23">
        <v>1392.4182263484652</v>
      </c>
      <c r="I58" s="23">
        <v>1334.5709299984342</v>
      </c>
      <c r="J58" s="23">
        <v>1305.9416693944352</v>
      </c>
      <c r="K58" s="23">
        <v>1375.9145923434246</v>
      </c>
      <c r="L58" s="23">
        <v>1460.5933192495138</v>
      </c>
      <c r="M58" s="23">
        <v>1278.9231585076736</v>
      </c>
      <c r="N58" s="23">
        <v>1043.0912945459061</v>
      </c>
      <c r="O58" s="23">
        <v>1097.3147032114257</v>
      </c>
      <c r="P58" s="23">
        <v>965.46355857185006</v>
      </c>
      <c r="Q58" s="23">
        <v>836.98053229937545</v>
      </c>
      <c r="R58" s="23">
        <v>872.75004294794712</v>
      </c>
      <c r="S58" s="23">
        <v>987.02544</v>
      </c>
      <c r="T58" s="23">
        <v>1110.991862955032</v>
      </c>
      <c r="U58" s="23">
        <v>1207.3759754984246</v>
      </c>
      <c r="V58" s="23">
        <v>1296.8408060791323</v>
      </c>
      <c r="W58" s="23">
        <v>1401.0111174378551</v>
      </c>
      <c r="X58" s="23">
        <v>1425.090846053484</v>
      </c>
      <c r="Y58" s="23">
        <v>1555.6746091971465</v>
      </c>
      <c r="Z58" s="23">
        <v>1598.1484041882175</v>
      </c>
      <c r="AA58" s="23">
        <v>1495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2248.1385081590993</v>
      </c>
      <c r="E59" s="23">
        <v>2473.7009938313918</v>
      </c>
      <c r="F59" s="23">
        <v>2495.7005678277942</v>
      </c>
      <c r="G59" s="23">
        <v>2380.57380667709</v>
      </c>
      <c r="H59" s="23">
        <v>2439.9919804066758</v>
      </c>
      <c r="I59" s="23">
        <v>2299.2181480570039</v>
      </c>
      <c r="J59" s="23">
        <v>2334.3186906710307</v>
      </c>
      <c r="K59" s="23">
        <v>2463.8786480858562</v>
      </c>
      <c r="L59" s="23">
        <v>2284.0061285532015</v>
      </c>
      <c r="M59" s="23">
        <v>2094.9475523021251</v>
      </c>
      <c r="N59" s="23">
        <v>2044.0906326914728</v>
      </c>
      <c r="O59" s="23">
        <v>2056.8087798233305</v>
      </c>
      <c r="P59" s="23">
        <v>1822.2154027736794</v>
      </c>
      <c r="Q59" s="23">
        <v>1923.7675619311799</v>
      </c>
      <c r="R59" s="23">
        <v>2109.2530493042432</v>
      </c>
      <c r="S59" s="23">
        <v>2026.2004200000001</v>
      </c>
      <c r="T59" s="23">
        <v>2159.9100642398289</v>
      </c>
      <c r="U59" s="23">
        <v>2257.4309862473128</v>
      </c>
      <c r="V59" s="23">
        <v>2486.424101881043</v>
      </c>
      <c r="W59" s="23">
        <v>2737.9081667895712</v>
      </c>
      <c r="X59" s="23">
        <v>2721.3664771949675</v>
      </c>
      <c r="Y59" s="23">
        <v>2201.7905600242825</v>
      </c>
      <c r="Z59" s="23">
        <v>2401.5014507379842</v>
      </c>
      <c r="AA59" s="23">
        <v>2087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4280.1718799528335</v>
      </c>
      <c r="E60" s="23">
        <v>4134.7701948497015</v>
      </c>
      <c r="F60" s="23">
        <v>3738.3172076509795</v>
      </c>
      <c r="G60" s="23">
        <v>3366.1430607927896</v>
      </c>
      <c r="H60" s="23">
        <v>3339.7752463404913</v>
      </c>
      <c r="I60" s="23">
        <v>3436.0221705183562</v>
      </c>
      <c r="J60" s="23">
        <v>3223.9133878887069</v>
      </c>
      <c r="K60" s="23">
        <v>3257.1008809867053</v>
      </c>
      <c r="L60" s="23">
        <v>3136.684013470267</v>
      </c>
      <c r="M60" s="23">
        <v>2977.1003410556086</v>
      </c>
      <c r="N60" s="23">
        <v>2596.5475604459248</v>
      </c>
      <c r="O60" s="23">
        <v>2517.5234458845866</v>
      </c>
      <c r="P60" s="23">
        <v>2352.8321038654472</v>
      </c>
      <c r="Q60" s="23">
        <v>2213.4915923425019</v>
      </c>
      <c r="R60" s="23">
        <v>2030.846933516578</v>
      </c>
      <c r="S60" s="23">
        <v>1867.2079200000001</v>
      </c>
      <c r="T60" s="23">
        <v>1774.8</v>
      </c>
      <c r="U60" s="23">
        <v>1683.0846070029745</v>
      </c>
      <c r="V60" s="23">
        <v>1607.6438188142627</v>
      </c>
      <c r="W60" s="23">
        <v>1423.5697710237189</v>
      </c>
      <c r="X60" s="23">
        <v>1290.4731439832854</v>
      </c>
      <c r="Y60" s="23">
        <v>1268.3857945059947</v>
      </c>
      <c r="Z60" s="23">
        <v>1271.8865144443041</v>
      </c>
      <c r="AA60" s="23">
        <v>1166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854.74419607196751</v>
      </c>
      <c r="E61" s="23">
        <v>2090.7365857240775</v>
      </c>
      <c r="F61" s="23">
        <v>1384.6726937139229</v>
      </c>
      <c r="G61" s="23">
        <v>1607.0335463993379</v>
      </c>
      <c r="H61" s="23">
        <v>2047.3329384291169</v>
      </c>
      <c r="I61" s="23">
        <v>2878.2910355936378</v>
      </c>
      <c r="J61" s="23">
        <v>2363.4629787234039</v>
      </c>
      <c r="K61" s="23">
        <v>2427.2057023866732</v>
      </c>
      <c r="L61" s="23">
        <v>2886.6006400468532</v>
      </c>
      <c r="M61" s="23">
        <v>1703.4674541446575</v>
      </c>
      <c r="N61" s="23">
        <v>635.32546691761991</v>
      </c>
      <c r="O61" s="23">
        <v>922.74190951869889</v>
      </c>
      <c r="P61" s="23">
        <v>1023.7019769843611</v>
      </c>
      <c r="Q61" s="23">
        <v>518.9279300256128</v>
      </c>
      <c r="R61" s="23">
        <v>-643.95842638721865</v>
      </c>
      <c r="S61" s="23">
        <v>1696.7679600000001</v>
      </c>
      <c r="T61" s="23">
        <v>1649.3858672376873</v>
      </c>
      <c r="U61" s="23">
        <v>1738.0220867567807</v>
      </c>
      <c r="V61" s="23">
        <v>1276.1206052301236</v>
      </c>
      <c r="W61" s="23">
        <v>1783.3209308403884</v>
      </c>
      <c r="X61" s="23">
        <v>184.51909163070357</v>
      </c>
      <c r="Y61" s="23">
        <v>1406.9203217483685</v>
      </c>
      <c r="Z61" s="23">
        <v>3831.7052100416299</v>
      </c>
      <c r="AA61" s="23">
        <v>2686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10131.137810800188</v>
      </c>
      <c r="E62" s="23">
        <v>11025.016009008128</v>
      </c>
      <c r="F62" s="23">
        <v>11537.942229693983</v>
      </c>
      <c r="G62" s="23">
        <v>11219.989446334959</v>
      </c>
      <c r="H62" s="23">
        <v>12010.150549638322</v>
      </c>
      <c r="I62" s="23">
        <v>12206.059710508065</v>
      </c>
      <c r="J62" s="23">
        <v>13353.635220949262</v>
      </c>
      <c r="K62" s="23">
        <v>13692.591318276471</v>
      </c>
      <c r="L62" s="23">
        <v>12734.29858394863</v>
      </c>
      <c r="M62" s="23">
        <v>9452.3927754439956</v>
      </c>
      <c r="N62" s="23">
        <v>10287.537218970405</v>
      </c>
      <c r="O62" s="23">
        <v>11156.907867580285</v>
      </c>
      <c r="P62" s="23">
        <v>10634.335202124521</v>
      </c>
      <c r="Q62" s="23">
        <v>9662.6183298069427</v>
      </c>
      <c r="R62" s="23">
        <v>9433.1554715684597</v>
      </c>
      <c r="S62" s="23">
        <v>10974.29832</v>
      </c>
      <c r="T62" s="23">
        <v>11844.668094218416</v>
      </c>
      <c r="U62" s="23">
        <v>12895.324793120712</v>
      </c>
      <c r="V62" s="23">
        <v>13373.061395019022</v>
      </c>
      <c r="W62" s="23">
        <v>11235.396783317308</v>
      </c>
      <c r="X62" s="23">
        <v>9575.2643084587107</v>
      </c>
      <c r="Y62" s="23">
        <v>12104.738200030353</v>
      </c>
      <c r="Z62" s="23">
        <v>8440.0206887851637</v>
      </c>
      <c r="AA62" s="23">
        <v>7441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3899.5688039660704</v>
      </c>
      <c r="E63" s="23">
        <v>4284.2197199647517</v>
      </c>
      <c r="F63" s="23">
        <v>4743.1768730675631</v>
      </c>
      <c r="G63" s="23">
        <v>4199.6363469143753</v>
      </c>
      <c r="H63" s="23">
        <v>3916.4479352964636</v>
      </c>
      <c r="I63" s="23">
        <v>3512.8524799212514</v>
      </c>
      <c r="J63" s="23">
        <v>3334.9392471358428</v>
      </c>
      <c r="K63" s="23">
        <v>3623.8303379785361</v>
      </c>
      <c r="L63" s="23">
        <v>3634.1902988976972</v>
      </c>
      <c r="M63" s="23">
        <v>3782.5441916566151</v>
      </c>
      <c r="N63" s="23">
        <v>3717.2458996049563</v>
      </c>
      <c r="O63" s="23">
        <v>3908.8554858416578</v>
      </c>
      <c r="P63" s="23">
        <v>4741.9014458542342</v>
      </c>
      <c r="Q63" s="23">
        <v>3293.8403101873882</v>
      </c>
      <c r="R63" s="23">
        <v>3538.5579797285691</v>
      </c>
      <c r="S63" s="23">
        <v>4543.3696800000007</v>
      </c>
      <c r="T63" s="23">
        <v>5434.6124197002146</v>
      </c>
      <c r="U63" s="23">
        <v>5828.3671702447218</v>
      </c>
      <c r="V63" s="23">
        <v>6062.4870013511318</v>
      </c>
      <c r="W63" s="23">
        <v>6885.1385339170529</v>
      </c>
      <c r="X63" s="23">
        <v>7560.6407671322877</v>
      </c>
      <c r="Y63" s="23">
        <v>8586.8696312035208</v>
      </c>
      <c r="Z63" s="23">
        <v>9142.8208906269701</v>
      </c>
      <c r="AA63" s="23">
        <v>9921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3391.560461017637</v>
      </c>
      <c r="E64" s="23">
        <v>3421.7714187799866</v>
      </c>
      <c r="F64" s="23">
        <v>3442.2424848050218</v>
      </c>
      <c r="G64" s="23">
        <v>3322.2749931021799</v>
      </c>
      <c r="H64" s="23">
        <v>3196.3315372785787</v>
      </c>
      <c r="I64" s="23">
        <v>3212.6451598469766</v>
      </c>
      <c r="J64" s="23">
        <v>3304.4071358428801</v>
      </c>
      <c r="K64" s="23">
        <v>3463.5559827006246</v>
      </c>
      <c r="L64" s="23">
        <v>3338.8790813445166</v>
      </c>
      <c r="M64" s="23">
        <v>3346.0967849270055</v>
      </c>
      <c r="N64" s="23">
        <v>3009.5748826242534</v>
      </c>
      <c r="O64" s="23">
        <v>3129.1845125072236</v>
      </c>
      <c r="P64" s="23">
        <v>3155.2280908822659</v>
      </c>
      <c r="Q64" s="23">
        <v>3204.9916075279161</v>
      </c>
      <c r="R64" s="23">
        <v>3524.4191719635801</v>
      </c>
      <c r="S64" s="23">
        <v>3477.48396</v>
      </c>
      <c r="T64" s="23">
        <v>3758.6235546038542</v>
      </c>
      <c r="U64" s="23">
        <v>3754.4773095385344</v>
      </c>
      <c r="V64" s="23">
        <v>3658.9437028661232</v>
      </c>
      <c r="W64" s="23">
        <v>3623.632144424012</v>
      </c>
      <c r="X64" s="23">
        <v>3640.4804430535664</v>
      </c>
      <c r="Y64" s="23">
        <v>3725.6703596903926</v>
      </c>
      <c r="Z64" s="23">
        <v>3779.2893654598206</v>
      </c>
      <c r="AA64" s="23">
        <v>3549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3030.3100838098621</v>
      </c>
      <c r="E65" s="23">
        <v>2998.3310976206799</v>
      </c>
      <c r="F65" s="23">
        <v>2841.1210778147447</v>
      </c>
      <c r="G65" s="23">
        <v>2566.2819599006716</v>
      </c>
      <c r="H65" s="23">
        <v>2554.4571623853735</v>
      </c>
      <c r="I65" s="23">
        <v>2457.1471173851764</v>
      </c>
      <c r="J65" s="23">
        <v>2677.1110310965628</v>
      </c>
      <c r="K65" s="23">
        <v>2946.0599711677078</v>
      </c>
      <c r="L65" s="23">
        <v>2935.8191763057166</v>
      </c>
      <c r="M65" s="23">
        <v>2831.6178721457386</v>
      </c>
      <c r="N65" s="23">
        <v>2476.8485594324602</v>
      </c>
      <c r="O65" s="23">
        <v>2606.7787088252289</v>
      </c>
      <c r="P65" s="23">
        <v>2253.1796990262615</v>
      </c>
      <c r="Q65" s="23">
        <v>2168.4234098340744</v>
      </c>
      <c r="R65" s="23">
        <v>2077.1193952929052</v>
      </c>
      <c r="S65" s="23">
        <v>2060.5428000000002</v>
      </c>
      <c r="T65" s="23">
        <v>2334.7297644539617</v>
      </c>
      <c r="U65" s="23">
        <v>2408.50905557028</v>
      </c>
      <c r="V65" s="23">
        <v>2569.304905277078</v>
      </c>
      <c r="W65" s="23">
        <v>2614.429220845896</v>
      </c>
      <c r="X65" s="23">
        <v>2687.712051677418</v>
      </c>
      <c r="Y65" s="23">
        <v>2646.9178934587949</v>
      </c>
      <c r="Z65" s="23">
        <v>2554.4701400277531</v>
      </c>
      <c r="AA65" s="23">
        <v>2493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3094.819079739822</v>
      </c>
      <c r="E66" s="23">
        <v>2607.5828600802902</v>
      </c>
      <c r="F66" s="23">
        <v>2579.4388732791758</v>
      </c>
      <c r="G66" s="23">
        <v>2654.018095281891</v>
      </c>
      <c r="H66" s="23">
        <v>3387.5898160277957</v>
      </c>
      <c r="I66" s="23">
        <v>3657.9763976822751</v>
      </c>
      <c r="J66" s="23">
        <v>3920.600654664484</v>
      </c>
      <c r="K66" s="23">
        <v>4051.6813711356722</v>
      </c>
      <c r="L66" s="23">
        <v>3567.6787634127468</v>
      </c>
      <c r="M66" s="23">
        <v>2261.5911075988852</v>
      </c>
      <c r="N66" s="23">
        <v>2300.5884920060398</v>
      </c>
      <c r="O66" s="23">
        <v>2269.4463180054486</v>
      </c>
      <c r="P66" s="23">
        <v>2385.1867807612866</v>
      </c>
      <c r="Q66" s="23">
        <v>2337.107178651333</v>
      </c>
      <c r="R66" s="23">
        <v>2704.3683215942278</v>
      </c>
      <c r="S66" s="23">
        <v>2326.37826</v>
      </c>
      <c r="T66" s="23">
        <v>2618.495074946467</v>
      </c>
      <c r="U66" s="23">
        <v>2629.5075536708191</v>
      </c>
      <c r="V66" s="23">
        <v>2867.919564571615</v>
      </c>
      <c r="W66" s="23">
        <v>2331.8524022440233</v>
      </c>
      <c r="X66" s="23">
        <v>1933.3887211116487</v>
      </c>
      <c r="Y66" s="23">
        <v>2849.0420397632415</v>
      </c>
      <c r="Z66" s="23">
        <v>2860.4075186072914</v>
      </c>
      <c r="AA66" s="23">
        <v>1886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8170.0643345294102</v>
      </c>
      <c r="E67" s="23">
        <v>8001.7766572016071</v>
      </c>
      <c r="F67" s="23">
        <v>7436.2605894593289</v>
      </c>
      <c r="G67" s="23">
        <v>7017.428561574543</v>
      </c>
      <c r="H67" s="23">
        <v>7053.3734920544521</v>
      </c>
      <c r="I67" s="23">
        <v>7323.0667129018548</v>
      </c>
      <c r="J67" s="23">
        <v>7379.0561702127652</v>
      </c>
      <c r="K67" s="23">
        <v>7800.4713759410542</v>
      </c>
      <c r="L67" s="23">
        <v>8222.1560166495856</v>
      </c>
      <c r="M67" s="23">
        <v>7635.1844819698035</v>
      </c>
      <c r="N67" s="23">
        <v>7654.1591966741826</v>
      </c>
      <c r="O67" s="23">
        <v>8193.1081069924876</v>
      </c>
      <c r="P67" s="23">
        <v>8088.6692239598697</v>
      </c>
      <c r="Q67" s="23">
        <v>7813.5351846040157</v>
      </c>
      <c r="R67" s="23">
        <v>8177.3722728053599</v>
      </c>
      <c r="S67" s="23">
        <v>8416.4269800000002</v>
      </c>
      <c r="T67" s="23">
        <v>8882.8676659528901</v>
      </c>
      <c r="U67" s="23">
        <v>8842.4370821921839</v>
      </c>
      <c r="V67" s="23">
        <v>9241.2095786578775</v>
      </c>
      <c r="W67" s="23">
        <v>9455.6377451483713</v>
      </c>
      <c r="X67" s="23">
        <v>8883.6078392014824</v>
      </c>
      <c r="Y67" s="23">
        <v>9105.8063439065099</v>
      </c>
      <c r="Z67" s="23">
        <v>9867.0153147470664</v>
      </c>
      <c r="AA67" s="23">
        <v>9765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8771.6107215762859</v>
      </c>
      <c r="E68" s="23">
        <v>7861.6677274062476</v>
      </c>
      <c r="F68" s="23">
        <v>6091.9617215880362</v>
      </c>
      <c r="G68" s="23">
        <v>5248.0831647199484</v>
      </c>
      <c r="H68" s="23">
        <v>5582.713242581307</v>
      </c>
      <c r="I68" s="23">
        <v>7415.5476408868208</v>
      </c>
      <c r="J68" s="23">
        <v>7742.6658592471349</v>
      </c>
      <c r="K68" s="23">
        <v>7853.4434086176516</v>
      </c>
      <c r="L68" s="23">
        <v>6780.1859273358577</v>
      </c>
      <c r="M68" s="23">
        <v>6439.5831011105101</v>
      </c>
      <c r="N68" s="23">
        <v>6521.6224947775554</v>
      </c>
      <c r="O68" s="23">
        <v>6057.5446833980022</v>
      </c>
      <c r="P68" s="23">
        <v>5822.5476541752723</v>
      </c>
      <c r="Q68" s="23">
        <v>5871.7403496694651</v>
      </c>
      <c r="R68" s="23">
        <v>5951.1527228998457</v>
      </c>
      <c r="S68" s="23">
        <v>6700.5799200000001</v>
      </c>
      <c r="T68" s="23">
        <v>5733.5794432548182</v>
      </c>
      <c r="U68" s="23">
        <v>5872.0674382307043</v>
      </c>
      <c r="V68" s="23">
        <v>6576.8355165441708</v>
      </c>
      <c r="W68" s="23">
        <v>6471.9589840286008</v>
      </c>
      <c r="X68" s="23">
        <v>6056.6360957273073</v>
      </c>
      <c r="Y68" s="23">
        <v>6249.9511306723316</v>
      </c>
      <c r="Z68" s="23">
        <v>7496.5354863126022</v>
      </c>
      <c r="AA68" s="23">
        <v>6768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4741.411200852046</v>
      </c>
      <c r="E69" s="23">
        <v>4201.7111279741512</v>
      </c>
      <c r="F69" s="23">
        <v>3277.756527668379</v>
      </c>
      <c r="G69" s="23">
        <v>3240.3879334130415</v>
      </c>
      <c r="H69" s="23">
        <v>3044.1942700917016</v>
      </c>
      <c r="I69" s="23">
        <v>2575.2381485044411</v>
      </c>
      <c r="J69" s="23">
        <v>2975.4930278232405</v>
      </c>
      <c r="K69" s="23">
        <v>3375.2692615729616</v>
      </c>
      <c r="L69" s="23">
        <v>3563.6880712836496</v>
      </c>
      <c r="M69" s="23">
        <v>2584.2976749989602</v>
      </c>
      <c r="N69" s="23">
        <v>2426.8643612070573</v>
      </c>
      <c r="O69" s="23">
        <v>2915.2343969289195</v>
      </c>
      <c r="P69" s="23">
        <v>2858.8592505163765</v>
      </c>
      <c r="Q69" s="23">
        <v>2885.6513428967696</v>
      </c>
      <c r="R69" s="23">
        <v>2840.6150146023019</v>
      </c>
      <c r="S69" s="23">
        <v>3158.2270200000003</v>
      </c>
      <c r="T69" s="23">
        <v>3443.1880085653106</v>
      </c>
      <c r="U69" s="23">
        <v>3491.0271225373267</v>
      </c>
      <c r="V69" s="23">
        <v>3335.9523366903995</v>
      </c>
      <c r="W69" s="23">
        <v>3498.9659009231859</v>
      </c>
      <c r="X69" s="23">
        <v>3684.579345455873</v>
      </c>
      <c r="Y69" s="23">
        <v>3684.7913188647744</v>
      </c>
      <c r="Z69" s="23">
        <v>3633.8086539674528</v>
      </c>
      <c r="AA69" s="23">
        <v>3768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7524.9743752298118</v>
      </c>
      <c r="E70" s="23">
        <v>7335.4808577303447</v>
      </c>
      <c r="F70" s="23">
        <v>7120.7466171335864</v>
      </c>
      <c r="G70" s="23">
        <v>7214.8348661822865</v>
      </c>
      <c r="H70" s="23">
        <v>8183.5360482998249</v>
      </c>
      <c r="I70" s="23">
        <v>8156.8178482740113</v>
      </c>
      <c r="J70" s="23">
        <v>9084.6909328968904</v>
      </c>
      <c r="K70" s="23">
        <v>9774.0191574563505</v>
      </c>
      <c r="L70" s="23">
        <v>9710.6841808027784</v>
      </c>
      <c r="M70" s="23">
        <v>8299.1135673584831</v>
      </c>
      <c r="N70" s="23">
        <v>10676.887815673543</v>
      </c>
      <c r="O70" s="23">
        <v>12080.96235449517</v>
      </c>
      <c r="P70" s="23">
        <v>10865.994688698731</v>
      </c>
      <c r="Q70" s="23">
        <v>11301.812510756336</v>
      </c>
      <c r="R70" s="23">
        <v>12281.482563133482</v>
      </c>
      <c r="S70" s="23">
        <v>12208.080120000001</v>
      </c>
      <c r="T70" s="23">
        <v>12326.055674518202</v>
      </c>
      <c r="U70" s="23">
        <v>14142.655299349177</v>
      </c>
      <c r="V70" s="23">
        <v>15091.619230142685</v>
      </c>
      <c r="W70" s="23">
        <v>16661.346619496118</v>
      </c>
      <c r="X70" s="23">
        <v>17838.006021732985</v>
      </c>
      <c r="Y70" s="23">
        <v>21103.804826225525</v>
      </c>
      <c r="Z70" s="23">
        <v>20653.982187460577</v>
      </c>
      <c r="AA70" s="23">
        <v>22576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3481.8730553195805</v>
      </c>
      <c r="E71" s="23">
        <v>3157.1212180554198</v>
      </c>
      <c r="F71" s="23">
        <v>2954.7659209273343</v>
      </c>
      <c r="G71" s="23">
        <v>2975.7172583463625</v>
      </c>
      <c r="H71" s="23">
        <v>3168.8019365495247</v>
      </c>
      <c r="I71" s="23">
        <v>2913.8606232801631</v>
      </c>
      <c r="J71" s="23">
        <v>2950.5122094926346</v>
      </c>
      <c r="K71" s="23">
        <v>3200.0540765657538</v>
      </c>
      <c r="L71" s="23">
        <v>3255.0745466334793</v>
      </c>
      <c r="M71" s="23">
        <v>1513.017676662646</v>
      </c>
      <c r="N71" s="23">
        <v>2254.5504146931689</v>
      </c>
      <c r="O71" s="23">
        <v>2734.0987162552628</v>
      </c>
      <c r="P71" s="23">
        <v>2285.5343759221009</v>
      </c>
      <c r="Q71" s="23">
        <v>2212.2039299851185</v>
      </c>
      <c r="R71" s="23">
        <v>2154.240164920117</v>
      </c>
      <c r="S71" s="23">
        <v>2576.9504400000001</v>
      </c>
      <c r="T71" s="23">
        <v>2803.4492505353319</v>
      </c>
      <c r="U71" s="23">
        <v>3201.35677474453</v>
      </c>
      <c r="V71" s="23">
        <v>3535.8413331161305</v>
      </c>
      <c r="W71" s="23">
        <v>3484.7183302373769</v>
      </c>
      <c r="X71" s="23">
        <v>3032.3797888743925</v>
      </c>
      <c r="Y71" s="23">
        <v>3164.7190772499616</v>
      </c>
      <c r="Z71" s="23">
        <v>3294.7102308565659</v>
      </c>
      <c r="AA71" s="23">
        <v>3906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1412.7470108661198</v>
      </c>
      <c r="E72" s="23">
        <v>2269.7646626848136</v>
      </c>
      <c r="F72" s="23">
        <v>2281.8688235501581</v>
      </c>
      <c r="G72" s="23">
        <v>2118.827669456452</v>
      </c>
      <c r="H72" s="23">
        <v>2161.7981204078146</v>
      </c>
      <c r="I72" s="23">
        <v>2145.557529251214</v>
      </c>
      <c r="J72" s="23">
        <v>2017.8949918166938</v>
      </c>
      <c r="K72" s="23">
        <v>2565.7479416946981</v>
      </c>
      <c r="L72" s="23">
        <v>2748.256646238156</v>
      </c>
      <c r="M72" s="23">
        <v>2565.7817244104313</v>
      </c>
      <c r="N72" s="23">
        <v>2461.064075782333</v>
      </c>
      <c r="O72" s="23">
        <v>1989.8673326178487</v>
      </c>
      <c r="P72" s="23">
        <v>1859.7468279728532</v>
      </c>
      <c r="Q72" s="23">
        <v>2016.4792516628031</v>
      </c>
      <c r="R72" s="23">
        <v>1940.8727022848309</v>
      </c>
      <c r="S72" s="23">
        <v>1809.9706200000001</v>
      </c>
      <c r="T72" s="23">
        <v>1683.5897216274091</v>
      </c>
      <c r="U72" s="23">
        <v>1930.3032658951026</v>
      </c>
      <c r="V72" s="23">
        <v>1695.3999635865348</v>
      </c>
      <c r="W72" s="23">
        <v>1817.7525599977596</v>
      </c>
      <c r="X72" s="23">
        <v>1882.3268341195042</v>
      </c>
      <c r="Y72" s="23">
        <v>1755.527697677948</v>
      </c>
      <c r="Z72" s="23">
        <v>1922.2708717043017</v>
      </c>
      <c r="AA72" s="23">
        <v>1801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4607.5550342973793</v>
      </c>
      <c r="E73" s="23">
        <v>4405.6474591207289</v>
      </c>
      <c r="F73" s="23">
        <v>4151.0274273756477</v>
      </c>
      <c r="G73" s="23">
        <v>3876.4749149268832</v>
      </c>
      <c r="H73" s="23">
        <v>3674.4772341516209</v>
      </c>
      <c r="I73" s="23">
        <v>3753.302892682163</v>
      </c>
      <c r="J73" s="23">
        <v>3662.4655319148933</v>
      </c>
      <c r="K73" s="23">
        <v>3722.983117091142</v>
      </c>
      <c r="L73" s="23">
        <v>3832.3946746428496</v>
      </c>
      <c r="M73" s="23">
        <v>3319.645426943393</v>
      </c>
      <c r="N73" s="23">
        <v>3051.6668390245927</v>
      </c>
      <c r="O73" s="23">
        <v>2991.3638859077023</v>
      </c>
      <c r="P73" s="23">
        <v>2949.4523458247268</v>
      </c>
      <c r="Q73" s="23">
        <v>2738.8578341550333</v>
      </c>
      <c r="R73" s="23">
        <v>2798.1985913073354</v>
      </c>
      <c r="S73" s="23">
        <v>2882.2160400000002</v>
      </c>
      <c r="T73" s="23">
        <v>2954.1995717344753</v>
      </c>
      <c r="U73" s="23">
        <v>3324.9661041905943</v>
      </c>
      <c r="V73" s="23">
        <v>3393.2375978611885</v>
      </c>
      <c r="W73" s="23">
        <v>3428.9153450512931</v>
      </c>
      <c r="X73" s="23">
        <v>3426.9489156318718</v>
      </c>
      <c r="Y73" s="23">
        <v>3624.6082865381695</v>
      </c>
      <c r="Z73" s="23">
        <v>3474.4216979941971</v>
      </c>
      <c r="AA73" s="23">
        <v>3394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3291.5715173261992</v>
      </c>
      <c r="E74" s="23">
        <v>3579.0047733281117</v>
      </c>
      <c r="F74" s="23">
        <v>3561.8686354498532</v>
      </c>
      <c r="G74" s="23">
        <v>3348.5958337165457</v>
      </c>
      <c r="H74" s="23">
        <v>3303.5520874864728</v>
      </c>
      <c r="I74" s="23">
        <v>3444.5588715631225</v>
      </c>
      <c r="J74" s="23">
        <v>3444.5772831423892</v>
      </c>
      <c r="K74" s="23">
        <v>3458.1229537081531</v>
      </c>
      <c r="L74" s="23">
        <v>3567.6787634127468</v>
      </c>
      <c r="M74" s="23">
        <v>3395.0317971966892</v>
      </c>
      <c r="N74" s="23">
        <v>3550.1934476411102</v>
      </c>
      <c r="O74" s="23">
        <v>3945.6076529348634</v>
      </c>
      <c r="P74" s="23">
        <v>4142.6928297432869</v>
      </c>
      <c r="Q74" s="23">
        <v>3882.3020075117183</v>
      </c>
      <c r="R74" s="23">
        <v>3983.2877512454907</v>
      </c>
      <c r="S74" s="23">
        <v>4034.5936800000004</v>
      </c>
      <c r="T74" s="23">
        <v>4025.92034261242</v>
      </c>
      <c r="U74" s="23">
        <v>4275.1347881143802</v>
      </c>
      <c r="V74" s="23">
        <v>4595.0092471036924</v>
      </c>
      <c r="W74" s="23">
        <v>4398.9374492434354</v>
      </c>
      <c r="X74" s="23">
        <v>4152.2598104066501</v>
      </c>
      <c r="Y74" s="23">
        <v>4316.1453938382147</v>
      </c>
      <c r="Z74" s="23">
        <v>4705.6591901097509</v>
      </c>
      <c r="AA74" s="23">
        <v>5247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92697.814426453988</v>
      </c>
      <c r="E75" s="30">
        <f t="shared" ref="E75:S75" si="9">SUM(E56:E74)</f>
        <v>94094.043718789777</v>
      </c>
      <c r="F75" s="30">
        <f t="shared" si="9"/>
        <v>89553.631699603808</v>
      </c>
      <c r="G75" s="30">
        <f t="shared" si="9"/>
        <v>86241.696541892801</v>
      </c>
      <c r="H75" s="30">
        <f t="shared" si="9"/>
        <v>88868.449006094437</v>
      </c>
      <c r="I75" s="30">
        <f t="shared" si="9"/>
        <v>91224.610147878018</v>
      </c>
      <c r="J75" s="30">
        <f t="shared" si="9"/>
        <v>91675.439803600631</v>
      </c>
      <c r="K75" s="30">
        <f t="shared" si="9"/>
        <v>95922.843376581775</v>
      </c>
      <c r="L75" s="30">
        <f t="shared" si="9"/>
        <v>93576.409504486597</v>
      </c>
      <c r="M75" s="30">
        <f t="shared" si="9"/>
        <v>81988.629206005891</v>
      </c>
      <c r="N75" s="30">
        <f t="shared" si="9"/>
        <v>82654.133260253584</v>
      </c>
      <c r="O75" s="30">
        <f t="shared" si="9"/>
        <v>86979.253735655919</v>
      </c>
      <c r="P75" s="30">
        <f t="shared" si="9"/>
        <v>85704.950722927111</v>
      </c>
      <c r="Q75" s="30">
        <f t="shared" si="9"/>
        <v>82687.238279391386</v>
      </c>
      <c r="R75" s="30">
        <f t="shared" si="9"/>
        <v>84281.433087098427</v>
      </c>
      <c r="S75" s="30">
        <f t="shared" si="9"/>
        <v>90254.318520000015</v>
      </c>
      <c r="T75" s="30">
        <f t="shared" ref="T75:Y75" si="10">SUM(T56:T74)</f>
        <v>93667.888650963578</v>
      </c>
      <c r="U75" s="30">
        <f t="shared" si="10"/>
        <v>98907.440822216333</v>
      </c>
      <c r="V75" s="30">
        <f t="shared" si="10"/>
        <v>102283.44323811532</v>
      </c>
      <c r="W75" s="30">
        <f t="shared" si="10"/>
        <v>102663.24517170886</v>
      </c>
      <c r="X75" s="30">
        <f t="shared" si="10"/>
        <v>99336.259153490333</v>
      </c>
      <c r="Y75" s="30">
        <f t="shared" si="10"/>
        <v>108881.32523903473</v>
      </c>
      <c r="Z75" s="30">
        <f t="shared" ref="Z75:AA75" si="11">SUM(Z56:Z74)</f>
        <v>110004.8121105084</v>
      </c>
      <c r="AA75" s="30">
        <f t="shared" si="11"/>
        <v>109965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15863950</v>
      </c>
      <c r="E3" s="42">
        <v>15987075</v>
      </c>
      <c r="F3" s="42">
        <v>16105285</v>
      </c>
      <c r="G3" s="42">
        <v>16192572</v>
      </c>
      <c r="H3" s="42">
        <v>16258032</v>
      </c>
      <c r="I3" s="42">
        <v>16305526</v>
      </c>
      <c r="J3" s="42">
        <v>16334210</v>
      </c>
      <c r="K3" s="42">
        <v>16357992</v>
      </c>
      <c r="L3" s="42">
        <v>16405399</v>
      </c>
      <c r="M3" s="42">
        <v>16485787</v>
      </c>
      <c r="N3" s="42">
        <v>16574989</v>
      </c>
      <c r="O3" s="42">
        <v>16655799</v>
      </c>
      <c r="P3" s="42">
        <v>16730348</v>
      </c>
      <c r="Q3" s="42">
        <v>16779575</v>
      </c>
      <c r="R3" s="42">
        <v>16829289</v>
      </c>
      <c r="S3" s="42">
        <v>16900726</v>
      </c>
      <c r="T3" s="42">
        <v>16979120</v>
      </c>
      <c r="U3" s="42">
        <v>17081507</v>
      </c>
      <c r="V3" s="42">
        <v>17181084</v>
      </c>
      <c r="W3" s="42">
        <v>17282163</v>
      </c>
      <c r="X3" s="42">
        <v>17407585</v>
      </c>
      <c r="Y3" s="42">
        <v>17475415</v>
      </c>
      <c r="Z3" s="42">
        <v>17590672</v>
      </c>
      <c r="AA3" s="42">
        <v>17811291</v>
      </c>
    </row>
    <row r="4" spans="1:27" x14ac:dyDescent="0.25">
      <c r="A4" s="43" t="s">
        <v>239</v>
      </c>
      <c r="B4" s="44"/>
      <c r="C4" s="44"/>
      <c r="D4" s="45">
        <v>6867118</v>
      </c>
      <c r="E4" s="45">
        <v>6939588</v>
      </c>
      <c r="F4" s="45">
        <v>7008240</v>
      </c>
      <c r="G4" s="45">
        <v>7069603</v>
      </c>
      <c r="H4" s="45">
        <v>7115891</v>
      </c>
      <c r="I4" s="45">
        <v>7151546</v>
      </c>
      <c r="J4" s="45">
        <v>7202033</v>
      </c>
      <c r="K4" s="45">
        <v>7257317</v>
      </c>
      <c r="L4" s="45">
        <v>7301023</v>
      </c>
      <c r="M4" s="45">
        <v>7366303</v>
      </c>
      <c r="N4" s="45">
        <v>7452783</v>
      </c>
      <c r="O4" s="45">
        <v>7519548</v>
      </c>
      <c r="P4" s="45">
        <v>7563448</v>
      </c>
      <c r="Q4" s="45">
        <v>7658409</v>
      </c>
      <c r="R4" s="45">
        <v>7709248</v>
      </c>
      <c r="S4" s="45">
        <v>7752627</v>
      </c>
      <c r="T4" s="45">
        <v>7857066</v>
      </c>
      <c r="U4" s="45">
        <v>7926453</v>
      </c>
      <c r="V4" s="45">
        <v>7991202</v>
      </c>
      <c r="W4" s="45">
        <v>8064472</v>
      </c>
      <c r="X4" s="45">
        <v>8164909</v>
      </c>
      <c r="Y4" s="45">
        <v>8209682</v>
      </c>
      <c r="Z4" s="45">
        <v>8285762</v>
      </c>
      <c r="AA4" s="45">
        <v>8429385</v>
      </c>
    </row>
    <row r="5" spans="1:27" x14ac:dyDescent="0.25">
      <c r="A5" s="46" t="s">
        <v>240</v>
      </c>
      <c r="B5" s="47"/>
      <c r="C5" s="47"/>
      <c r="D5" s="48">
        <f>D3/D4</f>
        <v>2.3101321398583803</v>
      </c>
      <c r="E5" s="48">
        <f t="shared" ref="E5:S5" si="0">E3/E4</f>
        <v>2.3037498767938387</v>
      </c>
      <c r="F5" s="48">
        <f t="shared" si="0"/>
        <v>2.2980498670136869</v>
      </c>
      <c r="G5" s="48">
        <f t="shared" si="0"/>
        <v>2.2904499729334167</v>
      </c>
      <c r="H5" s="48">
        <f t="shared" si="0"/>
        <v>2.2847500053050278</v>
      </c>
      <c r="I5" s="48">
        <f t="shared" si="0"/>
        <v>2.2800001566094941</v>
      </c>
      <c r="J5" s="48">
        <f t="shared" si="0"/>
        <v>2.2679998828108676</v>
      </c>
      <c r="K5" s="48">
        <f t="shared" si="0"/>
        <v>2.25399992862376</v>
      </c>
      <c r="L5" s="48">
        <f t="shared" si="0"/>
        <v>2.2470000436925073</v>
      </c>
      <c r="M5" s="48">
        <f t="shared" si="0"/>
        <v>2.2380001202774307</v>
      </c>
      <c r="N5" s="48">
        <f t="shared" si="0"/>
        <v>2.2239999474021985</v>
      </c>
      <c r="O5" s="48">
        <f t="shared" si="0"/>
        <v>2.2150000239376091</v>
      </c>
      <c r="P5" s="48">
        <f t="shared" si="0"/>
        <v>2.2120001353879872</v>
      </c>
      <c r="Q5" s="48">
        <f t="shared" si="0"/>
        <v>2.1910001150369482</v>
      </c>
      <c r="R5" s="48">
        <f t="shared" si="0"/>
        <v>2.1830000799040321</v>
      </c>
      <c r="S5" s="48">
        <f t="shared" si="0"/>
        <v>2.17999988906986</v>
      </c>
      <c r="T5" s="48">
        <f t="shared" ref="T5:Y5" si="1">T3/T4</f>
        <v>2.1610000476004658</v>
      </c>
      <c r="U5" s="48">
        <f t="shared" si="1"/>
        <v>2.1550000990354703</v>
      </c>
      <c r="V5" s="48">
        <f t="shared" si="1"/>
        <v>2.1499999624587138</v>
      </c>
      <c r="W5" s="48">
        <f t="shared" si="1"/>
        <v>2.1429999384956635</v>
      </c>
      <c r="X5" s="48">
        <f t="shared" si="1"/>
        <v>2.1319998789943648</v>
      </c>
      <c r="Y5" s="48">
        <f t="shared" si="1"/>
        <v>2.1286348241015913</v>
      </c>
      <c r="Z5" s="48">
        <f t="shared" ref="Z5:AA5" si="2">Z3/Z4</f>
        <v>2.1229999123798149</v>
      </c>
      <c r="AA5" s="48">
        <f t="shared" si="2"/>
        <v>2.1130000587231454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3228.79</v>
      </c>
      <c r="E8" s="42">
        <v>3141.54</v>
      </c>
      <c r="F8" s="42">
        <v>2942.85</v>
      </c>
      <c r="G8" s="42">
        <v>2968.88</v>
      </c>
      <c r="H8" s="42">
        <v>3167.87</v>
      </c>
      <c r="I8" s="42">
        <v>3413.7</v>
      </c>
      <c r="J8" s="42">
        <v>3326.55</v>
      </c>
      <c r="K8" s="42">
        <v>3378.53</v>
      </c>
      <c r="L8" s="42">
        <v>2770.14</v>
      </c>
      <c r="M8" s="42">
        <v>2616.85</v>
      </c>
      <c r="N8" s="42">
        <v>2581.58</v>
      </c>
      <c r="O8" s="42">
        <v>3017.65</v>
      </c>
      <c r="P8" s="42">
        <v>2720.82</v>
      </c>
      <c r="Q8" s="42">
        <v>2977.67</v>
      </c>
      <c r="R8" s="42">
        <v>2745.51</v>
      </c>
      <c r="S8" s="42">
        <v>2819.91</v>
      </c>
      <c r="T8" s="42">
        <v>3449.16</v>
      </c>
      <c r="U8" s="42">
        <v>2866.8</v>
      </c>
      <c r="V8" s="42">
        <v>2666.62</v>
      </c>
      <c r="W8" s="42">
        <v>2554.75</v>
      </c>
      <c r="X8" s="42">
        <v>2496.48</v>
      </c>
      <c r="Y8" s="42">
        <v>2728.84</v>
      </c>
      <c r="Z8" s="42">
        <v>2594.89</v>
      </c>
      <c r="AA8" s="42">
        <v>2762.17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2945.3642857142863</v>
      </c>
      <c r="E9" s="45">
        <f t="shared" si="3"/>
        <v>2945.3642857142863</v>
      </c>
      <c r="F9" s="45">
        <f t="shared" si="3"/>
        <v>2945.3642857142863</v>
      </c>
      <c r="G9" s="45">
        <f t="shared" si="3"/>
        <v>2945.3642857142863</v>
      </c>
      <c r="H9" s="45">
        <f t="shared" si="3"/>
        <v>2945.3642857142863</v>
      </c>
      <c r="I9" s="45">
        <f t="shared" si="3"/>
        <v>2945.3642857142863</v>
      </c>
      <c r="J9" s="45">
        <f t="shared" si="3"/>
        <v>2945.3642857142863</v>
      </c>
      <c r="K9" s="45">
        <f t="shared" si="3"/>
        <v>2945.3642857142863</v>
      </c>
      <c r="L9" s="45">
        <f t="shared" si="3"/>
        <v>2945.3642857142863</v>
      </c>
      <c r="M9" s="45">
        <f t="shared" si="3"/>
        <v>2945.3642857142863</v>
      </c>
      <c r="N9" s="45">
        <f t="shared" si="3"/>
        <v>2945.3642857142863</v>
      </c>
      <c r="O9" s="45">
        <f t="shared" si="3"/>
        <v>2945.3642857142863</v>
      </c>
      <c r="P9" s="45">
        <f t="shared" si="3"/>
        <v>2945.3642857142863</v>
      </c>
      <c r="Q9" s="45">
        <f t="shared" si="3"/>
        <v>2945.3642857142863</v>
      </c>
      <c r="R9" s="45">
        <f t="shared" si="3"/>
        <v>2945.3642857142863</v>
      </c>
      <c r="S9" s="45">
        <f t="shared" si="3"/>
        <v>2945.3642857142863</v>
      </c>
      <c r="T9" s="45">
        <f t="shared" si="3"/>
        <v>2945.3642857142863</v>
      </c>
      <c r="U9" s="45">
        <f t="shared" si="3"/>
        <v>2945.3642857142863</v>
      </c>
      <c r="V9" s="45">
        <f t="shared" si="3"/>
        <v>2945.3642857142863</v>
      </c>
      <c r="W9" s="45">
        <f t="shared" si="3"/>
        <v>2945.3642857142863</v>
      </c>
      <c r="X9" s="45">
        <f>AVERAGE($D8:$X8)</f>
        <v>2945.3642857142863</v>
      </c>
      <c r="Y9" s="45">
        <f t="shared" ref="Y9:AA9" si="4">AVERAGE($D8:$X8)</f>
        <v>2945.3642857142863</v>
      </c>
      <c r="Z9" s="45">
        <f t="shared" si="4"/>
        <v>2945.3642857142863</v>
      </c>
      <c r="AA9" s="45">
        <f t="shared" si="4"/>
        <v>2945.3642857142863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1.0962277283188349</v>
      </c>
      <c r="E10" s="53">
        <f t="shared" si="5"/>
        <v>1.0666049069845833</v>
      </c>
      <c r="F10" s="53">
        <f t="shared" si="5"/>
        <v>0.99914635832094478</v>
      </c>
      <c r="G10" s="53">
        <f t="shared" si="5"/>
        <v>1.0079839748175703</v>
      </c>
      <c r="H10" s="53">
        <f t="shared" si="5"/>
        <v>1.0755443784542777</v>
      </c>
      <c r="I10" s="53">
        <f t="shared" si="5"/>
        <v>1.1590077385528346</v>
      </c>
      <c r="J10" s="53">
        <f t="shared" si="5"/>
        <v>1.1294188688762727</v>
      </c>
      <c r="K10" s="53">
        <f t="shared" si="5"/>
        <v>1.1470669405433718</v>
      </c>
      <c r="L10" s="53">
        <f t="shared" si="5"/>
        <v>0.9405084503250869</v>
      </c>
      <c r="M10" s="53">
        <f t="shared" si="5"/>
        <v>0.88846395425256619</v>
      </c>
      <c r="N10" s="53">
        <f t="shared" si="5"/>
        <v>0.87648920458541368</v>
      </c>
      <c r="O10" s="53">
        <f t="shared" si="5"/>
        <v>1.0245421982728304</v>
      </c>
      <c r="P10" s="53">
        <f t="shared" si="5"/>
        <v>0.92376349275253355</v>
      </c>
      <c r="Q10" s="53">
        <f t="shared" si="5"/>
        <v>1.0109683255284938</v>
      </c>
      <c r="R10" s="53">
        <f t="shared" si="5"/>
        <v>0.93214615703611714</v>
      </c>
      <c r="S10" s="53">
        <f t="shared" si="5"/>
        <v>0.95740619035724395</v>
      </c>
      <c r="T10" s="53">
        <f t="shared" ref="T10:Y10" si="6">IF(T8=0,0,T8/T9)</f>
        <v>1.1710469963695975</v>
      </c>
      <c r="U10" s="53">
        <f t="shared" si="6"/>
        <v>0.97332612264793816</v>
      </c>
      <c r="V10" s="53">
        <f t="shared" si="6"/>
        <v>0.90536169428472324</v>
      </c>
      <c r="W10" s="53">
        <f t="shared" si="6"/>
        <v>0.86737997482727081</v>
      </c>
      <c r="X10" s="53">
        <f t="shared" si="6"/>
        <v>0.8475963438914903</v>
      </c>
      <c r="Y10" s="53">
        <f t="shared" si="6"/>
        <v>0.92648641569924639</v>
      </c>
      <c r="Z10" s="53">
        <f t="shared" ref="Z10:AA10" si="7">IF(Z8=0,0,Z8/Z9)</f>
        <v>0.88100817022391098</v>
      </c>
      <c r="AA10" s="53">
        <f t="shared" si="7"/>
        <v>0.93780250320721892</v>
      </c>
    </row>
    <row r="11" spans="1:27" x14ac:dyDescent="0.25">
      <c r="A11" s="43" t="s">
        <v>251</v>
      </c>
      <c r="B11" s="44"/>
      <c r="C11" s="44"/>
      <c r="D11" s="45">
        <v>0.24</v>
      </c>
      <c r="E11" s="45">
        <v>0.92</v>
      </c>
      <c r="F11" s="45">
        <v>6.93</v>
      </c>
      <c r="G11" s="45">
        <v>8.4</v>
      </c>
      <c r="H11" s="45">
        <v>0.53</v>
      </c>
      <c r="I11" s="45">
        <v>0.28999999999999998</v>
      </c>
      <c r="J11" s="45">
        <v>0.67</v>
      </c>
      <c r="K11" s="45">
        <v>0.57999999999999996</v>
      </c>
      <c r="L11" s="45">
        <v>0.09</v>
      </c>
      <c r="M11" s="45">
        <v>4.05</v>
      </c>
      <c r="N11" s="45">
        <v>9.8699999999999992</v>
      </c>
      <c r="O11" s="45">
        <v>7.2</v>
      </c>
      <c r="P11" s="45">
        <v>6.2</v>
      </c>
      <c r="Q11" s="45">
        <v>0.13</v>
      </c>
      <c r="R11" s="45">
        <v>32.49</v>
      </c>
      <c r="S11" s="45">
        <v>19.329999999999998</v>
      </c>
      <c r="T11" s="45">
        <v>6.24</v>
      </c>
      <c r="U11" s="45">
        <v>14.33</v>
      </c>
      <c r="V11" s="45">
        <v>2.93</v>
      </c>
      <c r="W11" s="45">
        <v>0.88</v>
      </c>
      <c r="X11" s="45">
        <v>7.14</v>
      </c>
      <c r="Y11" s="45">
        <v>14.04</v>
      </c>
      <c r="Z11" s="45">
        <v>11.2</v>
      </c>
      <c r="AA11" s="45">
        <v>27.91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6.1638095238095234</v>
      </c>
      <c r="E12" s="45">
        <f t="shared" ref="E12" si="9">AVERAGE($D11:$X11)</f>
        <v>6.1638095238095234</v>
      </c>
      <c r="F12" s="45">
        <f t="shared" ref="F12" si="10">AVERAGE($D11:$X11)</f>
        <v>6.1638095238095234</v>
      </c>
      <c r="G12" s="45">
        <f t="shared" ref="G12" si="11">AVERAGE($D11:$X11)</f>
        <v>6.1638095238095234</v>
      </c>
      <c r="H12" s="45">
        <f t="shared" ref="H12" si="12">AVERAGE($D11:$X11)</f>
        <v>6.1638095238095234</v>
      </c>
      <c r="I12" s="45">
        <f t="shared" ref="I12" si="13">AVERAGE($D11:$X11)</f>
        <v>6.1638095238095234</v>
      </c>
      <c r="J12" s="45">
        <f t="shared" ref="J12" si="14">AVERAGE($D11:$X11)</f>
        <v>6.1638095238095234</v>
      </c>
      <c r="K12" s="45">
        <f t="shared" ref="K12" si="15">AVERAGE($D11:$X11)</f>
        <v>6.1638095238095234</v>
      </c>
      <c r="L12" s="45">
        <f t="shared" ref="L12" si="16">AVERAGE($D11:$X11)</f>
        <v>6.1638095238095234</v>
      </c>
      <c r="M12" s="45">
        <f t="shared" ref="M12" si="17">AVERAGE($D11:$X11)</f>
        <v>6.1638095238095234</v>
      </c>
      <c r="N12" s="45">
        <f t="shared" ref="N12" si="18">AVERAGE($D11:$X11)</f>
        <v>6.1638095238095234</v>
      </c>
      <c r="O12" s="45">
        <f t="shared" ref="O12" si="19">AVERAGE($D11:$X11)</f>
        <v>6.1638095238095234</v>
      </c>
      <c r="P12" s="45">
        <f t="shared" ref="P12" si="20">AVERAGE($D11:$X11)</f>
        <v>6.1638095238095234</v>
      </c>
      <c r="Q12" s="45">
        <f t="shared" ref="Q12" si="21">AVERAGE($D11:$X11)</f>
        <v>6.1638095238095234</v>
      </c>
      <c r="R12" s="45">
        <f t="shared" ref="R12" si="22">AVERAGE($D11:$X11)</f>
        <v>6.1638095238095234</v>
      </c>
      <c r="S12" s="45">
        <f t="shared" ref="S12" si="23">AVERAGE($D11:$X11)</f>
        <v>6.1638095238095234</v>
      </c>
      <c r="T12" s="45">
        <f t="shared" ref="T12" si="24">AVERAGE($D11:$X11)</f>
        <v>6.1638095238095234</v>
      </c>
      <c r="U12" s="45">
        <f t="shared" ref="U12" si="25">AVERAGE($D11:$X11)</f>
        <v>6.1638095238095234</v>
      </c>
      <c r="V12" s="45">
        <f t="shared" ref="V12" si="26">AVERAGE($D11:$X11)</f>
        <v>6.1638095238095234</v>
      </c>
      <c r="W12" s="45">
        <f t="shared" ref="W12" si="27">AVERAGE($D11:$X11)</f>
        <v>6.1638095238095234</v>
      </c>
      <c r="X12" s="45">
        <f>AVERAGE($D11:$X11)</f>
        <v>6.1638095238095234</v>
      </c>
      <c r="Y12" s="45">
        <f t="shared" ref="Y12:AA12" si="28">AVERAGE($D11:$X11)</f>
        <v>6.1638095238095234</v>
      </c>
      <c r="Z12" s="45">
        <f t="shared" si="28"/>
        <v>6.1638095238095234</v>
      </c>
      <c r="AA12" s="45">
        <f t="shared" si="28"/>
        <v>6.1638095238095234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3.8936959208899877E-2</v>
      </c>
      <c r="E13" s="55">
        <f t="shared" si="29"/>
        <v>0.14925834363411622</v>
      </c>
      <c r="F13" s="55">
        <f t="shared" ref="F13" si="30">IF(F11=0,0,F11/F12)</f>
        <v>1.1243046971569839</v>
      </c>
      <c r="G13" s="55">
        <f t="shared" ref="G13" si="31">IF(G11=0,0,G11/G12)</f>
        <v>1.3627935723114959</v>
      </c>
      <c r="H13" s="55">
        <f t="shared" ref="H13" si="32">IF(H11=0,0,H11/H12)</f>
        <v>8.5985784919653904E-2</v>
      </c>
      <c r="I13" s="55">
        <f t="shared" ref="I13" si="33">IF(I11=0,0,I11/I12)</f>
        <v>4.7048825710754021E-2</v>
      </c>
      <c r="J13" s="55">
        <f t="shared" ref="J13" si="34">IF(J11=0,0,J11/J12)</f>
        <v>0.10869901112484551</v>
      </c>
      <c r="K13" s="55">
        <f t="shared" ref="K13" si="35">IF(K11=0,0,K11/K12)</f>
        <v>9.4097651421508041E-2</v>
      </c>
      <c r="L13" s="55">
        <f t="shared" ref="L13" si="36">IF(L11=0,0,L11/L12)</f>
        <v>1.4601359703337454E-2</v>
      </c>
      <c r="M13" s="55">
        <f t="shared" ref="M13" si="37">IF(M11=0,0,M11/M12)</f>
        <v>0.65706118665018542</v>
      </c>
      <c r="N13" s="55">
        <f t="shared" ref="N13" si="38">IF(N11=0,0,N11/N12)</f>
        <v>1.6012824474660075</v>
      </c>
      <c r="O13" s="55">
        <f t="shared" ref="O13" si="39">IF(O11=0,0,O11/O12)</f>
        <v>1.1681087762669964</v>
      </c>
      <c r="P13" s="55">
        <f t="shared" ref="P13" si="40">IF(P11=0,0,P11/P12)</f>
        <v>1.0058714462299136</v>
      </c>
      <c r="Q13" s="55">
        <f t="shared" ref="Q13" si="41">IF(Q11=0,0,Q11/Q12)</f>
        <v>2.1090852904820767E-2</v>
      </c>
      <c r="R13" s="55">
        <f t="shared" ref="R13" si="42">IF(R11=0,0,R11/R12)</f>
        <v>5.2710908529048215</v>
      </c>
      <c r="S13" s="55">
        <f t="shared" ref="S13:Y13" si="43">IF(S11=0,0,S11/S12)</f>
        <v>3.136047589616811</v>
      </c>
      <c r="T13" s="55">
        <f t="shared" si="43"/>
        <v>1.0123609394313968</v>
      </c>
      <c r="U13" s="55">
        <f t="shared" si="43"/>
        <v>2.3248609394313968</v>
      </c>
      <c r="V13" s="55">
        <f t="shared" si="43"/>
        <v>0.47535537700865271</v>
      </c>
      <c r="W13" s="55">
        <f t="shared" si="43"/>
        <v>0.14276885043263288</v>
      </c>
      <c r="X13" s="55">
        <f t="shared" si="43"/>
        <v>1.1583745364647713</v>
      </c>
      <c r="Y13" s="55">
        <f t="shared" si="43"/>
        <v>2.2778121137206426</v>
      </c>
      <c r="Z13" s="55">
        <f t="shared" ref="Z13:AA13" si="44">IF(Z11=0,0,Z11/Z12)</f>
        <v>1.8170580964153276</v>
      </c>
      <c r="AA13" s="55">
        <f t="shared" si="44"/>
        <v>4.5280438813349821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746493.67340036912</v>
      </c>
      <c r="E16" s="42">
        <v>763842.32465990598</v>
      </c>
      <c r="F16" s="42">
        <v>765724.3251622119</v>
      </c>
      <c r="G16" s="42">
        <v>766466.30071232363</v>
      </c>
      <c r="H16" s="42">
        <v>781927.8399429518</v>
      </c>
      <c r="I16" s="42">
        <v>797833.17908983235</v>
      </c>
      <c r="J16" s="42">
        <v>826051.54533260025</v>
      </c>
      <c r="K16" s="42">
        <v>858145.75710560905</v>
      </c>
      <c r="L16" s="42">
        <v>876310.39218120417</v>
      </c>
      <c r="M16" s="42">
        <v>844191.15436424385</v>
      </c>
      <c r="N16" s="42">
        <v>855329.5435531009</v>
      </c>
      <c r="O16" s="42">
        <v>870500.25519817381</v>
      </c>
      <c r="P16" s="42">
        <v>861987.96801179589</v>
      </c>
      <c r="Q16" s="42">
        <v>861719.93079570751</v>
      </c>
      <c r="R16" s="42">
        <v>875623.88930477505</v>
      </c>
      <c r="S16" s="42">
        <v>894188.89100000006</v>
      </c>
      <c r="T16" s="42">
        <v>915862.4296481912</v>
      </c>
      <c r="U16" s="42">
        <v>941341.93692960683</v>
      </c>
      <c r="V16" s="42">
        <v>962608.09120720485</v>
      </c>
      <c r="W16" s="42">
        <v>984749.64889944706</v>
      </c>
      <c r="X16" s="42">
        <v>946656.80893538718</v>
      </c>
      <c r="Y16" s="42">
        <v>1006071.546049729</v>
      </c>
      <c r="Z16" s="42">
        <v>1056451.0634194997</v>
      </c>
      <c r="AA16" s="42">
        <v>1050133</v>
      </c>
    </row>
    <row r="17" spans="1:27" x14ac:dyDescent="0.25">
      <c r="A17" s="46" t="s">
        <v>141</v>
      </c>
      <c r="B17" s="47"/>
      <c r="C17" s="47"/>
      <c r="D17" s="57">
        <v>386647.88638858398</v>
      </c>
      <c r="E17" s="57">
        <v>394885.65463076555</v>
      </c>
      <c r="F17" s="57">
        <v>399695.57781359908</v>
      </c>
      <c r="G17" s="57">
        <v>399277.76478997408</v>
      </c>
      <c r="H17" s="57">
        <v>402319.90749732533</v>
      </c>
      <c r="I17" s="57">
        <v>405883.54555742897</v>
      </c>
      <c r="J17" s="57">
        <v>405191.09867253655</v>
      </c>
      <c r="K17" s="57">
        <v>412671.40670477028</v>
      </c>
      <c r="L17" s="57">
        <v>416112.52858892537</v>
      </c>
      <c r="M17" s="57">
        <v>407933.78471332043</v>
      </c>
      <c r="N17" s="57">
        <v>408497.44672341517</v>
      </c>
      <c r="O17" s="57">
        <v>410272.68286591396</v>
      </c>
      <c r="P17" s="57">
        <v>406945.50418929645</v>
      </c>
      <c r="Q17" s="57">
        <v>404391.76877234806</v>
      </c>
      <c r="R17" s="57">
        <v>407071.51162092364</v>
      </c>
      <c r="S17" s="57">
        <v>416085.81209999998</v>
      </c>
      <c r="T17" s="57">
        <v>421616.78571215662</v>
      </c>
      <c r="U17" s="57">
        <v>431100.95254877524</v>
      </c>
      <c r="V17" s="57">
        <v>441337.76111715223</v>
      </c>
      <c r="W17" s="57">
        <v>445936.24570299388</v>
      </c>
      <c r="X17" s="57">
        <v>418592.76275524194</v>
      </c>
      <c r="Y17" s="57">
        <v>437247.84599228128</v>
      </c>
      <c r="Z17" s="57">
        <v>467580.89279726538</v>
      </c>
      <c r="AA17" s="57">
        <v>471023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47055.977445741388</v>
      </c>
      <c r="E20" s="42">
        <f t="shared" ref="E20:S20" si="45">1000000*E16/E$3</f>
        <v>47778.741555907254</v>
      </c>
      <c r="F20" s="42">
        <f t="shared" si="45"/>
        <v>47544.909957334625</v>
      </c>
      <c r="G20" s="42">
        <f t="shared" si="45"/>
        <v>47334.438328409073</v>
      </c>
      <c r="H20" s="42">
        <f t="shared" si="45"/>
        <v>48094.864122727267</v>
      </c>
      <c r="I20" s="42">
        <f t="shared" si="45"/>
        <v>48930.232553665082</v>
      </c>
      <c r="J20" s="42">
        <f t="shared" si="45"/>
        <v>50571.870040399888</v>
      </c>
      <c r="K20" s="42">
        <f t="shared" si="45"/>
        <v>52460.336030584258</v>
      </c>
      <c r="L20" s="42">
        <f t="shared" si="45"/>
        <v>53415.975568848051</v>
      </c>
      <c r="M20" s="42">
        <f t="shared" si="45"/>
        <v>51207.209844713143</v>
      </c>
      <c r="N20" s="42">
        <f t="shared" si="45"/>
        <v>51603.626617978509</v>
      </c>
      <c r="O20" s="42">
        <f t="shared" si="45"/>
        <v>52264.094637439717</v>
      </c>
      <c r="P20" s="42">
        <f t="shared" si="45"/>
        <v>51522.417107629553</v>
      </c>
      <c r="Q20" s="42">
        <f t="shared" si="45"/>
        <v>51355.289439435001</v>
      </c>
      <c r="R20" s="42">
        <f t="shared" si="45"/>
        <v>52029.761287287598</v>
      </c>
      <c r="S20" s="42">
        <f t="shared" si="45"/>
        <v>52908.312400307543</v>
      </c>
      <c r="T20" s="42">
        <f t="shared" ref="T20:Y20" si="46">1000000*T16/T$3</f>
        <v>53940.512208417822</v>
      </c>
      <c r="U20" s="42">
        <f t="shared" si="46"/>
        <v>55108.834187147935</v>
      </c>
      <c r="V20" s="42">
        <f t="shared" si="46"/>
        <v>56027.203592462785</v>
      </c>
      <c r="W20" s="42">
        <f t="shared" si="46"/>
        <v>56980.694424618436</v>
      </c>
      <c r="X20" s="42">
        <f t="shared" si="46"/>
        <v>54381.857617549314</v>
      </c>
      <c r="Y20" s="42">
        <f t="shared" si="46"/>
        <v>57570.681214135919</v>
      </c>
      <c r="Z20" s="42">
        <f t="shared" ref="Z20:AA20" si="47">1000000*Z16/Z$3</f>
        <v>60057.459056680702</v>
      </c>
      <c r="AA20" s="42">
        <f t="shared" si="47"/>
        <v>58958.836841192475</v>
      </c>
    </row>
    <row r="21" spans="1:27" x14ac:dyDescent="0.25">
      <c r="A21" s="46" t="s">
        <v>141</v>
      </c>
      <c r="B21" s="47"/>
      <c r="C21" s="47"/>
      <c r="D21" s="57">
        <f>1000000*D17/D$3</f>
        <v>24372.737331407625</v>
      </c>
      <c r="E21" s="57">
        <f t="shared" ref="E21:S21" si="48">1000000*E17/E$3</f>
        <v>24700.306630873099</v>
      </c>
      <c r="F21" s="57">
        <f t="shared" si="48"/>
        <v>24817.665618062583</v>
      </c>
      <c r="G21" s="57">
        <f t="shared" si="48"/>
        <v>24658.08179145191</v>
      </c>
      <c r="H21" s="57">
        <f t="shared" si="48"/>
        <v>24745.916818058009</v>
      </c>
      <c r="I21" s="57">
        <f t="shared" si="48"/>
        <v>24892.392036750545</v>
      </c>
      <c r="J21" s="57">
        <f t="shared" si="48"/>
        <v>24806.286846595984</v>
      </c>
      <c r="K21" s="57">
        <f t="shared" si="48"/>
        <v>25227.509996628574</v>
      </c>
      <c r="L21" s="57">
        <f t="shared" si="48"/>
        <v>25364.365023302715</v>
      </c>
      <c r="M21" s="57">
        <f t="shared" si="48"/>
        <v>24744.57450610762</v>
      </c>
      <c r="N21" s="57">
        <f t="shared" si="48"/>
        <v>24645.412839997371</v>
      </c>
      <c r="O21" s="57">
        <f t="shared" si="48"/>
        <v>24632.422789558997</v>
      </c>
      <c r="P21" s="57">
        <f t="shared" si="48"/>
        <v>24323.791961129347</v>
      </c>
      <c r="Q21" s="57">
        <f t="shared" si="48"/>
        <v>24100.239056850252</v>
      </c>
      <c r="R21" s="57">
        <f t="shared" si="48"/>
        <v>24188.277450159876</v>
      </c>
      <c r="S21" s="57">
        <f t="shared" si="48"/>
        <v>24619.404639777014</v>
      </c>
      <c r="T21" s="57">
        <f t="shared" ref="T21:Y21" si="49">1000000*T17/T$3</f>
        <v>24831.486302715137</v>
      </c>
      <c r="U21" s="57">
        <f t="shared" si="49"/>
        <v>25237.875823765156</v>
      </c>
      <c r="V21" s="57">
        <f t="shared" si="49"/>
        <v>25687.422348738426</v>
      </c>
      <c r="W21" s="57">
        <f t="shared" si="49"/>
        <v>25803.265812444537</v>
      </c>
      <c r="X21" s="57">
        <f t="shared" si="49"/>
        <v>24046.572959732319</v>
      </c>
      <c r="Y21" s="57">
        <f t="shared" si="49"/>
        <v>25020.741767350373</v>
      </c>
      <c r="Z21" s="57">
        <f t="shared" ref="Z21:AA21" si="50">1000000*Z17/Z$3</f>
        <v>26581.184209293733</v>
      </c>
      <c r="AA21" s="57">
        <f t="shared" si="50"/>
        <v>26445.191423799657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654722.76511683932</v>
      </c>
      <c r="E23" s="60">
        <v>670148.79504063458</v>
      </c>
      <c r="F23" s="60">
        <v>671617.09756527666</v>
      </c>
      <c r="G23" s="60">
        <v>672023.70256598922</v>
      </c>
      <c r="H23" s="60">
        <v>686170.95139260706</v>
      </c>
      <c r="I23" s="60">
        <v>700352.37649611849</v>
      </c>
      <c r="J23" s="60">
        <v>724522.83751227485</v>
      </c>
      <c r="K23" s="60">
        <v>753361.45744033321</v>
      </c>
      <c r="L23" s="60">
        <v>771759.95084607508</v>
      </c>
      <c r="M23" s="60">
        <v>746166.35735973052</v>
      </c>
      <c r="N23" s="60">
        <v>757267.17998304009</v>
      </c>
      <c r="O23" s="60">
        <v>773329.91193345992</v>
      </c>
      <c r="P23" s="60">
        <v>767601.76748303336</v>
      </c>
      <c r="Q23" s="60">
        <v>770434.14166978817</v>
      </c>
      <c r="R23" s="60">
        <v>783172.98367978015</v>
      </c>
      <c r="S23" s="60">
        <v>798302.61444000003</v>
      </c>
      <c r="T23" s="60">
        <v>816220.51220556744</v>
      </c>
      <c r="U23" s="60">
        <v>838962.73911122896</v>
      </c>
      <c r="V23" s="60">
        <v>857520.13816035353</v>
      </c>
      <c r="W23" s="60">
        <v>878016.04189341818</v>
      </c>
      <c r="X23" s="60">
        <v>842694.04948769661</v>
      </c>
      <c r="Y23" s="60">
        <v>899032.30535741383</v>
      </c>
      <c r="Z23" s="60">
        <v>950089.59888986999</v>
      </c>
      <c r="AA23" s="60">
        <v>944801</v>
      </c>
    </row>
    <row r="24" spans="1:27" x14ac:dyDescent="0.25">
      <c r="A24" s="61" t="s">
        <v>33</v>
      </c>
      <c r="B24" s="62"/>
      <c r="C24" s="62"/>
      <c r="D24" s="63">
        <v>16851.36246180375</v>
      </c>
      <c r="E24" s="63">
        <v>16806.844511896605</v>
      </c>
      <c r="F24" s="63">
        <v>15697.941618367993</v>
      </c>
      <c r="G24" s="63">
        <v>15568.777223397406</v>
      </c>
      <c r="H24" s="63">
        <v>14438.551119211712</v>
      </c>
      <c r="I24" s="63">
        <v>14725.809302221527</v>
      </c>
      <c r="J24" s="63">
        <v>15978.008968903436</v>
      </c>
      <c r="K24" s="63">
        <v>15494.998686528912</v>
      </c>
      <c r="L24" s="63">
        <v>14315.942897780753</v>
      </c>
      <c r="M24" s="63">
        <v>13051.100029114503</v>
      </c>
      <c r="N24" s="63">
        <v>15121.53533682186</v>
      </c>
      <c r="O24" s="63">
        <v>13763.686576405515</v>
      </c>
      <c r="P24" s="63">
        <v>14456.069637061079</v>
      </c>
      <c r="Q24" s="63">
        <v>15809.918423956511</v>
      </c>
      <c r="R24" s="63">
        <v>15709.500773063048</v>
      </c>
      <c r="S24" s="63">
        <v>16060.786380000001</v>
      </c>
      <c r="T24" s="63">
        <v>17005.649678800855</v>
      </c>
      <c r="U24" s="63">
        <v>18449.004564596402</v>
      </c>
      <c r="V24" s="63">
        <v>16886.963691942085</v>
      </c>
      <c r="W24" s="63">
        <v>17327.420549057675</v>
      </c>
      <c r="X24" s="63">
        <v>16461.656067808366</v>
      </c>
      <c r="Y24" s="63">
        <v>16751.322507208984</v>
      </c>
      <c r="Z24" s="63">
        <v>17455.545956856313</v>
      </c>
      <c r="AA24" s="63">
        <v>18393</v>
      </c>
    </row>
    <row r="25" spans="1:27" x14ac:dyDescent="0.25">
      <c r="A25" s="64" t="s">
        <v>56</v>
      </c>
      <c r="B25" s="65"/>
      <c r="C25" s="65"/>
      <c r="D25" s="66">
        <v>14922.543483497953</v>
      </c>
      <c r="E25" s="66">
        <v>18080.279007147754</v>
      </c>
      <c r="F25" s="66">
        <v>15979.063072383344</v>
      </c>
      <c r="G25" s="66">
        <v>16361.326979674426</v>
      </c>
      <c r="H25" s="66">
        <v>17165.430517742214</v>
      </c>
      <c r="I25" s="66">
        <v>18487.64889594846</v>
      </c>
      <c r="J25" s="66">
        <v>22815.814075286413</v>
      </c>
      <c r="K25" s="66">
        <v>21541.959955149767</v>
      </c>
      <c r="L25" s="66">
        <v>29465.940450542785</v>
      </c>
      <c r="M25" s="66">
        <v>21362.116707565612</v>
      </c>
      <c r="N25" s="66">
        <v>23218.975449337115</v>
      </c>
      <c r="O25" s="66">
        <v>25066.290534962438</v>
      </c>
      <c r="P25" s="66">
        <v>28072.211861906166</v>
      </c>
      <c r="Q25" s="66">
        <v>29116.621225159197</v>
      </c>
      <c r="R25" s="66">
        <v>21879.162343239994</v>
      </c>
      <c r="S25" s="66">
        <v>16212.14724</v>
      </c>
      <c r="T25" s="66">
        <v>10296.626980728051</v>
      </c>
      <c r="U25" s="66">
        <v>9626.5447477692378</v>
      </c>
      <c r="V25" s="66">
        <v>9164.4229519821383</v>
      </c>
      <c r="W25" s="66">
        <v>7037.1126212323452</v>
      </c>
      <c r="X25" s="66">
        <v>3672.9743711394767</v>
      </c>
      <c r="Y25" s="66">
        <v>7310.5351343147659</v>
      </c>
      <c r="Z25" s="66">
        <v>18135.882225305915</v>
      </c>
      <c r="AA25" s="66">
        <v>5762</v>
      </c>
    </row>
    <row r="26" spans="1:27" x14ac:dyDescent="0.25">
      <c r="A26" s="67" t="s">
        <v>146</v>
      </c>
      <c r="B26" s="44"/>
      <c r="C26" s="44"/>
      <c r="D26" s="45">
        <v>491668.21427937475</v>
      </c>
      <c r="E26" s="45">
        <v>501445.18943992956</v>
      </c>
      <c r="F26" s="45">
        <v>509834.69143320672</v>
      </c>
      <c r="G26" s="45">
        <v>513717.00669088564</v>
      </c>
      <c r="H26" s="45">
        <v>526013.87683545041</v>
      </c>
      <c r="I26" s="45">
        <v>534056.01736056746</v>
      </c>
      <c r="J26" s="45">
        <v>549783.40111292957</v>
      </c>
      <c r="K26" s="45">
        <v>573293.21928559989</v>
      </c>
      <c r="L26" s="45">
        <v>585994.56246731791</v>
      </c>
      <c r="M26" s="45">
        <v>578119.55752193986</v>
      </c>
      <c r="N26" s="45">
        <v>590179.21293098107</v>
      </c>
      <c r="O26" s="45">
        <v>602197.38359613623</v>
      </c>
      <c r="P26" s="45">
        <v>597715.1242254352</v>
      </c>
      <c r="Q26" s="45">
        <v>603487.42937264009</v>
      </c>
      <c r="R26" s="45">
        <v>622545.84470022342</v>
      </c>
      <c r="S26" s="45">
        <v>636772.59414000018</v>
      </c>
      <c r="T26" s="45">
        <v>653778.80685224838</v>
      </c>
      <c r="U26" s="45">
        <v>669592.98618841474</v>
      </c>
      <c r="V26" s="45">
        <v>684237.09846009372</v>
      </c>
      <c r="W26" s="45">
        <v>701512.38704739127</v>
      </c>
      <c r="X26" s="45">
        <v>670692.08315465809</v>
      </c>
      <c r="Y26" s="45">
        <v>712615.93049021077</v>
      </c>
      <c r="Z26" s="45">
        <v>744529.63239560986</v>
      </c>
      <c r="AA26" s="45">
        <v>746036</v>
      </c>
    </row>
    <row r="27" spans="1:27" x14ac:dyDescent="0.25">
      <c r="A27" s="68" t="s">
        <v>148</v>
      </c>
      <c r="B27" s="69"/>
      <c r="C27" s="69"/>
      <c r="D27" s="70">
        <v>171498.77840469641</v>
      </c>
      <c r="E27" s="70">
        <v>178403.81384020369</v>
      </c>
      <c r="F27" s="70">
        <v>185448.94471026672</v>
      </c>
      <c r="G27" s="70">
        <v>189685.52469419665</v>
      </c>
      <c r="H27" s="70">
        <v>194457.50813920377</v>
      </c>
      <c r="I27" s="70">
        <v>196805.10588603775</v>
      </c>
      <c r="J27" s="70">
        <v>199854.87358428806</v>
      </c>
      <c r="K27" s="70">
        <v>204347.08646484063</v>
      </c>
      <c r="L27" s="70">
        <v>210176.45213244369</v>
      </c>
      <c r="M27" s="70">
        <v>215589.14810963691</v>
      </c>
      <c r="N27" s="70">
        <v>221194.54625742004</v>
      </c>
      <c r="O27" s="70">
        <v>224499.30011145052</v>
      </c>
      <c r="P27" s="70">
        <v>226111.30658011211</v>
      </c>
      <c r="Q27" s="70">
        <v>228799.57363407206</v>
      </c>
      <c r="R27" s="70">
        <v>233796.75450953445</v>
      </c>
      <c r="S27" s="70">
        <v>236496.89196000001</v>
      </c>
      <c r="T27" s="70">
        <v>242158.22184154176</v>
      </c>
      <c r="U27" s="70">
        <v>245865.19916364818</v>
      </c>
      <c r="V27" s="70">
        <v>249839.30649597058</v>
      </c>
      <c r="W27" s="70">
        <v>255343.77453350631</v>
      </c>
      <c r="X27" s="70">
        <v>235150.43407570967</v>
      </c>
      <c r="Y27" s="70">
        <v>249681.23266049474</v>
      </c>
      <c r="Z27" s="70">
        <v>268537.06890374667</v>
      </c>
      <c r="AA27" s="70">
        <v>272074</v>
      </c>
    </row>
    <row r="28" spans="1:27" x14ac:dyDescent="0.25">
      <c r="A28" s="68" t="s">
        <v>150</v>
      </c>
      <c r="B28" s="71"/>
      <c r="C28" s="71"/>
      <c r="D28" s="70">
        <v>223567.21446956345</v>
      </c>
      <c r="E28" s="70">
        <v>223123.47069910899</v>
      </c>
      <c r="F28" s="70">
        <v>223328.56531195258</v>
      </c>
      <c r="G28" s="70">
        <v>227007.01441644441</v>
      </c>
      <c r="H28" s="70">
        <v>232730.89778435955</v>
      </c>
      <c r="I28" s="70">
        <v>237856.67842681045</v>
      </c>
      <c r="J28" s="70">
        <v>249203.09237315872</v>
      </c>
      <c r="K28" s="70">
        <v>263996.31177318597</v>
      </c>
      <c r="L28" s="70">
        <v>269387.68148256605</v>
      </c>
      <c r="M28" s="70">
        <v>261212.45035977208</v>
      </c>
      <c r="N28" s="70">
        <v>265926.45754824305</v>
      </c>
      <c r="O28" s="70">
        <v>270976.35313299758</v>
      </c>
      <c r="P28" s="70">
        <v>264505.95455886691</v>
      </c>
      <c r="Q28" s="70">
        <v>264130.45339596475</v>
      </c>
      <c r="R28" s="70">
        <v>276711.89211475692</v>
      </c>
      <c r="S28" s="70">
        <v>284605.47858000005</v>
      </c>
      <c r="T28" s="70">
        <v>292423.95289079228</v>
      </c>
      <c r="U28" s="70">
        <v>300984.97146391025</v>
      </c>
      <c r="V28" s="70">
        <v>308548.16734862066</v>
      </c>
      <c r="W28" s="70">
        <v>315322.48522808944</v>
      </c>
      <c r="X28" s="70">
        <v>306366.6799631397</v>
      </c>
      <c r="Y28" s="70">
        <v>319900.06950978906</v>
      </c>
      <c r="Z28" s="70">
        <v>335382.24670114799</v>
      </c>
      <c r="AA28" s="70">
        <v>338609</v>
      </c>
    </row>
    <row r="29" spans="1:27" x14ac:dyDescent="0.25">
      <c r="A29" s="68" t="s">
        <v>152</v>
      </c>
      <c r="B29" s="71"/>
      <c r="C29" s="71"/>
      <c r="D29" s="70">
        <v>96602.221405114804</v>
      </c>
      <c r="E29" s="70">
        <v>99917.904900616879</v>
      </c>
      <c r="F29" s="70">
        <v>101057.1814109874</v>
      </c>
      <c r="G29" s="70">
        <v>97024.467580244658</v>
      </c>
      <c r="H29" s="70">
        <v>98825.470911887009</v>
      </c>
      <c r="I29" s="70">
        <v>99394.233047719201</v>
      </c>
      <c r="J29" s="70">
        <v>100725.43515548282</v>
      </c>
      <c r="K29" s="70">
        <v>104949.82104757328</v>
      </c>
      <c r="L29" s="70">
        <v>106430.42885230816</v>
      </c>
      <c r="M29" s="70">
        <v>101317.95905253089</v>
      </c>
      <c r="N29" s="70">
        <v>103058.20912531801</v>
      </c>
      <c r="O29" s="70">
        <v>106721.73035168827</v>
      </c>
      <c r="P29" s="70">
        <v>107097.86308645619</v>
      </c>
      <c r="Q29" s="70">
        <v>110557.40234260319</v>
      </c>
      <c r="R29" s="70">
        <v>112037.19807593197</v>
      </c>
      <c r="S29" s="70">
        <v>115670.22360000001</v>
      </c>
      <c r="T29" s="70">
        <v>119196.63211991434</v>
      </c>
      <c r="U29" s="70">
        <v>122742.81556085638</v>
      </c>
      <c r="V29" s="70">
        <v>125849.62461550256</v>
      </c>
      <c r="W29" s="70">
        <v>130846.12728579561</v>
      </c>
      <c r="X29" s="70">
        <v>129174.96911580888</v>
      </c>
      <c r="Y29" s="70">
        <v>143034.62831992714</v>
      </c>
      <c r="Z29" s="70">
        <v>140610.31679071527</v>
      </c>
      <c r="AA29" s="70">
        <v>135353</v>
      </c>
    </row>
    <row r="30" spans="1:27" x14ac:dyDescent="0.25">
      <c r="A30" s="64" t="s">
        <v>154</v>
      </c>
      <c r="B30" s="65"/>
      <c r="C30" s="65"/>
      <c r="D30" s="66">
        <v>8084.5899149222132</v>
      </c>
      <c r="E30" s="66">
        <v>8772.3757710760801</v>
      </c>
      <c r="F30" s="66">
        <v>8459.0641774726355</v>
      </c>
      <c r="G30" s="66">
        <v>8772.1512691989319</v>
      </c>
      <c r="H30" s="66">
        <v>8641.3967762146167</v>
      </c>
      <c r="I30" s="66">
        <v>10502.987852077229</v>
      </c>
      <c r="J30" s="66">
        <v>10794.489165302783</v>
      </c>
      <c r="K30" s="66">
        <v>11141.784206311067</v>
      </c>
      <c r="L30" s="66">
        <v>10825.417515530549</v>
      </c>
      <c r="M30" s="66">
        <v>12577.620721207837</v>
      </c>
      <c r="N30" s="66">
        <v>10838.678773087346</v>
      </c>
      <c r="O30" s="66">
        <v>11226.474469578139</v>
      </c>
      <c r="P30" s="66">
        <v>11639.91856004721</v>
      </c>
      <c r="Q30" s="66">
        <v>10772.583281871654</v>
      </c>
      <c r="R30" s="66">
        <v>8898.4514688197905</v>
      </c>
      <c r="S30" s="66">
        <v>11500.88148</v>
      </c>
      <c r="T30" s="66">
        <v>11448.156745182012</v>
      </c>
      <c r="U30" s="66">
        <v>10984.998792590632</v>
      </c>
      <c r="V30" s="66">
        <v>11049.961229241932</v>
      </c>
      <c r="W30" s="66">
        <v>12622.160330069353</v>
      </c>
      <c r="X30" s="66">
        <v>11996.061950859012</v>
      </c>
      <c r="Y30" s="66">
        <v>12262.576718773713</v>
      </c>
      <c r="Z30" s="66">
        <v>21454.1261006686</v>
      </c>
      <c r="AA30" s="66">
        <v>24094</v>
      </c>
    </row>
    <row r="31" spans="1:27" x14ac:dyDescent="0.25">
      <c r="A31" s="64" t="s">
        <v>37</v>
      </c>
      <c r="B31" s="65"/>
      <c r="C31" s="65"/>
      <c r="D31" s="66">
        <v>34644.556264184917</v>
      </c>
      <c r="E31" s="66">
        <v>36619.803950846966</v>
      </c>
      <c r="F31" s="66">
        <v>37039.246893405907</v>
      </c>
      <c r="G31" s="66">
        <v>36318.37324105583</v>
      </c>
      <c r="H31" s="66">
        <v>36394.132163809314</v>
      </c>
      <c r="I31" s="66">
        <v>37678.152844582655</v>
      </c>
      <c r="J31" s="66">
        <v>39283.724648117837</v>
      </c>
      <c r="K31" s="66">
        <v>41851.980586256606</v>
      </c>
      <c r="L31" s="66">
        <v>44035.957413876051</v>
      </c>
      <c r="M31" s="66">
        <v>44165.832425238114</v>
      </c>
      <c r="N31" s="66">
        <v>39440.163147117833</v>
      </c>
      <c r="O31" s="66">
        <v>38965.172583175103</v>
      </c>
      <c r="P31" s="66">
        <v>35179.887282384181</v>
      </c>
      <c r="Q31" s="66">
        <v>32961.58102430679</v>
      </c>
      <c r="R31" s="66">
        <v>33197.920632193782</v>
      </c>
      <c r="S31" s="66">
        <v>33233.248319999999</v>
      </c>
      <c r="T31" s="66">
        <v>35698.689507494644</v>
      </c>
      <c r="U31" s="66">
        <v>37414.920870512709</v>
      </c>
      <c r="V31" s="66">
        <v>39769.378441312037</v>
      </c>
      <c r="W31" s="66">
        <v>43035.974554042317</v>
      </c>
      <c r="X31" s="66">
        <v>44871.793691778512</v>
      </c>
      <c r="Y31" s="66">
        <v>46933.68098345727</v>
      </c>
      <c r="Z31" s="66">
        <v>47046.964501072282</v>
      </c>
      <c r="AA31" s="66">
        <v>48484</v>
      </c>
    </row>
    <row r="32" spans="1:27" x14ac:dyDescent="0.25">
      <c r="A32" s="64" t="s">
        <v>58</v>
      </c>
      <c r="B32" s="65"/>
      <c r="C32" s="65"/>
      <c r="D32" s="66">
        <v>88551.498713055829</v>
      </c>
      <c r="E32" s="66">
        <v>88424.302359737601</v>
      </c>
      <c r="F32" s="66">
        <v>84607.090370440041</v>
      </c>
      <c r="G32" s="66">
        <v>81286.067161776882</v>
      </c>
      <c r="H32" s="66">
        <v>83517.563980178864</v>
      </c>
      <c r="I32" s="66">
        <v>84901.760240721283</v>
      </c>
      <c r="J32" s="66">
        <v>85867.399541734863</v>
      </c>
      <c r="K32" s="66">
        <v>90037.514720486943</v>
      </c>
      <c r="L32" s="66">
        <v>87122.130101027025</v>
      </c>
      <c r="M32" s="66">
        <v>76890.129954664561</v>
      </c>
      <c r="N32" s="66">
        <v>78468.614345694848</v>
      </c>
      <c r="O32" s="66">
        <v>82110.904173202347</v>
      </c>
      <c r="P32" s="66">
        <v>80538.555916199461</v>
      </c>
      <c r="Q32" s="66">
        <v>78286.008341854031</v>
      </c>
      <c r="R32" s="66">
        <v>80942.103762240178</v>
      </c>
      <c r="S32" s="66">
        <v>84522.956879999998</v>
      </c>
      <c r="T32" s="66">
        <v>87992.582441113496</v>
      </c>
      <c r="U32" s="66">
        <v>92894.283947345175</v>
      </c>
      <c r="V32" s="66">
        <v>96412.313385781512</v>
      </c>
      <c r="W32" s="66">
        <v>96480.986791625051</v>
      </c>
      <c r="X32" s="66">
        <v>94999.480251452973</v>
      </c>
      <c r="Y32" s="66">
        <v>103158.25952344816</v>
      </c>
      <c r="Z32" s="66">
        <v>101467.447710357</v>
      </c>
      <c r="AA32" s="66">
        <v>102032</v>
      </c>
    </row>
    <row r="33" spans="1:27" x14ac:dyDescent="0.25">
      <c r="A33" s="72" t="s">
        <v>158</v>
      </c>
      <c r="B33" s="65"/>
      <c r="C33" s="65"/>
      <c r="D33" s="66">
        <v>3094.819079739822</v>
      </c>
      <c r="E33" s="66">
        <v>2607.5828600802902</v>
      </c>
      <c r="F33" s="66">
        <v>2579.4388732791758</v>
      </c>
      <c r="G33" s="66">
        <v>2654.018095281891</v>
      </c>
      <c r="H33" s="66">
        <v>3387.5898160277957</v>
      </c>
      <c r="I33" s="66">
        <v>3657.9763976822751</v>
      </c>
      <c r="J33" s="66">
        <v>3920.600654664484</v>
      </c>
      <c r="K33" s="66">
        <v>4051.6813711356722</v>
      </c>
      <c r="L33" s="66">
        <v>3567.6787634127468</v>
      </c>
      <c r="M33" s="66">
        <v>2261.5911075988852</v>
      </c>
      <c r="N33" s="66">
        <v>2300.5884920060398</v>
      </c>
      <c r="O33" s="66">
        <v>2269.4463180054486</v>
      </c>
      <c r="P33" s="66">
        <v>2385.1867807612866</v>
      </c>
      <c r="Q33" s="66">
        <v>2337.107178651333</v>
      </c>
      <c r="R33" s="66">
        <v>2704.3683215942278</v>
      </c>
      <c r="S33" s="66">
        <v>2326.37826</v>
      </c>
      <c r="T33" s="66">
        <v>2618.495074946467</v>
      </c>
      <c r="U33" s="66">
        <v>2629.5075536708191</v>
      </c>
      <c r="V33" s="66">
        <v>2867.919564571615</v>
      </c>
      <c r="W33" s="66">
        <v>2331.8524022440233</v>
      </c>
      <c r="X33" s="66">
        <v>1933.3887211116487</v>
      </c>
      <c r="Y33" s="66">
        <v>2849.0420397632415</v>
      </c>
      <c r="Z33" s="66">
        <v>2860.4075186072914</v>
      </c>
      <c r="AA33" s="66">
        <v>1886</v>
      </c>
    </row>
    <row r="34" spans="1:27" x14ac:dyDescent="0.25">
      <c r="A34" s="73" t="s">
        <v>5</v>
      </c>
      <c r="B34" s="65"/>
      <c r="C34" s="65"/>
      <c r="D34" s="66">
        <v>1856.8914478438933</v>
      </c>
      <c r="E34" s="66">
        <v>1564.5497160481741</v>
      </c>
      <c r="F34" s="66">
        <v>1547.6633239675054</v>
      </c>
      <c r="G34" s="66">
        <v>1592.4108571691345</v>
      </c>
      <c r="H34" s="66">
        <v>2032.553889616677</v>
      </c>
      <c r="I34" s="66">
        <v>2194.7858386093649</v>
      </c>
      <c r="J34" s="66">
        <v>2352.3603927986901</v>
      </c>
      <c r="K34" s="66">
        <v>2431.0088226814032</v>
      </c>
      <c r="L34" s="66">
        <v>2140.607258047648</v>
      </c>
      <c r="M34" s="66">
        <v>1306.9546645593311</v>
      </c>
      <c r="N34" s="66">
        <v>1460.3530952036238</v>
      </c>
      <c r="O34" s="66">
        <v>1561.6677908032691</v>
      </c>
      <c r="P34" s="66">
        <v>1781.112068456772</v>
      </c>
      <c r="Q34" s="66">
        <v>1752.2643071907999</v>
      </c>
      <c r="R34" s="66">
        <v>1972.6209929565366</v>
      </c>
      <c r="S34" s="66">
        <v>1745.8269559999999</v>
      </c>
      <c r="T34" s="66">
        <v>1921.09704496788</v>
      </c>
      <c r="U34" s="66">
        <v>1927.7045322024915</v>
      </c>
      <c r="V34" s="66">
        <v>1799.9999999999998</v>
      </c>
      <c r="W34" s="66">
        <v>1749.1114413464138</v>
      </c>
      <c r="X34" s="66">
        <v>1100</v>
      </c>
      <c r="Y34" s="66">
        <v>1917.2586546684702</v>
      </c>
      <c r="Z34" s="66">
        <v>2016.9038978923065</v>
      </c>
      <c r="AA34" s="66">
        <v>1232.3473813549531</v>
      </c>
    </row>
    <row r="35" spans="1:27" x14ac:dyDescent="0.25">
      <c r="A35" s="74" t="s">
        <v>264</v>
      </c>
      <c r="B35" s="44"/>
      <c r="C35" s="44"/>
      <c r="D35" s="45">
        <v>1815.7049944534342</v>
      </c>
      <c r="E35" s="45">
        <v>1544.8365607328078</v>
      </c>
      <c r="F35" s="45">
        <v>1532.4067144639819</v>
      </c>
      <c r="G35" s="45">
        <v>1580.4263528035635</v>
      </c>
      <c r="H35" s="45">
        <v>2006.1957977871971</v>
      </c>
      <c r="I35" s="45">
        <v>2162.3125572562376</v>
      </c>
      <c r="J35" s="45">
        <v>2304.1811557621977</v>
      </c>
      <c r="K35" s="45">
        <v>2388.7866916384469</v>
      </c>
      <c r="L35" s="45">
        <v>2107.4142848970068</v>
      </c>
      <c r="M35" s="45">
        <v>1303.7774066396053</v>
      </c>
      <c r="N35" s="45">
        <v>1450.943631788771</v>
      </c>
      <c r="O35" s="45">
        <v>1543.0427073351423</v>
      </c>
      <c r="P35" s="45">
        <v>1761.8034767726394</v>
      </c>
      <c r="Q35" s="45">
        <v>1734.2391601184613</v>
      </c>
      <c r="R35" s="45">
        <v>1951.9867145922017</v>
      </c>
      <c r="S35" s="45">
        <v>1736.0812783172194</v>
      </c>
      <c r="T35" s="45">
        <v>1909.4670634478996</v>
      </c>
      <c r="U35" s="45">
        <v>1927.7045322024915</v>
      </c>
      <c r="V35" s="45">
        <v>1799.9999999999998</v>
      </c>
      <c r="W35" s="45">
        <v>1749.1114413464138</v>
      </c>
      <c r="X35" s="45">
        <v>1100</v>
      </c>
      <c r="Y35" s="45">
        <v>1917.2586546684702</v>
      </c>
      <c r="Z35" s="45">
        <v>2016.9038978923065</v>
      </c>
      <c r="AA35" s="45">
        <v>1232.3473813549531</v>
      </c>
    </row>
    <row r="36" spans="1:27" x14ac:dyDescent="0.25">
      <c r="A36" s="74" t="s">
        <v>15</v>
      </c>
      <c r="B36" s="44"/>
      <c r="C36" s="44"/>
      <c r="D36" s="45">
        <v>41.186453390459064</v>
      </c>
      <c r="E36" s="45">
        <v>19.713155315366294</v>
      </c>
      <c r="F36" s="45">
        <v>15.256609503523578</v>
      </c>
      <c r="G36" s="45">
        <v>11.984504365570956</v>
      </c>
      <c r="H36" s="45">
        <v>26.358091829479918</v>
      </c>
      <c r="I36" s="45">
        <v>32.473281353127277</v>
      </c>
      <c r="J36" s="45">
        <v>48.179237036492395</v>
      </c>
      <c r="K36" s="45">
        <v>42.222131042956335</v>
      </c>
      <c r="L36" s="45">
        <v>33.192973150641137</v>
      </c>
      <c r="M36" s="45">
        <v>3.1772579197258892</v>
      </c>
      <c r="N36" s="45">
        <v>9.4094634148527803</v>
      </c>
      <c r="O36" s="45">
        <v>18.625083468126832</v>
      </c>
      <c r="P36" s="45">
        <v>19.30859168413258</v>
      </c>
      <c r="Q36" s="45">
        <v>18.025147072338541</v>
      </c>
      <c r="R36" s="45">
        <v>20.634278364334932</v>
      </c>
      <c r="S36" s="45">
        <v>9.7456776827805243</v>
      </c>
      <c r="T36" s="45">
        <v>11.629981519980447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</row>
    <row r="37" spans="1:27" x14ac:dyDescent="0.25">
      <c r="A37" s="73" t="s">
        <v>263</v>
      </c>
      <c r="B37" s="65"/>
      <c r="C37" s="65"/>
      <c r="D37" s="66">
        <v>1237.9276318959287</v>
      </c>
      <c r="E37" s="66">
        <v>1043.0331440321161</v>
      </c>
      <c r="F37" s="66">
        <v>1031.7755493116704</v>
      </c>
      <c r="G37" s="66">
        <v>1061.6072381127565</v>
      </c>
      <c r="H37" s="66">
        <v>1355.0359264111185</v>
      </c>
      <c r="I37" s="66">
        <v>1463.1905590729102</v>
      </c>
      <c r="J37" s="66">
        <v>1568.2402618657939</v>
      </c>
      <c r="K37" s="66">
        <v>1620.672548454269</v>
      </c>
      <c r="L37" s="66">
        <v>1427.0715053650988</v>
      </c>
      <c r="M37" s="66">
        <v>954.63644303955402</v>
      </c>
      <c r="N37" s="66">
        <v>840.23539680241606</v>
      </c>
      <c r="O37" s="66">
        <v>707.77852720217948</v>
      </c>
      <c r="P37" s="66">
        <v>604.07471230451472</v>
      </c>
      <c r="Q37" s="66">
        <v>584.84287146053316</v>
      </c>
      <c r="R37" s="66">
        <v>731.74732863769123</v>
      </c>
      <c r="S37" s="66">
        <v>580.55130400000007</v>
      </c>
      <c r="T37" s="66">
        <v>697.39802997858692</v>
      </c>
      <c r="U37" s="66">
        <v>701.80302146832764</v>
      </c>
      <c r="V37" s="66">
        <v>1067.919564571615</v>
      </c>
      <c r="W37" s="66">
        <v>582.74096089760928</v>
      </c>
      <c r="X37" s="66">
        <v>833.38872111164869</v>
      </c>
      <c r="Y37" s="66">
        <v>931.78338509477135</v>
      </c>
      <c r="Z37" s="66">
        <v>843.50362071498478</v>
      </c>
      <c r="AA37" s="66">
        <v>653.65261864504691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247.58552637918569</v>
      </c>
      <c r="E39" s="45">
        <v>208.60662880642317</v>
      </c>
      <c r="F39" s="45">
        <v>206.35510986233402</v>
      </c>
      <c r="G39" s="45">
        <v>212.32144762255123</v>
      </c>
      <c r="H39" s="45">
        <v>271.00718528222365</v>
      </c>
      <c r="I39" s="45">
        <v>292.63811181458203</v>
      </c>
      <c r="J39" s="45">
        <v>313.64805237315875</v>
      </c>
      <c r="K39" s="45">
        <v>324.1345096908538</v>
      </c>
      <c r="L39" s="45">
        <v>285.41430107301977</v>
      </c>
      <c r="M39" s="45">
        <v>120.92728860791081</v>
      </c>
      <c r="N39" s="45">
        <v>134.0470793604832</v>
      </c>
      <c r="O39" s="45">
        <v>151.5557054404359</v>
      </c>
      <c r="P39" s="45">
        <v>120.81494246090294</v>
      </c>
      <c r="Q39" s="45">
        <v>116.96857429210664</v>
      </c>
      <c r="R39" s="45">
        <v>1</v>
      </c>
      <c r="S39" s="45">
        <v>30.000000000000007</v>
      </c>
      <c r="T39" s="45">
        <v>40</v>
      </c>
      <c r="U39" s="45">
        <v>30</v>
      </c>
      <c r="V39" s="45">
        <v>60</v>
      </c>
      <c r="W39" s="45">
        <v>86.548192179521862</v>
      </c>
      <c r="X39" s="45">
        <v>70</v>
      </c>
      <c r="Y39" s="45">
        <v>50.000000000000007</v>
      </c>
      <c r="Z39" s="45">
        <v>15.000000000000002</v>
      </c>
      <c r="AA39" s="45">
        <v>15</v>
      </c>
    </row>
    <row r="40" spans="1:27" x14ac:dyDescent="0.25">
      <c r="A40" s="75" t="s">
        <v>267</v>
      </c>
      <c r="B40" s="76"/>
      <c r="C40" s="76"/>
      <c r="D40" s="45">
        <v>183.92524244490812</v>
      </c>
      <c r="E40" s="45">
        <v>156.3405944712317</v>
      </c>
      <c r="F40" s="45">
        <v>159.7175532192594</v>
      </c>
      <c r="G40" s="45">
        <v>159.60797634504044</v>
      </c>
      <c r="H40" s="45">
        <v>213.49790548048489</v>
      </c>
      <c r="I40" s="45">
        <v>231.1596147938231</v>
      </c>
      <c r="J40" s="45">
        <v>228.18267205541255</v>
      </c>
      <c r="K40" s="45">
        <v>226.90489578616828</v>
      </c>
      <c r="L40" s="45">
        <v>225.23796053096422</v>
      </c>
      <c r="M40" s="45">
        <v>89.013809482235345</v>
      </c>
      <c r="N40" s="45">
        <v>84.248273490990556</v>
      </c>
      <c r="O40" s="45">
        <v>104.65628852255645</v>
      </c>
      <c r="P40" s="45">
        <v>46.842658452065649</v>
      </c>
      <c r="Q40" s="45">
        <v>48.812845866402533</v>
      </c>
      <c r="R40" s="45">
        <v>6.9427393217624941E-3</v>
      </c>
      <c r="S40" s="45">
        <v>5.7291125743290632</v>
      </c>
      <c r="T40" s="45">
        <v>8.7090040339488457</v>
      </c>
      <c r="U40" s="45">
        <v>5.4297909560035666</v>
      </c>
      <c r="V40" s="45">
        <v>13.275846630263556</v>
      </c>
      <c r="W40" s="45">
        <v>30.671779150394851</v>
      </c>
      <c r="X40" s="45">
        <v>22.692425380175369</v>
      </c>
      <c r="Y40" s="45">
        <v>12.175446686727549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63.660283934277572</v>
      </c>
      <c r="E41" s="45">
        <v>52.266034335191478</v>
      </c>
      <c r="F41" s="45">
        <v>46.637556643074618</v>
      </c>
      <c r="G41" s="45">
        <v>52.713471277510791</v>
      </c>
      <c r="H41" s="45">
        <v>57.509279801738757</v>
      </c>
      <c r="I41" s="45">
        <v>61.478497020758937</v>
      </c>
      <c r="J41" s="45">
        <v>85.465380317746195</v>
      </c>
      <c r="K41" s="45">
        <v>97.229613904685522</v>
      </c>
      <c r="L41" s="45">
        <v>60.176340542055556</v>
      </c>
      <c r="M41" s="45">
        <v>31.913479125675465</v>
      </c>
      <c r="N41" s="45">
        <v>49.798805869492639</v>
      </c>
      <c r="O41" s="45">
        <v>46.899416917879449</v>
      </c>
      <c r="P41" s="45">
        <v>73.972284008837292</v>
      </c>
      <c r="Q41" s="45">
        <v>68.155728425704098</v>
      </c>
      <c r="R41" s="45">
        <v>0.99305726067823752</v>
      </c>
      <c r="S41" s="45">
        <v>24.270887425670942</v>
      </c>
      <c r="T41" s="45">
        <v>31.290995966051156</v>
      </c>
      <c r="U41" s="45">
        <v>24.570209043996435</v>
      </c>
      <c r="V41" s="45">
        <v>46.724153369736442</v>
      </c>
      <c r="W41" s="45">
        <v>55.876413029127008</v>
      </c>
      <c r="X41" s="45">
        <v>47.307574619824635</v>
      </c>
      <c r="Y41" s="45">
        <v>37.82455331327246</v>
      </c>
      <c r="Z41" s="45">
        <v>15.000000000000002</v>
      </c>
      <c r="AA41" s="45">
        <v>15</v>
      </c>
    </row>
    <row r="42" spans="1:27" x14ac:dyDescent="0.25">
      <c r="A42" s="74" t="s">
        <v>13</v>
      </c>
      <c r="B42" s="44"/>
      <c r="C42" s="44"/>
      <c r="D42" s="45">
        <v>990.342105516743</v>
      </c>
      <c r="E42" s="45">
        <v>834.42651522569292</v>
      </c>
      <c r="F42" s="45">
        <v>825.4204394493363</v>
      </c>
      <c r="G42" s="45">
        <v>849.28579049020527</v>
      </c>
      <c r="H42" s="45">
        <v>1084.0287411288948</v>
      </c>
      <c r="I42" s="45">
        <v>1170.5524472583281</v>
      </c>
      <c r="J42" s="45">
        <v>1254.592209492635</v>
      </c>
      <c r="K42" s="45">
        <v>1296.5380387634152</v>
      </c>
      <c r="L42" s="45">
        <v>1141.6572042920791</v>
      </c>
      <c r="M42" s="45">
        <v>833.70915443164324</v>
      </c>
      <c r="N42" s="45">
        <v>706.1883174419329</v>
      </c>
      <c r="O42" s="45">
        <v>556.2228217617436</v>
      </c>
      <c r="P42" s="45">
        <v>483.25976984361176</v>
      </c>
      <c r="Q42" s="45">
        <v>467.87429716842655</v>
      </c>
      <c r="R42" s="45">
        <v>730.74732863769123</v>
      </c>
      <c r="S42" s="45">
        <v>550.55130400000007</v>
      </c>
      <c r="T42" s="45">
        <v>657.39802997858692</v>
      </c>
      <c r="U42" s="45">
        <v>671.80302146832764</v>
      </c>
      <c r="V42" s="45">
        <v>1007.9195645716148</v>
      </c>
      <c r="W42" s="45">
        <v>496.19276871808745</v>
      </c>
      <c r="X42" s="45">
        <v>763.38872111164869</v>
      </c>
      <c r="Y42" s="45">
        <v>881.78338509477135</v>
      </c>
      <c r="Z42" s="45">
        <v>828.50362071498478</v>
      </c>
      <c r="AA42" s="45">
        <v>638.65261864504691</v>
      </c>
    </row>
    <row r="43" spans="1:27" x14ac:dyDescent="0.25">
      <c r="A43" s="72" t="s">
        <v>265</v>
      </c>
      <c r="B43" s="65"/>
      <c r="C43" s="65"/>
      <c r="D43" s="66">
        <v>14030.706614766259</v>
      </c>
      <c r="E43" s="66">
        <v>15309.235728972879</v>
      </c>
      <c r="F43" s="66">
        <v>16281.119102761546</v>
      </c>
      <c r="G43" s="66">
        <v>15419.625793249335</v>
      </c>
      <c r="H43" s="66">
        <v>15926.598484934784</v>
      </c>
      <c r="I43" s="66">
        <v>15718.912190429317</v>
      </c>
      <c r="J43" s="66">
        <v>16688.574468085106</v>
      </c>
      <c r="K43" s="66">
        <v>17316.421656255006</v>
      </c>
      <c r="L43" s="66">
        <v>16368.488882846326</v>
      </c>
      <c r="M43" s="66">
        <v>13234.93696710061</v>
      </c>
      <c r="N43" s="66">
        <v>14004.78311857536</v>
      </c>
      <c r="O43" s="66">
        <v>15065.763353421942</v>
      </c>
      <c r="P43" s="66">
        <v>15376.236647978756</v>
      </c>
      <c r="Q43" s="66">
        <v>12956.458639994331</v>
      </c>
      <c r="R43" s="66">
        <v>12971.71345129703</v>
      </c>
      <c r="S43" s="66">
        <v>15517.668000000001</v>
      </c>
      <c r="T43" s="66">
        <v>17279.280513918631</v>
      </c>
      <c r="U43" s="66">
        <v>18723.691963365432</v>
      </c>
      <c r="V43" s="66">
        <v>19435.548396370155</v>
      </c>
      <c r="W43" s="66">
        <v>18120.53531723436</v>
      </c>
      <c r="X43" s="66">
        <v>17135.905075590999</v>
      </c>
      <c r="Y43" s="66">
        <v>20691.607831233872</v>
      </c>
      <c r="Z43" s="66">
        <v>17582.841579412132</v>
      </c>
      <c r="AA43" s="66">
        <v>17362</v>
      </c>
    </row>
    <row r="44" spans="1:27" x14ac:dyDescent="0.25">
      <c r="A44" s="73" t="s">
        <v>266</v>
      </c>
      <c r="B44" s="65"/>
      <c r="C44" s="65"/>
      <c r="D44" s="66">
        <v>10131.137810800188</v>
      </c>
      <c r="E44" s="66">
        <v>11025.016009008128</v>
      </c>
      <c r="F44" s="66">
        <v>11537.942229693983</v>
      </c>
      <c r="G44" s="66">
        <v>11219.989446334959</v>
      </c>
      <c r="H44" s="66">
        <v>12010.150549638322</v>
      </c>
      <c r="I44" s="66">
        <v>12206.059710508065</v>
      </c>
      <c r="J44" s="66">
        <v>13353.635220949262</v>
      </c>
      <c r="K44" s="66">
        <v>13692.591318276471</v>
      </c>
      <c r="L44" s="66">
        <v>12734.29858394863</v>
      </c>
      <c r="M44" s="66">
        <v>9452.3927754439956</v>
      </c>
      <c r="N44" s="66">
        <v>10287.537218970405</v>
      </c>
      <c r="O44" s="66">
        <v>11156.907867580285</v>
      </c>
      <c r="P44" s="66">
        <v>10634.335202124521</v>
      </c>
      <c r="Q44" s="66">
        <v>9662.6183298069427</v>
      </c>
      <c r="R44" s="66">
        <v>9433.1554715684597</v>
      </c>
      <c r="S44" s="66">
        <v>10974.29832</v>
      </c>
      <c r="T44" s="66">
        <v>11844.668094218416</v>
      </c>
      <c r="U44" s="66">
        <v>12895.324793120712</v>
      </c>
      <c r="V44" s="66">
        <v>13373.061395019022</v>
      </c>
      <c r="W44" s="66">
        <v>11235.396783317308</v>
      </c>
      <c r="X44" s="66">
        <v>9575.2643084587107</v>
      </c>
      <c r="Y44" s="66">
        <v>12104.738200030353</v>
      </c>
      <c r="Z44" s="66">
        <v>8440.0206887851637</v>
      </c>
      <c r="AA44" s="66">
        <v>7441</v>
      </c>
    </row>
    <row r="45" spans="1:27" x14ac:dyDescent="0.25">
      <c r="A45" s="74" t="s">
        <v>20</v>
      </c>
      <c r="B45" s="44"/>
      <c r="C45" s="44"/>
      <c r="D45" s="45">
        <v>7814.3704025640227</v>
      </c>
      <c r="E45" s="45">
        <v>8151.8183940765593</v>
      </c>
      <c r="F45" s="45">
        <v>8339.2897088293248</v>
      </c>
      <c r="G45" s="45">
        <v>8223.5834857875852</v>
      </c>
      <c r="H45" s="45">
        <v>8508.2277609571065</v>
      </c>
      <c r="I45" s="45">
        <v>8577.3400204761128</v>
      </c>
      <c r="J45" s="45">
        <v>8971.4912063372158</v>
      </c>
      <c r="K45" s="45">
        <v>9270.0404421461062</v>
      </c>
      <c r="L45" s="45">
        <v>8939.7694777820579</v>
      </c>
      <c r="M45" s="45">
        <v>6635.7963784856975</v>
      </c>
      <c r="N45" s="45">
        <v>7542.0256794588104</v>
      </c>
      <c r="O45" s="45">
        <v>8095.9478339556263</v>
      </c>
      <c r="P45" s="45">
        <v>8292.3483318500439</v>
      </c>
      <c r="Q45" s="45">
        <v>6537.8809357279624</v>
      </c>
      <c r="R45" s="45">
        <v>6143.2940145230132</v>
      </c>
      <c r="S45" s="45">
        <v>7735.5596173300146</v>
      </c>
      <c r="T45" s="45">
        <v>8328.3323980400983</v>
      </c>
      <c r="U45" s="45">
        <v>9174.5008875749027</v>
      </c>
      <c r="V45" s="45">
        <v>10285.39479778341</v>
      </c>
      <c r="W45" s="45">
        <v>8671.4778460433408</v>
      </c>
      <c r="X45" s="45">
        <v>7148.0900988352287</v>
      </c>
      <c r="Y45" s="45">
        <v>9566.9926976416591</v>
      </c>
      <c r="Z45" s="45">
        <v>6423.5536608286184</v>
      </c>
      <c r="AA45" s="45">
        <v>4900.1218944219918</v>
      </c>
    </row>
    <row r="46" spans="1:27" x14ac:dyDescent="0.25">
      <c r="A46" s="74" t="s">
        <v>12</v>
      </c>
      <c r="B46" s="44"/>
      <c r="C46" s="44"/>
      <c r="D46" s="45">
        <v>2316.7674082361655</v>
      </c>
      <c r="E46" s="45">
        <v>2873.1976149315688</v>
      </c>
      <c r="F46" s="45">
        <v>3198.6525208646581</v>
      </c>
      <c r="G46" s="45">
        <v>2996.405960547374</v>
      </c>
      <c r="H46" s="45">
        <v>3501.922788681215</v>
      </c>
      <c r="I46" s="45">
        <v>3628.7196900319523</v>
      </c>
      <c r="J46" s="45">
        <v>4382.1440146120458</v>
      </c>
      <c r="K46" s="45">
        <v>4422.5508761303645</v>
      </c>
      <c r="L46" s="45">
        <v>3794.5291061665721</v>
      </c>
      <c r="M46" s="45">
        <v>2816.5963969582981</v>
      </c>
      <c r="N46" s="45">
        <v>2745.5115395115945</v>
      </c>
      <c r="O46" s="45">
        <v>3060.9600336246585</v>
      </c>
      <c r="P46" s="45">
        <v>2341.986870274477</v>
      </c>
      <c r="Q46" s="45">
        <v>3124.7373940789803</v>
      </c>
      <c r="R46" s="45">
        <v>3289.8614570454465</v>
      </c>
      <c r="S46" s="45">
        <v>3238.7387026699853</v>
      </c>
      <c r="T46" s="45">
        <v>3516.3356961783174</v>
      </c>
      <c r="U46" s="45">
        <v>3720.8239055458089</v>
      </c>
      <c r="V46" s="45">
        <v>3087.6665972356113</v>
      </c>
      <c r="W46" s="45">
        <v>2563.9189372739675</v>
      </c>
      <c r="X46" s="45">
        <v>2427.1742096234821</v>
      </c>
      <c r="Y46" s="45">
        <v>2537.7455023886941</v>
      </c>
      <c r="Z46" s="45">
        <v>2016.4670279565453</v>
      </c>
      <c r="AA46" s="45">
        <v>2540.8781055780082</v>
      </c>
    </row>
    <row r="47" spans="1:27" x14ac:dyDescent="0.25">
      <c r="A47" s="73" t="s">
        <v>11</v>
      </c>
      <c r="B47" s="65"/>
      <c r="C47" s="65"/>
      <c r="D47" s="66">
        <v>3899.5688039660704</v>
      </c>
      <c r="E47" s="66">
        <v>4284.2197199647517</v>
      </c>
      <c r="F47" s="66">
        <v>4743.1768730675631</v>
      </c>
      <c r="G47" s="66">
        <v>4199.6363469143753</v>
      </c>
      <c r="H47" s="66">
        <v>3916.4479352964636</v>
      </c>
      <c r="I47" s="66">
        <v>3512.8524799212514</v>
      </c>
      <c r="J47" s="66">
        <v>3334.9392471358428</v>
      </c>
      <c r="K47" s="66">
        <v>3623.8303379785361</v>
      </c>
      <c r="L47" s="66">
        <v>3634.1902988976972</v>
      </c>
      <c r="M47" s="66">
        <v>3782.5441916566151</v>
      </c>
      <c r="N47" s="66">
        <v>3717.2458996049563</v>
      </c>
      <c r="O47" s="66">
        <v>3908.8554858416578</v>
      </c>
      <c r="P47" s="66">
        <v>4741.9014458542342</v>
      </c>
      <c r="Q47" s="66">
        <v>3293.8403101873882</v>
      </c>
      <c r="R47" s="66">
        <v>3538.5579797285691</v>
      </c>
      <c r="S47" s="66">
        <v>4543.3696800000007</v>
      </c>
      <c r="T47" s="66">
        <v>5434.6124197002146</v>
      </c>
      <c r="U47" s="66">
        <v>5828.3671702447218</v>
      </c>
      <c r="V47" s="66">
        <v>6062.4870013511318</v>
      </c>
      <c r="W47" s="66">
        <v>6885.1385339170529</v>
      </c>
      <c r="X47" s="66">
        <v>7560.6407671322877</v>
      </c>
      <c r="Y47" s="66">
        <v>8586.8696312035208</v>
      </c>
      <c r="Z47" s="66">
        <v>9142.8208906269701</v>
      </c>
      <c r="AA47" s="66">
        <v>9921</v>
      </c>
    </row>
    <row r="48" spans="1:27" x14ac:dyDescent="0.25">
      <c r="A48" s="72" t="s">
        <v>4</v>
      </c>
      <c r="B48" s="65"/>
      <c r="C48" s="65"/>
      <c r="D48" s="66">
        <v>3030.3100838098621</v>
      </c>
      <c r="E48" s="66">
        <v>2998.3310976206799</v>
      </c>
      <c r="F48" s="66">
        <v>2841.1210778147447</v>
      </c>
      <c r="G48" s="66">
        <v>2566.2819599006716</v>
      </c>
      <c r="H48" s="66">
        <v>2554.4571623853735</v>
      </c>
      <c r="I48" s="66">
        <v>2457.1471173851764</v>
      </c>
      <c r="J48" s="66">
        <v>2677.1110310965628</v>
      </c>
      <c r="K48" s="66">
        <v>2946.0599711677078</v>
      </c>
      <c r="L48" s="66">
        <v>2935.8191763057166</v>
      </c>
      <c r="M48" s="66">
        <v>2831.6178721457386</v>
      </c>
      <c r="N48" s="66">
        <v>2476.8485594324602</v>
      </c>
      <c r="O48" s="66">
        <v>2606.7787088252289</v>
      </c>
      <c r="P48" s="66">
        <v>2253.1796990262615</v>
      </c>
      <c r="Q48" s="66">
        <v>2168.4234098340744</v>
      </c>
      <c r="R48" s="66">
        <v>2077.1193952929052</v>
      </c>
      <c r="S48" s="66">
        <v>2060.5428000000002</v>
      </c>
      <c r="T48" s="66">
        <v>2334.7297644539617</v>
      </c>
      <c r="U48" s="66">
        <v>2408.50905557028</v>
      </c>
      <c r="V48" s="66">
        <v>2569.304905277078</v>
      </c>
      <c r="W48" s="66">
        <v>2614.429220845896</v>
      </c>
      <c r="X48" s="66">
        <v>2687.712051677418</v>
      </c>
      <c r="Y48" s="66">
        <v>2646.9178934587949</v>
      </c>
      <c r="Z48" s="66">
        <v>2554.4701400277531</v>
      </c>
      <c r="AA48" s="66">
        <v>2493</v>
      </c>
    </row>
    <row r="49" spans="1:27" x14ac:dyDescent="0.25">
      <c r="A49" s="77" t="s">
        <v>10</v>
      </c>
      <c r="B49" s="44"/>
      <c r="C49" s="44"/>
      <c r="D49" s="45">
        <v>1797.4479513081171</v>
      </c>
      <c r="E49" s="45">
        <v>1764.2096715362079</v>
      </c>
      <c r="F49" s="45">
        <v>1648.4569040964623</v>
      </c>
      <c r="G49" s="45">
        <v>1349.0491374190981</v>
      </c>
      <c r="H49" s="45">
        <v>1296.1357542180797</v>
      </c>
      <c r="I49" s="45">
        <v>1250.8509023317024</v>
      </c>
      <c r="J49" s="45">
        <v>1434.3636939686214</v>
      </c>
      <c r="K49" s="45">
        <v>1554.3406095367814</v>
      </c>
      <c r="L49" s="45">
        <v>1673.6476439898388</v>
      </c>
      <c r="M49" s="45">
        <v>1459.0100236362323</v>
      </c>
      <c r="N49" s="45">
        <v>1168.4415437366665</v>
      </c>
      <c r="O49" s="45">
        <v>1242.0673308900289</v>
      </c>
      <c r="P49" s="45">
        <v>1004.3386849497426</v>
      </c>
      <c r="Q49" s="45">
        <v>907.44194991251959</v>
      </c>
      <c r="R49" s="45">
        <v>805.10949457511708</v>
      </c>
      <c r="S49" s="45">
        <v>836.10273867824458</v>
      </c>
      <c r="T49" s="45">
        <v>1011.1431675888489</v>
      </c>
      <c r="U49" s="45">
        <v>1077.01115361753</v>
      </c>
      <c r="V49" s="45">
        <v>1175.1976392927568</v>
      </c>
      <c r="W49" s="45">
        <v>1288.641997655975</v>
      </c>
      <c r="X49" s="45">
        <v>1289.7460394704406</v>
      </c>
      <c r="Y49" s="45">
        <v>1211.4202164991766</v>
      </c>
      <c r="Z49" s="45">
        <v>1136.8362792177834</v>
      </c>
      <c r="AA49" s="45">
        <v>1145.5289196850392</v>
      </c>
    </row>
    <row r="50" spans="1:27" x14ac:dyDescent="0.25">
      <c r="A50" s="77" t="s">
        <v>18</v>
      </c>
      <c r="B50" s="44"/>
      <c r="C50" s="44"/>
      <c r="D50" s="45">
        <v>660.90198734643218</v>
      </c>
      <c r="E50" s="45">
        <v>649.99771460260217</v>
      </c>
      <c r="F50" s="45">
        <v>654.35183315576444</v>
      </c>
      <c r="G50" s="45">
        <v>698.49212437793551</v>
      </c>
      <c r="H50" s="45">
        <v>690.83345875639884</v>
      </c>
      <c r="I50" s="45">
        <v>653.51251566669725</v>
      </c>
      <c r="J50" s="45">
        <v>662.3911081216969</v>
      </c>
      <c r="K50" s="45">
        <v>728.59743321732606</v>
      </c>
      <c r="L50" s="45">
        <v>671.63428369145834</v>
      </c>
      <c r="M50" s="45">
        <v>518.49759049941258</v>
      </c>
      <c r="N50" s="45">
        <v>493.79592254166494</v>
      </c>
      <c r="O50" s="45">
        <v>530.56598285140444</v>
      </c>
      <c r="P50" s="45">
        <v>487.8250149792276</v>
      </c>
      <c r="Q50" s="45">
        <v>529.43630767363186</v>
      </c>
      <c r="R50" s="45">
        <v>529.24667251560902</v>
      </c>
      <c r="S50" s="45">
        <v>493.65361319869959</v>
      </c>
      <c r="T50" s="45">
        <v>507.38458831200893</v>
      </c>
      <c r="U50" s="45">
        <v>515.58275041318677</v>
      </c>
      <c r="V50" s="45">
        <v>557.39551736517012</v>
      </c>
      <c r="W50" s="45">
        <v>533.61234711589054</v>
      </c>
      <c r="X50" s="45">
        <v>580.12212156745784</v>
      </c>
      <c r="Y50" s="45">
        <v>581.62744911895447</v>
      </c>
      <c r="Z50" s="45">
        <v>583.6963834685813</v>
      </c>
      <c r="AA50" s="45">
        <v>571.64424566929142</v>
      </c>
    </row>
    <row r="51" spans="1:27" x14ac:dyDescent="0.25">
      <c r="A51" s="77" t="s">
        <v>9</v>
      </c>
      <c r="B51" s="44"/>
      <c r="C51" s="44"/>
      <c r="D51" s="45">
        <v>571.96014515531283</v>
      </c>
      <c r="E51" s="45">
        <v>584.1237114818698</v>
      </c>
      <c r="F51" s="45">
        <v>538.31234056251799</v>
      </c>
      <c r="G51" s="45">
        <v>518.74069810363801</v>
      </c>
      <c r="H51" s="45">
        <v>567.487949410895</v>
      </c>
      <c r="I51" s="45">
        <v>552.78369938677679</v>
      </c>
      <c r="J51" s="45">
        <v>580.35622900624446</v>
      </c>
      <c r="K51" s="45">
        <v>663.12192841360036</v>
      </c>
      <c r="L51" s="45">
        <v>590.53724862441948</v>
      </c>
      <c r="M51" s="45">
        <v>854.11025801009373</v>
      </c>
      <c r="N51" s="45">
        <v>814.61109315412875</v>
      </c>
      <c r="O51" s="45">
        <v>834.14539508379562</v>
      </c>
      <c r="P51" s="45">
        <v>761.01599909729123</v>
      </c>
      <c r="Q51" s="45">
        <v>731.54515224792283</v>
      </c>
      <c r="R51" s="45">
        <v>742.76322820217922</v>
      </c>
      <c r="S51" s="45">
        <v>730.78644812305606</v>
      </c>
      <c r="T51" s="45">
        <v>816.20200855310395</v>
      </c>
      <c r="U51" s="45">
        <v>815.91515153956323</v>
      </c>
      <c r="V51" s="45">
        <v>836.71174861915108</v>
      </c>
      <c r="W51" s="45">
        <v>792.17487607403041</v>
      </c>
      <c r="X51" s="45">
        <v>817.8438906395196</v>
      </c>
      <c r="Y51" s="45">
        <v>853.8702278406638</v>
      </c>
      <c r="Z51" s="45">
        <v>833.93747734138844</v>
      </c>
      <c r="AA51" s="45">
        <v>775.82683464566935</v>
      </c>
    </row>
    <row r="52" spans="1:27" x14ac:dyDescent="0.25">
      <c r="A52" s="72" t="s">
        <v>3</v>
      </c>
      <c r="B52" s="65"/>
      <c r="C52" s="65"/>
      <c r="D52" s="66">
        <v>6528.3103881119332</v>
      </c>
      <c r="E52" s="66">
        <v>6608.4711886810928</v>
      </c>
      <c r="F52" s="66">
        <v>6234.0177754787737</v>
      </c>
      <c r="G52" s="66">
        <v>5746.7168674698796</v>
      </c>
      <c r="H52" s="66">
        <v>5779.7672267471671</v>
      </c>
      <c r="I52" s="66">
        <v>5735.2403185753601</v>
      </c>
      <c r="J52" s="66">
        <v>5558.2320785597376</v>
      </c>
      <c r="K52" s="66">
        <v>5720.9795290725615</v>
      </c>
      <c r="L52" s="66">
        <v>5420.6901420234681</v>
      </c>
      <c r="M52" s="66">
        <v>5072.0478933577342</v>
      </c>
      <c r="N52" s="66">
        <v>4640.638193137398</v>
      </c>
      <c r="O52" s="66">
        <v>4574.3322257079171</v>
      </c>
      <c r="P52" s="66">
        <v>4175.0475066391264</v>
      </c>
      <c r="Q52" s="66">
        <v>4137.2591542736818</v>
      </c>
      <c r="R52" s="66">
        <v>4140.0999828208214</v>
      </c>
      <c r="S52" s="66">
        <v>3893.40834</v>
      </c>
      <c r="T52" s="66">
        <v>3934.7100642398291</v>
      </c>
      <c r="U52" s="66">
        <v>3940.5155932502876</v>
      </c>
      <c r="V52" s="66">
        <v>4094.0679206953055</v>
      </c>
      <c r="W52" s="66">
        <v>4161.4779378132898</v>
      </c>
      <c r="X52" s="66">
        <v>4011.8396211782529</v>
      </c>
      <c r="Y52" s="66">
        <v>3470.1763545302774</v>
      </c>
      <c r="Z52" s="66">
        <v>3673.3879651822881</v>
      </c>
      <c r="AA52" s="66">
        <v>3253</v>
      </c>
    </row>
    <row r="53" spans="1:27" x14ac:dyDescent="0.25">
      <c r="A53" s="73" t="s">
        <v>21</v>
      </c>
      <c r="B53" s="65"/>
      <c r="C53" s="65"/>
      <c r="D53" s="66">
        <v>2248.1385081590993</v>
      </c>
      <c r="E53" s="66">
        <v>2473.7009938313918</v>
      </c>
      <c r="F53" s="66">
        <v>2495.7005678277942</v>
      </c>
      <c r="G53" s="66">
        <v>2380.57380667709</v>
      </c>
      <c r="H53" s="66">
        <v>2439.9919804066758</v>
      </c>
      <c r="I53" s="66">
        <v>2299.2181480570039</v>
      </c>
      <c r="J53" s="66">
        <v>2334.3186906710307</v>
      </c>
      <c r="K53" s="66">
        <v>2463.8786480858562</v>
      </c>
      <c r="L53" s="66">
        <v>2284.0061285532015</v>
      </c>
      <c r="M53" s="66">
        <v>2094.9475523021251</v>
      </c>
      <c r="N53" s="66">
        <v>2044.0906326914728</v>
      </c>
      <c r="O53" s="66">
        <v>2056.8087798233305</v>
      </c>
      <c r="P53" s="66">
        <v>1822.2154027736794</v>
      </c>
      <c r="Q53" s="66">
        <v>1923.7675619311799</v>
      </c>
      <c r="R53" s="66">
        <v>2109.2530493042432</v>
      </c>
      <c r="S53" s="66">
        <v>2026.2004200000001</v>
      </c>
      <c r="T53" s="66">
        <v>2159.9100642398289</v>
      </c>
      <c r="U53" s="66">
        <v>2257.4309862473128</v>
      </c>
      <c r="V53" s="66">
        <v>2486.424101881043</v>
      </c>
      <c r="W53" s="66">
        <v>2737.9081667895712</v>
      </c>
      <c r="X53" s="66">
        <v>2721.3664771949675</v>
      </c>
      <c r="Y53" s="66">
        <v>2201.7905600242825</v>
      </c>
      <c r="Z53" s="66">
        <v>2401.5014507379842</v>
      </c>
      <c r="AA53" s="66">
        <v>2087</v>
      </c>
    </row>
    <row r="54" spans="1:27" x14ac:dyDescent="0.25">
      <c r="A54" s="74" t="s">
        <v>8</v>
      </c>
      <c r="B54" s="44"/>
      <c r="C54" s="44"/>
      <c r="D54" s="45">
        <v>16.172217104856564</v>
      </c>
      <c r="E54" s="45">
        <v>17.663277593242093</v>
      </c>
      <c r="F54" s="45">
        <v>15.403158814948855</v>
      </c>
      <c r="G54" s="45">
        <v>15.472060737621121</v>
      </c>
      <c r="H54" s="45">
        <v>14.690820186047011</v>
      </c>
      <c r="I54" s="45">
        <v>13.563528103241637</v>
      </c>
      <c r="J54" s="45">
        <v>21.475908360430939</v>
      </c>
      <c r="K54" s="45">
        <v>18.641720224094279</v>
      </c>
      <c r="L54" s="45">
        <v>19.007291226722717</v>
      </c>
      <c r="M54" s="45">
        <v>10.211075400305493</v>
      </c>
      <c r="N54" s="45">
        <v>12.251614207007393</v>
      </c>
      <c r="O54" s="45">
        <v>4.580565829173592</v>
      </c>
      <c r="P54" s="45">
        <v>4.6733204148516521</v>
      </c>
      <c r="Q54" s="45">
        <v>5.1023317032869677</v>
      </c>
      <c r="R54" s="45">
        <v>6.0199872973364057</v>
      </c>
      <c r="S54" s="45">
        <v>6.0777487251109585</v>
      </c>
      <c r="T54" s="45">
        <v>4.2262594874134694</v>
      </c>
      <c r="U54" s="45">
        <v>5.0937518935763624</v>
      </c>
      <c r="V54" s="45">
        <v>5.5565905698425739</v>
      </c>
      <c r="W54" s="45">
        <v>5.7603632916605712</v>
      </c>
      <c r="X54" s="45">
        <v>6.3144713192157162</v>
      </c>
      <c r="Y54" s="45">
        <v>4.9834072929131947</v>
      </c>
      <c r="Z54" s="45">
        <v>5.5435975716570747</v>
      </c>
      <c r="AA54" s="45">
        <v>6.2336198357288319</v>
      </c>
    </row>
    <row r="55" spans="1:27" x14ac:dyDescent="0.25">
      <c r="A55" s="74" t="s">
        <v>17</v>
      </c>
      <c r="B55" s="44"/>
      <c r="C55" s="44"/>
      <c r="D55" s="45">
        <v>2231.9662910542429</v>
      </c>
      <c r="E55" s="45">
        <v>2456.0377162381496</v>
      </c>
      <c r="F55" s="45">
        <v>2480.2974090128455</v>
      </c>
      <c r="G55" s="45">
        <v>2365.1017459394689</v>
      </c>
      <c r="H55" s="45">
        <v>2425.3011602206288</v>
      </c>
      <c r="I55" s="45">
        <v>2285.6546199537624</v>
      </c>
      <c r="J55" s="45">
        <v>2312.8427823105999</v>
      </c>
      <c r="K55" s="45">
        <v>2445.2369278617621</v>
      </c>
      <c r="L55" s="45">
        <v>2264.9988373264787</v>
      </c>
      <c r="M55" s="45">
        <v>2084.7364769018195</v>
      </c>
      <c r="N55" s="45">
        <v>2031.8390184844654</v>
      </c>
      <c r="O55" s="45">
        <v>2052.2282139941567</v>
      </c>
      <c r="P55" s="45">
        <v>1817.5420823588279</v>
      </c>
      <c r="Q55" s="45">
        <v>1918.6652302278928</v>
      </c>
      <c r="R55" s="45">
        <v>2103.2330620069069</v>
      </c>
      <c r="S55" s="45">
        <v>2020.1226712748892</v>
      </c>
      <c r="T55" s="45">
        <v>2155.6838047524157</v>
      </c>
      <c r="U55" s="45">
        <v>2252.3372343537367</v>
      </c>
      <c r="V55" s="45">
        <v>2480.8675113112004</v>
      </c>
      <c r="W55" s="45">
        <v>2732.1478034979104</v>
      </c>
      <c r="X55" s="45">
        <v>2715.052005875752</v>
      </c>
      <c r="Y55" s="45">
        <v>2196.8071527313691</v>
      </c>
      <c r="Z55" s="45">
        <v>2395.9578531663269</v>
      </c>
      <c r="AA55" s="45">
        <v>2080.7663801642711</v>
      </c>
    </row>
    <row r="56" spans="1:27" x14ac:dyDescent="0.25">
      <c r="A56" s="73" t="s">
        <v>16</v>
      </c>
      <c r="B56" s="65"/>
      <c r="C56" s="65"/>
      <c r="D56" s="66">
        <v>4280.1718799528335</v>
      </c>
      <c r="E56" s="66">
        <v>4134.7701948497015</v>
      </c>
      <c r="F56" s="66">
        <v>3738.3172076509795</v>
      </c>
      <c r="G56" s="66">
        <v>3366.1430607927896</v>
      </c>
      <c r="H56" s="66">
        <v>3339.7752463404913</v>
      </c>
      <c r="I56" s="66">
        <v>3436.0221705183562</v>
      </c>
      <c r="J56" s="66">
        <v>3223.9133878887069</v>
      </c>
      <c r="K56" s="66">
        <v>3257.1008809867053</v>
      </c>
      <c r="L56" s="66">
        <v>3136.684013470267</v>
      </c>
      <c r="M56" s="66">
        <v>2977.1003410556086</v>
      </c>
      <c r="N56" s="66">
        <v>2596.5475604459248</v>
      </c>
      <c r="O56" s="66">
        <v>2517.5234458845866</v>
      </c>
      <c r="P56" s="66">
        <v>2352.8321038654472</v>
      </c>
      <c r="Q56" s="66">
        <v>2213.4915923425019</v>
      </c>
      <c r="R56" s="66">
        <v>2030.846933516578</v>
      </c>
      <c r="S56" s="66">
        <v>1867.2079200000001</v>
      </c>
      <c r="T56" s="66">
        <v>1774.8</v>
      </c>
      <c r="U56" s="66">
        <v>1683.0846070029745</v>
      </c>
      <c r="V56" s="66">
        <v>1607.6438188142627</v>
      </c>
      <c r="W56" s="66">
        <v>1423.5697710237189</v>
      </c>
      <c r="X56" s="66">
        <v>1290.4731439832854</v>
      </c>
      <c r="Y56" s="66">
        <v>1268.3857945059947</v>
      </c>
      <c r="Z56" s="66">
        <v>1271.8865144443041</v>
      </c>
      <c r="AA56" s="66">
        <v>1166</v>
      </c>
    </row>
    <row r="57" spans="1:27" x14ac:dyDescent="0.25">
      <c r="A57" s="72" t="s">
        <v>2</v>
      </c>
      <c r="B57" s="65"/>
      <c r="C57" s="65"/>
      <c r="D57" s="66">
        <v>16285.296022518354</v>
      </c>
      <c r="E57" s="66">
        <v>16775.709194164301</v>
      </c>
      <c r="F57" s="66">
        <v>16819.436780663287</v>
      </c>
      <c r="G57" s="66">
        <v>16804.394463349581</v>
      </c>
      <c r="H57" s="66">
        <v>16956.785122743069</v>
      </c>
      <c r="I57" s="66">
        <v>17070.556522517283</v>
      </c>
      <c r="J57" s="66">
        <v>15170.295842880523</v>
      </c>
      <c r="K57" s="66">
        <v>15355.09818997277</v>
      </c>
      <c r="L57" s="66">
        <v>14458.277583718547</v>
      </c>
      <c r="M57" s="66">
        <v>15189.69232208959</v>
      </c>
      <c r="N57" s="66">
        <v>14626.954849117874</v>
      </c>
      <c r="O57" s="66">
        <v>14992.259019235533</v>
      </c>
      <c r="P57" s="66">
        <v>16132.041900265564</v>
      </c>
      <c r="Q57" s="66">
        <v>16413.832069569446</v>
      </c>
      <c r="R57" s="66">
        <v>17114.384126438756</v>
      </c>
      <c r="S57" s="66">
        <v>17116.496580000003</v>
      </c>
      <c r="T57" s="66">
        <v>17694.794004282656</v>
      </c>
      <c r="U57" s="66">
        <v>17997.018935712815</v>
      </c>
      <c r="V57" s="66">
        <v>18215.494216966759</v>
      </c>
      <c r="W57" s="66">
        <v>18029.113405333756</v>
      </c>
      <c r="X57" s="66">
        <v>18014.401631342211</v>
      </c>
      <c r="Y57" s="66">
        <v>17977.693731977535</v>
      </c>
      <c r="Z57" s="66">
        <v>17715.485757537528</v>
      </c>
      <c r="AA57" s="66">
        <v>18769</v>
      </c>
    </row>
    <row r="58" spans="1:27" x14ac:dyDescent="0.25">
      <c r="A58" s="72" t="s">
        <v>269</v>
      </c>
      <c r="B58" s="65"/>
      <c r="C58" s="65"/>
      <c r="D58" s="66">
        <v>4894.6200661857001</v>
      </c>
      <c r="E58" s="66">
        <v>5426.8858807402339</v>
      </c>
      <c r="F58" s="66">
        <v>5236.6347444774919</v>
      </c>
      <c r="G58" s="66">
        <v>5094.5449278028145</v>
      </c>
      <c r="H58" s="66">
        <v>5330.6000569573398</v>
      </c>
      <c r="I58" s="66">
        <v>5059.418152531377</v>
      </c>
      <c r="J58" s="66">
        <v>4968.4072013093282</v>
      </c>
      <c r="K58" s="66">
        <v>5765.8020182604514</v>
      </c>
      <c r="L58" s="66">
        <v>6003.3311928716348</v>
      </c>
      <c r="M58" s="66">
        <v>4078.7994010730772</v>
      </c>
      <c r="N58" s="66">
        <v>4715.614490475502</v>
      </c>
      <c r="O58" s="66">
        <v>4723.9660488731115</v>
      </c>
      <c r="P58" s="66">
        <v>4145.2812038949542</v>
      </c>
      <c r="Q58" s="66">
        <v>4228.6831816479216</v>
      </c>
      <c r="R58" s="66">
        <v>4095.1128672049476</v>
      </c>
      <c r="S58" s="66">
        <v>4386.9210600000006</v>
      </c>
      <c r="T58" s="66">
        <v>4487.0389721627407</v>
      </c>
      <c r="U58" s="66">
        <v>5131.6600406396328</v>
      </c>
      <c r="V58" s="66">
        <v>5231.2412967026657</v>
      </c>
      <c r="W58" s="66">
        <v>5302.4708902351367</v>
      </c>
      <c r="X58" s="66">
        <v>4914.7066229938964</v>
      </c>
      <c r="Y58" s="66">
        <v>4920.2467749279094</v>
      </c>
      <c r="Z58" s="66">
        <v>5216.9811025608678</v>
      </c>
      <c r="AA58" s="66">
        <v>5707</v>
      </c>
    </row>
    <row r="59" spans="1:27" x14ac:dyDescent="0.25">
      <c r="A59" s="72" t="s">
        <v>270</v>
      </c>
      <c r="B59" s="65"/>
      <c r="C59" s="65"/>
      <c r="D59" s="66">
        <v>29208.060632187553</v>
      </c>
      <c r="E59" s="66">
        <v>27400.636370312353</v>
      </c>
      <c r="F59" s="66">
        <v>23926.72545584933</v>
      </c>
      <c r="G59" s="66">
        <v>22720.73452588982</v>
      </c>
      <c r="H59" s="66">
        <v>23863.817053027287</v>
      </c>
      <c r="I59" s="66">
        <v>25470.670350567128</v>
      </c>
      <c r="J59" s="66">
        <v>27181.905990180028</v>
      </c>
      <c r="K59" s="66">
        <v>28803.203203588018</v>
      </c>
      <c r="L59" s="66">
        <v>28276.714196071873</v>
      </c>
      <c r="M59" s="66">
        <v>24958.178825437753</v>
      </c>
      <c r="N59" s="66">
        <v>27279.533868332339</v>
      </c>
      <c r="O59" s="66">
        <v>29246.849541814579</v>
      </c>
      <c r="P59" s="66">
        <v>27636.07081735025</v>
      </c>
      <c r="Q59" s="66">
        <v>27872.739387926587</v>
      </c>
      <c r="R59" s="66">
        <v>29250.622573440989</v>
      </c>
      <c r="S59" s="66">
        <v>30483.314040000001</v>
      </c>
      <c r="T59" s="66">
        <v>30385.690792291221</v>
      </c>
      <c r="U59" s="66">
        <v>32348.186942309392</v>
      </c>
      <c r="V59" s="66">
        <v>34245.616662035136</v>
      </c>
      <c r="W59" s="66">
        <v>36087.909249596276</v>
      </c>
      <c r="X59" s="66">
        <v>36462.829302117651</v>
      </c>
      <c r="Y59" s="66">
        <v>40144.353619669142</v>
      </c>
      <c r="Z59" s="66">
        <v>41651.341642487692</v>
      </c>
      <c r="AA59" s="66">
        <v>42877</v>
      </c>
    </row>
    <row r="60" spans="1:27" x14ac:dyDescent="0.25">
      <c r="A60" s="72" t="s">
        <v>1</v>
      </c>
      <c r="B60" s="65"/>
      <c r="C60" s="65"/>
      <c r="D60" s="66">
        <v>1988.4897995410111</v>
      </c>
      <c r="E60" s="66">
        <v>1835.4269803192012</v>
      </c>
      <c r="F60" s="66">
        <v>1752.5231069467793</v>
      </c>
      <c r="G60" s="66">
        <v>1680.1469925503541</v>
      </c>
      <c r="H60" s="66">
        <v>1454.7220595773767</v>
      </c>
      <c r="I60" s="66">
        <v>1431.3202085057833</v>
      </c>
      <c r="J60" s="66">
        <v>1429.4579378068738</v>
      </c>
      <c r="K60" s="66">
        <v>1515.8150888995676</v>
      </c>
      <c r="L60" s="66">
        <v>1459.2630885398148</v>
      </c>
      <c r="M60" s="66">
        <v>1318.6001954830926</v>
      </c>
      <c r="N60" s="66">
        <v>1319.319758423132</v>
      </c>
      <c r="O60" s="66">
        <v>1413.6458556922314</v>
      </c>
      <c r="P60" s="66">
        <v>1365.3673650044261</v>
      </c>
      <c r="Q60" s="66">
        <v>1390.6753459743468</v>
      </c>
      <c r="R60" s="66">
        <v>1393.3152379316268</v>
      </c>
      <c r="S60" s="66">
        <v>1391.5023600000002</v>
      </c>
      <c r="T60" s="66">
        <v>1434.0282655246253</v>
      </c>
      <c r="U60" s="66">
        <v>1428.3744735989635</v>
      </c>
      <c r="V60" s="66">
        <v>1404.0983163563537</v>
      </c>
      <c r="W60" s="66">
        <v>1379.639761409142</v>
      </c>
      <c r="X60" s="66">
        <v>1346.1770207019883</v>
      </c>
      <c r="Y60" s="66">
        <v>1552.2680224616784</v>
      </c>
      <c r="Z60" s="66">
        <v>1360.6725368992052</v>
      </c>
      <c r="AA60" s="66">
        <v>1247</v>
      </c>
    </row>
    <row r="61" spans="1:27" x14ac:dyDescent="0.25">
      <c r="A61" s="72" t="s">
        <v>0</v>
      </c>
      <c r="B61" s="65"/>
      <c r="C61" s="65"/>
      <c r="D61" s="66">
        <v>1491.7705308803206</v>
      </c>
      <c r="E61" s="66">
        <v>1634.6041809458536</v>
      </c>
      <c r="F61" s="66">
        <v>1342.8035409882318</v>
      </c>
      <c r="G61" s="66">
        <v>1400.8536282534719</v>
      </c>
      <c r="H61" s="66">
        <v>1392.4182263484652</v>
      </c>
      <c r="I61" s="66">
        <v>1334.5709299984342</v>
      </c>
      <c r="J61" s="66">
        <v>1305.9416693944352</v>
      </c>
      <c r="K61" s="66">
        <v>1375.9145923434246</v>
      </c>
      <c r="L61" s="66">
        <v>1460.5933192495138</v>
      </c>
      <c r="M61" s="66">
        <v>1278.9231585076736</v>
      </c>
      <c r="N61" s="66">
        <v>1043.0912945459061</v>
      </c>
      <c r="O61" s="66">
        <v>1097.3147032114257</v>
      </c>
      <c r="P61" s="66">
        <v>965.46355857185006</v>
      </c>
      <c r="Q61" s="66">
        <v>836.98053229937545</v>
      </c>
      <c r="R61" s="66">
        <v>872.75004294794712</v>
      </c>
      <c r="S61" s="66">
        <v>987.02544</v>
      </c>
      <c r="T61" s="66">
        <v>1110.991862955032</v>
      </c>
      <c r="U61" s="66">
        <v>1207.3759754984246</v>
      </c>
      <c r="V61" s="66">
        <v>1296.8408060791323</v>
      </c>
      <c r="W61" s="66">
        <v>1401.0111174378551</v>
      </c>
      <c r="X61" s="66">
        <v>1425.090846053484</v>
      </c>
      <c r="Y61" s="66">
        <v>1555.6746091971465</v>
      </c>
      <c r="Z61" s="66">
        <v>1598.1484041882175</v>
      </c>
      <c r="AA61" s="66">
        <v>1495</v>
      </c>
    </row>
    <row r="62" spans="1:27" x14ac:dyDescent="0.25">
      <c r="A62" s="78" t="s">
        <v>271</v>
      </c>
      <c r="B62" s="79"/>
      <c r="C62" s="79"/>
      <c r="D62" s="80">
        <v>7999.1154953150162</v>
      </c>
      <c r="E62" s="80">
        <v>7827.4188779007154</v>
      </c>
      <c r="F62" s="80">
        <v>7593.2699121806691</v>
      </c>
      <c r="G62" s="80">
        <v>7198.7499080290636</v>
      </c>
      <c r="H62" s="80">
        <v>6870.8087714302001</v>
      </c>
      <c r="I62" s="80">
        <v>6965.9480525291401</v>
      </c>
      <c r="J62" s="80">
        <v>6966.8726677577733</v>
      </c>
      <c r="K62" s="80">
        <v>7186.5390997917666</v>
      </c>
      <c r="L62" s="80">
        <v>7171.2737559873658</v>
      </c>
      <c r="M62" s="80">
        <v>6665.742211870398</v>
      </c>
      <c r="N62" s="80">
        <v>6061.2417216488466</v>
      </c>
      <c r="O62" s="80">
        <v>6120.5483984149259</v>
      </c>
      <c r="P62" s="80">
        <v>6104.6804367069926</v>
      </c>
      <c r="Q62" s="80">
        <v>5943.849441682949</v>
      </c>
      <c r="R62" s="80">
        <v>6322.617763270915</v>
      </c>
      <c r="S62" s="80">
        <v>6359.7000000000007</v>
      </c>
      <c r="T62" s="80">
        <v>6712.8231263383295</v>
      </c>
      <c r="U62" s="80">
        <v>7079.4434137291282</v>
      </c>
      <c r="V62" s="80">
        <v>7052.1813007273122</v>
      </c>
      <c r="W62" s="80">
        <v>7052.5474894753052</v>
      </c>
      <c r="X62" s="80">
        <v>7067.4293586854383</v>
      </c>
      <c r="Y62" s="80">
        <v>7350.2786462285621</v>
      </c>
      <c r="Z62" s="80">
        <v>7253.7110634540177</v>
      </c>
      <c r="AA62" s="80">
        <v>6943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2.5738164853327684E-2</v>
      </c>
      <c r="E66" s="83">
        <f t="shared" ref="E66:S66" si="55">E24/E$23</f>
        <v>2.5079272896219293E-2</v>
      </c>
      <c r="F66" s="83">
        <f t="shared" si="55"/>
        <v>2.3373350195037671E-2</v>
      </c>
      <c r="G66" s="83">
        <f t="shared" si="55"/>
        <v>2.316700610997963E-2</v>
      </c>
      <c r="H66" s="83">
        <f t="shared" si="55"/>
        <v>2.1042206887231508E-2</v>
      </c>
      <c r="I66" s="83">
        <f t="shared" si="55"/>
        <v>2.1026285904668648E-2</v>
      </c>
      <c r="J66" s="83">
        <f t="shared" si="55"/>
        <v>2.2053147453247445E-2</v>
      </c>
      <c r="K66" s="83">
        <f t="shared" si="55"/>
        <v>2.0567814471390219E-2</v>
      </c>
      <c r="L66" s="83">
        <f t="shared" si="55"/>
        <v>1.8549735422376198E-2</v>
      </c>
      <c r="M66" s="83">
        <f t="shared" si="55"/>
        <v>1.7490871707611044E-2</v>
      </c>
      <c r="N66" s="83">
        <f t="shared" si="55"/>
        <v>1.9968560286952521E-2</v>
      </c>
      <c r="O66" s="83">
        <f t="shared" si="55"/>
        <v>1.7797949315052217E-2</v>
      </c>
      <c r="P66" s="83">
        <f t="shared" si="55"/>
        <v>1.8832772733786869E-2</v>
      </c>
      <c r="Q66" s="83">
        <f t="shared" si="55"/>
        <v>2.0520791549672419E-2</v>
      </c>
      <c r="R66" s="83">
        <f t="shared" si="55"/>
        <v>2.0058787905643933E-2</v>
      </c>
      <c r="S66" s="83">
        <f t="shared" si="55"/>
        <v>2.0118669398654615E-2</v>
      </c>
      <c r="T66" s="83">
        <f t="shared" ref="T66:Y66" si="56">T24/T$23</f>
        <v>2.0834626702591289E-2</v>
      </c>
      <c r="U66" s="83">
        <f t="shared" si="56"/>
        <v>2.1990254995282274E-2</v>
      </c>
      <c r="V66" s="83">
        <f t="shared" si="56"/>
        <v>1.9692789638934727E-2</v>
      </c>
      <c r="W66" s="83">
        <f t="shared" si="56"/>
        <v>1.9734742558565964E-2</v>
      </c>
      <c r="X66" s="83">
        <f t="shared" si="56"/>
        <v>1.9534558334446513E-2</v>
      </c>
      <c r="Y66" s="83">
        <f t="shared" si="56"/>
        <v>1.8632614653985576E-2</v>
      </c>
      <c r="Z66" s="83">
        <f t="shared" ref="Z66:AA66" si="57">Z24/Z$23</f>
        <v>1.8372526104119238E-2</v>
      </c>
      <c r="AA66" s="83">
        <f t="shared" si="57"/>
        <v>1.946759158806987E-2</v>
      </c>
    </row>
    <row r="67" spans="1:27" x14ac:dyDescent="0.25">
      <c r="A67" s="64" t="s">
        <v>56</v>
      </c>
      <c r="B67" s="65"/>
      <c r="C67" s="65"/>
      <c r="D67" s="83">
        <f t="shared" si="51"/>
        <v>2.2792156128609541E-2</v>
      </c>
      <c r="E67" s="83">
        <f t="shared" ref="E67:S67" si="58">E25/E$23</f>
        <v>2.6979499390208488E-2</v>
      </c>
      <c r="F67" s="83">
        <f t="shared" si="58"/>
        <v>2.3791924193577108E-2</v>
      </c>
      <c r="G67" s="83">
        <f t="shared" si="58"/>
        <v>2.434635403067175E-2</v>
      </c>
      <c r="H67" s="83">
        <f t="shared" si="58"/>
        <v>2.5016259407228469E-2</v>
      </c>
      <c r="I67" s="83">
        <f t="shared" si="58"/>
        <v>2.6397638555098017E-2</v>
      </c>
      <c r="J67" s="83">
        <f t="shared" si="58"/>
        <v>3.1490814221435591E-2</v>
      </c>
      <c r="K67" s="83">
        <f t="shared" si="58"/>
        <v>2.8594454550863329E-2</v>
      </c>
      <c r="L67" s="83">
        <f t="shared" si="58"/>
        <v>3.8180188565420478E-2</v>
      </c>
      <c r="M67" s="83">
        <f t="shared" si="58"/>
        <v>2.8629160906093798E-2</v>
      </c>
      <c r="N67" s="83">
        <f t="shared" si="58"/>
        <v>3.0661536724537742E-2</v>
      </c>
      <c r="O67" s="83">
        <f t="shared" si="58"/>
        <v>3.2413450130607688E-2</v>
      </c>
      <c r="P67" s="83">
        <f t="shared" si="58"/>
        <v>3.6571322593426228E-2</v>
      </c>
      <c r="Q67" s="83">
        <f t="shared" si="58"/>
        <v>3.7792485626420645E-2</v>
      </c>
      <c r="R67" s="83">
        <f t="shared" si="58"/>
        <v>2.7936564206338655E-2</v>
      </c>
      <c r="S67" s="83">
        <f t="shared" si="58"/>
        <v>2.0308272761166681E-2</v>
      </c>
      <c r="T67" s="83">
        <f t="shared" ref="T67:Y67" si="59">T25/T$23</f>
        <v>1.2615006394417611E-2</v>
      </c>
      <c r="U67" s="83">
        <f t="shared" si="59"/>
        <v>1.1474341229942226E-2</v>
      </c>
      <c r="V67" s="83">
        <f t="shared" si="59"/>
        <v>1.0687122720689297E-2</v>
      </c>
      <c r="W67" s="83">
        <f t="shared" si="59"/>
        <v>8.0147882105399797E-3</v>
      </c>
      <c r="X67" s="83">
        <f t="shared" si="59"/>
        <v>4.3586095966530285E-3</v>
      </c>
      <c r="Y67" s="83">
        <f t="shared" si="59"/>
        <v>8.1315600015156673E-3</v>
      </c>
      <c r="Z67" s="83">
        <f t="shared" ref="Z67:AA67" si="60">Z25/Z$23</f>
        <v>1.9088602008165065E-2</v>
      </c>
      <c r="AA67" s="83">
        <f t="shared" si="60"/>
        <v>6.0986387609665953E-3</v>
      </c>
    </row>
    <row r="68" spans="1:27" x14ac:dyDescent="0.25">
      <c r="A68" s="64" t="s">
        <v>146</v>
      </c>
      <c r="B68" s="65"/>
      <c r="C68" s="65"/>
      <c r="D68" s="83">
        <f t="shared" si="51"/>
        <v>0.75095634438743475</v>
      </c>
      <c r="E68" s="83">
        <f t="shared" ref="E68:S68" si="61">E26/E$23</f>
        <v>0.74825948080608629</v>
      </c>
      <c r="F68" s="83">
        <f t="shared" si="61"/>
        <v>0.75911511675542809</v>
      </c>
      <c r="G68" s="83">
        <f t="shared" si="61"/>
        <v>0.76443286855710468</v>
      </c>
      <c r="H68" s="83">
        <f t="shared" si="61"/>
        <v>0.76659304181835086</v>
      </c>
      <c r="I68" s="83">
        <f t="shared" si="61"/>
        <v>0.76255330214264982</v>
      </c>
      <c r="J68" s="83">
        <f t="shared" si="61"/>
        <v>0.75882135475628143</v>
      </c>
      <c r="K68" s="83">
        <f t="shared" si="61"/>
        <v>0.76098028857682187</v>
      </c>
      <c r="L68" s="83">
        <f t="shared" si="61"/>
        <v>0.75929641312029228</v>
      </c>
      <c r="M68" s="83">
        <f t="shared" si="61"/>
        <v>0.77478641568293805</v>
      </c>
      <c r="N68" s="83">
        <f t="shared" si="61"/>
        <v>0.77935400943191391</v>
      </c>
      <c r="O68" s="83">
        <f t="shared" si="61"/>
        <v>0.77870695844486026</v>
      </c>
      <c r="P68" s="83">
        <f t="shared" si="61"/>
        <v>0.77867867108402244</v>
      </c>
      <c r="Q68" s="83">
        <f t="shared" si="61"/>
        <v>0.78330826313678314</v>
      </c>
      <c r="R68" s="83">
        <f t="shared" si="61"/>
        <v>0.79490209401141299</v>
      </c>
      <c r="S68" s="83">
        <f t="shared" si="61"/>
        <v>0.79765815947714103</v>
      </c>
      <c r="T68" s="83">
        <f t="shared" ref="T68:Y68" si="62">T26/T$23</f>
        <v>0.80098306410558862</v>
      </c>
      <c r="U68" s="83">
        <f t="shared" si="62"/>
        <v>0.79812005345763115</v>
      </c>
      <c r="V68" s="83">
        <f t="shared" si="62"/>
        <v>0.79792539907925009</v>
      </c>
      <c r="W68" s="83">
        <f t="shared" si="62"/>
        <v>0.79897445328515693</v>
      </c>
      <c r="X68" s="83">
        <f t="shared" si="62"/>
        <v>0.7958903751158507</v>
      </c>
      <c r="Y68" s="83">
        <f t="shared" si="62"/>
        <v>0.79264774607505062</v>
      </c>
      <c r="Z68" s="83">
        <f t="shared" ref="Z68:AA68" si="63">Z26/Z$23</f>
        <v>0.78364149367128511</v>
      </c>
      <c r="AA68" s="83">
        <f t="shared" si="63"/>
        <v>0.78962236492129034</v>
      </c>
    </row>
    <row r="69" spans="1:27" x14ac:dyDescent="0.25">
      <c r="A69" s="68" t="s">
        <v>148</v>
      </c>
      <c r="B69" s="69"/>
      <c r="C69" s="69"/>
      <c r="D69" s="84">
        <f t="shared" si="51"/>
        <v>0.26194106504619769</v>
      </c>
      <c r="E69" s="84">
        <f t="shared" ref="E69:S69" si="64">E27/E$23</f>
        <v>0.26621522736511993</v>
      </c>
      <c r="F69" s="84">
        <f t="shared" si="64"/>
        <v>0.27612302513225151</v>
      </c>
      <c r="G69" s="84">
        <f t="shared" si="64"/>
        <v>0.28226017024387695</v>
      </c>
      <c r="H69" s="84">
        <f t="shared" si="64"/>
        <v>0.28339513315821035</v>
      </c>
      <c r="I69" s="84">
        <f t="shared" si="64"/>
        <v>0.28100869289636587</v>
      </c>
      <c r="J69" s="84">
        <f t="shared" si="64"/>
        <v>0.27584344238272834</v>
      </c>
      <c r="K69" s="84">
        <f t="shared" si="64"/>
        <v>0.2712470679866511</v>
      </c>
      <c r="L69" s="84">
        <f t="shared" si="64"/>
        <v>0.27233397107744278</v>
      </c>
      <c r="M69" s="84">
        <f t="shared" si="64"/>
        <v>0.28892906519195999</v>
      </c>
      <c r="N69" s="84">
        <f t="shared" si="64"/>
        <v>0.29209577821974797</v>
      </c>
      <c r="O69" s="84">
        <f t="shared" si="64"/>
        <v>0.29030210347116026</v>
      </c>
      <c r="P69" s="84">
        <f t="shared" si="64"/>
        <v>0.29456850695059134</v>
      </c>
      <c r="Q69" s="84">
        <f t="shared" si="64"/>
        <v>0.29697486294959224</v>
      </c>
      <c r="R69" s="84">
        <f t="shared" si="64"/>
        <v>0.29852505050803452</v>
      </c>
      <c r="S69" s="84">
        <f t="shared" si="64"/>
        <v>0.29624967735562263</v>
      </c>
      <c r="T69" s="84">
        <f t="shared" ref="T69:Y69" si="65">T27/T$23</f>
        <v>0.2966823526490272</v>
      </c>
      <c r="U69" s="84">
        <f t="shared" si="65"/>
        <v>0.2930585444403766</v>
      </c>
      <c r="V69" s="84">
        <f t="shared" si="65"/>
        <v>0.29135094953216295</v>
      </c>
      <c r="W69" s="84">
        <f t="shared" si="65"/>
        <v>0.29081903103144252</v>
      </c>
      <c r="X69" s="84">
        <f t="shared" si="65"/>
        <v>0.27904603600638439</v>
      </c>
      <c r="Y69" s="84">
        <f t="shared" si="65"/>
        <v>0.27772220327636948</v>
      </c>
      <c r="Z69" s="84">
        <f t="shared" ref="Z69:AA69" si="66">Z27/Z$23</f>
        <v>0.28264394138986282</v>
      </c>
      <c r="AA69" s="84">
        <f t="shared" si="66"/>
        <v>0.28796963593391622</v>
      </c>
    </row>
    <row r="70" spans="1:27" x14ac:dyDescent="0.25">
      <c r="A70" s="68" t="s">
        <v>150</v>
      </c>
      <c r="B70" s="71"/>
      <c r="C70" s="71"/>
      <c r="D70" s="84">
        <f t="shared" si="51"/>
        <v>0.34146852130560407</v>
      </c>
      <c r="E70" s="84">
        <f t="shared" ref="E70:S70" si="67">E28/E$23</f>
        <v>0.33294616412102906</v>
      </c>
      <c r="F70" s="84">
        <f t="shared" si="67"/>
        <v>0.33252364497800257</v>
      </c>
      <c r="G70" s="84">
        <f t="shared" si="67"/>
        <v>0.33779614253137669</v>
      </c>
      <c r="H70" s="84">
        <f t="shared" si="67"/>
        <v>0.33917334639716873</v>
      </c>
      <c r="I70" s="84">
        <f t="shared" si="67"/>
        <v>0.33962428972799907</v>
      </c>
      <c r="J70" s="84">
        <f t="shared" si="67"/>
        <v>0.3439547788842981</v>
      </c>
      <c r="K70" s="84">
        <f t="shared" si="67"/>
        <v>0.35042449964211858</v>
      </c>
      <c r="L70" s="84">
        <f t="shared" si="67"/>
        <v>0.3490563110812348</v>
      </c>
      <c r="M70" s="84">
        <f t="shared" si="67"/>
        <v>0.35007267184231983</v>
      </c>
      <c r="N70" s="84">
        <f t="shared" si="67"/>
        <v>0.35116596173387415</v>
      </c>
      <c r="O70" s="84">
        <f t="shared" si="67"/>
        <v>0.35040200689445639</v>
      </c>
      <c r="P70" s="84">
        <f t="shared" si="67"/>
        <v>0.34458747460441902</v>
      </c>
      <c r="Q70" s="84">
        <f t="shared" si="67"/>
        <v>0.34283326647947587</v>
      </c>
      <c r="R70" s="84">
        <f t="shared" si="67"/>
        <v>0.35332154949295019</v>
      </c>
      <c r="S70" s="84">
        <f t="shared" si="67"/>
        <v>0.35651327382868148</v>
      </c>
      <c r="T70" s="84">
        <f t="shared" ref="T70:Y70" si="68">T28/T$23</f>
        <v>0.35826587119283826</v>
      </c>
      <c r="U70" s="84">
        <f t="shared" si="68"/>
        <v>0.35875844949057495</v>
      </c>
      <c r="V70" s="84">
        <f t="shared" si="68"/>
        <v>0.35981448553564249</v>
      </c>
      <c r="W70" s="84">
        <f t="shared" si="68"/>
        <v>0.35913066525311416</v>
      </c>
      <c r="X70" s="84">
        <f t="shared" si="68"/>
        <v>0.36355623983507512</v>
      </c>
      <c r="Y70" s="84">
        <f t="shared" si="68"/>
        <v>0.35582711277834617</v>
      </c>
      <c r="Z70" s="84">
        <f t="shared" ref="Z70:AA70" si="69">Z28/Z$23</f>
        <v>0.35300065077338455</v>
      </c>
      <c r="AA70" s="84">
        <f t="shared" si="69"/>
        <v>0.35839187299759423</v>
      </c>
    </row>
    <row r="71" spans="1:27" x14ac:dyDescent="0.25">
      <c r="A71" s="68" t="s">
        <v>152</v>
      </c>
      <c r="B71" s="71"/>
      <c r="C71" s="71"/>
      <c r="D71" s="84">
        <f t="shared" si="51"/>
        <v>0.14754675803563291</v>
      </c>
      <c r="E71" s="84">
        <f t="shared" ref="E71:S71" si="70">E29/E$23</f>
        <v>0.14909808931993729</v>
      </c>
      <c r="F71" s="84">
        <f t="shared" si="70"/>
        <v>0.15046844664517392</v>
      </c>
      <c r="G71" s="84">
        <f t="shared" si="70"/>
        <v>0.1443765557818511</v>
      </c>
      <c r="H71" s="84">
        <f t="shared" si="70"/>
        <v>0.14402456226297161</v>
      </c>
      <c r="I71" s="84">
        <f t="shared" si="70"/>
        <v>0.14192031951828477</v>
      </c>
      <c r="J71" s="84">
        <f t="shared" si="70"/>
        <v>0.13902313348925502</v>
      </c>
      <c r="K71" s="84">
        <f t="shared" si="70"/>
        <v>0.13930872094805219</v>
      </c>
      <c r="L71" s="84">
        <f t="shared" si="70"/>
        <v>0.13790613096161472</v>
      </c>
      <c r="M71" s="84">
        <f t="shared" si="70"/>
        <v>0.13578467864865823</v>
      </c>
      <c r="N71" s="84">
        <f t="shared" si="70"/>
        <v>0.13609226947829184</v>
      </c>
      <c r="O71" s="84">
        <f t="shared" si="70"/>
        <v>0.13800284807924382</v>
      </c>
      <c r="P71" s="84">
        <f t="shared" si="70"/>
        <v>0.13952268952901209</v>
      </c>
      <c r="Q71" s="84">
        <f t="shared" si="70"/>
        <v>0.14350013370771494</v>
      </c>
      <c r="R71" s="84">
        <f t="shared" si="70"/>
        <v>0.14305549401042819</v>
      </c>
      <c r="S71" s="84">
        <f t="shared" si="70"/>
        <v>0.14489520829283684</v>
      </c>
      <c r="T71" s="84">
        <f t="shared" ref="T71:Y71" si="71">T29/T$23</f>
        <v>0.14603484026372315</v>
      </c>
      <c r="U71" s="84">
        <f t="shared" si="71"/>
        <v>0.14630305952667971</v>
      </c>
      <c r="V71" s="84">
        <f t="shared" si="71"/>
        <v>0.1467599640114447</v>
      </c>
      <c r="W71" s="84">
        <f t="shared" si="71"/>
        <v>0.14902475700060039</v>
      </c>
      <c r="X71" s="84">
        <f t="shared" si="71"/>
        <v>0.15328809927439133</v>
      </c>
      <c r="Y71" s="84">
        <f t="shared" si="71"/>
        <v>0.15909843002033522</v>
      </c>
      <c r="Z71" s="84">
        <f t="shared" ref="Z71:AA71" si="72">Z29/Z$23</f>
        <v>0.14799690150803785</v>
      </c>
      <c r="AA71" s="84">
        <f t="shared" si="72"/>
        <v>0.14326085598977986</v>
      </c>
    </row>
    <row r="72" spans="1:27" x14ac:dyDescent="0.25">
      <c r="A72" s="64" t="s">
        <v>154</v>
      </c>
      <c r="B72" s="65"/>
      <c r="C72" s="65"/>
      <c r="D72" s="83">
        <f t="shared" si="51"/>
        <v>1.2348111820244204E-2</v>
      </c>
      <c r="E72" s="83">
        <f t="shared" ref="E72:S72" si="73">E30/E$23</f>
        <v>1.3090191068006272E-2</v>
      </c>
      <c r="F72" s="83">
        <f t="shared" si="73"/>
        <v>1.2595069732646989E-2</v>
      </c>
      <c r="G72" s="83">
        <f t="shared" si="73"/>
        <v>1.3053336118509231E-2</v>
      </c>
      <c r="H72" s="83">
        <f t="shared" si="73"/>
        <v>1.2593649962413318E-2</v>
      </c>
      <c r="I72" s="83">
        <f t="shared" si="73"/>
        <v>1.499671908678879E-2</v>
      </c>
      <c r="J72" s="83">
        <f t="shared" si="73"/>
        <v>1.4898756266078228E-2</v>
      </c>
      <c r="K72" s="83">
        <f t="shared" si="73"/>
        <v>1.4789426902946524E-2</v>
      </c>
      <c r="L72" s="83">
        <f t="shared" si="73"/>
        <v>1.4026923143216644E-2</v>
      </c>
      <c r="M72" s="83">
        <f t="shared" si="73"/>
        <v>1.6856322450281826E-2</v>
      </c>
      <c r="N72" s="83">
        <f t="shared" si="73"/>
        <v>1.4312885939847666E-2</v>
      </c>
      <c r="O72" s="83">
        <f t="shared" si="73"/>
        <v>1.4517057075304369E-2</v>
      </c>
      <c r="P72" s="83">
        <f t="shared" si="73"/>
        <v>1.5164006980096607E-2</v>
      </c>
      <c r="Q72" s="83">
        <f t="shared" si="73"/>
        <v>1.3982484289343495E-2</v>
      </c>
      <c r="R72" s="83">
        <f t="shared" si="73"/>
        <v>1.1362051110356156E-2</v>
      </c>
      <c r="S72" s="83">
        <f t="shared" si="73"/>
        <v>1.4406668939782609E-2</v>
      </c>
      <c r="T72" s="83">
        <f t="shared" ref="T72:Y72" si="74">T30/T$23</f>
        <v>1.4025813580998026E-2</v>
      </c>
      <c r="U72" s="83">
        <f t="shared" si="74"/>
        <v>1.3093547878214231E-2</v>
      </c>
      <c r="V72" s="83">
        <f t="shared" si="74"/>
        <v>1.2885949539269741E-2</v>
      </c>
      <c r="W72" s="83">
        <f t="shared" si="74"/>
        <v>1.4375774163362666E-2</v>
      </c>
      <c r="X72" s="83">
        <f t="shared" si="74"/>
        <v>1.4235370426730603E-2</v>
      </c>
      <c r="Y72" s="83">
        <f t="shared" si="74"/>
        <v>1.3639750925189143E-2</v>
      </c>
      <c r="Z72" s="83">
        <f t="shared" ref="Z72:AA72" si="75">Z30/Z$23</f>
        <v>2.2581160898652742E-2</v>
      </c>
      <c r="AA72" s="83">
        <f t="shared" si="75"/>
        <v>2.5501666488498637E-2</v>
      </c>
    </row>
    <row r="73" spans="1:27" x14ac:dyDescent="0.25">
      <c r="A73" s="64" t="s">
        <v>37</v>
      </c>
      <c r="B73" s="65"/>
      <c r="C73" s="65"/>
      <c r="D73" s="83">
        <f t="shared" si="51"/>
        <v>5.2914849017052866E-2</v>
      </c>
      <c r="E73" s="83">
        <f t="shared" ref="E73:S73" si="76">E31/E$23</f>
        <v>5.4644288286195483E-2</v>
      </c>
      <c r="F73" s="83">
        <f t="shared" si="76"/>
        <v>5.5149350765010777E-2</v>
      </c>
      <c r="G73" s="83">
        <f t="shared" si="76"/>
        <v>5.4043292077915292E-2</v>
      </c>
      <c r="H73" s="83">
        <f t="shared" si="76"/>
        <v>5.3039453346059313E-2</v>
      </c>
      <c r="I73" s="83">
        <f t="shared" si="76"/>
        <v>5.3798850563037216E-2</v>
      </c>
      <c r="J73" s="83">
        <f t="shared" si="76"/>
        <v>5.4220133050605593E-2</v>
      </c>
      <c r="K73" s="83">
        <f t="shared" si="76"/>
        <v>5.5553652463792673E-2</v>
      </c>
      <c r="L73" s="83">
        <f t="shared" si="76"/>
        <v>5.7059137838909285E-2</v>
      </c>
      <c r="M73" s="83">
        <f t="shared" si="76"/>
        <v>5.9190329327519581E-2</v>
      </c>
      <c r="N73" s="83">
        <f t="shared" si="76"/>
        <v>5.2082229614125286E-2</v>
      </c>
      <c r="O73" s="83">
        <f t="shared" si="76"/>
        <v>5.0386221949898925E-2</v>
      </c>
      <c r="P73" s="83">
        <f t="shared" si="76"/>
        <v>4.5830909688677569E-2</v>
      </c>
      <c r="Q73" s="83">
        <f t="shared" si="76"/>
        <v>4.2783126086375189E-2</v>
      </c>
      <c r="R73" s="83">
        <f t="shared" si="76"/>
        <v>4.2389001311321513E-2</v>
      </c>
      <c r="S73" s="83">
        <f t="shared" si="76"/>
        <v>4.1629887863154171E-2</v>
      </c>
      <c r="T73" s="83">
        <f t="shared" ref="T73:Y73" si="77">T31/T$23</f>
        <v>4.3736574827102394E-2</v>
      </c>
      <c r="U73" s="83">
        <f t="shared" si="77"/>
        <v>4.4596641932094519E-2</v>
      </c>
      <c r="V73" s="83">
        <f t="shared" si="77"/>
        <v>4.6377194740440358E-2</v>
      </c>
      <c r="W73" s="83">
        <f t="shared" si="77"/>
        <v>4.9015020797611379E-2</v>
      </c>
      <c r="X73" s="83">
        <f t="shared" si="77"/>
        <v>5.3248024854403157E-2</v>
      </c>
      <c r="Y73" s="83">
        <f t="shared" si="77"/>
        <v>5.2204665732004593E-2</v>
      </c>
      <c r="Z73" s="83">
        <f t="shared" ref="Z73:AA73" si="78">Z31/Z$23</f>
        <v>4.9518450213584274E-2</v>
      </c>
      <c r="AA73" s="83">
        <f t="shared" si="78"/>
        <v>5.1316626464197219E-2</v>
      </c>
    </row>
    <row r="74" spans="1:27" x14ac:dyDescent="0.25">
      <c r="A74" s="64" t="s">
        <v>58</v>
      </c>
      <c r="B74" s="65"/>
      <c r="C74" s="65"/>
      <c r="D74" s="83">
        <f t="shared" si="51"/>
        <v>0.13525037379333107</v>
      </c>
      <c r="E74" s="83">
        <f t="shared" ref="E74:S74" si="79">E32/E$23</f>
        <v>0.13194726755328418</v>
      </c>
      <c r="F74" s="83">
        <f t="shared" si="79"/>
        <v>0.12597518835829935</v>
      </c>
      <c r="G74" s="83">
        <f t="shared" si="79"/>
        <v>0.12095714310581927</v>
      </c>
      <c r="H74" s="83">
        <f t="shared" si="79"/>
        <v>0.12171538857871665</v>
      </c>
      <c r="I74" s="83">
        <f t="shared" si="79"/>
        <v>0.12122720374775772</v>
      </c>
      <c r="J74" s="83">
        <f t="shared" si="79"/>
        <v>0.11851579425235177</v>
      </c>
      <c r="K74" s="83">
        <f t="shared" si="79"/>
        <v>0.11951436303418533</v>
      </c>
      <c r="L74" s="83">
        <f t="shared" si="79"/>
        <v>0.11288760190978508</v>
      </c>
      <c r="M74" s="83">
        <f t="shared" si="79"/>
        <v>0.10304689992555567</v>
      </c>
      <c r="N74" s="83">
        <f t="shared" si="79"/>
        <v>0.10362077800262286</v>
      </c>
      <c r="O74" s="83">
        <f t="shared" si="79"/>
        <v>0.10617836308427633</v>
      </c>
      <c r="P74" s="83">
        <f t="shared" si="79"/>
        <v>0.10492231691999021</v>
      </c>
      <c r="Q74" s="83">
        <f t="shared" si="79"/>
        <v>0.10161284931140525</v>
      </c>
      <c r="R74" s="83">
        <f t="shared" si="79"/>
        <v>0.10335150145492682</v>
      </c>
      <c r="S74" s="83">
        <f t="shared" si="79"/>
        <v>0.10587834156010108</v>
      </c>
      <c r="T74" s="83">
        <f t="shared" ref="T74:Y74" si="80">T32/T$23</f>
        <v>0.10780491438930209</v>
      </c>
      <c r="U74" s="83">
        <f t="shared" si="80"/>
        <v>0.11072516050683549</v>
      </c>
      <c r="V74" s="83">
        <f t="shared" si="80"/>
        <v>0.11243154428141572</v>
      </c>
      <c r="W74" s="83">
        <f t="shared" si="80"/>
        <v>0.10988522098476285</v>
      </c>
      <c r="X74" s="83">
        <f t="shared" si="80"/>
        <v>0.11273306167191581</v>
      </c>
      <c r="Y74" s="83">
        <f t="shared" si="80"/>
        <v>0.11474366261225416</v>
      </c>
      <c r="Z74" s="83">
        <f t="shared" ref="Z74:AA74" si="81">Z32/Z$23</f>
        <v>0.10679776710419354</v>
      </c>
      <c r="AA74" s="83">
        <f t="shared" si="81"/>
        <v>0.10799311177697737</v>
      </c>
    </row>
    <row r="75" spans="1:27" x14ac:dyDescent="0.25">
      <c r="A75" s="85" t="s">
        <v>158</v>
      </c>
      <c r="B75" s="86"/>
      <c r="C75" s="86"/>
      <c r="D75" s="87">
        <f t="shared" si="51"/>
        <v>4.7269153367342168E-3</v>
      </c>
      <c r="E75" s="87">
        <f t="shared" ref="E75:S75" si="82">E33/E$23</f>
        <v>3.8910505836575876E-3</v>
      </c>
      <c r="F75" s="87">
        <f t="shared" si="82"/>
        <v>3.8406390823433017E-3</v>
      </c>
      <c r="G75" s="87">
        <f t="shared" si="82"/>
        <v>3.9492923912475848E-3</v>
      </c>
      <c r="H75" s="87">
        <f t="shared" si="82"/>
        <v>4.9369472857347984E-3</v>
      </c>
      <c r="I75" s="87">
        <f t="shared" si="82"/>
        <v>5.2230513102321831E-3</v>
      </c>
      <c r="J75" s="87">
        <f t="shared" si="82"/>
        <v>5.4112865070289262E-3</v>
      </c>
      <c r="K75" s="87">
        <f t="shared" si="82"/>
        <v>5.3781373218931474E-3</v>
      </c>
      <c r="L75" s="87">
        <f t="shared" si="82"/>
        <v>4.6227829774031746E-3</v>
      </c>
      <c r="M75" s="87">
        <f t="shared" si="82"/>
        <v>3.0309475699244917E-3</v>
      </c>
      <c r="N75" s="87">
        <f t="shared" si="82"/>
        <v>3.0380142607759181E-3</v>
      </c>
      <c r="O75" s="87">
        <f t="shared" si="82"/>
        <v>2.9346418430026017E-3</v>
      </c>
      <c r="P75" s="87">
        <f t="shared" si="82"/>
        <v>3.1073232003911554E-3</v>
      </c>
      <c r="Q75" s="87">
        <f t="shared" si="82"/>
        <v>3.0334937825912556E-3</v>
      </c>
      <c r="R75" s="87">
        <f t="shared" si="82"/>
        <v>3.4530919451378527E-3</v>
      </c>
      <c r="S75" s="87">
        <f t="shared" si="82"/>
        <v>2.9141558826434851E-3</v>
      </c>
      <c r="T75" s="87">
        <f t="shared" ref="T75:Y75" si="83">T33/T$23</f>
        <v>3.2080731074386323E-3</v>
      </c>
      <c r="U75" s="87">
        <f t="shared" si="83"/>
        <v>3.1342363982176822E-3</v>
      </c>
      <c r="V75" s="87">
        <f t="shared" si="83"/>
        <v>3.3444340685971426E-3</v>
      </c>
      <c r="W75" s="87">
        <f t="shared" si="83"/>
        <v>2.655819815336683E-3</v>
      </c>
      <c r="X75" s="87">
        <f t="shared" si="83"/>
        <v>2.2942949725194141E-3</v>
      </c>
      <c r="Y75" s="87">
        <f t="shared" si="83"/>
        <v>3.1690096371237669E-3</v>
      </c>
      <c r="Z75" s="87">
        <f t="shared" ref="Z75:AA75" si="84">Z33/Z$23</f>
        <v>3.0106713324190982E-3</v>
      </c>
      <c r="AA75" s="87">
        <f t="shared" si="84"/>
        <v>1.9961875569564384E-3</v>
      </c>
    </row>
    <row r="76" spans="1:27" x14ac:dyDescent="0.25">
      <c r="A76" s="88" t="s">
        <v>5</v>
      </c>
      <c r="B76" s="44"/>
      <c r="C76" s="44"/>
      <c r="D76" s="89">
        <f t="shared" si="51"/>
        <v>2.8361492020405302E-3</v>
      </c>
      <c r="E76" s="89">
        <f t="shared" ref="E76:S76" si="85">E34/E$23</f>
        <v>2.3346303501945525E-3</v>
      </c>
      <c r="F76" s="89">
        <f t="shared" si="85"/>
        <v>2.3043834494059809E-3</v>
      </c>
      <c r="G76" s="89">
        <f t="shared" si="85"/>
        <v>2.3695754347485506E-3</v>
      </c>
      <c r="H76" s="89">
        <f t="shared" si="85"/>
        <v>2.9621683714408783E-3</v>
      </c>
      <c r="I76" s="89">
        <f t="shared" si="85"/>
        <v>3.1338307861393097E-3</v>
      </c>
      <c r="J76" s="89">
        <f t="shared" si="85"/>
        <v>3.2467719042173554E-3</v>
      </c>
      <c r="K76" s="89">
        <f t="shared" si="85"/>
        <v>3.2268823931358884E-3</v>
      </c>
      <c r="L76" s="89">
        <f t="shared" si="85"/>
        <v>2.773669786441905E-3</v>
      </c>
      <c r="M76" s="89">
        <f t="shared" si="85"/>
        <v>1.7515593562592662E-3</v>
      </c>
      <c r="N76" s="89">
        <f t="shared" si="85"/>
        <v>1.9284515872407546E-3</v>
      </c>
      <c r="O76" s="89">
        <f t="shared" si="85"/>
        <v>2.0194069396576512E-3</v>
      </c>
      <c r="P76" s="89">
        <f t="shared" si="85"/>
        <v>2.3203595196204922E-3</v>
      </c>
      <c r="Q76" s="89">
        <f t="shared" si="85"/>
        <v>2.2743855865383351E-3</v>
      </c>
      <c r="R76" s="89">
        <f t="shared" si="85"/>
        <v>2.5187551589025345E-3</v>
      </c>
      <c r="S76" s="89">
        <f t="shared" si="85"/>
        <v>2.1869237610159615E-3</v>
      </c>
      <c r="T76" s="89">
        <f t="shared" ref="T76:Y76" si="86">T34/T$23</f>
        <v>2.3536495545508252E-3</v>
      </c>
      <c r="U76" s="89">
        <f t="shared" si="86"/>
        <v>2.2977236560525224E-3</v>
      </c>
      <c r="V76" s="89">
        <f t="shared" si="86"/>
        <v>2.0990760681860576E-3</v>
      </c>
      <c r="W76" s="89">
        <f t="shared" si="86"/>
        <v>1.9921178633302665E-3</v>
      </c>
      <c r="X76" s="89">
        <f t="shared" si="86"/>
        <v>1.3053373293293441E-3</v>
      </c>
      <c r="Y76" s="89">
        <f t="shared" si="86"/>
        <v>2.1325803791958915E-3</v>
      </c>
      <c r="Z76" s="89">
        <f t="shared" ref="Z76:AA76" si="87">Z34/Z$23</f>
        <v>2.1228565182157062E-3</v>
      </c>
      <c r="AA76" s="89">
        <f t="shared" si="87"/>
        <v>1.3043459748189863E-3</v>
      </c>
    </row>
    <row r="77" spans="1:27" x14ac:dyDescent="0.25">
      <c r="A77" s="88" t="s">
        <v>263</v>
      </c>
      <c r="B77" s="44"/>
      <c r="C77" s="44"/>
      <c r="D77" s="89">
        <f>D37/D$23</f>
        <v>1.8907661346936864E-3</v>
      </c>
      <c r="E77" s="89">
        <f t="shared" ref="E77:S77" si="88">E37/E$23</f>
        <v>1.5564202334630349E-3</v>
      </c>
      <c r="F77" s="89">
        <f t="shared" si="88"/>
        <v>1.5362556329373207E-3</v>
      </c>
      <c r="G77" s="89">
        <f t="shared" si="88"/>
        <v>1.5797169564990339E-3</v>
      </c>
      <c r="H77" s="89">
        <f t="shared" si="88"/>
        <v>1.9747789142939196E-3</v>
      </c>
      <c r="I77" s="89">
        <f t="shared" si="88"/>
        <v>2.0892205240928734E-3</v>
      </c>
      <c r="J77" s="89">
        <f t="shared" si="88"/>
        <v>2.1645146028115708E-3</v>
      </c>
      <c r="K77" s="89">
        <f t="shared" si="88"/>
        <v>2.151254928757259E-3</v>
      </c>
      <c r="L77" s="89">
        <f t="shared" si="88"/>
        <v>1.8491131909612701E-3</v>
      </c>
      <c r="M77" s="89">
        <f t="shared" si="88"/>
        <v>1.2793882136652257E-3</v>
      </c>
      <c r="N77" s="89">
        <f t="shared" si="88"/>
        <v>1.1095626735351638E-3</v>
      </c>
      <c r="O77" s="89">
        <f t="shared" si="88"/>
        <v>9.1523490334495072E-4</v>
      </c>
      <c r="P77" s="89">
        <f t="shared" si="88"/>
        <v>7.8696368077066326E-4</v>
      </c>
      <c r="Q77" s="89">
        <f t="shared" si="88"/>
        <v>7.5910819605292063E-4</v>
      </c>
      <c r="R77" s="89">
        <f t="shared" si="88"/>
        <v>9.3433678623531841E-4</v>
      </c>
      <c r="S77" s="89">
        <f t="shared" si="88"/>
        <v>7.2723212162752345E-4</v>
      </c>
      <c r="T77" s="89">
        <f t="shared" ref="T77:Y77" si="89">T37/T$23</f>
        <v>8.5442355288780746E-4</v>
      </c>
      <c r="U77" s="89">
        <f t="shared" si="89"/>
        <v>8.3651274216515971E-4</v>
      </c>
      <c r="V77" s="89">
        <f t="shared" si="89"/>
        <v>1.2453580004110848E-3</v>
      </c>
      <c r="W77" s="89">
        <f t="shared" si="89"/>
        <v>6.6370195200641656E-4</v>
      </c>
      <c r="X77" s="89">
        <f t="shared" si="89"/>
        <v>9.8895764319006994E-4</v>
      </c>
      <c r="Y77" s="89">
        <f t="shared" si="89"/>
        <v>1.0364292579278752E-3</v>
      </c>
      <c r="Z77" s="89">
        <f t="shared" ref="Z77:AA77" si="90">Z37/Z$23</f>
        <v>8.8781481420339156E-4</v>
      </c>
      <c r="AA77" s="89">
        <f t="shared" si="90"/>
        <v>6.9184158213745218E-4</v>
      </c>
    </row>
    <row r="78" spans="1:27" x14ac:dyDescent="0.25">
      <c r="A78" s="68" t="s">
        <v>265</v>
      </c>
      <c r="B78" s="44"/>
      <c r="C78" s="44"/>
      <c r="D78" s="89">
        <f>D43/D$23</f>
        <v>2.1429996576126986E-2</v>
      </c>
      <c r="E78" s="89">
        <f t="shared" ref="E78:S78" si="91">E43/E$23</f>
        <v>2.2844532202799233E-2</v>
      </c>
      <c r="F78" s="89">
        <f t="shared" si="91"/>
        <v>2.4241668596263113E-2</v>
      </c>
      <c r="G78" s="89">
        <f t="shared" si="91"/>
        <v>2.2945062405347539E-2</v>
      </c>
      <c r="H78" s="89">
        <f t="shared" si="91"/>
        <v>2.3210831721470017E-2</v>
      </c>
      <c r="I78" s="89">
        <f t="shared" si="91"/>
        <v>2.2444290499978668E-2</v>
      </c>
      <c r="J78" s="89">
        <f t="shared" si="91"/>
        <v>2.3033883273282423E-2</v>
      </c>
      <c r="K78" s="89">
        <f t="shared" si="91"/>
        <v>2.2985542312040141E-2</v>
      </c>
      <c r="L78" s="89">
        <f t="shared" si="91"/>
        <v>2.1209300722202111E-2</v>
      </c>
      <c r="M78" s="89">
        <f t="shared" si="91"/>
        <v>1.7737246977914848E-2</v>
      </c>
      <c r="N78" s="89">
        <f t="shared" si="91"/>
        <v>1.8493846674946371E-2</v>
      </c>
      <c r="O78" s="89">
        <f t="shared" si="91"/>
        <v>1.9481676734519296E-2</v>
      </c>
      <c r="P78" s="89">
        <f t="shared" si="91"/>
        <v>2.0031528455695776E-2</v>
      </c>
      <c r="Q78" s="89">
        <f t="shared" si="91"/>
        <v>1.6817087845968713E-2</v>
      </c>
      <c r="R78" s="89">
        <f t="shared" si="91"/>
        <v>1.6563024672210654E-2</v>
      </c>
      <c r="S78" s="89">
        <f t="shared" si="91"/>
        <v>1.9438327921405422E-2</v>
      </c>
      <c r="T78" s="89">
        <f t="shared" ref="T78:Y78" si="92">T43/T$23</f>
        <v>2.1169868014253967E-2</v>
      </c>
      <c r="U78" s="89">
        <f t="shared" si="92"/>
        <v>2.2317668104307863E-2</v>
      </c>
      <c r="V78" s="89">
        <f t="shared" si="92"/>
        <v>2.2664830283829172E-2</v>
      </c>
      <c r="W78" s="89">
        <f t="shared" si="92"/>
        <v>2.0638045835880071E-2</v>
      </c>
      <c r="X78" s="89">
        <f t="shared" si="92"/>
        <v>2.033466960637555E-2</v>
      </c>
      <c r="Y78" s="89">
        <f t="shared" si="92"/>
        <v>2.3015421924140803E-2</v>
      </c>
      <c r="Z78" s="89">
        <f t="shared" ref="Z78:AA78" si="93">Z43/Z$23</f>
        <v>1.8506508859750453E-2</v>
      </c>
      <c r="AA78" s="89">
        <f t="shared" si="93"/>
        <v>1.8376356502586257E-2</v>
      </c>
    </row>
    <row r="79" spans="1:27" x14ac:dyDescent="0.25">
      <c r="A79" s="88" t="s">
        <v>266</v>
      </c>
      <c r="B79" s="44"/>
      <c r="C79" s="44"/>
      <c r="D79" s="89">
        <f>D44/D$23</f>
        <v>1.5473935458762036E-2</v>
      </c>
      <c r="E79" s="89">
        <f t="shared" ref="E79:S79" si="94">E44/E$23</f>
        <v>1.6451594169231663E-2</v>
      </c>
      <c r="F79" s="89">
        <f t="shared" si="94"/>
        <v>1.7179345599629515E-2</v>
      </c>
      <c r="G79" s="89">
        <f t="shared" si="94"/>
        <v>1.6695823976883038E-2</v>
      </c>
      <c r="H79" s="89">
        <f t="shared" si="94"/>
        <v>1.7503146300879274E-2</v>
      </c>
      <c r="I79" s="89">
        <f t="shared" si="94"/>
        <v>1.7428454760980903E-2</v>
      </c>
      <c r="J79" s="89">
        <f t="shared" si="94"/>
        <v>1.8430937617922947E-2</v>
      </c>
      <c r="K79" s="89">
        <f t="shared" si="94"/>
        <v>1.8175327637279526E-2</v>
      </c>
      <c r="L79" s="89">
        <f t="shared" si="94"/>
        <v>1.6500336108382026E-2</v>
      </c>
      <c r="M79" s="89">
        <f t="shared" si="94"/>
        <v>1.2667942855117159E-2</v>
      </c>
      <c r="N79" s="89">
        <f t="shared" si="94"/>
        <v>1.3585082637809295E-2</v>
      </c>
      <c r="O79" s="89">
        <f t="shared" si="94"/>
        <v>1.442709986438526E-2</v>
      </c>
      <c r="P79" s="89">
        <f t="shared" si="94"/>
        <v>1.3853974355732025E-2</v>
      </c>
      <c r="Q79" s="89">
        <f t="shared" si="94"/>
        <v>1.2541783660917233E-2</v>
      </c>
      <c r="R79" s="89">
        <f t="shared" si="94"/>
        <v>1.2044791723083034E-2</v>
      </c>
      <c r="S79" s="89">
        <f t="shared" si="94"/>
        <v>1.3747040434908687E-2</v>
      </c>
      <c r="T79" s="89">
        <f t="shared" ref="T79:Y79" si="95">T44/T$23</f>
        <v>1.4511603074286991E-2</v>
      </c>
      <c r="U79" s="89">
        <f t="shared" si="95"/>
        <v>1.5370557227346732E-2</v>
      </c>
      <c r="V79" s="89">
        <f t="shared" si="95"/>
        <v>1.5595040629259604E-2</v>
      </c>
      <c r="W79" s="89">
        <f t="shared" si="95"/>
        <v>1.2796345678478123E-2</v>
      </c>
      <c r="X79" s="89">
        <f t="shared" si="95"/>
        <v>1.1362681763660074E-2</v>
      </c>
      <c r="Y79" s="89">
        <f t="shared" si="95"/>
        <v>1.3464186023012897E-2</v>
      </c>
      <c r="Z79" s="89">
        <f t="shared" ref="Z79:AA79" si="96">Z44/Z$23</f>
        <v>8.8833944700024998E-3</v>
      </c>
      <c r="AA79" s="89">
        <f t="shared" si="96"/>
        <v>7.8757325616717177E-3</v>
      </c>
    </row>
    <row r="80" spans="1:27" x14ac:dyDescent="0.25">
      <c r="A80" s="88" t="s">
        <v>11</v>
      </c>
      <c r="B80" s="44"/>
      <c r="C80" s="44"/>
      <c r="D80" s="89">
        <f>D47/D$23</f>
        <v>5.956061117364948E-3</v>
      </c>
      <c r="E80" s="89">
        <f t="shared" ref="E80:S80" si="97">E47/E$23</f>
        <v>6.3929380335675714E-3</v>
      </c>
      <c r="F80" s="89">
        <f t="shared" si="97"/>
        <v>7.0623229966335962E-3</v>
      </c>
      <c r="G80" s="89">
        <f t="shared" si="97"/>
        <v>6.2492384284644972E-3</v>
      </c>
      <c r="H80" s="89">
        <f t="shared" si="97"/>
        <v>5.7076854205907442E-3</v>
      </c>
      <c r="I80" s="89">
        <f t="shared" si="97"/>
        <v>5.0158357389977681E-3</v>
      </c>
      <c r="J80" s="89">
        <f t="shared" si="97"/>
        <v>4.6029456553594731E-3</v>
      </c>
      <c r="K80" s="89">
        <f t="shared" si="97"/>
        <v>4.8102146747606165E-3</v>
      </c>
      <c r="L80" s="89">
        <f t="shared" si="97"/>
        <v>4.7089646138200872E-3</v>
      </c>
      <c r="M80" s="89">
        <f t="shared" si="97"/>
        <v>5.069304122797688E-3</v>
      </c>
      <c r="N80" s="89">
        <f t="shared" si="97"/>
        <v>4.9087640371370759E-3</v>
      </c>
      <c r="O80" s="89">
        <f t="shared" si="97"/>
        <v>5.0545768701340367E-3</v>
      </c>
      <c r="P80" s="89">
        <f t="shared" si="97"/>
        <v>6.1775540999637508E-3</v>
      </c>
      <c r="Q80" s="89">
        <f t="shared" si="97"/>
        <v>4.2753041850514774E-3</v>
      </c>
      <c r="R80" s="89">
        <f t="shared" si="97"/>
        <v>4.5182329491276181E-3</v>
      </c>
      <c r="S80" s="89">
        <f t="shared" si="97"/>
        <v>5.6912874864967359E-3</v>
      </c>
      <c r="T80" s="89">
        <f t="shared" ref="T80:Y80" si="98">T47/T$23</f>
        <v>6.6582649399669729E-3</v>
      </c>
      <c r="U80" s="89">
        <f t="shared" si="98"/>
        <v>6.9471108769611307E-3</v>
      </c>
      <c r="V80" s="89">
        <f t="shared" si="98"/>
        <v>7.0697896545695652E-3</v>
      </c>
      <c r="W80" s="89">
        <f t="shared" si="98"/>
        <v>7.8417001574019474E-3</v>
      </c>
      <c r="X80" s="89">
        <f t="shared" si="98"/>
        <v>8.9719878427154762E-3</v>
      </c>
      <c r="Y80" s="89">
        <f t="shared" si="98"/>
        <v>9.5512359011279101E-3</v>
      </c>
      <c r="Z80" s="89">
        <f t="shared" ref="Z80:AA80" si="99">Z47/Z$23</f>
        <v>9.6231143897479547E-3</v>
      </c>
      <c r="AA80" s="89">
        <f t="shared" si="99"/>
        <v>1.0500623940914541E-2</v>
      </c>
    </row>
    <row r="81" spans="1:27" x14ac:dyDescent="0.25">
      <c r="A81" s="68" t="s">
        <v>4</v>
      </c>
      <c r="B81" s="44"/>
      <c r="C81" s="44"/>
      <c r="D81" s="89">
        <f>D48/D$23</f>
        <v>4.6283866168439778E-3</v>
      </c>
      <c r="E81" s="89">
        <f t="shared" ref="E81:S81" si="100">E48/E$23</f>
        <v>4.4741274173877689E-3</v>
      </c>
      <c r="F81" s="89">
        <f t="shared" si="100"/>
        <v>4.2302691341752309E-3</v>
      </c>
      <c r="G81" s="89">
        <f t="shared" si="100"/>
        <v>3.8187372708757637E-3</v>
      </c>
      <c r="H81" s="89">
        <f t="shared" si="100"/>
        <v>3.7227707719206366E-3</v>
      </c>
      <c r="I81" s="89">
        <f t="shared" si="100"/>
        <v>3.5084440345278024E-3</v>
      </c>
      <c r="J81" s="89">
        <f t="shared" si="100"/>
        <v>3.6949988219677162E-3</v>
      </c>
      <c r="K81" s="89">
        <f t="shared" si="100"/>
        <v>3.9105530845411456E-3</v>
      </c>
      <c r="L81" s="89">
        <f t="shared" si="100"/>
        <v>3.804057431442508E-3</v>
      </c>
      <c r="M81" s="89">
        <f t="shared" si="100"/>
        <v>3.7948881562621852E-3</v>
      </c>
      <c r="N81" s="89">
        <f t="shared" si="100"/>
        <v>3.2707723573705285E-3</v>
      </c>
      <c r="O81" s="89">
        <f t="shared" si="100"/>
        <v>3.370849450666956E-3</v>
      </c>
      <c r="P81" s="89">
        <f t="shared" si="100"/>
        <v>2.9353498056869242E-3</v>
      </c>
      <c r="Q81" s="89">
        <f t="shared" si="100"/>
        <v>2.814547399384945E-3</v>
      </c>
      <c r="R81" s="89">
        <f t="shared" si="100"/>
        <v>2.6521846879005561E-3</v>
      </c>
      <c r="S81" s="89">
        <f t="shared" si="100"/>
        <v>2.5811550190718677E-3</v>
      </c>
      <c r="T81" s="89">
        <f t="shared" ref="T81:Y81" si="101">T48/T$23</f>
        <v>2.8604154508995645E-3</v>
      </c>
      <c r="U81" s="89">
        <f t="shared" si="101"/>
        <v>2.8708176695925488E-3</v>
      </c>
      <c r="V81" s="89">
        <f t="shared" si="101"/>
        <v>2.9962035769667559E-3</v>
      </c>
      <c r="W81" s="89">
        <f t="shared" si="101"/>
        <v>2.9776554141402122E-3</v>
      </c>
      <c r="X81" s="89">
        <f t="shared" si="101"/>
        <v>3.1894280650389935E-3</v>
      </c>
      <c r="Y81" s="89">
        <f t="shared" si="101"/>
        <v>2.9441855177901556E-3</v>
      </c>
      <c r="Z81" s="89">
        <f t="shared" ref="Z81:AA81" si="102">Z48/Z$23</f>
        <v>2.6886623567003764E-3</v>
      </c>
      <c r="AA81" s="89">
        <f t="shared" si="102"/>
        <v>2.6386508905049846E-3</v>
      </c>
    </row>
    <row r="82" spans="1:27" x14ac:dyDescent="0.25">
      <c r="A82" s="68" t="s">
        <v>3</v>
      </c>
      <c r="B82" s="44"/>
      <c r="C82" s="44"/>
      <c r="D82" s="89">
        <f>D52/D$23</f>
        <v>9.9711064528921877E-3</v>
      </c>
      <c r="E82" s="89">
        <f t="shared" ref="E82:S82" si="103">E52/E$23</f>
        <v>9.8611998373889301E-3</v>
      </c>
      <c r="F82" s="89">
        <f t="shared" si="103"/>
        <v>9.2821010633560731E-3</v>
      </c>
      <c r="G82" s="89">
        <f t="shared" si="103"/>
        <v>8.5513603843542733E-3</v>
      </c>
      <c r="H82" s="89">
        <f t="shared" si="103"/>
        <v>8.4232175888777211E-3</v>
      </c>
      <c r="I82" s="89">
        <f t="shared" si="103"/>
        <v>8.1890781141757806E-3</v>
      </c>
      <c r="J82" s="89">
        <f t="shared" si="103"/>
        <v>7.6715760922657873E-3</v>
      </c>
      <c r="K82" s="89">
        <f t="shared" si="103"/>
        <v>7.5939371102292782E-3</v>
      </c>
      <c r="L82" s="89">
        <f t="shared" si="103"/>
        <v>7.0238033679783504E-3</v>
      </c>
      <c r="M82" s="89">
        <f t="shared" si="103"/>
        <v>6.7974759828423551E-3</v>
      </c>
      <c r="N82" s="89">
        <f t="shared" si="103"/>
        <v>6.128138543177496E-3</v>
      </c>
      <c r="O82" s="89">
        <f t="shared" si="103"/>
        <v>5.9151109443979569E-3</v>
      </c>
      <c r="P82" s="89">
        <f t="shared" si="103"/>
        <v>5.4390801109396991E-3</v>
      </c>
      <c r="Q82" s="89">
        <f t="shared" si="103"/>
        <v>5.3700361010830325E-3</v>
      </c>
      <c r="R82" s="89">
        <f t="shared" si="103"/>
        <v>5.2863161384453534E-3</v>
      </c>
      <c r="S82" s="89">
        <f t="shared" si="103"/>
        <v>4.8771083415919672E-3</v>
      </c>
      <c r="T82" s="89">
        <f t="shared" ref="T82:Y82" si="104">T52/T$23</f>
        <v>4.8206458982604705E-3</v>
      </c>
      <c r="U82" s="89">
        <f t="shared" si="104"/>
        <v>4.6968898731125381E-3</v>
      </c>
      <c r="V82" s="89">
        <f t="shared" si="104"/>
        <v>4.7743111076998732E-3</v>
      </c>
      <c r="W82" s="89">
        <f t="shared" si="104"/>
        <v>4.7396377050687747E-3</v>
      </c>
      <c r="X82" s="89">
        <f t="shared" si="104"/>
        <v>4.7607309243695162E-3</v>
      </c>
      <c r="Y82" s="89">
        <f t="shared" si="104"/>
        <v>3.8599017341770553E-3</v>
      </c>
      <c r="Z82" s="89">
        <f t="shared" ref="Z82:AA82" si="105">Z52/Z$23</f>
        <v>3.8663595196436733E-3</v>
      </c>
      <c r="AA82" s="89">
        <f t="shared" si="105"/>
        <v>3.4430530873697214E-3</v>
      </c>
    </row>
    <row r="83" spans="1:27" x14ac:dyDescent="0.25">
      <c r="A83" s="88" t="s">
        <v>21</v>
      </c>
      <c r="B83" s="44"/>
      <c r="C83" s="44"/>
      <c r="D83" s="89">
        <f>D53/D$23</f>
        <v>3.4337258881748291E-3</v>
      </c>
      <c r="E83" s="89">
        <f t="shared" ref="E83:S83" si="106">E53/E$23</f>
        <v>3.6912712701086012E-3</v>
      </c>
      <c r="F83" s="89">
        <f t="shared" si="106"/>
        <v>3.7159574657570846E-3</v>
      </c>
      <c r="G83" s="89">
        <f t="shared" si="106"/>
        <v>3.5423955994220756E-3</v>
      </c>
      <c r="H83" s="89">
        <f t="shared" si="106"/>
        <v>3.5559534769792132E-3</v>
      </c>
      <c r="I83" s="89">
        <f t="shared" si="106"/>
        <v>3.2829447364197623E-3</v>
      </c>
      <c r="J83" s="89">
        <f t="shared" si="106"/>
        <v>3.22187040878678E-3</v>
      </c>
      <c r="K83" s="89">
        <f t="shared" si="106"/>
        <v>3.2705132758679748E-3</v>
      </c>
      <c r="L83" s="89">
        <f t="shared" si="106"/>
        <v>2.9594773945567678E-3</v>
      </c>
      <c r="M83" s="89">
        <f t="shared" si="106"/>
        <v>2.8076145910879502E-3</v>
      </c>
      <c r="N83" s="89">
        <f t="shared" si="106"/>
        <v>2.6992991202091352E-3</v>
      </c>
      <c r="O83" s="89">
        <f t="shared" si="106"/>
        <v>2.6596782926460831E-3</v>
      </c>
      <c r="P83" s="89">
        <f t="shared" si="106"/>
        <v>2.3739072523878166E-3</v>
      </c>
      <c r="Q83" s="89">
        <f t="shared" si="106"/>
        <v>2.4969915764139592E-3</v>
      </c>
      <c r="R83" s="89">
        <f t="shared" si="106"/>
        <v>2.6932147728000078E-3</v>
      </c>
      <c r="S83" s="89">
        <f t="shared" si="106"/>
        <v>2.5381357687540031E-3</v>
      </c>
      <c r="T83" s="89">
        <f t="shared" ref="T83:Y83" si="107">T53/T$23</f>
        <v>2.6462335017817459E-3</v>
      </c>
      <c r="U83" s="89">
        <f t="shared" si="107"/>
        <v>2.6907404596284751E-3</v>
      </c>
      <c r="V83" s="89">
        <f t="shared" si="107"/>
        <v>2.8995518486775057E-3</v>
      </c>
      <c r="W83" s="89">
        <f t="shared" si="107"/>
        <v>3.1182894573148633E-3</v>
      </c>
      <c r="X83" s="89">
        <f t="shared" si="107"/>
        <v>3.2293647722437127E-3</v>
      </c>
      <c r="Y83" s="89">
        <f t="shared" si="107"/>
        <v>2.4490672325161353E-3</v>
      </c>
      <c r="Z83" s="89">
        <f t="shared" ref="Z83:AA83" si="108">Z53/Z$23</f>
        <v>2.5276578688410156E-3</v>
      </c>
      <c r="AA83" s="89">
        <f t="shared" si="108"/>
        <v>2.2089307695482966E-3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6.5373805647173586E-3</v>
      </c>
      <c r="E84" s="89">
        <f t="shared" ref="E84:S84" si="110">E56/E$23</f>
        <v>6.1699285672803294E-3</v>
      </c>
      <c r="F84" s="89">
        <f t="shared" si="110"/>
        <v>5.5661435975989876E-3</v>
      </c>
      <c r="G84" s="89">
        <f t="shared" si="110"/>
        <v>5.0089647849321977E-3</v>
      </c>
      <c r="H84" s="89">
        <f t="shared" si="110"/>
        <v>4.8672641118985074E-3</v>
      </c>
      <c r="I84" s="89">
        <f t="shared" si="110"/>
        <v>4.9061333777560183E-3</v>
      </c>
      <c r="J84" s="89">
        <f t="shared" si="110"/>
        <v>4.4497056834790077E-3</v>
      </c>
      <c r="K84" s="89">
        <f t="shared" si="110"/>
        <v>4.3234238343613039E-3</v>
      </c>
      <c r="L84" s="89">
        <f t="shared" si="110"/>
        <v>4.0643259734215826E-3</v>
      </c>
      <c r="M84" s="89">
        <f t="shared" si="110"/>
        <v>3.989861391754404E-3</v>
      </c>
      <c r="N84" s="89">
        <f t="shared" si="110"/>
        <v>3.4288394229683604E-3</v>
      </c>
      <c r="O84" s="89">
        <f t="shared" si="110"/>
        <v>3.2554326517518742E-3</v>
      </c>
      <c r="P84" s="89">
        <f t="shared" si="110"/>
        <v>3.0651728585518829E-3</v>
      </c>
      <c r="Q84" s="89">
        <f t="shared" si="110"/>
        <v>2.8730445246690733E-3</v>
      </c>
      <c r="R84" s="89">
        <f t="shared" si="110"/>
        <v>2.5931013656453456E-3</v>
      </c>
      <c r="S84" s="89">
        <f t="shared" si="110"/>
        <v>2.3389725728379641E-3</v>
      </c>
      <c r="T84" s="89">
        <f t="shared" ref="T84:Y84" si="111">T56/T$23</f>
        <v>2.1744123964787246E-3</v>
      </c>
      <c r="U84" s="89">
        <f t="shared" si="111"/>
        <v>2.0061494134840626E-3</v>
      </c>
      <c r="V84" s="89">
        <f t="shared" si="111"/>
        <v>1.8747592590223675E-3</v>
      </c>
      <c r="W84" s="89">
        <f t="shared" si="111"/>
        <v>1.6213482477539119E-3</v>
      </c>
      <c r="X84" s="89">
        <f t="shared" si="111"/>
        <v>1.5313661521258034E-3</v>
      </c>
      <c r="Y84" s="89">
        <f t="shared" si="111"/>
        <v>1.4108345016609195E-3</v>
      </c>
      <c r="Z84" s="89">
        <f t="shared" ref="Z84:AA84" si="112">Z56/Z$23</f>
        <v>1.3387016508026579E-3</v>
      </c>
      <c r="AA84" s="89">
        <f t="shared" si="112"/>
        <v>1.2341223178214248E-3</v>
      </c>
    </row>
    <row r="85" spans="1:27" x14ac:dyDescent="0.25">
      <c r="A85" s="68" t="s">
        <v>2</v>
      </c>
      <c r="B85" s="44"/>
      <c r="C85" s="44"/>
      <c r="D85" s="89">
        <f t="shared" si="109"/>
        <v>2.4873575336290837E-2</v>
      </c>
      <c r="E85" s="89">
        <f t="shared" ref="E85:S85" si="113">E57/E$23</f>
        <v>2.5032812590742783E-2</v>
      </c>
      <c r="F85" s="89">
        <f t="shared" si="113"/>
        <v>2.5043193274317366E-2</v>
      </c>
      <c r="G85" s="89">
        <f t="shared" si="113"/>
        <v>2.5005657388549443E-2</v>
      </c>
      <c r="H85" s="89">
        <f t="shared" si="113"/>
        <v>2.4712187375942836E-2</v>
      </c>
      <c r="I85" s="89">
        <f t="shared" si="113"/>
        <v>2.4374239447750187E-2</v>
      </c>
      <c r="J85" s="89">
        <f t="shared" si="113"/>
        <v>2.0938326657817061E-2</v>
      </c>
      <c r="K85" s="89">
        <f t="shared" si="113"/>
        <v>2.0382112780423074E-2</v>
      </c>
      <c r="L85" s="89">
        <f t="shared" si="113"/>
        <v>1.8734164124308391E-2</v>
      </c>
      <c r="M85" s="89">
        <f t="shared" si="113"/>
        <v>2.0356978269346661E-2</v>
      </c>
      <c r="N85" s="89">
        <f t="shared" si="113"/>
        <v>1.9315448015910928E-2</v>
      </c>
      <c r="O85" s="89">
        <f t="shared" si="113"/>
        <v>1.9386627606000996E-2</v>
      </c>
      <c r="P85" s="89">
        <f t="shared" si="113"/>
        <v>2.1016160441061176E-2</v>
      </c>
      <c r="Q85" s="89">
        <f t="shared" si="113"/>
        <v>2.1304653028479746E-2</v>
      </c>
      <c r="R85" s="89">
        <f t="shared" si="113"/>
        <v>2.1852623217447961E-2</v>
      </c>
      <c r="S85" s="89">
        <f t="shared" si="113"/>
        <v>2.1441113019537116E-2</v>
      </c>
      <c r="T85" s="89">
        <f t="shared" ref="T85:Y85" si="114">T57/T$23</f>
        <v>2.1678938154186173E-2</v>
      </c>
      <c r="U85" s="89">
        <f t="shared" si="114"/>
        <v>2.1451511606794715E-2</v>
      </c>
      <c r="V85" s="89">
        <f t="shared" si="114"/>
        <v>2.1242059989453589E-2</v>
      </c>
      <c r="W85" s="89">
        <f t="shared" si="114"/>
        <v>2.0533922553914223E-2</v>
      </c>
      <c r="X85" s="89">
        <f t="shared" si="114"/>
        <v>2.1377155377202202E-2</v>
      </c>
      <c r="Y85" s="89">
        <f t="shared" si="114"/>
        <v>1.9996716052189507E-2</v>
      </c>
      <c r="Z85" s="89">
        <f t="shared" ref="Z85:AA85" si="115">Z57/Z$23</f>
        <v>1.8646121142929201E-2</v>
      </c>
      <c r="AA85" s="89">
        <f t="shared" si="115"/>
        <v>1.9865558990729264E-2</v>
      </c>
    </row>
    <row r="86" spans="1:27" x14ac:dyDescent="0.25">
      <c r="A86" s="68" t="s">
        <v>269</v>
      </c>
      <c r="B86" s="44"/>
      <c r="C86" s="44"/>
      <c r="D86" s="89">
        <f t="shared" si="109"/>
        <v>7.4758666216718844E-3</v>
      </c>
      <c r="E86" s="89">
        <f t="shared" ref="E86:S86" si="116">E58/E$23</f>
        <v>8.0980312445554335E-3</v>
      </c>
      <c r="F86" s="89">
        <f t="shared" si="116"/>
        <v>7.7970539515166623E-3</v>
      </c>
      <c r="G86" s="89">
        <f t="shared" si="116"/>
        <v>7.580900656257071E-3</v>
      </c>
      <c r="H86" s="89">
        <f t="shared" si="116"/>
        <v>7.7686180770822596E-3</v>
      </c>
      <c r="I86" s="89">
        <f t="shared" si="116"/>
        <v>7.2241036402900215E-3</v>
      </c>
      <c r="J86" s="89">
        <f t="shared" si="116"/>
        <v>6.8574887416508155E-3</v>
      </c>
      <c r="K86" s="89">
        <f t="shared" si="116"/>
        <v>7.6534337685003045E-3</v>
      </c>
      <c r="L86" s="89">
        <f t="shared" si="116"/>
        <v>7.7787545029905014E-3</v>
      </c>
      <c r="M86" s="89">
        <f t="shared" si="116"/>
        <v>5.4663405296182061E-3</v>
      </c>
      <c r="N86" s="89">
        <f t="shared" si="116"/>
        <v>6.2271475842662479E-3</v>
      </c>
      <c r="O86" s="89">
        <f t="shared" si="116"/>
        <v>6.1086038131673596E-3</v>
      </c>
      <c r="P86" s="89">
        <f t="shared" si="116"/>
        <v>5.4003017964475691E-3</v>
      </c>
      <c r="Q86" s="89">
        <f t="shared" si="116"/>
        <v>5.4887016980879801E-3</v>
      </c>
      <c r="R86" s="89">
        <f t="shared" si="116"/>
        <v>5.2288740195861215E-3</v>
      </c>
      <c r="S86" s="89">
        <f t="shared" si="116"/>
        <v>5.4953109017153532E-3</v>
      </c>
      <c r="T86" s="89">
        <f t="shared" ref="T86:Y86" si="117">T58/T$23</f>
        <v>5.497336694024013E-3</v>
      </c>
      <c r="U86" s="89">
        <f t="shared" si="117"/>
        <v>6.1166721731598641E-3</v>
      </c>
      <c r="V86" s="89">
        <f t="shared" si="117"/>
        <v>6.100429673786204E-3</v>
      </c>
      <c r="W86" s="89">
        <f t="shared" si="117"/>
        <v>6.0391503540191587E-3</v>
      </c>
      <c r="X86" s="89">
        <f t="shared" si="117"/>
        <v>5.8321363797237203E-3</v>
      </c>
      <c r="Y86" s="89">
        <f t="shared" si="117"/>
        <v>5.4728253318681872E-3</v>
      </c>
      <c r="Z86" s="89">
        <f t="shared" ref="Z86:AA86" si="118">Z58/Z$23</f>
        <v>5.4910411698608609E-3</v>
      </c>
      <c r="AA86" s="89">
        <f t="shared" si="118"/>
        <v>6.0404254440882257E-3</v>
      </c>
    </row>
    <row r="87" spans="1:27" x14ac:dyDescent="0.25">
      <c r="A87" s="68" t="s">
        <v>270</v>
      </c>
      <c r="B87" s="44"/>
      <c r="C87" s="44"/>
      <c r="D87" s="89">
        <f t="shared" si="109"/>
        <v>4.4611341148302966E-2</v>
      </c>
      <c r="E87" s="89">
        <f t="shared" ref="E87:S87" si="119">E59/E$23</f>
        <v>4.0887391834601314E-2</v>
      </c>
      <c r="F87" s="89">
        <f t="shared" si="119"/>
        <v>3.5625545482072564E-2</v>
      </c>
      <c r="G87" s="89">
        <f t="shared" si="119"/>
        <v>3.3809424338955903E-2</v>
      </c>
      <c r="H87" s="89">
        <f t="shared" si="119"/>
        <v>3.4778238578294325E-2</v>
      </c>
      <c r="I87" s="89">
        <f t="shared" si="119"/>
        <v>3.6368364276848128E-2</v>
      </c>
      <c r="J87" s="89">
        <f t="shared" si="119"/>
        <v>3.7516976115634884E-2</v>
      </c>
      <c r="K87" s="89">
        <f t="shared" si="119"/>
        <v>3.823291319076972E-2</v>
      </c>
      <c r="L87" s="89">
        <f t="shared" si="119"/>
        <v>3.6639260906286088E-2</v>
      </c>
      <c r="M87" s="89">
        <f t="shared" si="119"/>
        <v>3.3448544790669638E-2</v>
      </c>
      <c r="N87" s="89">
        <f t="shared" si="119"/>
        <v>3.6023657949818051E-2</v>
      </c>
      <c r="O87" s="89">
        <f t="shared" si="119"/>
        <v>3.7819369315086164E-2</v>
      </c>
      <c r="P87" s="89">
        <f t="shared" si="119"/>
        <v>3.6003135985432838E-2</v>
      </c>
      <c r="Q87" s="89">
        <f t="shared" si="119"/>
        <v>3.6177964968578689E-2</v>
      </c>
      <c r="R87" s="89">
        <f t="shared" si="119"/>
        <v>3.7348865682272865E-2</v>
      </c>
      <c r="S87" s="89">
        <f t="shared" si="119"/>
        <v>3.818516122659036E-2</v>
      </c>
      <c r="T87" s="89">
        <f t="shared" ref="T87:Y87" si="120">T59/T$23</f>
        <v>3.722730602565217E-2</v>
      </c>
      <c r="U87" s="89">
        <f t="shared" si="120"/>
        <v>3.8557358311977069E-2</v>
      </c>
      <c r="V87" s="89">
        <f t="shared" si="120"/>
        <v>3.9935641319750928E-2</v>
      </c>
      <c r="W87" s="89">
        <f t="shared" si="120"/>
        <v>4.1101651368206968E-2</v>
      </c>
      <c r="X87" s="89">
        <f t="shared" si="120"/>
        <v>4.3269356564561823E-2</v>
      </c>
      <c r="Y87" s="89">
        <f t="shared" si="120"/>
        <v>4.4652848824725602E-2</v>
      </c>
      <c r="Z87" s="89">
        <f t="shared" ref="Z87:AA87" si="121">Z59/Z$23</f>
        <v>4.3839382823635906E-2</v>
      </c>
      <c r="AA87" s="89">
        <f t="shared" si="121"/>
        <v>4.5382043414433304E-2</v>
      </c>
    </row>
    <row r="88" spans="1:27" x14ac:dyDescent="0.25">
      <c r="A88" s="68" t="s">
        <v>1</v>
      </c>
      <c r="B88" s="44"/>
      <c r="C88" s="44"/>
      <c r="D88" s="89">
        <f t="shared" si="109"/>
        <v>3.0371477906166173E-3</v>
      </c>
      <c r="E88" s="89">
        <f t="shared" ref="E88:S88" si="122">E60/E$23</f>
        <v>2.7388350078401767E-3</v>
      </c>
      <c r="F88" s="89">
        <f t="shared" si="122"/>
        <v>2.6094081185544056E-3</v>
      </c>
      <c r="G88" s="89">
        <f t="shared" si="122"/>
        <v>2.5001305551203717E-3</v>
      </c>
      <c r="H88" s="89">
        <f t="shared" si="122"/>
        <v>2.1200577736859441E-3</v>
      </c>
      <c r="I88" s="89">
        <f t="shared" si="122"/>
        <v>2.0437143594296291E-3</v>
      </c>
      <c r="J88" s="89">
        <f t="shared" si="122"/>
        <v>1.972964637960989E-3</v>
      </c>
      <c r="K88" s="89">
        <f t="shared" si="122"/>
        <v>2.0120688069838258E-3</v>
      </c>
      <c r="L88" s="89">
        <f t="shared" si="122"/>
        <v>1.8908251029870556E-3</v>
      </c>
      <c r="M88" s="89">
        <f t="shared" si="122"/>
        <v>1.76716650714311E-3</v>
      </c>
      <c r="N88" s="89">
        <f t="shared" si="122"/>
        <v>1.7422117230178652E-3</v>
      </c>
      <c r="O88" s="89">
        <f t="shared" si="122"/>
        <v>1.8279984181109323E-3</v>
      </c>
      <c r="P88" s="89">
        <f t="shared" si="122"/>
        <v>1.7787444256172917E-3</v>
      </c>
      <c r="Q88" s="89">
        <f t="shared" si="122"/>
        <v>1.8050541516245486E-3</v>
      </c>
      <c r="R88" s="89">
        <f t="shared" si="122"/>
        <v>1.7790644812402244E-3</v>
      </c>
      <c r="S88" s="89">
        <f t="shared" si="122"/>
        <v>1.7430762906571751E-3</v>
      </c>
      <c r="T88" s="89">
        <f t="shared" ref="T88:Y88" si="123">T60/T$23</f>
        <v>1.7569128000099331E-3</v>
      </c>
      <c r="U88" s="89">
        <f t="shared" si="123"/>
        <v>1.7025481669330619E-3</v>
      </c>
      <c r="V88" s="89">
        <f t="shared" si="123"/>
        <v>1.6373939851355326E-3</v>
      </c>
      <c r="W88" s="89">
        <f t="shared" si="123"/>
        <v>1.5713149823936995E-3</v>
      </c>
      <c r="X88" s="89">
        <f t="shared" si="123"/>
        <v>1.5974682881887878E-3</v>
      </c>
      <c r="Y88" s="89">
        <f t="shared" si="123"/>
        <v>1.7265987142081264E-3</v>
      </c>
      <c r="Z88" s="89">
        <f t="shared" ref="Z88:AA88" si="124">Z60/Z$23</f>
        <v>1.4321518080916578E-3</v>
      </c>
      <c r="AA88" s="89">
        <f t="shared" si="124"/>
        <v>1.319854657224114E-3</v>
      </c>
    </row>
    <row r="89" spans="1:27" x14ac:dyDescent="0.25">
      <c r="A89" s="68" t="s">
        <v>0</v>
      </c>
      <c r="B89" s="44"/>
      <c r="C89" s="44"/>
      <c r="D89" s="89">
        <f t="shared" si="109"/>
        <v>2.2784766474617771E-3</v>
      </c>
      <c r="E89" s="89">
        <f t="shared" ref="E89:S89" si="125">E61/E$23</f>
        <v>2.4391660375166968E-3</v>
      </c>
      <c r="F89" s="89">
        <f t="shared" si="125"/>
        <v>1.9993587802575566E-3</v>
      </c>
      <c r="G89" s="89">
        <f t="shared" si="125"/>
        <v>2.0845300886034083E-3</v>
      </c>
      <c r="H89" s="89">
        <f t="shared" si="125"/>
        <v>2.0292584865659285E-3</v>
      </c>
      <c r="I89" s="89">
        <f t="shared" si="125"/>
        <v>1.9055706452733522E-3</v>
      </c>
      <c r="J89" s="89">
        <f t="shared" si="125"/>
        <v>1.8024851692439714E-3</v>
      </c>
      <c r="K89" s="89">
        <f t="shared" si="125"/>
        <v>1.8263671160166806E-3</v>
      </c>
      <c r="L89" s="89">
        <f t="shared" si="125"/>
        <v>1.8925487357153937E-3</v>
      </c>
      <c r="M89" s="89">
        <f t="shared" si="125"/>
        <v>1.7139919883725049E-3</v>
      </c>
      <c r="N89" s="89">
        <f t="shared" si="125"/>
        <v>1.3774415716382524E-3</v>
      </c>
      <c r="O89" s="89">
        <f t="shared" si="125"/>
        <v>1.4189477043089504E-3</v>
      </c>
      <c r="P89" s="89">
        <f t="shared" si="125"/>
        <v>1.2577662004838858E-3</v>
      </c>
      <c r="Q89" s="89">
        <f t="shared" si="125"/>
        <v>1.0863751838481081E-3</v>
      </c>
      <c r="R89" s="89">
        <f t="shared" si="125"/>
        <v>1.1143771058691075E-3</v>
      </c>
      <c r="S89" s="89">
        <f t="shared" si="125"/>
        <v>1.2364051202467712E-3</v>
      </c>
      <c r="T89" s="89">
        <f t="shared" ref="T89:Y89" si="126">T61/T$23</f>
        <v>1.3611418070748331E-3</v>
      </c>
      <c r="U89" s="89">
        <f t="shared" si="126"/>
        <v>1.4391294383079292E-3</v>
      </c>
      <c r="V89" s="89">
        <f t="shared" si="126"/>
        <v>1.5123152779376796E-3</v>
      </c>
      <c r="W89" s="89">
        <f t="shared" si="126"/>
        <v>1.5956554898662353E-3</v>
      </c>
      <c r="X89" s="89">
        <f t="shared" si="126"/>
        <v>1.6911129809446821E-3</v>
      </c>
      <c r="Y89" s="89">
        <f t="shared" si="126"/>
        <v>1.7303878847586929E-3</v>
      </c>
      <c r="Z89" s="89">
        <f t="shared" ref="Z89:AA89" si="127">Z61/Z$23</f>
        <v>1.6821028312019944E-3</v>
      </c>
      <c r="AA89" s="89">
        <f t="shared" si="127"/>
        <v>1.5823437951483963E-3</v>
      </c>
    </row>
    <row r="90" spans="1:27" x14ac:dyDescent="0.25">
      <c r="A90" s="90" t="s">
        <v>272</v>
      </c>
      <c r="B90" s="47"/>
      <c r="C90" s="47"/>
      <c r="D90" s="91">
        <f t="shared" si="109"/>
        <v>1.2217561266389638E-2</v>
      </c>
      <c r="E90" s="91">
        <f t="shared" ref="E90:S90" si="128">E62/E$23</f>
        <v>1.1680120796794239E-2</v>
      </c>
      <c r="F90" s="91">
        <f t="shared" si="128"/>
        <v>1.1305950875443064E-2</v>
      </c>
      <c r="G90" s="91">
        <f t="shared" si="128"/>
        <v>1.0712047626507912E-2</v>
      </c>
      <c r="H90" s="91">
        <f t="shared" si="128"/>
        <v>1.0013260919142179E-2</v>
      </c>
      <c r="I90" s="91">
        <f t="shared" si="128"/>
        <v>9.9463474192519521E-3</v>
      </c>
      <c r="J90" s="91">
        <f t="shared" si="128"/>
        <v>9.6158082354991896E-3</v>
      </c>
      <c r="K90" s="91">
        <f t="shared" si="128"/>
        <v>9.5392975427880129E-3</v>
      </c>
      <c r="L90" s="91">
        <f t="shared" si="128"/>
        <v>9.2921040384714802E-3</v>
      </c>
      <c r="M90" s="91">
        <f t="shared" si="128"/>
        <v>8.9333191534616604E-3</v>
      </c>
      <c r="N90" s="91">
        <f t="shared" si="128"/>
        <v>8.0040993217012201E-3</v>
      </c>
      <c r="O90" s="91">
        <f t="shared" si="128"/>
        <v>7.9145372550151142E-3</v>
      </c>
      <c r="P90" s="91">
        <f t="shared" si="128"/>
        <v>7.9529264982338994E-3</v>
      </c>
      <c r="Q90" s="91">
        <f t="shared" si="128"/>
        <v>7.7149351517582562E-3</v>
      </c>
      <c r="R90" s="91">
        <f t="shared" si="128"/>
        <v>8.0730795048161094E-3</v>
      </c>
      <c r="S90" s="91">
        <f t="shared" si="128"/>
        <v>7.9665278366415678E-3</v>
      </c>
      <c r="T90" s="91">
        <f t="shared" ref="T90:Y90" si="129">T62/T$23</f>
        <v>8.2242764375023286E-3</v>
      </c>
      <c r="U90" s="91">
        <f t="shared" si="129"/>
        <v>8.4383287644322208E-3</v>
      </c>
      <c r="V90" s="91">
        <f t="shared" si="129"/>
        <v>8.2239249982588476E-3</v>
      </c>
      <c r="W90" s="91">
        <f t="shared" si="129"/>
        <v>8.032367465936812E-3</v>
      </c>
      <c r="X90" s="91">
        <f t="shared" si="129"/>
        <v>8.3867085129911353E-3</v>
      </c>
      <c r="Y90" s="91">
        <f t="shared" si="129"/>
        <v>8.175766991272277E-3</v>
      </c>
      <c r="Z90" s="91">
        <f t="shared" ref="Z90:AA90" si="130">Z62/Z$23</f>
        <v>7.6347652599603232E-3</v>
      </c>
      <c r="AA90" s="91">
        <f t="shared" si="130"/>
        <v>7.348637437936666E-3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2.3240185252356715E-2</v>
      </c>
      <c r="F93" s="92">
        <f t="shared" ref="F93:F94" si="132">IF(E16=0,"",F16/E16-1)</f>
        <v>2.4638599375124137E-3</v>
      </c>
      <c r="G93" s="92">
        <f t="shared" ref="G93:G94" si="133">IF(F16=0,"",G16/F16-1)</f>
        <v>9.6898521534427573E-4</v>
      </c>
      <c r="H93" s="92">
        <f t="shared" ref="H93:H94" si="134">IF(G16=0,"",H16/G16-1)</f>
        <v>2.0172497102949993E-2</v>
      </c>
      <c r="I93" s="92">
        <f t="shared" ref="I93:I94" si="135">IF(H16=0,"",I16/H16-1)</f>
        <v>2.0341185381046234E-2</v>
      </c>
      <c r="J93" s="92">
        <f t="shared" ref="J93:J94" si="136">IF(I16=0,"",J16/I16-1)</f>
        <v>3.5368755000837915E-2</v>
      </c>
      <c r="K93" s="92">
        <f t="shared" ref="K93:K94" si="137">IF(J16=0,"",K16/J16-1)</f>
        <v>3.8852553396152123E-2</v>
      </c>
      <c r="L93" s="92">
        <f t="shared" ref="L93:L94" si="138">IF(K16=0,"",L16/K16-1)</f>
        <v>2.1167307447701678E-2</v>
      </c>
      <c r="M93" s="92">
        <f t="shared" ref="M93:M94" si="139">IF(L16=0,"",M16/L16-1)</f>
        <v>-3.6652809442340506E-2</v>
      </c>
      <c r="N93" s="92">
        <f t="shared" ref="N93:N94" si="140">IF(M16=0,"",N16/M16-1)</f>
        <v>1.3194155294419474E-2</v>
      </c>
      <c r="O93" s="92">
        <f t="shared" ref="O93:O94" si="141">IF(N16=0,"",O16/N16-1)</f>
        <v>1.7736686122231449E-2</v>
      </c>
      <c r="P93" s="92">
        <f t="shared" ref="P93:P94" si="142">IF(O16=0,"",P16/O16-1)</f>
        <v>-9.7786153829904077E-3</v>
      </c>
      <c r="Q93" s="92">
        <f t="shared" ref="Q93:Q94" si="143">IF(P16=0,"",Q16/P16-1)</f>
        <v>-3.1095238684897275E-4</v>
      </c>
      <c r="R93" s="92">
        <f t="shared" ref="R93:R94" si="144">IF(Q16=0,"",R16/Q16-1)</f>
        <v>1.6135124664261591E-2</v>
      </c>
      <c r="S93" s="92">
        <f t="shared" ref="S93:S94" si="145">IF(R16=0,"",S16/R16-1)</f>
        <v>2.1202027402387635E-2</v>
      </c>
      <c r="T93" s="92">
        <f t="shared" ref="T93:T94" si="146">IF(S16=0,"",T16/S16-1)</f>
        <v>2.4238210591000398E-2</v>
      </c>
      <c r="U93" s="92">
        <f t="shared" ref="U93:U94" si="147">IF(T16=0,"",U16/T16-1)</f>
        <v>2.7820234193036031E-2</v>
      </c>
      <c r="V93" s="92">
        <f t="shared" ref="V93:V94" si="148">IF(U16=0,"",V16/U16-1)</f>
        <v>2.2591317185933768E-2</v>
      </c>
      <c r="W93" s="92">
        <f t="shared" ref="W93:W94" si="149">IF(V16=0,"",W16/V16-1)</f>
        <v>2.3001632642080327E-2</v>
      </c>
      <c r="X93" s="92">
        <f t="shared" ref="X93:X94" si="150">IF(W16=0,"",X16/W16-1)</f>
        <v>-3.8682765722874102E-2</v>
      </c>
      <c r="Y93" s="92">
        <f t="shared" ref="Y93:Y94" si="151">IF(X16=0,"",Y16/X16-1)</f>
        <v>6.2762699801588884E-2</v>
      </c>
      <c r="Z93" s="92">
        <f t="shared" ref="Z93:Z94" si="152">IF(Y16=0,"",Z16/Y16-1)</f>
        <v>5.0075481776204134E-2</v>
      </c>
      <c r="AA93" s="92">
        <f t="shared" ref="AA93:AA94" si="153">IF(Z16=0,"",AA16/Z16-1)</f>
        <v>-5.9804600878051728E-3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2.130560784678015E-2</v>
      </c>
      <c r="F94" s="93">
        <f t="shared" si="132"/>
        <v>1.2180546764432476E-2</v>
      </c>
      <c r="G94" s="93">
        <f t="shared" si="133"/>
        <v>-1.0453281117357438E-3</v>
      </c>
      <c r="H94" s="93">
        <f t="shared" si="134"/>
        <v>7.6191137489247662E-3</v>
      </c>
      <c r="I94" s="93">
        <f t="shared" si="135"/>
        <v>8.8577224086960893E-3</v>
      </c>
      <c r="J94" s="93">
        <f t="shared" si="136"/>
        <v>-1.7060235441213045E-3</v>
      </c>
      <c r="K94" s="93">
        <f t="shared" si="137"/>
        <v>1.8461185491833954E-2</v>
      </c>
      <c r="L94" s="93">
        <f t="shared" si="138"/>
        <v>8.3386486881484867E-3</v>
      </c>
      <c r="M94" s="93">
        <f t="shared" si="139"/>
        <v>-1.9655125269454787E-2</v>
      </c>
      <c r="N94" s="93">
        <f t="shared" si="140"/>
        <v>1.381748781829506E-3</v>
      </c>
      <c r="O94" s="93">
        <f t="shared" si="141"/>
        <v>4.3457704735685443E-3</v>
      </c>
      <c r="P94" s="93">
        <f t="shared" si="142"/>
        <v>-8.1096763581135489E-3</v>
      </c>
      <c r="Q94" s="93">
        <f t="shared" si="143"/>
        <v>-6.2753744436515602E-3</v>
      </c>
      <c r="R94" s="93">
        <f t="shared" si="144"/>
        <v>6.6266008744706451E-3</v>
      </c>
      <c r="S94" s="93">
        <f t="shared" si="145"/>
        <v>2.2144267583801502E-2</v>
      </c>
      <c r="T94" s="93">
        <f t="shared" si="146"/>
        <v>1.3292867604020486E-2</v>
      </c>
      <c r="U94" s="93">
        <f t="shared" si="147"/>
        <v>2.2494756276363326E-2</v>
      </c>
      <c r="V94" s="93">
        <f t="shared" si="148"/>
        <v>2.3745734051048739E-2</v>
      </c>
      <c r="W94" s="93">
        <f t="shared" si="149"/>
        <v>1.0419422471808382E-2</v>
      </c>
      <c r="X94" s="93">
        <f t="shared" si="150"/>
        <v>-6.1317022805909005E-2</v>
      </c>
      <c r="Y94" s="93">
        <f t="shared" si="151"/>
        <v>4.4566186749739112E-2</v>
      </c>
      <c r="Z94" s="93">
        <f t="shared" si="152"/>
        <v>6.9372661484808251E-2</v>
      </c>
      <c r="AA94" s="93">
        <f t="shared" si="153"/>
        <v>7.361522371332363E-3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1.5359666282551698E-2</v>
      </c>
      <c r="F95" s="92">
        <f t="shared" ref="F95:F96" si="155">IF(E20=0,"",F20/E20-1)</f>
        <v>-4.8940510142783111E-3</v>
      </c>
      <c r="G95" s="92">
        <f t="shared" ref="G95:G96" si="156">IF(F20=0,"",G20/F20-1)</f>
        <v>-4.4267962462106736E-3</v>
      </c>
      <c r="H95" s="92">
        <f t="shared" ref="H95:H96" si="157">IF(G20=0,"",H20/G20-1)</f>
        <v>1.6064958646859084E-2</v>
      </c>
      <c r="I95" s="92">
        <f t="shared" ref="I95:I96" si="158">IF(H20=0,"",I20/H20-1)</f>
        <v>1.7369181640811915E-2</v>
      </c>
      <c r="J95" s="92">
        <f t="shared" ref="J95:J96" si="159">IF(I20=0,"",J20/I20-1)</f>
        <v>3.3550576015233702E-2</v>
      </c>
      <c r="K95" s="92">
        <f t="shared" ref="K95:K96" si="160">IF(J20=0,"",K20/J20-1)</f>
        <v>3.7342221845380497E-2</v>
      </c>
      <c r="L95" s="92">
        <f t="shared" ref="L95:L96" si="161">IF(K20=0,"",L20/K20-1)</f>
        <v>1.8216420453476712E-2</v>
      </c>
      <c r="M95" s="92">
        <f t="shared" ref="M95:M96" si="162">IF(L20=0,"",M20/L20-1)</f>
        <v>-4.1350283330274906E-2</v>
      </c>
      <c r="N95" s="92">
        <f t="shared" ref="N95:N96" si="163">IF(M20=0,"",N20/M20-1)</f>
        <v>7.7414249764340415E-3</v>
      </c>
      <c r="O95" s="92">
        <f t="shared" ref="O95:O96" si="164">IF(N20=0,"",O20/N20-1)</f>
        <v>1.2798868272392072E-2</v>
      </c>
      <c r="P95" s="92">
        <f t="shared" ref="P95:P96" si="165">IF(O20=0,"",P20/O20-1)</f>
        <v>-1.419095719451835E-2</v>
      </c>
      <c r="Q95" s="92">
        <f t="shared" ref="Q95:Q96" si="166">IF(P20=0,"",Q20/P20-1)</f>
        <v>-3.2437854739117977E-3</v>
      </c>
      <c r="R95" s="92">
        <f t="shared" ref="R95:R96" si="167">IF(Q20=0,"",R20/Q20-1)</f>
        <v>1.3133444582140275E-2</v>
      </c>
      <c r="S95" s="92">
        <f t="shared" ref="S95:S96" si="168">IF(R20=0,"",S20/R20-1)</f>
        <v>1.6885549564007007E-2</v>
      </c>
      <c r="T95" s="92">
        <f t="shared" ref="T95:T96" si="169">IF(S20=0,"",T20/S20-1)</f>
        <v>1.9509218141387619E-2</v>
      </c>
      <c r="U95" s="92">
        <f t="shared" ref="U95:U96" si="170">IF(T20=0,"",U20/T20-1)</f>
        <v>2.165945281008641E-2</v>
      </c>
      <c r="V95" s="92">
        <f t="shared" ref="V95:V96" si="171">IF(U20=0,"",V20/U20-1)</f>
        <v>1.6664649486071381E-2</v>
      </c>
      <c r="W95" s="92">
        <f t="shared" ref="W95:W96" si="172">IF(V20=0,"",W20/V20-1)</f>
        <v>1.7018354852961437E-2</v>
      </c>
      <c r="X95" s="92">
        <f t="shared" ref="X95:X96" si="173">IF(W20=0,"",X20/W20-1)</f>
        <v>-4.5609075728397896E-2</v>
      </c>
      <c r="Y95" s="92">
        <f t="shared" ref="Y95:Y96" si="174">IF(X20=0,"",Y20/X20-1)</f>
        <v>5.8637636452447239E-2</v>
      </c>
      <c r="Z95" s="92">
        <f t="shared" ref="Z95:Z96" si="175">IF(Y20=0,"",Z20/Y20-1)</f>
        <v>4.3195213085895912E-2</v>
      </c>
      <c r="AA95" s="92">
        <f t="shared" ref="AA95:AA96" si="176">IF(Z20=0,"",AA20/Z20-1)</f>
        <v>-1.8292852091051248E-2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1.3439988090437227E-2</v>
      </c>
      <c r="F96" s="93">
        <f t="shared" si="155"/>
        <v>4.7513170157489348E-3</v>
      </c>
      <c r="G96" s="93">
        <f t="shared" si="156"/>
        <v>-6.4302513002885142E-3</v>
      </c>
      <c r="H96" s="93">
        <f t="shared" si="157"/>
        <v>3.5621192008759017E-3</v>
      </c>
      <c r="I96" s="93">
        <f t="shared" si="158"/>
        <v>5.9191671809730728E-3</v>
      </c>
      <c r="J96" s="93">
        <f t="shared" si="159"/>
        <v>-3.4590966600331896E-3</v>
      </c>
      <c r="K96" s="93">
        <f t="shared" si="160"/>
        <v>1.6980499848182395E-2</v>
      </c>
      <c r="L96" s="93">
        <f t="shared" si="161"/>
        <v>5.4248329182082777E-3</v>
      </c>
      <c r="M96" s="93">
        <f t="shared" si="162"/>
        <v>-2.4435483270552338E-2</v>
      </c>
      <c r="N96" s="93">
        <f t="shared" si="163"/>
        <v>-4.0074104360038332E-3</v>
      </c>
      <c r="O96" s="93">
        <f t="shared" si="164"/>
        <v>-5.2707781860694691E-4</v>
      </c>
      <c r="P96" s="93">
        <f t="shared" si="165"/>
        <v>-1.2529454819217745E-2</v>
      </c>
      <c r="Q96" s="93">
        <f t="shared" si="166"/>
        <v>-9.1907094352864371E-3</v>
      </c>
      <c r="R96" s="93">
        <f t="shared" si="167"/>
        <v>3.6530091299902256E-3</v>
      </c>
      <c r="S96" s="93">
        <f t="shared" si="168"/>
        <v>1.7823807028238381E-2</v>
      </c>
      <c r="T96" s="93">
        <f t="shared" si="169"/>
        <v>8.6144107073762299E-3</v>
      </c>
      <c r="U96" s="93">
        <f t="shared" si="170"/>
        <v>1.6365895947419995E-2</v>
      </c>
      <c r="V96" s="93">
        <f t="shared" si="171"/>
        <v>1.7812375657620061E-2</v>
      </c>
      <c r="W96" s="93">
        <f t="shared" si="172"/>
        <v>4.5097348474048005E-3</v>
      </c>
      <c r="X96" s="93">
        <f t="shared" si="173"/>
        <v>-6.808025253396377E-2</v>
      </c>
      <c r="Y96" s="93">
        <f t="shared" si="174"/>
        <v>4.0511752308712401E-2</v>
      </c>
      <c r="Z96" s="93">
        <f t="shared" si="175"/>
        <v>6.2365954473003971E-2</v>
      </c>
      <c r="AA96" s="93">
        <f t="shared" si="176"/>
        <v>-5.116129681179804E-3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2.3561163206295976E-2</v>
      </c>
      <c r="F97" s="89">
        <f t="shared" ref="F97:F106" si="178">IF(E23=0,"",F23/E23-1)</f>
        <v>2.1910097212858304E-3</v>
      </c>
      <c r="G97" s="89">
        <f t="shared" ref="G97:G106" si="179">IF(F23=0,"",G23/F23-1)</f>
        <v>6.0541192620999773E-4</v>
      </c>
      <c r="H97" s="89">
        <f t="shared" ref="H97:H106" si="180">IF(G23=0,"",H23/G23-1)</f>
        <v>2.1051711081914837E-2</v>
      </c>
      <c r="I97" s="89">
        <f t="shared" ref="I97:I106" si="181">IF(H23=0,"",I23/H23-1)</f>
        <v>2.0667481004157606E-2</v>
      </c>
      <c r="J97" s="89">
        <f t="shared" ref="J97:J106" si="182">IF(I23=0,"",J23/I23-1)</f>
        <v>3.4511856927054163E-2</v>
      </c>
      <c r="K97" s="89">
        <f t="shared" ref="K97:K106" si="183">IF(J23=0,"",K23/J23-1)</f>
        <v>3.9803603744333005E-2</v>
      </c>
      <c r="L97" s="89">
        <f t="shared" ref="L97:L106" si="184">IF(K23=0,"",L23/K23-1)</f>
        <v>2.4421867118413099E-2</v>
      </c>
      <c r="M97" s="89">
        <f t="shared" ref="M97:M106" si="185">IF(L23=0,"",M23/L23-1)</f>
        <v>-3.3162634907766941E-2</v>
      </c>
      <c r="N97" s="89">
        <f t="shared" ref="N97:N106" si="186">IF(M23=0,"",N23/M23-1)</f>
        <v>1.4877141690747386E-2</v>
      </c>
      <c r="O97" s="89">
        <f t="shared" ref="O97:O106" si="187">IF(N23=0,"",O23/N23-1)</f>
        <v>2.1211446072150641E-2</v>
      </c>
      <c r="P97" s="89">
        <f t="shared" ref="P97:P106" si="188">IF(O23=0,"",P23/O23-1)</f>
        <v>-7.407116111809553E-3</v>
      </c>
      <c r="Q97" s="89">
        <f t="shared" ref="Q97:Q106" si="189">IF(P23=0,"",Q23/P23-1)</f>
        <v>3.6899005535671048E-3</v>
      </c>
      <c r="R97" s="89">
        <f t="shared" ref="R97:R106" si="190">IF(Q23=0,"",R23/Q23-1)</f>
        <v>1.6534628102517157E-2</v>
      </c>
      <c r="S97" s="89">
        <f t="shared" ref="S97:S106" si="191">IF(R23=0,"",S23/R23-1)</f>
        <v>1.931837675136916E-2</v>
      </c>
      <c r="T97" s="89">
        <f t="shared" ref="T97:T106" si="192">IF(S23=0,"",T23/S23-1)</f>
        <v>2.2444994468841406E-2</v>
      </c>
      <c r="U97" s="89">
        <f t="shared" ref="U97:U106" si="193">IF(T23=0,"",U23/T23-1)</f>
        <v>2.7862846578319944E-2</v>
      </c>
      <c r="V97" s="89">
        <f t="shared" ref="V97:V106" si="194">IF(U23=0,"",V23/U23-1)</f>
        <v>2.2119455589629355E-2</v>
      </c>
      <c r="W97" s="89">
        <f t="shared" ref="W97:W106" si="195">IF(V23=0,"",W23/V23-1)</f>
        <v>2.3901367234400617E-2</v>
      </c>
      <c r="X97" s="89">
        <f t="shared" ref="X97:X106" si="196">IF(W23=0,"",X23/W23-1)</f>
        <v>-4.0229324659661891E-2</v>
      </c>
      <c r="Y97" s="89">
        <f t="shared" ref="Y97:Y106" si="197">IF(X23=0,"",Y23/X23-1)</f>
        <v>6.6854934960045354E-2</v>
      </c>
      <c r="Z97" s="89">
        <f t="shared" ref="Z97:Z108" si="198">IF(Y23=0,"",Z23/Y23-1)</f>
        <v>5.6791389172781814E-2</v>
      </c>
      <c r="AA97" s="89">
        <f t="shared" ref="AA97:AA108" si="199">IF(Z23=0,"",AA23/Z23-1)</f>
        <v>-5.566421204957317E-3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-2.6418012198154983E-3</v>
      </c>
      <c r="F98" s="83">
        <f t="shared" si="178"/>
        <v>-6.5979243917184016E-2</v>
      </c>
      <c r="G98" s="83">
        <f t="shared" si="179"/>
        <v>-8.2281102905525927E-3</v>
      </c>
      <c r="H98" s="83">
        <f t="shared" si="180"/>
        <v>-7.2595688663792068E-2</v>
      </c>
      <c r="I98" s="83">
        <f t="shared" si="181"/>
        <v>1.989522221710982E-2</v>
      </c>
      <c r="J98" s="83">
        <f t="shared" si="182"/>
        <v>8.5034353018071718E-2</v>
      </c>
      <c r="K98" s="83">
        <f t="shared" si="183"/>
        <v>-3.0229691528810831E-2</v>
      </c>
      <c r="L98" s="83">
        <f t="shared" si="184"/>
        <v>-7.6092667873099651E-2</v>
      </c>
      <c r="M98" s="83">
        <f t="shared" si="185"/>
        <v>-8.8352047622537344E-2</v>
      </c>
      <c r="N98" s="83">
        <f t="shared" si="186"/>
        <v>0.15864067420283456</v>
      </c>
      <c r="O98" s="83">
        <f t="shared" si="187"/>
        <v>-8.9795694033125151E-2</v>
      </c>
      <c r="P98" s="83">
        <f t="shared" si="188"/>
        <v>5.0305058663751234E-2</v>
      </c>
      <c r="Q98" s="83">
        <f t="shared" si="189"/>
        <v>9.3652619341606291E-2</v>
      </c>
      <c r="R98" s="83">
        <f t="shared" si="190"/>
        <v>-6.3515603433665913E-3</v>
      </c>
      <c r="S98" s="83">
        <f t="shared" si="191"/>
        <v>2.2361347569956003E-2</v>
      </c>
      <c r="T98" s="83">
        <f t="shared" si="192"/>
        <v>5.8830450542413315E-2</v>
      </c>
      <c r="U98" s="83">
        <f t="shared" si="193"/>
        <v>8.4875021716743104E-2</v>
      </c>
      <c r="V98" s="83">
        <f t="shared" si="194"/>
        <v>-8.46680300384266E-2</v>
      </c>
      <c r="W98" s="83">
        <f t="shared" si="195"/>
        <v>2.6082655541313393E-2</v>
      </c>
      <c r="X98" s="83">
        <f t="shared" si="196"/>
        <v>-4.9964995008815238E-2</v>
      </c>
      <c r="Y98" s="83">
        <f t="shared" si="197"/>
        <v>1.7596433688532587E-2</v>
      </c>
      <c r="Z98" s="83">
        <f t="shared" si="198"/>
        <v>4.203987173814272E-2</v>
      </c>
      <c r="AA98" s="83">
        <f t="shared" si="199"/>
        <v>5.3705226147651164E-2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0.21160839820247612</v>
      </c>
      <c r="F99" s="83">
        <f t="shared" si="178"/>
        <v>-0.11621590208501364</v>
      </c>
      <c r="G99" s="83">
        <f t="shared" si="179"/>
        <v>2.3922798574576687E-2</v>
      </c>
      <c r="H99" s="83">
        <f t="shared" si="180"/>
        <v>4.9146596670717413E-2</v>
      </c>
      <c r="I99" s="83">
        <f t="shared" si="181"/>
        <v>7.7027976480962712E-2</v>
      </c>
      <c r="J99" s="83">
        <f t="shared" si="182"/>
        <v>0.23411117355687483</v>
      </c>
      <c r="K99" s="83">
        <f t="shared" si="183"/>
        <v>-5.5832069630881942E-2</v>
      </c>
      <c r="L99" s="83">
        <f t="shared" si="184"/>
        <v>0.36783934757518333</v>
      </c>
      <c r="M99" s="83">
        <f t="shared" si="185"/>
        <v>-0.27502342090791454</v>
      </c>
      <c r="N99" s="83">
        <f t="shared" si="186"/>
        <v>8.6922975245888212E-2</v>
      </c>
      <c r="O99" s="83">
        <f t="shared" si="187"/>
        <v>7.9560577065775018E-2</v>
      </c>
      <c r="P99" s="83">
        <f t="shared" si="188"/>
        <v>0.11991887362635767</v>
      </c>
      <c r="Q99" s="83">
        <f t="shared" si="189"/>
        <v>3.7204384477814934E-2</v>
      </c>
      <c r="R99" s="83">
        <f t="shared" si="190"/>
        <v>-0.24856795113525854</v>
      </c>
      <c r="S99" s="83">
        <f t="shared" si="191"/>
        <v>-0.25901426271883443</v>
      </c>
      <c r="T99" s="83">
        <f t="shared" si="192"/>
        <v>-0.36488197224588914</v>
      </c>
      <c r="U99" s="83">
        <f t="shared" si="193"/>
        <v>-6.5077839006209559E-2</v>
      </c>
      <c r="V99" s="83">
        <f t="shared" si="194"/>
        <v>-4.8004949636180405E-2</v>
      </c>
      <c r="W99" s="83">
        <f t="shared" si="195"/>
        <v>-0.23212703537320756</v>
      </c>
      <c r="X99" s="83">
        <f t="shared" si="196"/>
        <v>-0.4780566165649538</v>
      </c>
      <c r="Y99" s="83">
        <f t="shared" si="197"/>
        <v>0.99035832968439652</v>
      </c>
      <c r="Z99" s="83">
        <f t="shared" si="198"/>
        <v>1.4807872326853726</v>
      </c>
      <c r="AA99" s="83">
        <f t="shared" si="199"/>
        <v>-0.68228730599275789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1.9885310615177065E-2</v>
      </c>
      <c r="F100" s="83">
        <f t="shared" si="178"/>
        <v>1.673064608047703E-2</v>
      </c>
      <c r="G100" s="83">
        <f t="shared" si="179"/>
        <v>7.6148510937246172E-3</v>
      </c>
      <c r="H100" s="83">
        <f t="shared" si="180"/>
        <v>2.3937050914033753E-2</v>
      </c>
      <c r="I100" s="83">
        <f t="shared" si="181"/>
        <v>1.5288837194751048E-2</v>
      </c>
      <c r="J100" s="83">
        <f t="shared" si="182"/>
        <v>2.9448940263028245E-2</v>
      </c>
      <c r="K100" s="83">
        <f t="shared" si="183"/>
        <v>4.2761964302813205E-2</v>
      </c>
      <c r="L100" s="83">
        <f t="shared" si="184"/>
        <v>2.2155055658159784E-2</v>
      </c>
      <c r="M100" s="83">
        <f t="shared" si="185"/>
        <v>-1.3438699690694222E-2</v>
      </c>
      <c r="N100" s="83">
        <f t="shared" si="186"/>
        <v>2.0860140869016552E-2</v>
      </c>
      <c r="O100" s="83">
        <f t="shared" si="187"/>
        <v>2.0363595331441608E-2</v>
      </c>
      <c r="P100" s="83">
        <f t="shared" si="188"/>
        <v>-7.4431731070208063E-3</v>
      </c>
      <c r="Q100" s="83">
        <f t="shared" si="189"/>
        <v>9.6572847385869576E-3</v>
      </c>
      <c r="R100" s="83">
        <f t="shared" si="190"/>
        <v>3.1580467794326106E-2</v>
      </c>
      <c r="S100" s="83">
        <f t="shared" si="191"/>
        <v>2.2852532967475581E-2</v>
      </c>
      <c r="T100" s="83">
        <f t="shared" si="192"/>
        <v>2.6706885423070315E-2</v>
      </c>
      <c r="U100" s="83">
        <f t="shared" si="193"/>
        <v>2.4188883411970785E-2</v>
      </c>
      <c r="V100" s="83">
        <f t="shared" si="194"/>
        <v>2.1870169750491275E-2</v>
      </c>
      <c r="W100" s="83">
        <f t="shared" si="195"/>
        <v>2.5247518186570561E-2</v>
      </c>
      <c r="X100" s="83">
        <f t="shared" si="196"/>
        <v>-4.3934083648121125E-2</v>
      </c>
      <c r="Y100" s="83">
        <f t="shared" si="197"/>
        <v>6.2508337862525964E-2</v>
      </c>
      <c r="Z100" s="83">
        <f t="shared" si="198"/>
        <v>4.4783873809059571E-2</v>
      </c>
      <c r="AA100" s="83">
        <f t="shared" si="199"/>
        <v>2.0232473481858193E-3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4.0262884084299566E-2</v>
      </c>
      <c r="F101" s="84">
        <f t="shared" si="178"/>
        <v>3.9489799676442727E-2</v>
      </c>
      <c r="G101" s="84">
        <f t="shared" si="179"/>
        <v>2.2844993755822607E-2</v>
      </c>
      <c r="H101" s="84">
        <f t="shared" si="180"/>
        <v>2.5157341092317598E-2</v>
      </c>
      <c r="I101" s="84">
        <f t="shared" si="181"/>
        <v>1.2072548750102552E-2</v>
      </c>
      <c r="J101" s="84">
        <f t="shared" si="182"/>
        <v>1.5496385037979232E-2</v>
      </c>
      <c r="K101" s="84">
        <f t="shared" si="183"/>
        <v>2.2477374706892039E-2</v>
      </c>
      <c r="L101" s="84">
        <f t="shared" si="184"/>
        <v>2.8526786304859053E-2</v>
      </c>
      <c r="M101" s="84">
        <f t="shared" si="185"/>
        <v>2.575310374818951E-2</v>
      </c>
      <c r="N101" s="84">
        <f t="shared" si="186"/>
        <v>2.6000372453498954E-2</v>
      </c>
      <c r="O101" s="84">
        <f t="shared" si="187"/>
        <v>1.4940485242274093E-2</v>
      </c>
      <c r="P101" s="84">
        <f t="shared" si="188"/>
        <v>7.1804520898788304E-3</v>
      </c>
      <c r="Q101" s="84">
        <f t="shared" si="189"/>
        <v>1.1889131484044135E-2</v>
      </c>
      <c r="R101" s="84">
        <f t="shared" si="190"/>
        <v>2.1840866204823284E-2</v>
      </c>
      <c r="S101" s="84">
        <f t="shared" si="191"/>
        <v>1.1549080123588462E-2</v>
      </c>
      <c r="T101" s="84">
        <f t="shared" si="192"/>
        <v>2.3938284493393081E-2</v>
      </c>
      <c r="U101" s="84">
        <f t="shared" si="193"/>
        <v>1.5308079543679964E-2</v>
      </c>
      <c r="V101" s="84">
        <f t="shared" si="194"/>
        <v>1.616376512756168E-2</v>
      </c>
      <c r="W101" s="84">
        <f t="shared" si="195"/>
        <v>2.2032033768971893E-2</v>
      </c>
      <c r="X101" s="84">
        <f t="shared" si="196"/>
        <v>-7.9082955888344464E-2</v>
      </c>
      <c r="Y101" s="84">
        <f t="shared" si="197"/>
        <v>6.179362858461368E-2</v>
      </c>
      <c r="Z101" s="84">
        <f t="shared" si="198"/>
        <v>7.5519637749030366E-2</v>
      </c>
      <c r="AA101" s="84">
        <f t="shared" si="199"/>
        <v>1.3171109339549236E-2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-1.9848338295366252E-3</v>
      </c>
      <c r="F102" s="84">
        <f t="shared" si="178"/>
        <v>9.191978423470637E-4</v>
      </c>
      <c r="G102" s="84">
        <f t="shared" si="179"/>
        <v>1.6471019277599641E-2</v>
      </c>
      <c r="H102" s="84">
        <f t="shared" si="180"/>
        <v>2.5214566090079771E-2</v>
      </c>
      <c r="I102" s="84">
        <f t="shared" si="181"/>
        <v>2.202449563529929E-2</v>
      </c>
      <c r="J102" s="84">
        <f t="shared" si="182"/>
        <v>4.7702734358327614E-2</v>
      </c>
      <c r="K102" s="84">
        <f t="shared" si="183"/>
        <v>5.9362102047577192E-2</v>
      </c>
      <c r="L102" s="84">
        <f t="shared" si="184"/>
        <v>2.04221402684297E-2</v>
      </c>
      <c r="M102" s="84">
        <f t="shared" si="185"/>
        <v>-3.0347457158404034E-2</v>
      </c>
      <c r="N102" s="84">
        <f t="shared" si="186"/>
        <v>1.8046640510352097E-2</v>
      </c>
      <c r="O102" s="84">
        <f t="shared" si="187"/>
        <v>1.8989820085270726E-2</v>
      </c>
      <c r="P102" s="84">
        <f t="shared" si="188"/>
        <v>-2.3878093048786964E-2</v>
      </c>
      <c r="Q102" s="84">
        <f t="shared" si="189"/>
        <v>-1.4196321724718741E-3</v>
      </c>
      <c r="R102" s="84">
        <f t="shared" si="190"/>
        <v>4.7633427183540356E-2</v>
      </c>
      <c r="S102" s="84">
        <f t="shared" si="191"/>
        <v>2.8526372339536143E-2</v>
      </c>
      <c r="T102" s="84">
        <f t="shared" si="192"/>
        <v>2.7471271283326715E-2</v>
      </c>
      <c r="U102" s="84">
        <f t="shared" si="193"/>
        <v>2.9276051050151519E-2</v>
      </c>
      <c r="V102" s="84">
        <f t="shared" si="194"/>
        <v>2.5128151242651997E-2</v>
      </c>
      <c r="W102" s="84">
        <f t="shared" si="195"/>
        <v>2.1955463024399213E-2</v>
      </c>
      <c r="X102" s="84">
        <f t="shared" si="196"/>
        <v>-2.840205086697678E-2</v>
      </c>
      <c r="Y102" s="84">
        <f t="shared" si="197"/>
        <v>4.4173829700663303E-2</v>
      </c>
      <c r="Z102" s="84">
        <f t="shared" si="198"/>
        <v>4.8396917246950277E-2</v>
      </c>
      <c r="AA102" s="84">
        <f t="shared" si="199"/>
        <v>9.6211213640275961E-3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3.4323056419140574E-2</v>
      </c>
      <c r="F103" s="84">
        <f t="shared" si="178"/>
        <v>1.1402125690122222E-2</v>
      </c>
      <c r="G103" s="84">
        <f t="shared" si="179"/>
        <v>-3.9905267240159525E-2</v>
      </c>
      <c r="H103" s="84">
        <f t="shared" si="180"/>
        <v>1.856236242835152E-2</v>
      </c>
      <c r="I103" s="84">
        <f t="shared" si="181"/>
        <v>5.7552180686222254E-3</v>
      </c>
      <c r="J103" s="84">
        <f t="shared" si="182"/>
        <v>1.339315236855354E-2</v>
      </c>
      <c r="K103" s="84">
        <f t="shared" si="183"/>
        <v>4.1939614215312782E-2</v>
      </c>
      <c r="L103" s="84">
        <f t="shared" si="184"/>
        <v>1.4107768740870386E-2</v>
      </c>
      <c r="M103" s="84">
        <f t="shared" si="185"/>
        <v>-4.8035790655995281E-2</v>
      </c>
      <c r="N103" s="84">
        <f t="shared" si="186"/>
        <v>1.717612641491173E-2</v>
      </c>
      <c r="O103" s="84">
        <f t="shared" si="187"/>
        <v>3.5548077707380221E-2</v>
      </c>
      <c r="P103" s="84">
        <f t="shared" si="188"/>
        <v>3.5244250025596724E-3</v>
      </c>
      <c r="Q103" s="84">
        <f t="shared" si="189"/>
        <v>3.2302598356740875E-2</v>
      </c>
      <c r="R103" s="84">
        <f t="shared" si="190"/>
        <v>1.3384863446258333E-2</v>
      </c>
      <c r="S103" s="84">
        <f t="shared" si="191"/>
        <v>3.2426958068032086E-2</v>
      </c>
      <c r="T103" s="84">
        <f t="shared" si="192"/>
        <v>3.0486744212659511E-2</v>
      </c>
      <c r="U103" s="84">
        <f t="shared" si="193"/>
        <v>2.9750701658873169E-2</v>
      </c>
      <c r="V103" s="84">
        <f t="shared" si="194"/>
        <v>2.5311534858069251E-2</v>
      </c>
      <c r="W103" s="84">
        <f t="shared" si="195"/>
        <v>3.9702165863096051E-2</v>
      </c>
      <c r="X103" s="84">
        <f t="shared" si="196"/>
        <v>-1.2771934520740991E-2</v>
      </c>
      <c r="Y103" s="84">
        <f t="shared" si="197"/>
        <v>0.10729369086740559</v>
      </c>
      <c r="Z103" s="84">
        <f t="shared" si="198"/>
        <v>-1.6949123143728428E-2</v>
      </c>
      <c r="AA103" s="84">
        <f t="shared" si="199"/>
        <v>-3.7389267805578386E-2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8.507368504670576E-2</v>
      </c>
      <c r="F104" s="83">
        <f t="shared" si="178"/>
        <v>-3.5715705959209254E-2</v>
      </c>
      <c r="G104" s="83">
        <f t="shared" si="179"/>
        <v>3.7012024635074914E-2</v>
      </c>
      <c r="H104" s="83">
        <f t="shared" si="180"/>
        <v>-1.4905635912073834E-2</v>
      </c>
      <c r="I104" s="83">
        <f t="shared" si="181"/>
        <v>0.21542710328805037</v>
      </c>
      <c r="J104" s="83">
        <f t="shared" si="182"/>
        <v>2.7754132188956282E-2</v>
      </c>
      <c r="K104" s="83">
        <f t="shared" si="183"/>
        <v>3.2173365102316387E-2</v>
      </c>
      <c r="L104" s="83">
        <f t="shared" si="184"/>
        <v>-2.8394616600213585E-2</v>
      </c>
      <c r="M104" s="83">
        <f t="shared" si="185"/>
        <v>0.16186010407113738</v>
      </c>
      <c r="N104" s="83">
        <f t="shared" si="186"/>
        <v>-0.13825682827184982</v>
      </c>
      <c r="O104" s="83">
        <f t="shared" si="187"/>
        <v>3.577887163273985E-2</v>
      </c>
      <c r="P104" s="83">
        <f t="shared" si="188"/>
        <v>3.6827598155541708E-2</v>
      </c>
      <c r="Q104" s="83">
        <f t="shared" si="189"/>
        <v>-7.4513861390112623E-2</v>
      </c>
      <c r="R104" s="83">
        <f t="shared" si="190"/>
        <v>-0.17397236707426478</v>
      </c>
      <c r="S104" s="83">
        <f t="shared" si="191"/>
        <v>0.29245875198613325</v>
      </c>
      <c r="T104" s="83">
        <f t="shared" si="192"/>
        <v>-4.5844081525121538E-3</v>
      </c>
      <c r="U104" s="83">
        <f t="shared" si="193"/>
        <v>-4.0456989094449725E-2</v>
      </c>
      <c r="V104" s="83">
        <f t="shared" si="194"/>
        <v>5.9137409004648145E-3</v>
      </c>
      <c r="W104" s="83">
        <f t="shared" si="195"/>
        <v>0.1422809608296951</v>
      </c>
      <c r="X104" s="83">
        <f t="shared" si="196"/>
        <v>-4.9603107775363031E-2</v>
      </c>
      <c r="Y104" s="83">
        <f t="shared" si="197"/>
        <v>2.2216854915092954E-2</v>
      </c>
      <c r="Z104" s="83">
        <f t="shared" si="198"/>
        <v>0.74956100929610048</v>
      </c>
      <c r="AA104" s="83">
        <f t="shared" si="199"/>
        <v>0.12304737498718854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5.7014662609607081E-2</v>
      </c>
      <c r="F105" s="83">
        <f t="shared" si="178"/>
        <v>1.1453992029065496E-2</v>
      </c>
      <c r="G105" s="83">
        <f t="shared" si="179"/>
        <v>-1.9462427365887214E-2</v>
      </c>
      <c r="H105" s="83">
        <f t="shared" si="180"/>
        <v>2.0859668534889408E-3</v>
      </c>
      <c r="I105" s="83">
        <f t="shared" si="181"/>
        <v>3.5280980873344747E-2</v>
      </c>
      <c r="J105" s="83">
        <f t="shared" si="182"/>
        <v>4.2612805626590866E-2</v>
      </c>
      <c r="K105" s="83">
        <f t="shared" si="183"/>
        <v>6.5377098560378544E-2</v>
      </c>
      <c r="L105" s="83">
        <f t="shared" si="184"/>
        <v>5.2183356606464226E-2</v>
      </c>
      <c r="M105" s="83">
        <f t="shared" si="185"/>
        <v>2.9492945989892938E-3</v>
      </c>
      <c r="N105" s="83">
        <f t="shared" si="186"/>
        <v>-0.10699830657827347</v>
      </c>
      <c r="O105" s="83">
        <f t="shared" si="187"/>
        <v>-1.2043321478436675E-2</v>
      </c>
      <c r="P105" s="83">
        <f t="shared" si="188"/>
        <v>-9.7145349291366423E-2</v>
      </c>
      <c r="Q105" s="83">
        <f t="shared" si="189"/>
        <v>-6.305609339425533E-2</v>
      </c>
      <c r="R105" s="83">
        <f t="shared" si="190"/>
        <v>7.1701538743760285E-3</v>
      </c>
      <c r="S105" s="83">
        <f t="shared" si="191"/>
        <v>1.0641536317175238E-3</v>
      </c>
      <c r="T105" s="83">
        <f t="shared" si="192"/>
        <v>7.41859827771012E-2</v>
      </c>
      <c r="U105" s="83">
        <f t="shared" si="193"/>
        <v>4.8075472424772281E-2</v>
      </c>
      <c r="V105" s="83">
        <f t="shared" si="194"/>
        <v>6.2928305500036918E-2</v>
      </c>
      <c r="W105" s="83">
        <f t="shared" si="195"/>
        <v>8.2138475398875643E-2</v>
      </c>
      <c r="X105" s="83">
        <f t="shared" si="196"/>
        <v>4.2657780072596463E-2</v>
      </c>
      <c r="Y105" s="83">
        <f t="shared" si="197"/>
        <v>4.5950632280085113E-2</v>
      </c>
      <c r="Z105" s="83">
        <f t="shared" si="198"/>
        <v>2.413693433825026E-3</v>
      </c>
      <c r="AA105" s="83">
        <f t="shared" si="199"/>
        <v>3.054470174999202E-2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-1.4364110734070845E-3</v>
      </c>
      <c r="F106" s="83">
        <f t="shared" si="178"/>
        <v>-4.3169263284294379E-2</v>
      </c>
      <c r="G106" s="83">
        <f t="shared" si="179"/>
        <v>-3.9252303726821647E-2</v>
      </c>
      <c r="H106" s="83">
        <f t="shared" si="180"/>
        <v>2.7452390013664063E-2</v>
      </c>
      <c r="I106" s="83">
        <f t="shared" si="181"/>
        <v>1.6573714492809311E-2</v>
      </c>
      <c r="J106" s="83">
        <f t="shared" si="182"/>
        <v>1.1373607546836695E-2</v>
      </c>
      <c r="K106" s="83">
        <f t="shared" si="183"/>
        <v>4.8564591463204243E-2</v>
      </c>
      <c r="L106" s="83">
        <f t="shared" si="184"/>
        <v>-3.2379665615054565E-2</v>
      </c>
      <c r="M106" s="83">
        <f t="shared" si="185"/>
        <v>-0.11744432940858329</v>
      </c>
      <c r="N106" s="83">
        <f t="shared" si="186"/>
        <v>2.0529089909992138E-2</v>
      </c>
      <c r="O106" s="83">
        <f t="shared" si="187"/>
        <v>4.6417154908092728E-2</v>
      </c>
      <c r="P106" s="83">
        <f t="shared" si="188"/>
        <v>-1.9149079806577429E-2</v>
      </c>
      <c r="Q106" s="83">
        <f t="shared" si="189"/>
        <v>-2.7968561749346588E-2</v>
      </c>
      <c r="R106" s="83">
        <f t="shared" si="190"/>
        <v>3.3928098732377343E-2</v>
      </c>
      <c r="S106" s="83">
        <f t="shared" si="191"/>
        <v>4.4239684309148153E-2</v>
      </c>
      <c r="T106" s="83">
        <f t="shared" si="192"/>
        <v>4.1049505237251038E-2</v>
      </c>
      <c r="U106" s="83">
        <f t="shared" si="193"/>
        <v>5.5705848950529546E-2</v>
      </c>
      <c r="V106" s="83">
        <f t="shared" si="194"/>
        <v>3.7871323066879459E-2</v>
      </c>
      <c r="W106" s="83">
        <f t="shared" si="195"/>
        <v>7.1228874644613249E-4</v>
      </c>
      <c r="X106" s="83">
        <f t="shared" si="196"/>
        <v>-1.5355424829679332E-2</v>
      </c>
      <c r="Y106" s="83">
        <f t="shared" si="197"/>
        <v>8.5882356939214866E-2</v>
      </c>
      <c r="Z106" s="83">
        <f t="shared" si="198"/>
        <v>-1.6390464718017417E-2</v>
      </c>
      <c r="AA106" s="83">
        <f t="shared" si="199"/>
        <v>5.5638759265388416E-3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-0.15743609145013193</v>
      </c>
      <c r="F107" s="87">
        <f t="shared" ref="F107:F108" si="201">IF(E33=0,"",F33/E33-1)</f>
        <v>-1.0793132303472674E-2</v>
      </c>
      <c r="G107" s="87">
        <f t="shared" ref="G107:G108" si="202">IF(F33=0,"",G33/F33-1)</f>
        <v>2.8912963503533007E-2</v>
      </c>
      <c r="H107" s="87">
        <f t="shared" ref="H107:H108" si="203">IF(G33=0,"",H33/G33-1)</f>
        <v>0.2764004217039786</v>
      </c>
      <c r="I107" s="87">
        <f t="shared" ref="I107:I108" si="204">IF(H33=0,"",I33/H33-1)</f>
        <v>7.9816800834384471E-2</v>
      </c>
      <c r="J107" s="87">
        <f t="shared" ref="J107:J108" si="205">IF(I33=0,"",J33/I33-1)</f>
        <v>7.1794956672932564E-2</v>
      </c>
      <c r="K107" s="87">
        <f t="shared" ref="K107:K108" si="206">IF(J33=0,"",K33/J33-1)</f>
        <v>3.343383527604038E-2</v>
      </c>
      <c r="L107" s="87">
        <f t="shared" ref="L107:L108" si="207">IF(K33=0,"",L33/K33-1)</f>
        <v>-0.11945722365311795</v>
      </c>
      <c r="M107" s="87">
        <f t="shared" ref="M107:M108" si="208">IF(L33=0,"",M33/L33-1)</f>
        <v>-0.36608891731174054</v>
      </c>
      <c r="N107" s="87">
        <f t="shared" ref="N107:N108" si="209">IF(M33=0,"",N33/M33-1)</f>
        <v>1.7243339999049478E-2</v>
      </c>
      <c r="O107" s="87">
        <f t="shared" ref="O107:O108" si="210">IF(N33=0,"",O33/N33-1)</f>
        <v>-1.3536612092428735E-2</v>
      </c>
      <c r="P107" s="87">
        <f t="shared" ref="P107:P108" si="211">IF(O33=0,"",P33/O33-1)</f>
        <v>5.0999427409923914E-2</v>
      </c>
      <c r="Q107" s="87">
        <f t="shared" ref="Q107:Q108" si="212">IF(P33=0,"",Q33/P33-1)</f>
        <v>-2.0157583673429569E-2</v>
      </c>
      <c r="R107" s="87">
        <f t="shared" ref="R107:R108" si="213">IF(Q33=0,"",R33/Q33-1)</f>
        <v>0.15714347476131962</v>
      </c>
      <c r="S107" s="87">
        <f t="shared" ref="S107:S108" si="214">IF(R33=0,"",S33/R33-1)</f>
        <v>-0.13977018536121677</v>
      </c>
      <c r="T107" s="87">
        <f t="shared" ref="T107:T108" si="215">IF(S33=0,"",T33/S33-1)</f>
        <v>0.12556720459830428</v>
      </c>
      <c r="U107" s="87">
        <f t="shared" ref="U107:U108" si="216">IF(T33=0,"",U33/T33-1)</f>
        <v>4.2056518760407169E-3</v>
      </c>
      <c r="V107" s="87">
        <f t="shared" ref="V107:V108" si="217">IF(U33=0,"",V33/U33-1)</f>
        <v>9.0667931555461934E-2</v>
      </c>
      <c r="W107" s="87">
        <f t="shared" ref="W107:W108" si="218">IF(V33=0,"",W33/V33-1)</f>
        <v>-0.18691847879899126</v>
      </c>
      <c r="X107" s="87">
        <f t="shared" ref="X107:X108" si="219">IF(W33=0,"",X33/W33-1)</f>
        <v>-0.17087860310065894</v>
      </c>
      <c r="Y107" s="87">
        <f t="shared" ref="Y107:Y108" si="220">IF(X33=0,"",Y33/X33-1)</f>
        <v>0.47360021740745228</v>
      </c>
      <c r="Z107" s="87">
        <f t="shared" si="198"/>
        <v>3.9892281986102507E-3</v>
      </c>
      <c r="AA107" s="87">
        <f t="shared" si="199"/>
        <v>-0.34065339021403573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-0.15743609145013193</v>
      </c>
      <c r="F108" s="89">
        <f t="shared" si="201"/>
        <v>-1.0793132303472786E-2</v>
      </c>
      <c r="G108" s="89">
        <f t="shared" si="202"/>
        <v>2.8912963503533007E-2</v>
      </c>
      <c r="H108" s="89">
        <f t="shared" si="203"/>
        <v>0.27640042170397838</v>
      </c>
      <c r="I108" s="89">
        <f t="shared" si="204"/>
        <v>7.9816800834384471E-2</v>
      </c>
      <c r="J108" s="89">
        <f t="shared" si="205"/>
        <v>7.1794956672932564E-2</v>
      </c>
      <c r="K108" s="89">
        <f t="shared" si="206"/>
        <v>3.343383527604038E-2</v>
      </c>
      <c r="L108" s="89">
        <f t="shared" si="207"/>
        <v>-0.11945722365311795</v>
      </c>
      <c r="M108" s="89">
        <f t="shared" si="208"/>
        <v>-0.38944677514017867</v>
      </c>
      <c r="N108" s="89">
        <f t="shared" si="209"/>
        <v>0.11737088883340441</v>
      </c>
      <c r="O108" s="89">
        <f t="shared" si="210"/>
        <v>6.9376848607643371E-2</v>
      </c>
      <c r="P108" s="89">
        <f t="shared" si="211"/>
        <v>0.140519180164834</v>
      </c>
      <c r="Q108" s="89">
        <f t="shared" si="212"/>
        <v>-1.6196488574111489E-2</v>
      </c>
      <c r="R108" s="89">
        <f t="shared" si="213"/>
        <v>0.12575539252922918</v>
      </c>
      <c r="S108" s="89">
        <f t="shared" si="214"/>
        <v>-0.11497091319940833</v>
      </c>
      <c r="T108" s="89">
        <f t="shared" si="215"/>
        <v>0.10039373510960958</v>
      </c>
      <c r="U108" s="89">
        <f t="shared" si="216"/>
        <v>3.4394343856387621E-3</v>
      </c>
      <c r="V108" s="89">
        <f t="shared" si="217"/>
        <v>-6.6246942967231326E-2</v>
      </c>
      <c r="W108" s="89">
        <f t="shared" si="218"/>
        <v>-2.8271421474214464E-2</v>
      </c>
      <c r="X108" s="89">
        <f t="shared" si="219"/>
        <v>-0.37110925353432433</v>
      </c>
      <c r="Y108" s="89">
        <f t="shared" si="220"/>
        <v>0.74296241333497282</v>
      </c>
      <c r="Z108" s="89">
        <f t="shared" si="198"/>
        <v>5.1972770070017882E-2</v>
      </c>
      <c r="AA108" s="89">
        <f t="shared" si="199"/>
        <v>-0.38899053016716678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-0.15743609145013193</v>
      </c>
      <c r="F109" s="89">
        <f t="shared" ref="F109" si="222">IF(E37=0,"",F37/E37-1)</f>
        <v>-1.0793132303472674E-2</v>
      </c>
      <c r="G109" s="89">
        <f t="shared" ref="G109" si="223">IF(F37=0,"",G37/F37-1)</f>
        <v>2.8912963503533007E-2</v>
      </c>
      <c r="H109" s="89">
        <f t="shared" ref="H109" si="224">IF(G37=0,"",H37/G37-1)</f>
        <v>0.2764004217039786</v>
      </c>
      <c r="I109" s="89">
        <f t="shared" ref="I109" si="225">IF(H37=0,"",I37/H37-1)</f>
        <v>7.9816800834384471E-2</v>
      </c>
      <c r="J109" s="89">
        <f t="shared" ref="J109" si="226">IF(I37=0,"",J37/I37-1)</f>
        <v>7.1794956672932564E-2</v>
      </c>
      <c r="K109" s="89">
        <f t="shared" ref="K109" si="227">IF(J37=0,"",K37/J37-1)</f>
        <v>3.3433835276040158E-2</v>
      </c>
      <c r="L109" s="89">
        <f t="shared" ref="L109" si="228">IF(K37=0,"",L37/K37-1)</f>
        <v>-0.11945722365311795</v>
      </c>
      <c r="M109" s="89">
        <f t="shared" ref="M109" si="229">IF(L37=0,"",M37/L37-1)</f>
        <v>-0.33105213056908322</v>
      </c>
      <c r="N109" s="89">
        <f t="shared" ref="N109" si="230">IF(M37=0,"",N37/M37-1)</f>
        <v>-0.11983729206155802</v>
      </c>
      <c r="O109" s="89">
        <f t="shared" ref="O109" si="231">IF(N37=0,"",O37/N37-1)</f>
        <v>-0.15764257266988746</v>
      </c>
      <c r="P109" s="89">
        <f t="shared" ref="P109" si="232">IF(O37=0,"",P37/O37-1)</f>
        <v>-0.14652014848147743</v>
      </c>
      <c r="Q109" s="89">
        <f t="shared" ref="Q109" si="233">IF(P37=0,"",Q37/P37-1)</f>
        <v>-3.1836858011508262E-2</v>
      </c>
      <c r="R109" s="89">
        <f t="shared" ref="R109" si="234">IF(Q37=0,"",R37/Q37-1)</f>
        <v>0.25118619777358719</v>
      </c>
      <c r="S109" s="89">
        <f t="shared" ref="S109" si="235">IF(R37=0,"",S37/R37-1)</f>
        <v>-0.20662326833386035</v>
      </c>
      <c r="T109" s="89">
        <f t="shared" ref="T109" si="236">IF(S37=0,"",T37/S37-1)</f>
        <v>0.20126856175072305</v>
      </c>
      <c r="U109" s="89">
        <f t="shared" ref="U109" si="237">IF(T37=0,"",U37/T37-1)</f>
        <v>6.3163233912146843E-3</v>
      </c>
      <c r="V109" s="89">
        <f t="shared" ref="V109" si="238">IF(U37=0,"",V37/U37-1)</f>
        <v>0.52167991858640095</v>
      </c>
      <c r="W109" s="89">
        <f t="shared" ref="W109" si="239">IF(V37=0,"",W37/V37-1)</f>
        <v>-0.4543212988785631</v>
      </c>
      <c r="X109" s="89">
        <f t="shared" ref="X109" si="240">IF(W37=0,"",X37/W37-1)</f>
        <v>0.43011865825934215</v>
      </c>
      <c r="Y109" s="89">
        <f t="shared" ref="Y109" si="241">IF(X37=0,"",Y37/X37-1)</f>
        <v>0.11806574950027526</v>
      </c>
      <c r="Z109" s="89">
        <f t="shared" ref="Z109" si="242">IF(Y37=0,"",Z37/Y37-1)</f>
        <v>-9.4742797298116299E-2</v>
      </c>
      <c r="AA109" s="89">
        <f t="shared" ref="AA109" si="243">IF(Z37=0,"",AA37/Z37-1)</f>
        <v>-0.22507431788972421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9.1123643969653223E-2</v>
      </c>
      <c r="F110" s="89">
        <f t="shared" ref="F110:F111" si="245">IF(E43=0,"",F43/E43-1)</f>
        <v>6.348346782258818E-2</v>
      </c>
      <c r="G110" s="89">
        <f t="shared" ref="G110:G111" si="246">IF(F43=0,"",G43/F43-1)</f>
        <v>-5.2913642119729154E-2</v>
      </c>
      <c r="H110" s="89">
        <f t="shared" ref="H110:H111" si="247">IF(G43=0,"",H43/G43-1)</f>
        <v>3.2878404345415335E-2</v>
      </c>
      <c r="I110" s="89">
        <f t="shared" ref="I110:I111" si="248">IF(H43=0,"",I43/H43-1)</f>
        <v>-1.3040216635204382E-2</v>
      </c>
      <c r="J110" s="89">
        <f t="shared" ref="J110:J111" si="249">IF(I43=0,"",J43/I43-1)</f>
        <v>6.1687619722577303E-2</v>
      </c>
      <c r="K110" s="89">
        <f t="shared" ref="K110:K111" si="250">IF(J43=0,"",K43/J43-1)</f>
        <v>3.7621379187933846E-2</v>
      </c>
      <c r="L110" s="89">
        <f t="shared" ref="L110:L111" si="251">IF(K43=0,"",L43/K43-1)</f>
        <v>-5.4741839406888593E-2</v>
      </c>
      <c r="M110" s="89">
        <f t="shared" ref="M110:M111" si="252">IF(L43=0,"",M43/L43-1)</f>
        <v>-0.19143806970658006</v>
      </c>
      <c r="N110" s="89">
        <f t="shared" ref="N110:N111" si="253">IF(M43=0,"",N43/M43-1)</f>
        <v>5.8167723306006947E-2</v>
      </c>
      <c r="O110" s="89">
        <f t="shared" ref="O110:O111" si="254">IF(N43=0,"",O43/N43-1)</f>
        <v>7.5758419524493803E-2</v>
      </c>
      <c r="P110" s="89">
        <f t="shared" ref="P110:P111" si="255">IF(O43=0,"",P43/O43-1)</f>
        <v>2.0607870127357097E-2</v>
      </c>
      <c r="Q110" s="89">
        <f t="shared" ref="Q110:Q111" si="256">IF(P43=0,"",Q43/P43-1)</f>
        <v>-0.15737127773085557</v>
      </c>
      <c r="R110" s="89">
        <f t="shared" ref="R110:R111" si="257">IF(Q43=0,"",R43/Q43-1)</f>
        <v>1.1773904989447193E-3</v>
      </c>
      <c r="S110" s="89">
        <f t="shared" ref="S110:S111" si="258">IF(R43=0,"",S43/R43-1)</f>
        <v>0.19626971858898123</v>
      </c>
      <c r="T110" s="89">
        <f t="shared" ref="T110:T111" si="259">IF(S43=0,"",T43/S43-1)</f>
        <v>0.11352301865967429</v>
      </c>
      <c r="U110" s="89">
        <f t="shared" ref="U110:U111" si="260">IF(T43=0,"",U43/T43-1)</f>
        <v>8.3592106065024652E-2</v>
      </c>
      <c r="V110" s="89">
        <f t="shared" ref="V110:V111" si="261">IF(U43=0,"",V43/U43-1)</f>
        <v>3.8019020735736042E-2</v>
      </c>
      <c r="W110" s="89">
        <f t="shared" ref="W110:W111" si="262">IF(V43=0,"",W43/V43-1)</f>
        <v>-6.7660199358274387E-2</v>
      </c>
      <c r="X110" s="89">
        <f t="shared" ref="X110:X111" si="263">IF(W43=0,"",X43/W43-1)</f>
        <v>-5.4337812013030562E-2</v>
      </c>
      <c r="Y110" s="89">
        <f t="shared" ref="Y110:Y111" si="264">IF(X43=0,"",Y43/X43-1)</f>
        <v>0.20750014311807452</v>
      </c>
      <c r="Z110" s="89">
        <f t="shared" ref="Z110:Z111" si="265">IF(Y43=0,"",Z43/Y43-1)</f>
        <v>-0.15024285580790264</v>
      </c>
      <c r="AA110" s="89">
        <f t="shared" ref="AA110:AA111" si="266">IF(Z43=0,"",AA43/Z43-1)</f>
        <v>-1.2560061945318113E-2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8.8230780678457466E-2</v>
      </c>
      <c r="F111" s="89">
        <f t="shared" si="245"/>
        <v>4.6523852687992751E-2</v>
      </c>
      <c r="G111" s="89">
        <f t="shared" si="246"/>
        <v>-2.7557148149064403E-2</v>
      </c>
      <c r="H111" s="89">
        <f t="shared" si="247"/>
        <v>7.0424406999907818E-2</v>
      </c>
      <c r="I111" s="89">
        <f t="shared" si="248"/>
        <v>1.6311965454558264E-2</v>
      </c>
      <c r="J111" s="89">
        <f t="shared" si="249"/>
        <v>9.4016868478306703E-2</v>
      </c>
      <c r="K111" s="89">
        <f t="shared" si="250"/>
        <v>2.5383058000225445E-2</v>
      </c>
      <c r="L111" s="89">
        <f t="shared" si="251"/>
        <v>-6.998622189568604E-2</v>
      </c>
      <c r="M111" s="89">
        <f t="shared" si="252"/>
        <v>-0.25772175725810464</v>
      </c>
      <c r="N111" s="89">
        <f t="shared" si="253"/>
        <v>8.8352702153469354E-2</v>
      </c>
      <c r="O111" s="89">
        <f t="shared" si="254"/>
        <v>8.4507169218959843E-2</v>
      </c>
      <c r="P111" s="89">
        <f t="shared" si="255"/>
        <v>-4.6838485327485246E-2</v>
      </c>
      <c r="Q111" s="89">
        <f t="shared" si="256"/>
        <v>-9.1375422520389327E-2</v>
      </c>
      <c r="R111" s="89">
        <f t="shared" si="257"/>
        <v>-2.3747482349648741E-2</v>
      </c>
      <c r="S111" s="89">
        <f t="shared" si="258"/>
        <v>0.16337511377571867</v>
      </c>
      <c r="T111" s="89">
        <f t="shared" si="259"/>
        <v>7.9309833653074646E-2</v>
      </c>
      <c r="U111" s="89">
        <f t="shared" si="260"/>
        <v>8.870292443358041E-2</v>
      </c>
      <c r="V111" s="89">
        <f t="shared" si="261"/>
        <v>3.7047271748685828E-2</v>
      </c>
      <c r="W111" s="89">
        <f t="shared" si="262"/>
        <v>-0.15984856036762951</v>
      </c>
      <c r="X111" s="89">
        <f t="shared" si="263"/>
        <v>-0.14775913186471679</v>
      </c>
      <c r="Y111" s="89">
        <f t="shared" si="264"/>
        <v>0.26416752687830525</v>
      </c>
      <c r="Z111" s="89">
        <f t="shared" si="265"/>
        <v>-0.30275066264844952</v>
      </c>
      <c r="AA111" s="89">
        <f t="shared" si="266"/>
        <v>-0.11836709003718804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9.8639345870105144E-2</v>
      </c>
      <c r="F112" s="89">
        <f t="shared" ref="F112:F113" si="268">IF(E47=0,"",F47/E47-1)</f>
        <v>0.10712736113043886</v>
      </c>
      <c r="G112" s="89">
        <f t="shared" ref="G112:G113" si="269">IF(F47=0,"",G47/F47-1)</f>
        <v>-0.11459419302693274</v>
      </c>
      <c r="H112" s="89">
        <f t="shared" ref="H112:H113" si="270">IF(G47=0,"",H47/G47-1)</f>
        <v>-6.7431650796617282E-2</v>
      </c>
      <c r="I112" s="89">
        <f t="shared" ref="I112:I113" si="271">IF(H47=0,"",I47/H47-1)</f>
        <v>-0.10305140322123574</v>
      </c>
      <c r="J112" s="89">
        <f t="shared" ref="J112:J113" si="272">IF(I47=0,"",J47/I47-1)</f>
        <v>-5.0646371802495094E-2</v>
      </c>
      <c r="K112" s="89">
        <f t="shared" ref="K112:K113" si="273">IF(J47=0,"",K47/J47-1)</f>
        <v>8.6625593282037228E-2</v>
      </c>
      <c r="L112" s="89">
        <f t="shared" ref="L112:L113" si="274">IF(K47=0,"",L47/K47-1)</f>
        <v>2.858842703143738E-3</v>
      </c>
      <c r="M112" s="89">
        <f t="shared" ref="M112:M113" si="275">IF(L47=0,"",M47/L47-1)</f>
        <v>4.0821718335420032E-2</v>
      </c>
      <c r="N112" s="89">
        <f t="shared" ref="N112:N113" si="276">IF(M47=0,"",N47/M47-1)</f>
        <v>-1.7263061247424716E-2</v>
      </c>
      <c r="O112" s="89">
        <f t="shared" ref="O112:O113" si="277">IF(N47=0,"",O47/N47-1)</f>
        <v>5.1546115433758199E-2</v>
      </c>
      <c r="P112" s="89">
        <f t="shared" ref="P112:P113" si="278">IF(O47=0,"",P47/O47-1)</f>
        <v>0.21311761538127172</v>
      </c>
      <c r="Q112" s="89">
        <f t="shared" ref="Q112:Q113" si="279">IF(P47=0,"",Q47/P47-1)</f>
        <v>-0.30537562878555014</v>
      </c>
      <c r="R112" s="89">
        <f t="shared" ref="R112:R113" si="280">IF(Q47=0,"",R47/Q47-1)</f>
        <v>7.4295547596616496E-2</v>
      </c>
      <c r="S112" s="89">
        <f t="shared" ref="S112:S113" si="281">IF(R47=0,"",S47/R47-1)</f>
        <v>0.28396078459861984</v>
      </c>
      <c r="T112" s="89">
        <f t="shared" ref="T112:T113" si="282">IF(S47=0,"",T47/S47-1)</f>
        <v>0.19616337706867237</v>
      </c>
      <c r="U112" s="89">
        <f t="shared" ref="U112:U113" si="283">IF(T47=0,"",U47/T47-1)</f>
        <v>7.2453142954070682E-2</v>
      </c>
      <c r="V112" s="89">
        <f t="shared" ref="V112:V113" si="284">IF(U47=0,"",V47/U47-1)</f>
        <v>4.0169025778206136E-2</v>
      </c>
      <c r="W112" s="89">
        <f t="shared" ref="W112:W113" si="285">IF(V47=0,"",W47/V47-1)</f>
        <v>0.13569538910064116</v>
      </c>
      <c r="X112" s="89">
        <f t="shared" ref="X112:X113" si="286">IF(W47=0,"",X47/W47-1)</f>
        <v>9.8110187600093601E-2</v>
      </c>
      <c r="Y112" s="89">
        <f t="shared" ref="Y112:Y113" si="287">IF(X47=0,"",Y47/X47-1)</f>
        <v>0.13573305433746685</v>
      </c>
      <c r="Z112" s="89">
        <f t="shared" ref="Z112:Z113" si="288">IF(Y47=0,"",Z47/Y47-1)</f>
        <v>6.4744346112254769E-2</v>
      </c>
      <c r="AA112" s="89">
        <f t="shared" ref="AA112:AA113" si="289">IF(Z47=0,"",AA47/Z47-1)</f>
        <v>8.5113677570868962E-2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-1.055304087856801E-2</v>
      </c>
      <c r="F113" s="89">
        <f t="shared" si="268"/>
        <v>-5.243250818119749E-2</v>
      </c>
      <c r="G113" s="89">
        <f t="shared" si="269"/>
        <v>-9.6736151113090307E-2</v>
      </c>
      <c r="H113" s="89">
        <f t="shared" si="270"/>
        <v>-4.6077546037676109E-3</v>
      </c>
      <c r="I113" s="89">
        <f t="shared" si="271"/>
        <v>-3.8094216819564153E-2</v>
      </c>
      <c r="J113" s="89">
        <f t="shared" si="272"/>
        <v>8.9520042229081387E-2</v>
      </c>
      <c r="K113" s="89">
        <f t="shared" si="273"/>
        <v>0.10046237789434587</v>
      </c>
      <c r="L113" s="89">
        <f t="shared" si="274"/>
        <v>-3.4760985730823979E-3</v>
      </c>
      <c r="M113" s="89">
        <f t="shared" si="275"/>
        <v>-3.5493093376104845E-2</v>
      </c>
      <c r="N113" s="89">
        <f t="shared" si="276"/>
        <v>-0.12528855542377326</v>
      </c>
      <c r="O113" s="89">
        <f t="shared" si="277"/>
        <v>5.2457849672706836E-2</v>
      </c>
      <c r="P113" s="89">
        <f t="shared" si="278"/>
        <v>-0.13564596358020753</v>
      </c>
      <c r="Q113" s="89">
        <f t="shared" si="279"/>
        <v>-3.761630252075121E-2</v>
      </c>
      <c r="R113" s="89">
        <f t="shared" si="280"/>
        <v>-4.2106174526199025E-2</v>
      </c>
      <c r="S113" s="89">
        <f t="shared" si="281"/>
        <v>-7.980569306930696E-3</v>
      </c>
      <c r="T113" s="89">
        <f t="shared" si="282"/>
        <v>0.13306540609297768</v>
      </c>
      <c r="U113" s="89">
        <f t="shared" si="283"/>
        <v>3.1600784056296849E-2</v>
      </c>
      <c r="V113" s="89">
        <f t="shared" si="284"/>
        <v>6.6761571576788192E-2</v>
      </c>
      <c r="W113" s="89">
        <f t="shared" si="285"/>
        <v>1.7562849576995498E-2</v>
      </c>
      <c r="X113" s="89">
        <f t="shared" si="286"/>
        <v>2.803014525970271E-2</v>
      </c>
      <c r="Y113" s="89">
        <f t="shared" si="287"/>
        <v>-1.5178024071873075E-2</v>
      </c>
      <c r="Z113" s="89">
        <f t="shared" si="288"/>
        <v>-3.4926566350812593E-2</v>
      </c>
      <c r="AA113" s="89">
        <f t="shared" si="289"/>
        <v>-2.4063753599830817E-2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1.2278950571212421E-2</v>
      </c>
      <c r="F114" s="89">
        <f t="shared" ref="F114:F115" si="291">IF(E52=0,"",F52/E52-1)</f>
        <v>-5.6662638379006314E-2</v>
      </c>
      <c r="G114" s="89">
        <f t="shared" ref="G114:G115" si="292">IF(F52=0,"",G52/F52-1)</f>
        <v>-7.816803313036258E-2</v>
      </c>
      <c r="H114" s="89">
        <f t="shared" ref="H114:H115" si="293">IF(G52=0,"",H52/G52-1)</f>
        <v>5.7511723718934871E-3</v>
      </c>
      <c r="I114" s="89">
        <f t="shared" ref="I114:I115" si="294">IF(H52=0,"",I52/H52-1)</f>
        <v>-7.7039275847907707E-3</v>
      </c>
      <c r="J114" s="89">
        <f t="shared" ref="J114:J115" si="295">IF(I52=0,"",J52/I52-1)</f>
        <v>-3.0863264690465742E-2</v>
      </c>
      <c r="K114" s="89">
        <f t="shared" ref="K114:K115" si="296">IF(J52=0,"",K52/J52-1)</f>
        <v>2.9280434536118838E-2</v>
      </c>
      <c r="L114" s="89">
        <f t="shared" ref="L114:L115" si="297">IF(K52=0,"",L52/K52-1)</f>
        <v>-5.2489156013074245E-2</v>
      </c>
      <c r="M114" s="89">
        <f t="shared" ref="M114:M115" si="298">IF(L52=0,"",M52/L52-1)</f>
        <v>-6.4316948493866599E-2</v>
      </c>
      <c r="N114" s="89">
        <f t="shared" ref="N114:N115" si="299">IF(M52=0,"",N52/M52-1)</f>
        <v>-8.5056314390347665E-2</v>
      </c>
      <c r="O114" s="89">
        <f t="shared" ref="O114:O115" si="300">IF(N52=0,"",O52/N52-1)</f>
        <v>-1.4288113976981598E-2</v>
      </c>
      <c r="P114" s="89">
        <f t="shared" ref="P114:P115" si="301">IF(O52=0,"",P52/O52-1)</f>
        <v>-8.7288089138955804E-2</v>
      </c>
      <c r="Q114" s="89">
        <f t="shared" ref="Q114:Q115" si="302">IF(P52=0,"",Q52/P52-1)</f>
        <v>-9.0509993731457961E-3</v>
      </c>
      <c r="R114" s="89">
        <f t="shared" ref="R114:R115" si="303">IF(Q52=0,"",R52/Q52-1)</f>
        <v>6.86645056837909E-4</v>
      </c>
      <c r="S114" s="89">
        <f t="shared" ref="S114:S115" si="304">IF(R52=0,"",S52/R52-1)</f>
        <v>-5.9585914312325405E-2</v>
      </c>
      <c r="T114" s="89">
        <f t="shared" ref="T114:T115" si="305">IF(S52=0,"",T52/S52-1)</f>
        <v>1.0608115212448865E-2</v>
      </c>
      <c r="U114" s="89">
        <f t="shared" ref="U114:U115" si="306">IF(T52=0,"",U52/T52-1)</f>
        <v>1.4754655147837248E-3</v>
      </c>
      <c r="V114" s="89">
        <f t="shared" ref="V114:V115" si="307">IF(U52=0,"",V52/U52-1)</f>
        <v>3.8967572595839384E-2</v>
      </c>
      <c r="W114" s="89">
        <f t="shared" ref="W114:W115" si="308">IF(V52=0,"",W52/V52-1)</f>
        <v>1.6465290372255525E-2</v>
      </c>
      <c r="X114" s="89">
        <f t="shared" ref="X114:X115" si="309">IF(W52=0,"",X52/W52-1)</f>
        <v>-3.5957974275280358E-2</v>
      </c>
      <c r="Y114" s="89">
        <f t="shared" ref="Y114:Y115" si="310">IF(X52=0,"",Y52/X52-1)</f>
        <v>-0.1350161815513683</v>
      </c>
      <c r="Z114" s="89">
        <f t="shared" ref="Z114:Z115" si="311">IF(Y52=0,"",Z52/Y52-1)</f>
        <v>5.8559447673810716E-2</v>
      </c>
      <c r="AA114" s="89">
        <f t="shared" ref="AA114:AA115" si="312">IF(Z52=0,"",AA52/Z52-1)</f>
        <v>-0.11444148267672205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0.10033300210537099</v>
      </c>
      <c r="F115" s="89">
        <f t="shared" si="291"/>
        <v>8.8933844677518969E-3</v>
      </c>
      <c r="G115" s="89">
        <f t="shared" si="292"/>
        <v>-4.6130037647468258E-2</v>
      </c>
      <c r="H115" s="89">
        <f t="shared" si="293"/>
        <v>2.4959601572918322E-2</v>
      </c>
      <c r="I115" s="89">
        <f t="shared" si="294"/>
        <v>-5.7694383211132072E-2</v>
      </c>
      <c r="J115" s="89">
        <f t="shared" si="295"/>
        <v>1.5266295041942435E-2</v>
      </c>
      <c r="K115" s="89">
        <f t="shared" si="296"/>
        <v>5.5502257653423426E-2</v>
      </c>
      <c r="L115" s="89">
        <f t="shared" si="297"/>
        <v>-7.300380628420744E-2</v>
      </c>
      <c r="M115" s="89">
        <f t="shared" si="298"/>
        <v>-8.2774986409881124E-2</v>
      </c>
      <c r="N115" s="89">
        <f t="shared" si="299"/>
        <v>-2.4275987031162627E-2</v>
      </c>
      <c r="O115" s="89">
        <f t="shared" si="300"/>
        <v>6.2219096005109442E-3</v>
      </c>
      <c r="P115" s="89">
        <f t="shared" si="301"/>
        <v>-0.11405696988020508</v>
      </c>
      <c r="Q115" s="89">
        <f t="shared" si="302"/>
        <v>5.5730052003140296E-2</v>
      </c>
      <c r="R115" s="89">
        <f t="shared" si="303"/>
        <v>9.6417826687369201E-2</v>
      </c>
      <c r="S115" s="89">
        <f t="shared" si="304"/>
        <v>-3.9375374771480676E-2</v>
      </c>
      <c r="T115" s="89">
        <f t="shared" si="305"/>
        <v>6.5990334875080547E-2</v>
      </c>
      <c r="U115" s="89">
        <f t="shared" si="306"/>
        <v>4.515045492961578E-2</v>
      </c>
      <c r="V115" s="89">
        <f t="shared" si="307"/>
        <v>0.10143969717293633</v>
      </c>
      <c r="W115" s="89">
        <f t="shared" si="308"/>
        <v>0.10114286807237516</v>
      </c>
      <c r="X115" s="89">
        <f t="shared" si="309"/>
        <v>-6.0417255024298733E-3</v>
      </c>
      <c r="Y115" s="89">
        <f t="shared" si="310"/>
        <v>-0.19092464080994886</v>
      </c>
      <c r="Z115" s="89">
        <f t="shared" si="311"/>
        <v>9.07038545534955E-2</v>
      </c>
      <c r="AA115" s="89">
        <f t="shared" si="312"/>
        <v>-0.13096034176508098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-3.3970992095937569E-2</v>
      </c>
      <c r="F116" s="89">
        <f t="shared" ref="F116:F122" si="314">IF(E56=0,"",F56/E56-1)</f>
        <v>-9.5882713794480434E-2</v>
      </c>
      <c r="G116" s="89">
        <f t="shared" ref="G116:G122" si="315">IF(F56=0,"",G56/F56-1)</f>
        <v>-9.9556598914742778E-2</v>
      </c>
      <c r="H116" s="89">
        <f t="shared" ref="H116:H122" si="316">IF(G56=0,"",H56/G56-1)</f>
        <v>-7.8332423714897459E-3</v>
      </c>
      <c r="I116" s="89">
        <f t="shared" ref="I116:I122" si="317">IF(H56=0,"",I56/H56-1)</f>
        <v>2.8818383597317254E-2</v>
      </c>
      <c r="J116" s="89">
        <f t="shared" ref="J116:J122" si="318">IF(I56=0,"",J56/I56-1)</f>
        <v>-6.1730912113890923E-2</v>
      </c>
      <c r="K116" s="89">
        <f t="shared" ref="K116:K122" si="319">IF(J56=0,"",K56/J56-1)</f>
        <v>1.0294163987988547E-2</v>
      </c>
      <c r="L116" s="89">
        <f t="shared" ref="L116:L122" si="320">IF(K56=0,"",L56/K56-1)</f>
        <v>-3.6970567359264406E-2</v>
      </c>
      <c r="M116" s="89">
        <f t="shared" ref="M116:M122" si="321">IF(L56=0,"",M56/L56-1)</f>
        <v>-5.0876553624572218E-2</v>
      </c>
      <c r="N116" s="89">
        <f t="shared" ref="N116:N122" si="322">IF(M56=0,"",N56/M56-1)</f>
        <v>-0.12782665581058272</v>
      </c>
      <c r="O116" s="89">
        <f t="shared" ref="O116:O122" si="323">IF(N56=0,"",O56/N56-1)</f>
        <v>-3.0434302750752096E-2</v>
      </c>
      <c r="P116" s="89">
        <f t="shared" ref="P116:P122" si="324">IF(O56=0,"",P56/O56-1)</f>
        <v>-6.5417997313336529E-2</v>
      </c>
      <c r="Q116" s="89">
        <f t="shared" ref="Q116:Q122" si="325">IF(P56=0,"",Q56/P56-1)</f>
        <v>-5.9222462705274981E-2</v>
      </c>
      <c r="R116" s="89">
        <f t="shared" ref="R116:R122" si="326">IF(Q56=0,"",R56/Q56-1)</f>
        <v>-8.2514277197969443E-2</v>
      </c>
      <c r="S116" s="89">
        <f t="shared" ref="S116:S122" si="327">IF(R56=0,"",S56/R56-1)</f>
        <v>-8.0576734177215226E-2</v>
      </c>
      <c r="T116" s="89">
        <f t="shared" ref="T116:T122" si="328">IF(S56=0,"",T56/S56-1)</f>
        <v>-4.9489892909194699E-2</v>
      </c>
      <c r="U116" s="89">
        <f t="shared" ref="U116:U122" si="329">IF(T56=0,"",U56/T56-1)</f>
        <v>-5.1676466642452956E-2</v>
      </c>
      <c r="V116" s="89">
        <f t="shared" ref="V116:V122" si="330">IF(U56=0,"",V56/U56-1)</f>
        <v>-4.482293277166105E-2</v>
      </c>
      <c r="W116" s="89">
        <f t="shared" ref="W116:W122" si="331">IF(V56=0,"",W56/V56-1)</f>
        <v>-0.11449927256045422</v>
      </c>
      <c r="X116" s="89">
        <f t="shared" ref="X116:X122" si="332">IF(W56=0,"",X56/W56-1)</f>
        <v>-9.3494979838410708E-2</v>
      </c>
      <c r="Y116" s="89">
        <f t="shared" ref="Y116:Y122" si="333">IF(X56=0,"",Y56/X56-1)</f>
        <v>-1.711569867243723E-2</v>
      </c>
      <c r="Z116" s="89">
        <f t="shared" ref="Z116:Z122" si="334">IF(Y56=0,"",Z56/Y56-1)</f>
        <v>2.7599804045999043E-3</v>
      </c>
      <c r="AA116" s="89">
        <f t="shared" ref="AA116:AA122" si="335">IF(Z56=0,"",AA56/Z56-1)</f>
        <v>-8.3251542682301838E-2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3.0113862896187671E-2</v>
      </c>
      <c r="F117" s="89">
        <f t="shared" si="314"/>
        <v>2.6066013658723186E-3</v>
      </c>
      <c r="G117" s="89">
        <f t="shared" si="315"/>
        <v>-8.9434132128607402E-4</v>
      </c>
      <c r="H117" s="89">
        <f t="shared" si="316"/>
        <v>9.0685004881223552E-3</v>
      </c>
      <c r="I117" s="89">
        <f t="shared" si="317"/>
        <v>6.7094911535807711E-3</v>
      </c>
      <c r="J117" s="89">
        <f t="shared" si="318"/>
        <v>-0.11131802745447583</v>
      </c>
      <c r="K117" s="89">
        <f t="shared" si="319"/>
        <v>1.2181855186362389E-2</v>
      </c>
      <c r="L117" s="89">
        <f t="shared" si="320"/>
        <v>-5.8405397032229134E-2</v>
      </c>
      <c r="M117" s="89">
        <f t="shared" si="321"/>
        <v>5.0587957945605444E-2</v>
      </c>
      <c r="N117" s="89">
        <f t="shared" si="322"/>
        <v>-3.7047325320299973E-2</v>
      </c>
      <c r="O117" s="89">
        <f t="shared" si="323"/>
        <v>2.4974724670028703E-2</v>
      </c>
      <c r="P117" s="89">
        <f t="shared" si="324"/>
        <v>7.6024759148548116E-2</v>
      </c>
      <c r="Q117" s="89">
        <f t="shared" si="325"/>
        <v>1.7467731056366897E-2</v>
      </c>
      <c r="R117" s="89">
        <f t="shared" si="326"/>
        <v>4.2680591217215236E-2</v>
      </c>
      <c r="S117" s="89">
        <f t="shared" si="327"/>
        <v>1.2343146826898632E-4</v>
      </c>
      <c r="T117" s="89">
        <f t="shared" si="328"/>
        <v>3.3785969084255907E-2</v>
      </c>
      <c r="U117" s="89">
        <f t="shared" si="329"/>
        <v>1.70798784861248E-2</v>
      </c>
      <c r="V117" s="89">
        <f t="shared" si="330"/>
        <v>1.2139526108982945E-2</v>
      </c>
      <c r="W117" s="89">
        <f t="shared" si="331"/>
        <v>-1.0231993127005068E-2</v>
      </c>
      <c r="X117" s="89">
        <f t="shared" si="332"/>
        <v>-8.160009680339142E-4</v>
      </c>
      <c r="Y117" s="89">
        <f t="shared" si="333"/>
        <v>-2.037697399885352E-3</v>
      </c>
      <c r="Z117" s="89">
        <f t="shared" si="334"/>
        <v>-1.4585184192653644E-2</v>
      </c>
      <c r="AA117" s="89">
        <f t="shared" si="335"/>
        <v>5.946854954367975E-2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0.10874507262201449</v>
      </c>
      <c r="F118" s="89">
        <f t="shared" si="314"/>
        <v>-3.5057147034901592E-2</v>
      </c>
      <c r="G118" s="89">
        <f t="shared" si="315"/>
        <v>-2.7133803216755625E-2</v>
      </c>
      <c r="H118" s="89">
        <f t="shared" si="316"/>
        <v>4.6334880249320198E-2</v>
      </c>
      <c r="I118" s="89">
        <f t="shared" si="317"/>
        <v>-5.0872678784450232E-2</v>
      </c>
      <c r="J118" s="89">
        <f t="shared" si="318"/>
        <v>-1.7988422478287025E-2</v>
      </c>
      <c r="K118" s="89">
        <f t="shared" si="319"/>
        <v>0.16049304830348543</v>
      </c>
      <c r="L118" s="89">
        <f t="shared" si="320"/>
        <v>4.1196207198742174E-2</v>
      </c>
      <c r="M118" s="89">
        <f t="shared" si="321"/>
        <v>-0.32057731448895399</v>
      </c>
      <c r="N118" s="89">
        <f t="shared" si="322"/>
        <v>0.15612807269582496</v>
      </c>
      <c r="O118" s="89">
        <f t="shared" si="323"/>
        <v>1.7710435012188164E-3</v>
      </c>
      <c r="P118" s="89">
        <f t="shared" si="324"/>
        <v>-0.12249978915834947</v>
      </c>
      <c r="Q118" s="89">
        <f t="shared" si="325"/>
        <v>2.0119739446048168E-2</v>
      </c>
      <c r="R118" s="89">
        <f t="shared" si="326"/>
        <v>-3.1586739584241297E-2</v>
      </c>
      <c r="S118" s="89">
        <f t="shared" si="327"/>
        <v>7.1257667922159484E-2</v>
      </c>
      <c r="T118" s="89">
        <f t="shared" si="328"/>
        <v>2.282190875865453E-2</v>
      </c>
      <c r="U118" s="89">
        <f t="shared" si="329"/>
        <v>0.1436629083179517</v>
      </c>
      <c r="V118" s="89">
        <f t="shared" si="330"/>
        <v>1.9405271447135997E-2</v>
      </c>
      <c r="W118" s="89">
        <f t="shared" si="331"/>
        <v>1.3616193460119774E-2</v>
      </c>
      <c r="X118" s="89">
        <f t="shared" si="332"/>
        <v>-7.3128976144939295E-2</v>
      </c>
      <c r="Y118" s="89">
        <f t="shared" si="333"/>
        <v>1.1272599483542756E-3</v>
      </c>
      <c r="Z118" s="89">
        <f t="shared" si="334"/>
        <v>6.030883026945455E-2</v>
      </c>
      <c r="AA118" s="89">
        <f t="shared" si="335"/>
        <v>9.3927673458237271E-2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-6.188100896652482E-2</v>
      </c>
      <c r="F119" s="89">
        <f t="shared" si="314"/>
        <v>-0.12678212533147171</v>
      </c>
      <c r="G119" s="89">
        <f t="shared" si="315"/>
        <v>-5.0403509338745822E-2</v>
      </c>
      <c r="H119" s="89">
        <f t="shared" si="316"/>
        <v>5.0310104448205495E-2</v>
      </c>
      <c r="I119" s="89">
        <f t="shared" si="317"/>
        <v>6.7334295011115985E-2</v>
      </c>
      <c r="J119" s="89">
        <f t="shared" si="318"/>
        <v>6.7184554472269564E-2</v>
      </c>
      <c r="K119" s="89">
        <f t="shared" si="319"/>
        <v>5.9646193096014377E-2</v>
      </c>
      <c r="L119" s="89">
        <f t="shared" si="320"/>
        <v>-1.8278835301573704E-2</v>
      </c>
      <c r="M119" s="89">
        <f t="shared" si="321"/>
        <v>-0.11735929951490343</v>
      </c>
      <c r="N119" s="89">
        <f t="shared" si="322"/>
        <v>9.3009792867123187E-2</v>
      </c>
      <c r="O119" s="89">
        <f t="shared" si="323"/>
        <v>7.2116909437591747E-2</v>
      </c>
      <c r="P119" s="89">
        <f t="shared" si="324"/>
        <v>-5.5075290149162237E-2</v>
      </c>
      <c r="Q119" s="89">
        <f t="shared" si="325"/>
        <v>8.5637561193305789E-3</v>
      </c>
      <c r="R119" s="89">
        <f t="shared" si="326"/>
        <v>4.9434795996809999E-2</v>
      </c>
      <c r="S119" s="89">
        <f t="shared" si="327"/>
        <v>4.2142401019466647E-2</v>
      </c>
      <c r="T119" s="89">
        <f t="shared" si="328"/>
        <v>-3.2025142535578865E-3</v>
      </c>
      <c r="U119" s="89">
        <f t="shared" si="329"/>
        <v>6.4586194976882005E-2</v>
      </c>
      <c r="V119" s="89">
        <f t="shared" si="330"/>
        <v>5.8656447210153395E-2</v>
      </c>
      <c r="W119" s="89">
        <f t="shared" si="331"/>
        <v>5.3796449506003929E-2</v>
      </c>
      <c r="X119" s="89">
        <f t="shared" si="332"/>
        <v>1.0389076572108857E-2</v>
      </c>
      <c r="Y119" s="89">
        <f t="shared" si="333"/>
        <v>0.10096650172282917</v>
      </c>
      <c r="Z119" s="89">
        <f t="shared" si="334"/>
        <v>3.7539227486283133E-2</v>
      </c>
      <c r="AA119" s="89">
        <f t="shared" si="335"/>
        <v>2.9426623709571942E-2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-7.697440502694064E-2</v>
      </c>
      <c r="F120" s="89">
        <f t="shared" si="314"/>
        <v>-4.5168712382120502E-2</v>
      </c>
      <c r="G120" s="89">
        <f t="shared" si="315"/>
        <v>-4.1298236873189009E-2</v>
      </c>
      <c r="H120" s="89">
        <f t="shared" si="316"/>
        <v>-0.13416976846222062</v>
      </c>
      <c r="I120" s="89">
        <f t="shared" si="317"/>
        <v>-1.6086819415106812E-2</v>
      </c>
      <c r="J120" s="89">
        <f t="shared" si="318"/>
        <v>-1.3010860098549015E-3</v>
      </c>
      <c r="K120" s="89">
        <f t="shared" si="319"/>
        <v>6.0412516387285953E-2</v>
      </c>
      <c r="L120" s="89">
        <f t="shared" si="320"/>
        <v>-3.7307980883610092E-2</v>
      </c>
      <c r="M120" s="89">
        <f t="shared" si="321"/>
        <v>-9.6393100162270207E-2</v>
      </c>
      <c r="N120" s="89">
        <f t="shared" si="322"/>
        <v>5.457021335990575E-4</v>
      </c>
      <c r="O120" s="89">
        <f t="shared" si="323"/>
        <v>7.1496008959828661E-2</v>
      </c>
      <c r="P120" s="89">
        <f t="shared" si="324"/>
        <v>-3.4151757665051408E-2</v>
      </c>
      <c r="Q120" s="89">
        <f t="shared" si="325"/>
        <v>1.8535656863190475E-2</v>
      </c>
      <c r="R120" s="89">
        <f t="shared" si="326"/>
        <v>1.8982805475928899E-3</v>
      </c>
      <c r="S120" s="89">
        <f t="shared" si="327"/>
        <v>-1.3011254612544931E-3</v>
      </c>
      <c r="T120" s="89">
        <f t="shared" si="328"/>
        <v>3.0561145095452824E-2</v>
      </c>
      <c r="U120" s="89">
        <f t="shared" si="329"/>
        <v>-3.9425944812834235E-3</v>
      </c>
      <c r="V120" s="89">
        <f t="shared" si="330"/>
        <v>-1.6995653234717301E-2</v>
      </c>
      <c r="W120" s="89">
        <f t="shared" si="331"/>
        <v>-1.7419403372466058E-2</v>
      </c>
      <c r="X120" s="89">
        <f t="shared" si="332"/>
        <v>-2.4254694336277582E-2</v>
      </c>
      <c r="Y120" s="89">
        <f t="shared" si="333"/>
        <v>0.15309353717256302</v>
      </c>
      <c r="Z120" s="89">
        <f t="shared" si="334"/>
        <v>-0.12342938383709645</v>
      </c>
      <c r="AA120" s="89">
        <f t="shared" si="335"/>
        <v>-8.3541435442101353E-2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9.5747735398181044E-2</v>
      </c>
      <c r="F121" s="89">
        <f t="shared" si="314"/>
        <v>-0.1785145562204381</v>
      </c>
      <c r="G121" s="89">
        <f t="shared" si="315"/>
        <v>4.3230513990541342E-2</v>
      </c>
      <c r="H121" s="89">
        <f t="shared" si="316"/>
        <v>-6.0216154884958906E-3</v>
      </c>
      <c r="I121" s="89">
        <f t="shared" si="317"/>
        <v>-4.1544483730101778E-2</v>
      </c>
      <c r="J121" s="89">
        <f t="shared" si="318"/>
        <v>-2.1452033728947328E-2</v>
      </c>
      <c r="K121" s="89">
        <f t="shared" si="319"/>
        <v>5.3580435167089657E-2</v>
      </c>
      <c r="L121" s="89">
        <f t="shared" si="320"/>
        <v>6.1543592441930972E-2</v>
      </c>
      <c r="M121" s="89">
        <f t="shared" si="321"/>
        <v>-0.12438107058793513</v>
      </c>
      <c r="N121" s="89">
        <f t="shared" si="322"/>
        <v>-0.18439877516718883</v>
      </c>
      <c r="O121" s="89">
        <f t="shared" si="323"/>
        <v>5.1983377628633143E-2</v>
      </c>
      <c r="P121" s="89">
        <f t="shared" si="324"/>
        <v>-0.12015800412925948</v>
      </c>
      <c r="Q121" s="89">
        <f t="shared" si="325"/>
        <v>-0.13307910498717479</v>
      </c>
      <c r="R121" s="89">
        <f t="shared" si="326"/>
        <v>4.2736371120012384E-2</v>
      </c>
      <c r="S121" s="89">
        <f t="shared" si="327"/>
        <v>0.13093714285714286</v>
      </c>
      <c r="T121" s="89">
        <f t="shared" si="328"/>
        <v>0.12559597547458567</v>
      </c>
      <c r="U121" s="89">
        <f t="shared" si="329"/>
        <v>8.6755012126757292E-2</v>
      </c>
      <c r="V121" s="89">
        <f t="shared" si="330"/>
        <v>7.4098567800121362E-2</v>
      </c>
      <c r="W121" s="89">
        <f t="shared" si="331"/>
        <v>8.0326213418338677E-2</v>
      </c>
      <c r="X121" s="89">
        <f t="shared" si="332"/>
        <v>1.71873929592119E-2</v>
      </c>
      <c r="Y121" s="89">
        <f t="shared" si="333"/>
        <v>9.163188684096113E-2</v>
      </c>
      <c r="Z121" s="89">
        <f t="shared" si="334"/>
        <v>2.730249291205622E-2</v>
      </c>
      <c r="AA121" s="89">
        <f t="shared" si="335"/>
        <v>-6.4542444192228765E-2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-2.1464450352649767E-2</v>
      </c>
      <c r="F122" s="91">
        <f t="shared" si="314"/>
        <v>-2.9913943456012393E-2</v>
      </c>
      <c r="G122" s="91">
        <f t="shared" si="315"/>
        <v>-5.1956536342628867E-2</v>
      </c>
      <c r="H122" s="91">
        <f t="shared" si="316"/>
        <v>-4.5555289569526147E-2</v>
      </c>
      <c r="I122" s="91">
        <f t="shared" si="317"/>
        <v>1.3846882406994387E-2</v>
      </c>
      <c r="J122" s="91">
        <f t="shared" si="318"/>
        <v>1.3273358079346487E-4</v>
      </c>
      <c r="K122" s="91">
        <f t="shared" si="319"/>
        <v>3.1530134467735449E-2</v>
      </c>
      <c r="L122" s="91">
        <f t="shared" si="320"/>
        <v>-2.1241579002670985E-3</v>
      </c>
      <c r="M122" s="91">
        <f t="shared" si="321"/>
        <v>-7.0493968201241097E-2</v>
      </c>
      <c r="N122" s="91">
        <f t="shared" si="322"/>
        <v>-9.0687649028048711E-2</v>
      </c>
      <c r="O122" s="91">
        <f t="shared" si="323"/>
        <v>9.784575420289654E-3</v>
      </c>
      <c r="P122" s="91">
        <f t="shared" si="324"/>
        <v>-2.5925718865392744E-3</v>
      </c>
      <c r="Q122" s="91">
        <f t="shared" si="325"/>
        <v>-2.6345522372797525E-2</v>
      </c>
      <c r="R122" s="91">
        <f t="shared" si="326"/>
        <v>6.3724413833860627E-2</v>
      </c>
      <c r="S122" s="91">
        <f t="shared" si="327"/>
        <v>5.8650132140680711E-3</v>
      </c>
      <c r="T122" s="91">
        <f t="shared" si="328"/>
        <v>5.552512325083403E-2</v>
      </c>
      <c r="U122" s="91">
        <f t="shared" si="329"/>
        <v>5.4614918416713953E-2</v>
      </c>
      <c r="V122" s="91">
        <f t="shared" si="330"/>
        <v>-3.8508836653665668E-3</v>
      </c>
      <c r="W122" s="91">
        <f t="shared" si="331"/>
        <v>5.1925600374813641E-5</v>
      </c>
      <c r="X122" s="91">
        <f t="shared" si="332"/>
        <v>2.110140943019756E-3</v>
      </c>
      <c r="Y122" s="91">
        <f t="shared" si="333"/>
        <v>4.0021523129271763E-2</v>
      </c>
      <c r="Z122" s="91">
        <f t="shared" si="334"/>
        <v>-1.3137948562547797E-2</v>
      </c>
      <c r="AA122" s="91">
        <f t="shared" si="335"/>
        <v>-4.2834772537254318E-2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2025-11-06T10:28:40Z</dcterms:created>
  <dcterms:modified xsi:type="dcterms:W3CDTF">2025-11-06T10:28:40Z</dcterms:modified>
</cp:coreProperties>
</file>