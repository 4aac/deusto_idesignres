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0"/>
  <c r="Y22" i="13"/>
  <c r="X22" i="13"/>
  <c r="Y21" i="13"/>
  <c r="X21" i="13"/>
  <c r="Y20" i="13"/>
  <c r="Y18" i="13"/>
  <c r="X18" i="10"/>
  <c r="Y17" i="13"/>
  <c r="X17" i="10"/>
  <c r="Y6" i="13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X33" i="21"/>
  <c r="Y22" i="24"/>
  <c r="X20" i="21"/>
  <c r="X18" i="24"/>
  <c r="Y17" i="24"/>
  <c r="X15" i="21"/>
  <c r="Y20" i="21"/>
  <c r="Y18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17" i="10"/>
  <c r="Y18" i="10"/>
  <c r="X7" i="12"/>
  <c r="X5" i="10"/>
  <c r="X8" i="12"/>
  <c r="Y5" i="10"/>
  <c r="Y24" i="12"/>
  <c r="X25" i="12"/>
  <c r="Y23" i="10"/>
  <c r="Y10" i="12"/>
  <c r="X8" i="13"/>
  <c r="X11" i="12"/>
  <c r="Y8" i="13"/>
  <c r="X7" i="21"/>
  <c r="X9" i="21"/>
  <c r="X25" i="24"/>
  <c r="X17" i="24"/>
  <c r="X25" i="13"/>
  <c r="X12" i="12"/>
  <c r="Y23" i="28"/>
  <c r="X7" i="14"/>
  <c r="Y25" i="13"/>
  <c r="X31" i="23"/>
  <c r="X26" i="13"/>
  <c r="Y26" i="24"/>
  <c r="Y31" i="23"/>
  <c r="Y10" i="13"/>
  <c r="Y26" i="13"/>
  <c r="X32" i="23"/>
  <c r="X11" i="13"/>
  <c r="Y7" i="24"/>
  <c r="Y7" i="27" s="1"/>
  <c r="X13" i="29"/>
  <c r="X5" i="31" s="1"/>
  <c r="X12" i="24"/>
  <c r="X12" i="13"/>
  <c r="X30" i="13"/>
  <c r="Y24" i="23"/>
  <c r="Y24" i="26" s="1"/>
  <c r="Y19" i="22"/>
  <c r="Y13" i="29"/>
  <c r="Y5" i="29" s="1"/>
  <c r="Y9" i="25"/>
  <c r="Y9" i="28" s="1"/>
  <c r="Y12" i="24"/>
  <c r="Y12" i="27" s="1"/>
  <c r="Y21" i="25"/>
  <c r="Y21" i="28" s="1"/>
  <c r="X10" i="14"/>
  <c r="X30" i="14"/>
  <c r="Y12" i="13"/>
  <c r="X25" i="23"/>
  <c r="X14" i="30"/>
  <c r="Y11" i="24"/>
  <c r="Y11" i="27" s="1"/>
  <c r="Y52" i="38"/>
  <c r="X14" i="29"/>
  <c r="X6" i="29" s="1"/>
  <c r="X10" i="25"/>
  <c r="X13" i="21"/>
  <c r="X31" i="24"/>
  <c r="X17" i="23"/>
  <c r="X22" i="24"/>
  <c r="Y10" i="14"/>
  <c r="X31" i="13"/>
  <c r="Y33" i="12"/>
  <c r="X23" i="21"/>
  <c r="X8" i="25"/>
  <c r="Y17" i="23"/>
  <c r="Y17" i="26" s="1"/>
  <c r="X31" i="14"/>
  <c r="Y31" i="13"/>
  <c r="X21" i="21"/>
  <c r="Y8" i="24"/>
  <c r="Y8" i="25"/>
  <c r="Y8" i="28" s="1"/>
  <c r="X9" i="36"/>
  <c r="Y53" i="38"/>
  <c r="Y31" i="14"/>
  <c r="X32" i="10"/>
  <c r="Y14" i="21"/>
  <c r="Y32" i="21"/>
  <c r="X17" i="13"/>
  <c r="X8" i="24"/>
  <c r="X27" i="21"/>
  <c r="Y45" i="37"/>
  <c r="X33" i="10"/>
  <c r="Y33" i="21"/>
  <c r="Y12" i="23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5" i="39" s="1"/>
  <c r="Y37" i="39" s="1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19" i="23" s="1"/>
  <c r="Y19" i="26" s="1"/>
  <c r="Y31" i="25"/>
  <c r="Y31" i="28" s="1"/>
  <c r="Y9" i="38"/>
  <c r="Y52" i="37"/>
  <c r="X32" i="24"/>
  <c r="Y51" i="39"/>
  <c r="Y6" i="24"/>
  <c r="Y24" i="24"/>
  <c r="Y24" i="27" s="1"/>
  <c r="Y18" i="23"/>
  <c r="Y18" i="26" s="1"/>
  <c r="X16" i="9"/>
  <c r="X16" i="13" s="1"/>
  <c r="X19" i="8"/>
  <c r="Y33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14" s="1"/>
  <c r="Y29" i="8"/>
  <c r="Y29" i="12" s="1"/>
  <c r="Y30" i="12"/>
  <c r="X3" i="7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2" i="26"/>
  <c r="X14" i="24"/>
  <c r="Y6" i="27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31" i="6" l="1"/>
  <c r="X22" i="15"/>
  <c r="Y16" i="23"/>
  <c r="Y16" i="26" s="1"/>
  <c r="X5" i="29"/>
  <c r="X29" i="23"/>
  <c r="X29" i="13"/>
  <c r="X4" i="13"/>
  <c r="X12" i="36"/>
  <c r="Y5" i="31"/>
  <c r="X163" i="6"/>
  <c r="X25" i="26"/>
  <c r="X17" i="27"/>
  <c r="X17" i="28"/>
  <c r="X18" i="26"/>
  <c r="X31" i="28"/>
  <c r="X10" i="27"/>
  <c r="X8" i="26"/>
  <c r="X7" i="28"/>
  <c r="X31" i="26"/>
  <c r="Y28" i="16"/>
  <c r="X22" i="28"/>
  <c r="X18" i="27"/>
  <c r="X10" i="26"/>
  <c r="X5" i="28"/>
  <c r="X29" i="26"/>
  <c r="X8" i="28"/>
  <c r="X30" i="28"/>
  <c r="X23" i="28"/>
  <c r="X17" i="26"/>
  <c r="Y10" i="16"/>
  <c r="X14" i="27"/>
  <c r="X7" i="26"/>
  <c r="X22" i="27"/>
  <c r="X12" i="26"/>
  <c r="X10" i="28"/>
  <c r="X26" i="26"/>
  <c r="X8" i="27"/>
  <c r="X14" i="26"/>
  <c r="X28" i="27"/>
  <c r="X23" i="27"/>
  <c r="X9" i="28"/>
  <c r="X15" i="12"/>
  <c r="X15" i="15" s="1"/>
  <c r="X25" i="27"/>
  <c r="X114" i="6"/>
  <c r="X144" i="6" s="1"/>
  <c r="X91" i="6"/>
  <c r="X90" i="6"/>
  <c r="X92" i="6"/>
  <c r="X94" i="6"/>
  <c r="X4" i="23"/>
  <c r="X4" i="26" s="1"/>
  <c r="X29" i="10"/>
  <c r="Y5" i="37"/>
  <c r="Y32" i="37" s="1"/>
  <c r="X3" i="8"/>
  <c r="X3" i="19"/>
  <c r="X9" i="29"/>
  <c r="Y27" i="24"/>
  <c r="Y27" i="27" s="1"/>
  <c r="X30" i="26"/>
  <c r="X5" i="26"/>
  <c r="X13" i="26"/>
  <c r="X5" i="27"/>
  <c r="X5" i="32"/>
  <c r="X11" i="27"/>
  <c r="X27" i="13"/>
  <c r="X27" i="16" s="1"/>
  <c r="X28" i="26"/>
  <c r="X33" i="27"/>
  <c r="X9" i="27"/>
  <c r="X13" i="27"/>
  <c r="X113" i="6"/>
  <c r="X167" i="6" s="1"/>
  <c r="X6" i="27"/>
  <c r="X89" i="6"/>
  <c r="Y139" i="6"/>
  <c r="X26" i="27"/>
  <c r="X21" i="28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Y10" i="1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44" i="37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35" i="39"/>
  <c r="X31" i="36"/>
  <c r="X34" i="36"/>
  <c r="X32" i="36"/>
  <c r="X38" i="39"/>
  <c r="X37" i="39"/>
  <c r="X33" i="37" l="1"/>
  <c r="Y34" i="37"/>
  <c r="X32" i="37"/>
  <c r="X36" i="37"/>
  <c r="X40" i="37"/>
  <c r="X39" i="37"/>
  <c r="X3" i="23"/>
  <c r="X168" i="6"/>
  <c r="X3" i="29"/>
  <c r="X3" i="35"/>
  <c r="X34" i="37"/>
  <c r="Y39" i="37"/>
  <c r="Y38" i="37"/>
  <c r="Y40" i="37"/>
  <c r="Y33" i="37"/>
  <c r="Y35" i="37"/>
  <c r="Y36" i="37"/>
  <c r="X38" i="37"/>
  <c r="X37" i="37"/>
  <c r="Y37" i="37"/>
  <c r="Y31" i="37" s="1"/>
  <c r="Y44" i="39"/>
  <c r="X35" i="37"/>
  <c r="X31" i="37" s="1"/>
  <c r="X3" i="12"/>
  <c r="X143" i="6"/>
  <c r="X3" i="10"/>
  <c r="X3" i="14"/>
  <c r="X153" i="6"/>
  <c r="Y39" i="38"/>
  <c r="X3" i="13"/>
  <c r="X3" i="16" s="1"/>
  <c r="Y44" i="38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" i="15" l="1"/>
  <c r="X3" i="26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R3" i="35"/>
  <c r="W3" i="31"/>
  <c r="T3" i="35"/>
  <c r="N3" i="29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F29" i="23" l="1"/>
  <c r="J29" i="23"/>
  <c r="P29" i="25"/>
  <c r="P29" i="28" s="1"/>
  <c r="K29" i="12"/>
  <c r="E4" i="24"/>
  <c r="K16" i="24"/>
  <c r="J19" i="24"/>
  <c r="K29" i="13"/>
  <c r="E19" i="14"/>
  <c r="O4" i="24"/>
  <c r="O4" i="23"/>
  <c r="N19" i="23"/>
  <c r="N19" i="24"/>
  <c r="G16" i="12"/>
  <c r="C4" i="13"/>
  <c r="O4" i="12"/>
  <c r="C16" i="13"/>
  <c r="F4" i="24"/>
  <c r="E4" i="23"/>
  <c r="H4" i="12"/>
  <c r="J29" i="13"/>
  <c r="C4" i="12"/>
  <c r="C4" i="15" s="1"/>
  <c r="P29" i="24"/>
  <c r="G19" i="24"/>
  <c r="G19" i="27" s="1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J4" i="15" s="1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7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" i="4"/>
  <c r="B13" i="4"/>
  <c r="B11" i="4"/>
  <c r="B10" i="4"/>
  <c r="B28" i="4"/>
  <c r="B23" i="4"/>
  <c r="B12" i="4"/>
  <c r="B27" i="4"/>
  <c r="B34" i="4"/>
  <c r="B14" i="4"/>
  <c r="B17" i="4"/>
  <c r="B42" i="4"/>
  <c r="B45" i="4"/>
  <c r="B36" i="4"/>
  <c r="B7" i="4"/>
  <c r="B39" i="4"/>
  <c r="B30" i="4"/>
  <c r="B29" i="4"/>
  <c r="B16" i="4"/>
  <c r="B38" i="4"/>
  <c r="B44" i="4"/>
  <c r="B24" i="4"/>
  <c r="B8" i="4"/>
  <c r="B20" i="4"/>
  <c r="B22" i="4"/>
  <c r="B35" i="4"/>
  <c r="B33" i="4"/>
  <c r="B15" i="4"/>
  <c r="B26" i="4"/>
  <c r="B9" i="4"/>
  <c r="B43" i="4"/>
  <c r="B25" i="4"/>
  <c r="B21" i="4"/>
  <c r="B37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<sst xmlns="http://schemas.openxmlformats.org/spreadsheetml/2006/main" count="2101" uniqueCount="1057">
  <si>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</si>
  <si>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</si>
  <si>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</si>
  <si>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</si>
  <si>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</si>
  <si>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</si>
  <si>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</si>
  <si>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</si>
  <si>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</si>
  <si>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</si>
  <si>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</si>
  <si>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</si>
  <si>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</si>
  <si>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</si>
  <si>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</si>
  <si>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</si>
  <si>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</si>
  <si>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</si>
  <si>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</si>
  <si>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</si>
  <si>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</si>
  <si>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</si>
  <si>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</si>
  <si>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</si>
  <si>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</si>
  <si>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</si>
  <si>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</si>
  <si>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</si>
  <si>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</si>
  <si>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</si>
  <si>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</si>
  <si>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</si>
  <si>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</si>
  <si>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</si>
  <si>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</si>
  <si>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</si>
  <si>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</si>
  <si>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</si>
  <si>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</si>
  <si>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</si>
  <si>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</si>
  <si>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</si>
  <si>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</si>
  <si>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</si>
  <si>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</si>
  <si>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</si>
  <si>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</si>
  <si>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</si>
  <si>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</si>
  <si>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</si>
  <si>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</si>
  <si>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</si>
  <si>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</si>
  <si>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</si>
  <si>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</si>
  <si>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</si>
  <si>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</si>
  <si>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</si>
  <si>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</si>
  <si>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</si>
  <si>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</si>
  <si>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</si>
  <si>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</si>
  <si>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</si>
  <si>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</si>
  <si>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</si>
  <si>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</si>
  <si>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</si>
  <si>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</si>
  <si>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</si>
  <si>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</si>
  <si>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</si>
  <si>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</si>
  <si>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</si>
  <si>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</si>
  <si>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</si>
  <si>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</si>
  <si>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</si>
  <si>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</si>
  <si>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</si>
  <si>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</si>
  <si>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</si>
  <si>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</si>
  <si>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</si>
  <si>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</si>
  <si>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</si>
  <si>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</si>
  <si>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</si>
  <si>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</si>
  <si>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</si>
  <si>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</si>
  <si>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</si>
  <si>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</si>
  <si>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</si>
  <si>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</si>
  <si>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</si>
  <si>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</si>
  <si>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</si>
  <si>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</si>
  <si>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</si>
  <si>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</si>
  <si>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</si>
  <si>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</si>
  <si>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</si>
  <si>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</si>
  <si>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</si>
  <si>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</si>
  <si>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</si>
  <si>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</si>
  <si>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</si>
  <si>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</si>
  <si>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</si>
  <si>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</si>
  <si>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</si>
  <si>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</si>
  <si>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</si>
  <si>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</si>
  <si>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</si>
  <si>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</si>
  <si>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</si>
  <si>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</si>
  <si>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</si>
  <si>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</si>
  <si>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</si>
  <si>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</si>
  <si>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</si>
  <si>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</si>
  <si>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</si>
  <si>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</si>
  <si>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</si>
  <si>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</si>
  <si>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</si>
  <si>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</si>
  <si>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</si>
  <si>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</si>
  <si>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</si>
  <si>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</si>
  <si>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</si>
  <si>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</si>
  <si>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</si>
  <si>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</si>
  <si>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</si>
  <si>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</si>
  <si>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</si>
  <si>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</si>
  <si>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</si>
  <si>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</si>
  <si>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</si>
  <si>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</si>
  <si>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</si>
  <si>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</si>
  <si>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</si>
  <si>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</si>
  <si>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</si>
  <si>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</si>
  <si>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</si>
  <si>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</si>
  <si>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</si>
  <si>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</si>
  <si>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</si>
  <si>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</si>
  <si>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</si>
  <si>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</si>
  <si>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</si>
  <si>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</si>
  <si>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</si>
  <si>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</si>
  <si>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</si>
  <si>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</si>
  <si>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</si>
  <si>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</si>
  <si>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</si>
  <si>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</si>
  <si>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</si>
  <si>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</si>
  <si>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</si>
  <si>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</si>
  <si>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</si>
  <si>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</si>
  <si>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</si>
  <si>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</si>
  <si>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</si>
  <si>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</si>
  <si>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</si>
  <si>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</si>
  <si>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NL</t>
  </si>
  <si>
    <t>Netherlands</t>
  </si>
  <si>
    <t>NL - Services sector summary</t>
  </si>
  <si>
    <t>Macro.number.NL.Population</t>
  </si>
  <si>
    <t>Macro.Meuro2015.NL.GDP</t>
  </si>
  <si>
    <t>Macro.Meuro2015.NL.VA</t>
  </si>
  <si>
    <t>Macro.number.NL.Employees</t>
  </si>
  <si>
    <t>NUM.number.NL.Ser.Bld</t>
  </si>
  <si>
    <t>SurfaceArea.ksqm.NL.Ser.Bld</t>
  </si>
  <si>
    <t>NUM.number.NL.Ser.BldNew</t>
  </si>
  <si>
    <t>SurfaceArea.ksqm.NL.Ser.BldNew</t>
  </si>
  <si>
    <t>HDD.Celsius.NL.Actual</t>
  </si>
  <si>
    <t>HDD.Celsius.NL.Mean</t>
  </si>
  <si>
    <t>HDD.ratio.NL.Relative</t>
  </si>
  <si>
    <t>FEC.ktoe.NL.ES.Ser</t>
  </si>
  <si>
    <t>FEC.ktoe.NL.ES.Ser.Solids</t>
  </si>
  <si>
    <t>FEC.ktoe.NL.ES.Ser.LPG</t>
  </si>
  <si>
    <t>FEC.ktoe.NL.ES.Ser.Oil</t>
  </si>
  <si>
    <t>FEC.ktoe.NL.ES.Ser.NG</t>
  </si>
  <si>
    <t>FEC.ktoe.NL.ES.Ser.Biomass_Waste</t>
  </si>
  <si>
    <t>FEC.ktoe.NL.ES.Ser.Biogas</t>
  </si>
  <si>
    <t>FEC.ktoe.NL.ES.Ser.LiqBio</t>
  </si>
  <si>
    <t>FEC.ktoe.NL.ES.Ser.Solar</t>
  </si>
  <si>
    <t>FEC.ktoe.NL.ES.Ser.Geo</t>
  </si>
  <si>
    <t>FEC.ktoe.NL.ES.Ser.Ambient</t>
  </si>
  <si>
    <t>FEC.ktoe.NL.ES.Ser.Steam_Distr</t>
  </si>
  <si>
    <t>FEC.ktoe.NL.ES.Ser.Elec</t>
  </si>
  <si>
    <t>FEC.ktoe.NL.Ser</t>
  </si>
  <si>
    <t>FEC.ktoe.NL.Ser.Bld.Thermal</t>
  </si>
  <si>
    <t>FEC.ktoe.NL.Ser.Bld.Thermal.SH</t>
  </si>
  <si>
    <t>FEC.ktoe.NL.Ser.Bld.Thermal.SC</t>
  </si>
  <si>
    <t>FEC.ktoe.NL.Ser.Bld.Thermal.HW</t>
  </si>
  <si>
    <t>FEC.ktoe.NL.Ser.Bld.Thermal.CA</t>
  </si>
  <si>
    <t>FEC.ktoe.NL.Ser.SEU</t>
  </si>
  <si>
    <t>EMI.ktCO2.NL.ES.Ser</t>
  </si>
  <si>
    <t>EMI.ktCO2.NL.ES.Ser.Solids</t>
  </si>
  <si>
    <t>EMI.ktCO2.NL.ES.Ser.LPG</t>
  </si>
  <si>
    <t>EMI.ktCO2.NL.ES.Ser.Oil</t>
  </si>
  <si>
    <t>EMI.ktCO2.NL.ES.Ser.NG</t>
  </si>
  <si>
    <t>EMI.ktCO2.NL.ES.Ser.Biomass_Waste</t>
  </si>
  <si>
    <t>EMI.ktCO2.NL.ES.Ser.Biogas</t>
  </si>
  <si>
    <t>EMI.ktCO2.NL.ES.Ser.LiqBio</t>
  </si>
  <si>
    <t>EMI.ktCO2.NL.ES.Ser.Solar</t>
  </si>
  <si>
    <t>EMI.ktCO2.NL.ES.Ser.Geo</t>
  </si>
  <si>
    <t>EMI.ktCO2.NL.ES.Ser.Ambient</t>
  </si>
  <si>
    <t>EMI.ktCO2.NL.ES.Ser.Steam_Distr</t>
  </si>
  <si>
    <t>EMI.ktCO2.NL.ES.Ser.Elec</t>
  </si>
  <si>
    <t>EMI.ktCO2.NL.Ser</t>
  </si>
  <si>
    <t>EMI.ktCO2.NL.Ser.Bld.Thermal</t>
  </si>
  <si>
    <t>EMI.ktCO2.NL.Ser.Bld.Thermal.SH</t>
  </si>
  <si>
    <t>EMI.ktCO2.NL.Ser.Bld.Thermal.SC</t>
  </si>
  <si>
    <t>EMI.ktCO2.NL.Ser.Bld.Thermal.HW</t>
  </si>
  <si>
    <t>EMI.ktCO2.NL.Ser.Bld.Thermal.CA</t>
  </si>
  <si>
    <t>EMI.ktCO2.NL.Ser.SEU</t>
  </si>
  <si>
    <t>Eff.ratio.NL.Ser.Bld.Thermal</t>
  </si>
  <si>
    <t>Eff.ratio.NL.Ser.Bld.Thermal.SH</t>
  </si>
  <si>
    <t>Eff.ratio.NL.Ser.Bld.Thermal.SC</t>
  </si>
  <si>
    <t>Eff.ratio.NL.Ser.Bld.Thermal.HW</t>
  </si>
  <si>
    <t>Eff.ratio.NL.Ser.Bld.Thermal.CA</t>
  </si>
  <si>
    <t>NL - Number of buildings</t>
  </si>
  <si>
    <t>NUM.number.NL.Ser.Bld.Thermal</t>
  </si>
  <si>
    <t>NUM.number.NL.Ser.Bld.Thermal.SH</t>
  </si>
  <si>
    <t>NUM.number.NL.Ser.Bld.Thermal.SH.Solids</t>
  </si>
  <si>
    <t>NUM.number.NL.Ser.Bld.Thermal.SH.LPG</t>
  </si>
  <si>
    <t>NUM.number.NL.Ser.Bld.Thermal.SH.Oil</t>
  </si>
  <si>
    <t>NUM.number.NL.Ser.Bld.Thermal.SH.GasHP</t>
  </si>
  <si>
    <t>NUM.number.NL.Ser.Bld.Thermal.SH.GasTH</t>
  </si>
  <si>
    <t>NUM.number.NL.Ser.Bld.Thermal.SH.Biomass</t>
  </si>
  <si>
    <t>NUM.number.NL.Ser.Bld.Thermal.SH.Geo</t>
  </si>
  <si>
    <t>NUM.number.NL.Ser.Bld.Thermal.SH.DistrHeat</t>
  </si>
  <si>
    <t>NUM.number.NL.Ser.Bld.Thermal.SH.AdvElc</t>
  </si>
  <si>
    <t>NUM.number.NL.Ser.Bld.Thermal.SH.ConvElc</t>
  </si>
  <si>
    <t>NUM.number.NL.Ser.Bld.Thermal.SC</t>
  </si>
  <si>
    <t>NUM.number.NL.Ser.Bld.Thermal.SC.GasHP</t>
  </si>
  <si>
    <t>NUM.number.NL.Ser.Bld.Thermal.SC.AC</t>
  </si>
  <si>
    <t>NUM.number.NL.Ser.Bld.Thermal.HW</t>
  </si>
  <si>
    <t>NUM.number.NL.Ser.Bld.Thermal.HW.Solids</t>
  </si>
  <si>
    <t>NUM.number.NL.Ser.Bld.Thermal.HW.LPG</t>
  </si>
  <si>
    <t>NUM.number.NL.Ser.Bld.Thermal.HW.Oil</t>
  </si>
  <si>
    <t>NUM.number.NL.Ser.Bld.Thermal.HW.Gas</t>
  </si>
  <si>
    <t>NUM.number.NL.Ser.Bld.Thermal.HW.Biomass</t>
  </si>
  <si>
    <t>NUM.number.NL.Ser.Bld.Thermal.HW.DistrHeat</t>
  </si>
  <si>
    <t>NUM.number.NL.Ser.Bld.Thermal.HW.Elc</t>
  </si>
  <si>
    <t>NUM.number.NL.Ser.Bld.Thermal.HW.Solar</t>
  </si>
  <si>
    <t>NUM.number.NL.Ser.Bld.Thermal.CA</t>
  </si>
  <si>
    <t>NUM.number.NL.Ser.Bld.Thermal.CA.LPG</t>
  </si>
  <si>
    <t>NUM.number.NL.Ser.Bld.Thermal.CA.Gas</t>
  </si>
  <si>
    <t>NUM.number.NL.Ser.Bld.Thermal.CA.Biomass</t>
  </si>
  <si>
    <t>NUM.number.NL.Ser.Bld.Thermal.CA.Elc</t>
  </si>
  <si>
    <t>NL - Final energy consumption</t>
  </si>
  <si>
    <t>FEC.ktoe.NL.Ser.Bld.Thermal.SH.Solids.Solids</t>
  </si>
  <si>
    <t>FEC.ktoe.NL.Ser.Bld.Thermal.SH.LPG.LPG</t>
  </si>
  <si>
    <t>FEC.ktoe.NL.Ser.Bld.Thermal.SH.Oil.Oil_LiqBio</t>
  </si>
  <si>
    <t>FEC.ktoe.NL.Ser.Bld.Thermal.SH.GasHP.NG_Biogas</t>
  </si>
  <si>
    <t>FEC.ktoe.NL.Ser.Bld.Thermal.SH.GasTH.NG_Biogas</t>
  </si>
  <si>
    <t>FEC.ktoe.NL.Ser.Bld.Thermal.SH.Biomass.Biomass_Waste</t>
  </si>
  <si>
    <t>FEC.ktoe.NL.Ser.Bld.Thermal.SH.Geo.Geo</t>
  </si>
  <si>
    <t>FEC.ktoe.NL.Ser.Bld.Thermal.SH.DistrHeat.Steam_Distr</t>
  </si>
  <si>
    <t>FEC.ktoe.NL.Ser.Bld.Thermal.SH.AdvElc.Elec</t>
  </si>
  <si>
    <t>FEC.ktoe.NL.Ser.Bld.Thermal.SH.ConvElc.Elec</t>
  </si>
  <si>
    <t>FEC.ktoe.NL.Ser.Bld.Thermal.SH.TotalCirculation.Elec</t>
  </si>
  <si>
    <t>FEC.ktoe.NL.Ser.Bld.Thermal.SC.GasHP.NG_Biogas</t>
  </si>
  <si>
    <t>FEC.ktoe.NL.Ser.Bld.Thermal.SC.AC.Elec</t>
  </si>
  <si>
    <t>FEC.ktoe.NL.Ser.Bld.Thermal.HW.Solids.Solids</t>
  </si>
  <si>
    <t>FEC.ktoe.NL.Ser.Bld.Thermal.HW.LPG.LPG</t>
  </si>
  <si>
    <t>FEC.ktoe.NL.Ser.Bld.Thermal.HW.Oil.Oil_LiqBio</t>
  </si>
  <si>
    <t>FEC.ktoe.NL.Ser.Bld.Thermal.HW.Gas.NG_Biogas</t>
  </si>
  <si>
    <t>FEC.ktoe.NL.Ser.Bld.Thermal.HW.Biomass.Biomass_Waste</t>
  </si>
  <si>
    <t>FEC.ktoe.NL.Ser.Bld.Thermal.HW.DistrHeat.Steam_Distr</t>
  </si>
  <si>
    <t>FEC.ktoe.NL.Ser.Bld.Thermal.HW.Elc.Elec</t>
  </si>
  <si>
    <t>FEC.ktoe.NL.Ser.Bld.Thermal.HW.TotalSolar.Solar</t>
  </si>
  <si>
    <t>FEC.ktoe.NL.Ser.Bld.Thermal.CA.LPG</t>
  </si>
  <si>
    <t>FEC.ktoe.NL.Ser.Bld.Thermal.CA.Gas.NG_Biogas</t>
  </si>
  <si>
    <t>FEC.ktoe.NL.Ser.Bld.Thermal.CA.Biomass.Biomass_Waste</t>
  </si>
  <si>
    <t>FEC.ktoe.NL.Ser.Bld.Thermal.CA.Elc.Elec</t>
  </si>
  <si>
    <t>NL - Thermal energy service</t>
  </si>
  <si>
    <t>TES.ktoe.NL.Ser.Bld.Thermal</t>
  </si>
  <si>
    <t>TES.ktoe.NL.Ser.Bld.Thermal.SH</t>
  </si>
  <si>
    <t>TES.ktoe.NL.Ser.Bld.Thermal.SH.Solids.Solids</t>
  </si>
  <si>
    <t>TES.ktoe.NL.Ser.Bld.Thermal.SH.LPG.LPG</t>
  </si>
  <si>
    <t>TES.ktoe.NL.Ser.Bld.Thermal.SH.Oil.Oil_LiqBio</t>
  </si>
  <si>
    <t>TES.ktoe.NL.Ser.Bld.Thermal.SH.GasHP.NG_Biogas</t>
  </si>
  <si>
    <t>TES.ktoe.NL.Ser.Bld.Thermal.SH.GasTH.NG_Biogas</t>
  </si>
  <si>
    <t>TES.ktoe.NL.Ser.Bld.Thermal.SH.Biomass.Biomass_Waste</t>
  </si>
  <si>
    <t>TES.ktoe.NL.Ser.Bld.Thermal.SH.Geo.Geo</t>
  </si>
  <si>
    <t>TES.ktoe.NL.Ser.Bld.Thermal.SH.DistrHeat.Steam_Distr</t>
  </si>
  <si>
    <t>TES.ktoe.NL.Ser.Bld.Thermal.SH.AdvElc.Elec</t>
  </si>
  <si>
    <t>TES.ktoe.NL.Ser.Bld.Thermal.SH.ConvElc.Elec</t>
  </si>
  <si>
    <t>TES.ktoe.NL.Ser.Bld.Thermal.SH.TotalCirculation.Elec</t>
  </si>
  <si>
    <t>TES.ktoe.NL.Ser.Bld.Thermal.SC</t>
  </si>
  <si>
    <t>TES.ktoe.NL.Ser.Bld.Thermal.SC.GasHP.NG_Biogas</t>
  </si>
  <si>
    <t>TES.ktoe.NL.Ser.Bld.Thermal.SC.AC.Elec</t>
  </si>
  <si>
    <t>TES.ktoe.NL.Ser.Bld.Thermal.HW</t>
  </si>
  <si>
    <t>TES.ktoe.NL.Ser.Bld.Thermal.HW.Solids.Solids</t>
  </si>
  <si>
    <t>TES.ktoe.NL.Ser.Bld.Thermal.HW.LPG.LPG</t>
  </si>
  <si>
    <t>TES.ktoe.NL.Ser.Bld.Thermal.HW.Oil.Oil_LiqBio</t>
  </si>
  <si>
    <t>TES.ktoe.NL.Ser.Bld.Thermal.HW.Gas.NG_Biogas</t>
  </si>
  <si>
    <t>TES.ktoe.NL.Ser.Bld.Thermal.HW.Biomass.Biomass_Waste</t>
  </si>
  <si>
    <t>TES.ktoe.NL.Ser.Bld.Thermal.HW.DistrHeat.Steam_Distr</t>
  </si>
  <si>
    <t>TES.ktoe.NL.Ser.Bld.Thermal.HW.Elc.Elec</t>
  </si>
  <si>
    <t>TES.ktoe.NL.Ser.Bld.Thermal.HW.TotalSolar.Solar</t>
  </si>
  <si>
    <t>TES.ktoe.NL.Ser.Bld.Thermal.CA</t>
  </si>
  <si>
    <t>TES.ktoe.NL.Ser.Bld.Thermal.CA.LPG</t>
  </si>
  <si>
    <t>TES.ktoe.NL.Ser.Bld.Thermal.CA.Gas.NG_Biogas</t>
  </si>
  <si>
    <t>TES.ktoe.NL.Ser.Bld.Thermal.CA.Biomass.Biomass_Waste</t>
  </si>
  <si>
    <t>TES.ktoe.NL.Ser.Bld.Thermal.CA.Elc.Elec</t>
  </si>
  <si>
    <t>NL - System efficiency indicator of total stock</t>
  </si>
  <si>
    <t>Eff.ratio.NL.Ser.Bld.Thermal.SH.Solids.Solids</t>
  </si>
  <si>
    <t>Eff.ratio.NL.Ser.Bld.Thermal.SH.LPG.LPG</t>
  </si>
  <si>
    <t>Eff.ratio.NL.Ser.Bld.Thermal.SH.Oil.Oil_LiqBio</t>
  </si>
  <si>
    <t>Eff.ratio.NL.Ser.Bld.Thermal.SH.GasHP.NG_Biogas</t>
  </si>
  <si>
    <t>Eff.ratio.NL.Ser.Bld.Thermal.SH.GasTH.NG_Biogas</t>
  </si>
  <si>
    <t>Eff.ratio.NL.Ser.Bld.Thermal.SH.Biomass.Biomass_Waste</t>
  </si>
  <si>
    <t>Eff.ratio.NL.Ser.Bld.Thermal.SH.Geo.Geo</t>
  </si>
  <si>
    <t>Eff.ratio.NL.Ser.Bld.Thermal.SH.DistrHeat.Steam_Distr</t>
  </si>
  <si>
    <t>Eff.ratio.NL.Ser.Bld.Thermal.SH.AdvElc.Elec</t>
  </si>
  <si>
    <t>Eff.ratio.NL.Ser.Bld.Thermal.SH.ConvElc.Elec</t>
  </si>
  <si>
    <t>Eff.ratio.NL.Ser.Bld.Thermal.SH.TotalCirculation.Elec</t>
  </si>
  <si>
    <t>Eff.ratio.NL.Ser.Bld.Thermal.SC.GasHP.NG_Biogas</t>
  </si>
  <si>
    <t>Eff.ratio.NL.Ser.Bld.Thermal.SC.AC.Elec</t>
  </si>
  <si>
    <t>Eff.ratio.NL.Ser.Bld.Thermal.HW.Solids.Solids</t>
  </si>
  <si>
    <t>Eff.ratio.NL.Ser.Bld.Thermal.HW.LPG.LPG</t>
  </si>
  <si>
    <t>Eff.ratio.NL.Ser.Bld.Thermal.HW.Oil.Oil_LiqBio</t>
  </si>
  <si>
    <t>Eff.ratio.NL.Ser.Bld.Thermal.HW.Gas.NG_Biogas</t>
  </si>
  <si>
    <t>Eff.ratio.NL.Ser.Bld.Thermal.HW.Biomass.Biomass_Waste</t>
  </si>
  <si>
    <t>Eff.ratio.NL.Ser.Bld.Thermal.HW.DistrHeat.Steam_Distr</t>
  </si>
  <si>
    <t>Eff.ratio.NL.Ser.Bld.Thermal.HW.Elc.Elec</t>
  </si>
  <si>
    <t>Eff.ratio.NL.Ser.Bld.Thermal.HW.TotalSolar.Solar</t>
  </si>
  <si>
    <t>Eff.ratio.NL.Ser.Bld.Thermal.CA.LPG</t>
  </si>
  <si>
    <t>Eff.ratio.NL.Ser.Bld.Thermal.CA.Gas.NG_Biogas</t>
  </si>
  <si>
    <t>Eff.ratio.NL.Ser.Bld.Thermal.CA.Biomass.Biomass_Waste</t>
  </si>
  <si>
    <t>Eff.ratio.NL.Ser.Bld.Thermal.CA.Elc.Elec</t>
  </si>
  <si>
    <t>NL - CO2 emissions</t>
  </si>
  <si>
    <t>EMI.ktCO2.NL.Ser.Bld.Thermal.SH.Solids.Solids</t>
  </si>
  <si>
    <t>EMI.ktCO2.NL.Ser.Bld.Thermal.SH.LPG.LPG</t>
  </si>
  <si>
    <t>EMI.ktCO2.NL.Ser.Bld.Thermal.SH.Oil.Oil_LiqBio</t>
  </si>
  <si>
    <t>EMI.ktCO2.NL.Ser.Bld.Thermal.SH.GasHP.NG_Biogas</t>
  </si>
  <si>
    <t>EMI.ktCO2.NL.Ser.Bld.Thermal.SH.GasTH.NG_Biogas</t>
  </si>
  <si>
    <t>EMI.ktCO2.NL.Ser.Bld.Thermal.SH.Biomass.Biomass_Waste</t>
  </si>
  <si>
    <t>EMI.ktCO2.NL.Ser.Bld.Thermal.SH.Geo.Geo</t>
  </si>
  <si>
    <t>EMI.ktCO2.NL.Ser.Bld.Thermal.SH.DistrHeat.Steam_Distr</t>
  </si>
  <si>
    <t>EMI.ktCO2.NL.Ser.Bld.Thermal.SH.AdvElc.Elec</t>
  </si>
  <si>
    <t>EMI.ktCO2.NL.Ser.Bld.Thermal.SH.ConvElc.Elec</t>
  </si>
  <si>
    <t>EMI.ktCO2.NL.Ser.Bld.Thermal.SH.TotalCirculation.Elec</t>
  </si>
  <si>
    <t>EMI.ktCO2.NL.Ser.Bld.Thermal.SC.GasHP.NG_Biogas</t>
  </si>
  <si>
    <t>EMI.ktCO2.NL.Ser.Bld.Thermal.SC.AC.Elec</t>
  </si>
  <si>
    <t>EMI.ktCO2.NL.Ser.Bld.Thermal.HW.Solids.Solids</t>
  </si>
  <si>
    <t>EMI.ktCO2.NL.Ser.Bld.Thermal.HW.LPG.LPG</t>
  </si>
  <si>
    <t>EMI.ktCO2.NL.Ser.Bld.Thermal.HW.Oil.Oil_LiqBio</t>
  </si>
  <si>
    <t>EMI.ktCO2.NL.Ser.Bld.Thermal.HW.Gas.NG_Biogas</t>
  </si>
  <si>
    <t>EMI.ktCO2.NL.Ser.Bld.Thermal.HW.Biomass.Biomass_Waste</t>
  </si>
  <si>
    <t>EMI.ktCO2.NL.Ser.Bld.Thermal.HW.DistrHeat.Steam_Distr</t>
  </si>
  <si>
    <t>EMI.ktCO2.NL.Ser.Bld.Thermal.HW.Elc.Elec</t>
  </si>
  <si>
    <t>EMI.ktCO2.NL.Ser.Bld.Thermal.HW.TotalSolar.Solar</t>
  </si>
  <si>
    <t>EMI.ktCO2.NL.Ser.Bld.Thermal.CA.LPG</t>
  </si>
  <si>
    <t>EMI.ktCO2.NL.Ser.Bld.Thermal.CA.Gas.NG_Biogas</t>
  </si>
  <si>
    <t>EMI.ktCO2.NL.Ser.Bld.Thermal.CA.Biomass.Biomass_Waste</t>
  </si>
  <si>
    <t>EMI.ktCO2.NL.Ser.Bld.Thermal.CA.Elc.Elec</t>
  </si>
  <si>
    <t>NL - Final energy consumption per building</t>
  </si>
  <si>
    <t>FEC_per_building.kWh.NL.Ser.Bld.Thermal</t>
  </si>
  <si>
    <t>FEC_per_building.kWh.NL.Ser.Bld.Thermal.SH</t>
  </si>
  <si>
    <t>FEC_per_building.kWh.NL.Ser.Bld.Thermal.SH.Solids.Solids</t>
  </si>
  <si>
    <t>FEC_per_building.kWh.NL.Ser.Bld.Thermal.SH.LPG.LPG</t>
  </si>
  <si>
    <t>FEC_per_building.kWh.NL.Ser.Bld.Thermal.SH.Oil.Oil_LiqBio</t>
  </si>
  <si>
    <t>FEC_per_building.kWh.NL.Ser.Bld.Thermal.SH.GasHP.NG_Biogas</t>
  </si>
  <si>
    <t>FEC_per_building.kWh.NL.Ser.Bld.Thermal.SH.GasTH.NG_Biogas</t>
  </si>
  <si>
    <t>FEC_per_building.kWh.NL.Ser.Bld.Thermal.SH.Biomass.Biomass_Waste</t>
  </si>
  <si>
    <t>FEC_per_building.kWh.NL.Ser.Bld.Thermal.SH.Geo.Geo</t>
  </si>
  <si>
    <t>FEC_per_building.kWh.NL.Ser.Bld.Thermal.SH.DistrHeat.Steam_Distr</t>
  </si>
  <si>
    <t>FEC_per_building.kWh.NL.Ser.Bld.Thermal.SH.AdvElc.Elec</t>
  </si>
  <si>
    <t>FEC_per_building.kWh.NL.Ser.Bld.Thermal.SH.ConvElc.Elec</t>
  </si>
  <si>
    <t>FEC_per_building.kWh.NL.Ser.Bld.Thermal.SH.TotalCirculation.Elec</t>
  </si>
  <si>
    <t>FEC_per_building.kWh.NL.Ser.Bld.Thermal.SC</t>
  </si>
  <si>
    <t>FEC_per_building.kWh.NL.Ser.Bld.Thermal.SC.GasHP.NG_Biogas</t>
  </si>
  <si>
    <t>FEC_per_building.kWh.NL.Ser.Bld.Thermal.SC.AC.Elec</t>
  </si>
  <si>
    <t>FEC_per_building.kWh.NL.Ser.Bld.Thermal.HW</t>
  </si>
  <si>
    <t>FEC_per_building.kWh.NL.Ser.Bld.Thermal.HW.Solids.Solids</t>
  </si>
  <si>
    <t>FEC_per_building.kWh.NL.Ser.Bld.Thermal.HW.LPG.LPG</t>
  </si>
  <si>
    <t>FEC_per_building.kWh.NL.Ser.Bld.Thermal.HW.Oil.Oil_LiqBio</t>
  </si>
  <si>
    <t>FEC_per_building.kWh.NL.Ser.Bld.Thermal.HW.Gas.NG_Biogas</t>
  </si>
  <si>
    <t>FEC_per_building.kWh.NL.Ser.Bld.Thermal.HW.Biomass.Biomass_Waste</t>
  </si>
  <si>
    <t>FEC_per_building.kWh.NL.Ser.Bld.Thermal.HW.DistrHeat.Steam_Distr</t>
  </si>
  <si>
    <t>FEC_per_building.kWh.NL.Ser.Bld.Thermal.HW.Elc.Elec</t>
  </si>
  <si>
    <t>FEC_per_building.kWh.NL.Ser.Bld.Thermal.HW.TotalSolar.Solar</t>
  </si>
  <si>
    <t>FEC_per_building.kWh.NL.Ser.Bld.Thermal.CA</t>
  </si>
  <si>
    <t>FEC_per_building.kWh.NL.Ser.Bld.Thermal.CA.LPG</t>
  </si>
  <si>
    <t>FEC_per_building.kWh.NL.Ser.Bld.Thermal.CA.Gas.NG_Biogas</t>
  </si>
  <si>
    <t>FEC_per_building.kWh.NL.Ser.Bld.Thermal.CA.Biomass.Biomass_Waste</t>
  </si>
  <si>
    <t>FEC_per_building.kWh.NL.Ser.Bld.Thermal.CA.Elc.Elec</t>
  </si>
  <si>
    <t>NL - Thermal energy service per building</t>
  </si>
  <si>
    <t>TES_per_building.kWh.NL.Ser.Bld.Thermal</t>
  </si>
  <si>
    <t>TES_per_building.kWh.NL.Ser.Bld.Thermal.SH</t>
  </si>
  <si>
    <t>TES_per_building.kWh.NL.Ser.Bld.Thermal.SH.Solids.Solids</t>
  </si>
  <si>
    <t>TES_per_building.kWh.NL.Ser.Bld.Thermal.SH.LPG.LPG</t>
  </si>
  <si>
    <t>TES_per_building.kWh.NL.Ser.Bld.Thermal.SH.Oil.Oil_LiqBio</t>
  </si>
  <si>
    <t>TES_per_building.kWh.NL.Ser.Bld.Thermal.SH.GasHP.NG_Biogas</t>
  </si>
  <si>
    <t>TES_per_building.kWh.NL.Ser.Bld.Thermal.SH.GasTH.NG_Biogas</t>
  </si>
  <si>
    <t>TES_per_building.kWh.NL.Ser.Bld.Thermal.SH.Biomass.Biomass_Waste</t>
  </si>
  <si>
    <t>TES_per_building.kWh.NL.Ser.Bld.Thermal.SH.Geo.Geo</t>
  </si>
  <si>
    <t>TES_per_building.kWh.NL.Ser.Bld.Thermal.SH.DistrHeat.Steam_Distr</t>
  </si>
  <si>
    <t>TES_per_building.kWh.NL.Ser.Bld.Thermal.SH.AdvElc.Elec</t>
  </si>
  <si>
    <t>TES_per_building.kWh.NL.Ser.Bld.Thermal.SH.ConvElc.Elec</t>
  </si>
  <si>
    <t>TES_per_building.kWh.NL.Ser.Bld.Thermal.SH.TotalCirculation.Elec</t>
  </si>
  <si>
    <t>TES_per_building.kWh.NL.Ser.Bld.Thermal.SC</t>
  </si>
  <si>
    <t>TES_per_building.kWh.NL.Ser.Bld.Thermal.SC.GasHP.NG_Biogas</t>
  </si>
  <si>
    <t>TES_per_building.kWh.NL.Ser.Bld.Thermal.SC.AC.Elec</t>
  </si>
  <si>
    <t>TES_per_building.kWh.NL.Ser.Bld.Thermal.HW</t>
  </si>
  <si>
    <t>TES_per_building.kWh.NL.Ser.Bld.Thermal.HW.Solids.Solids</t>
  </si>
  <si>
    <t>TES_per_building.kWh.NL.Ser.Bld.Thermal.HW.LPG.LPG</t>
  </si>
  <si>
    <t>TES_per_building.kWh.NL.Ser.Bld.Thermal.HW.Oil.Oil_LiqBio</t>
  </si>
  <si>
    <t>TES_per_building.kWh.NL.Ser.Bld.Thermal.HW.Gas.NG_Biogas</t>
  </si>
  <si>
    <t>TES_per_building.kWh.NL.Ser.Bld.Thermal.HW.Biomass.Biomass_Waste</t>
  </si>
  <si>
    <t>TES_per_building.kWh.NL.Ser.Bld.Thermal.HW.DistrHeat.Steam_Distr</t>
  </si>
  <si>
    <t>TES_per_building.kWh.NL.Ser.Bld.Thermal.HW.Elc.Elec</t>
  </si>
  <si>
    <t>TES_per_building.kWh.NL.Ser.Bld.Thermal.HW.TotalSolar.Solar</t>
  </si>
  <si>
    <t>TES_per_building.kWh.NL.Ser.Bld.Thermal.CA</t>
  </si>
  <si>
    <t>TES_per_building.kWh.NL.Ser.Bld.Thermal.CA.LPG</t>
  </si>
  <si>
    <t>TES_per_building.kWh.NL.Ser.Bld.Thermal.CA.Gas.NG_Biogas</t>
  </si>
  <si>
    <t>TES_per_building.kWh.NL.Ser.Bld.Thermal.CA.Biomass.Biomass_Waste</t>
  </si>
  <si>
    <t>TES_per_building.kWh.NL.Ser.Bld.Thermal.CA.Elc.Elec</t>
  </si>
  <si>
    <t>NL - CO2 emissions per building</t>
  </si>
  <si>
    <t>EMI_per_building.kgCO2.NL.Ser.Bld.Thermal</t>
  </si>
  <si>
    <t>EMI_per_building.kgCO2.NL.Ser.Bld.Thermal.SH</t>
  </si>
  <si>
    <t>EMI_per_building.kgCO2.NL.Ser.Bld.Thermal.SH.Solids.Solids</t>
  </si>
  <si>
    <t>EMI_per_building.kgCO2.NL.Ser.Bld.Thermal.SH.LPG.LPG</t>
  </si>
  <si>
    <t>EMI_per_building.kgCO2.NL.Ser.Bld.Thermal.SH.Oil.Oil_LiqBio</t>
  </si>
  <si>
    <t>EMI_per_building.kgCO2.NL.Ser.Bld.Thermal.SH.GasHP.NG_Biogas</t>
  </si>
  <si>
    <t>EMI_per_building.kgCO2.NL.Ser.Bld.Thermal.SH.GasTH.NG_Biogas</t>
  </si>
  <si>
    <t>EMI_per_building.kgCO2.NL.Ser.Bld.Thermal.SH.Biomass.Biomass_Waste</t>
  </si>
  <si>
    <t>EMI_per_building.kgCO2.NL.Ser.Bld.Thermal.SH.Geo.Geo</t>
  </si>
  <si>
    <t>EMI_per_building.kgCO2.NL.Ser.Bld.Thermal.SH.DistrHeat.Steam_Distr</t>
  </si>
  <si>
    <t>EMI_per_building.kgCO2.NL.Ser.Bld.Thermal.SH.AdvElc.Elec</t>
  </si>
  <si>
    <t>EMI_per_building.kgCO2.NL.Ser.Bld.Thermal.SH.ConvElc.Elec</t>
  </si>
  <si>
    <t>EMI_per_building.kgCO2.NL.Ser.Bld.Thermal.SH.TotalCirculation.Elec</t>
  </si>
  <si>
    <t>EMI_per_building.kgCO2.NL.Ser.Bld.Thermal.SC</t>
  </si>
  <si>
    <t>EMI_per_building.kgCO2.NL.Ser.Bld.Thermal.SC.GasHP.NG_Biogas</t>
  </si>
  <si>
    <t>EMI_per_building.kgCO2.NL.Ser.Bld.Thermal.SC.AC.Elec</t>
  </si>
  <si>
    <t>EMI_per_building.kgCO2.NL.Ser.Bld.Thermal.HW</t>
  </si>
  <si>
    <t>EMI_per_building.kgCO2.NL.Ser.Bld.Thermal.HW.Solids.Solids</t>
  </si>
  <si>
    <t>EMI_per_building.kgCO2.NL.Ser.Bld.Thermal.HW.LPG.LPG</t>
  </si>
  <si>
    <t>EMI_per_building.kgCO2.NL.Ser.Bld.Thermal.HW.Oil.Oil_LiqBio</t>
  </si>
  <si>
    <t>EMI_per_building.kgCO2.NL.Ser.Bld.Thermal.HW.Gas.NG_Biogas</t>
  </si>
  <si>
    <t>EMI_per_building.kgCO2.NL.Ser.Bld.Thermal.HW.Biomass.Biomass_Waste</t>
  </si>
  <si>
    <t>EMI_per_building.kgCO2.NL.Ser.Bld.Thermal.HW.DistrHeat.Steam_Distr</t>
  </si>
  <si>
    <t>EMI_per_building.kgCO2.NL.Ser.Bld.Thermal.HW.Elc.Elec</t>
  </si>
  <si>
    <t>EMI_per_building.kgCO2.NL.Ser.Bld.Thermal.HW.TotalSolar.Solar</t>
  </si>
  <si>
    <t>EMI_per_building.kgCO2.NL.Ser.Bld.Thermal.CA</t>
  </si>
  <si>
    <t>EMI_per_building.kgCO2.NL.Ser.Bld.Thermal.CA.LPG</t>
  </si>
  <si>
    <t>EMI_per_building.kgCO2.NL.Ser.Bld.Thermal.CA.Gas.NG_Biogas</t>
  </si>
  <si>
    <t>EMI_per_building.kgCO2.NL.Ser.Bld.Thermal.CA.Biomass.Biomass_Waste</t>
  </si>
  <si>
    <t>EMI_per_building.kgCO2.NL.Ser.Bld.Thermal.CA.Elc.Elec</t>
  </si>
  <si>
    <t>NL - Final energy consumption per useful surface area</t>
  </si>
  <si>
    <t>FEC_per_sqm.kWh.NL.Ser.Bld.Thermal</t>
  </si>
  <si>
    <t>FEC_per_sqm.kWh.NL.Ser.Bld.Thermal.SH</t>
  </si>
  <si>
    <t>FEC_per_sqm.kWh.NL.Ser.Bld.Thermal.SH.Solids.Solids</t>
  </si>
  <si>
    <t>FEC_per_sqm.kWh.NL.Ser.Bld.Thermal.SH.LPG.LPG</t>
  </si>
  <si>
    <t>FEC_per_sqm.kWh.NL.Ser.Bld.Thermal.SH.Oil.Oil_LiqBio</t>
  </si>
  <si>
    <t>FEC_per_sqm.kWh.NL.Ser.Bld.Thermal.SH.GasHP.NG_Biogas</t>
  </si>
  <si>
    <t>FEC_per_sqm.kWh.NL.Ser.Bld.Thermal.SH.GasTH.NG_Biogas</t>
  </si>
  <si>
    <t>FEC_per_sqm.kWh.NL.Ser.Bld.Thermal.SH.Biomass.Biomass_Waste</t>
  </si>
  <si>
    <t>FEC_per_sqm.kWh.NL.Ser.Bld.Thermal.SH.Geo.Geo</t>
  </si>
  <si>
    <t>FEC_per_sqm.kWh.NL.Ser.Bld.Thermal.SH.DistrHeat.Steam_Distr</t>
  </si>
  <si>
    <t>FEC_per_sqm.kWh.NL.Ser.Bld.Thermal.SH.AdvElc.Elec</t>
  </si>
  <si>
    <t>FEC_per_sqm.kWh.NL.Ser.Bld.Thermal.SH.ConvElc.Elec</t>
  </si>
  <si>
    <t>FEC_per_sqm.kWh.NL.Ser.Bld.Thermal.SH.TotalCirculation.Elec</t>
  </si>
  <si>
    <t>FEC_per_sqm.kWh.NL.Ser.Bld.Thermal.SC</t>
  </si>
  <si>
    <t>FEC_per_sqm.kWh.NL.Ser.Bld.Thermal.SC.GasHP.NG_Biogas</t>
  </si>
  <si>
    <t>FEC_per_sqm.kWh.NL.Ser.Bld.Thermal.SC.AC.Elec</t>
  </si>
  <si>
    <t>FEC_per_sqm.kWh.NL.Ser.Bld.Thermal.HW</t>
  </si>
  <si>
    <t>FEC_per_sqm.kWh.NL.Ser.Bld.Thermal.HW.Solids.Solids</t>
  </si>
  <si>
    <t>FEC_per_sqm.kWh.NL.Ser.Bld.Thermal.HW.LPG.LPG</t>
  </si>
  <si>
    <t>FEC_per_sqm.kWh.NL.Ser.Bld.Thermal.HW.Oil.Oil_LiqBio</t>
  </si>
  <si>
    <t>FEC_per_sqm.kWh.NL.Ser.Bld.Thermal.HW.Gas.NG_Biogas</t>
  </si>
  <si>
    <t>FEC_per_sqm.kWh.NL.Ser.Bld.Thermal.HW.Biomass.Biomass_Waste</t>
  </si>
  <si>
    <t>FEC_per_sqm.kWh.NL.Ser.Bld.Thermal.HW.DistrHeat.Steam_Distr</t>
  </si>
  <si>
    <t>FEC_per_sqm.kWh.NL.Ser.Bld.Thermal.HW.Elc.Elec</t>
  </si>
  <si>
    <t>FEC_per_sqm.kWh.NL.Ser.Bld.Thermal.HW.TotalSolar.Solar</t>
  </si>
  <si>
    <t>FEC_per_sqm.kWh.NL.Ser.Bld.Thermal.CA</t>
  </si>
  <si>
    <t>FEC_per_sqm.kWh.NL.Ser.Bld.Thermal.CA.LPG</t>
  </si>
  <si>
    <t>FEC_per_sqm.kWh.NL.Ser.Bld.Thermal.CA.Gas.NG_Biogas</t>
  </si>
  <si>
    <t>FEC_per_sqm.kWh.NL.Ser.Bld.Thermal.CA.Biomass.Biomass_Waste</t>
  </si>
  <si>
    <t>FEC_per_sqm.kWh.NL.Ser.Bld.Thermal.CA.Elc.Elec</t>
  </si>
  <si>
    <t>NL - Thermal energy service per useful surface area</t>
  </si>
  <si>
    <t>TES_per_sqm.kWh.NL.Ser.Bld.Thermal</t>
  </si>
  <si>
    <t>TES_per_sqm.kWh.NL.Ser.Bld.Thermal.SH</t>
  </si>
  <si>
    <t>TES_per_sqm.kWh.NL.Ser.Bld.Thermal.SH.Solids.Solids</t>
  </si>
  <si>
    <t>TES_per_sqm.kWh.NL.Ser.Bld.Thermal.SH.LPG.LPG</t>
  </si>
  <si>
    <t>TES_per_sqm.kWh.NL.Ser.Bld.Thermal.SH.Oil.Oil_LiqBio</t>
  </si>
  <si>
    <t>TES_per_sqm.kWh.NL.Ser.Bld.Thermal.SH.GasHP.NG_Biogas</t>
  </si>
  <si>
    <t>TES_per_sqm.kWh.NL.Ser.Bld.Thermal.SH.GasTH.NG_Biogas</t>
  </si>
  <si>
    <t>TES_per_sqm.kWh.NL.Ser.Bld.Thermal.SH.Biomass.Biomass_Waste</t>
  </si>
  <si>
    <t>TES_per_sqm.kWh.NL.Ser.Bld.Thermal.SH.Geo.Geo</t>
  </si>
  <si>
    <t>TES_per_sqm.kWh.NL.Ser.Bld.Thermal.SH.DistrHeat.Steam_Distr</t>
  </si>
  <si>
    <t>TES_per_sqm.kWh.NL.Ser.Bld.Thermal.SH.AdvElc.Elec</t>
  </si>
  <si>
    <t>TES_per_sqm.kWh.NL.Ser.Bld.Thermal.SH.ConvElc.Elec</t>
  </si>
  <si>
    <t>TES_per_sqm.kWh.NL.Ser.Bld.Thermal.SH.TotalCirculation.Elec</t>
  </si>
  <si>
    <t>TES_per_sqm.kWh.NL.Ser.Bld.Thermal.SC</t>
  </si>
  <si>
    <t>TES_per_sqm.kWh.NL.Ser.Bld.Thermal.SC.GasHP.NG_Biogas</t>
  </si>
  <si>
    <t>TES_per_sqm.kWh.NL.Ser.Bld.Thermal.SC.AC.Elec</t>
  </si>
  <si>
    <t>TES_per_sqm.kWh.NL.Ser.Bld.Thermal.HW</t>
  </si>
  <si>
    <t>TES_per_sqm.kWh.NL.Ser.Bld.Thermal.HW.Solids.Solids</t>
  </si>
  <si>
    <t>TES_per_sqm.kWh.NL.Ser.Bld.Thermal.HW.LPG.LPG</t>
  </si>
  <si>
    <t>TES_per_sqm.kWh.NL.Ser.Bld.Thermal.HW.Oil.Oil_LiqBio</t>
  </si>
  <si>
    <t>TES_per_sqm.kWh.NL.Ser.Bld.Thermal.HW.Gas.NG_Biogas</t>
  </si>
  <si>
    <t>TES_per_sqm.kWh.NL.Ser.Bld.Thermal.HW.Biomass.Biomass_Waste</t>
  </si>
  <si>
    <t>TES_per_sqm.kWh.NL.Ser.Bld.Thermal.HW.DistrHeat.Steam_Distr</t>
  </si>
  <si>
    <t>TES_per_sqm.kWh.NL.Ser.Bld.Thermal.HW.Elc.Elec</t>
  </si>
  <si>
    <t>TES_per_sqm.kWh.NL.Ser.Bld.Thermal.HW.TotalSolar.Solar</t>
  </si>
  <si>
    <t>TES_per_sqm.kWh.NL.Ser.Bld.Thermal.CA</t>
  </si>
  <si>
    <t>TES_per_sqm.kWh.NL.Ser.Bld.Thermal.CA.LPG</t>
  </si>
  <si>
    <t>TES_per_sqm.kWh.NL.Ser.Bld.Thermal.CA.Gas.NG_Biogas</t>
  </si>
  <si>
    <t>TES_per_sqm.kWh.NL.Ser.Bld.Thermal.CA.Biomass.Biomass_Waste</t>
  </si>
  <si>
    <t>TES_per_sqm.kWh.NL.Ser.Bld.Thermal.CA.Elc.Elec</t>
  </si>
  <si>
    <t>NL - CO2 emissions per useful surface area</t>
  </si>
  <si>
    <t>EMI_per_sqm.kgCO2.NL.Ser.Bld.Thermal</t>
  </si>
  <si>
    <t>EMI_per_sqm.kgCO2.NL.Ser.Bld.Thermal.SH</t>
  </si>
  <si>
    <t>EMI_per_sqm.kgCO2.NL.Ser.Bld.Thermal.SH.Solids.Solids</t>
  </si>
  <si>
    <t>EMI_per_sqm.kgCO2.NL.Ser.Bld.Thermal.SH.LPG.LPG</t>
  </si>
  <si>
    <t>EMI_per_sqm.kgCO2.NL.Ser.Bld.Thermal.SH.Oil.Oil_LiqBio</t>
  </si>
  <si>
    <t>EMI_per_sqm.kgCO2.NL.Ser.Bld.Thermal.SH.GasHP.NG_Biogas</t>
  </si>
  <si>
    <t>EMI_per_sqm.kgCO2.NL.Ser.Bld.Thermal.SH.GasTH.NG_Biogas</t>
  </si>
  <si>
    <t>EMI_per_sqm.kgCO2.NL.Ser.Bld.Thermal.SH.Biomass.Biomass_Waste</t>
  </si>
  <si>
    <t>EMI_per_sqm.kgCO2.NL.Ser.Bld.Thermal.SH.Geo.Geo</t>
  </si>
  <si>
    <t>EMI_per_sqm.kgCO2.NL.Ser.Bld.Thermal.SH.DistrHeat.Steam_Distr</t>
  </si>
  <si>
    <t>EMI_per_sqm.kgCO2.NL.Ser.Bld.Thermal.SH.AdvElc.Elec</t>
  </si>
  <si>
    <t>EMI_per_sqm.kgCO2.NL.Ser.Bld.Thermal.SH.ConvElc.Elec</t>
  </si>
  <si>
    <t>EMI_per_sqm.kgCO2.NL.Ser.Bld.Thermal.SH.TotalCirculation.Elec</t>
  </si>
  <si>
    <t>EMI_per_sqm.kgCO2.NL.Ser.Bld.Thermal.SC</t>
  </si>
  <si>
    <t>EMI_per_sqm.kgCO2.NL.Ser.Bld.Thermal.SC.GasHP.NG_Biogas</t>
  </si>
  <si>
    <t>EMI_per_sqm.kgCO2.NL.Ser.Bld.Thermal.SC.AC.Elec</t>
  </si>
  <si>
    <t>EMI_per_sqm.kgCO2.NL.Ser.Bld.Thermal.HW</t>
  </si>
  <si>
    <t>EMI_per_sqm.kgCO2.NL.Ser.Bld.Thermal.HW.Solids.Solids</t>
  </si>
  <si>
    <t>EMI_per_sqm.kgCO2.NL.Ser.Bld.Thermal.HW.LPG.LPG</t>
  </si>
  <si>
    <t>EMI_per_sqm.kgCO2.NL.Ser.Bld.Thermal.HW.Oil.Oil_LiqBio</t>
  </si>
  <si>
    <t>EMI_per_sqm.kgCO2.NL.Ser.Bld.Thermal.HW.Gas.NG_Biogas</t>
  </si>
  <si>
    <t>EMI_per_sqm.kgCO2.NL.Ser.Bld.Thermal.HW.Biomass.Biomass_Waste</t>
  </si>
  <si>
    <t>EMI_per_sqm.kgCO2.NL.Ser.Bld.Thermal.HW.DistrHeat.Steam_Distr</t>
  </si>
  <si>
    <t>EMI_per_sqm.kgCO2.NL.Ser.Bld.Thermal.HW.Elc.Elec</t>
  </si>
  <si>
    <t>EMI_per_sqm.kgCO2.NL.Ser.Bld.Thermal.HW.TotalSolar.Solar</t>
  </si>
  <si>
    <t>EMI_per_sqm.kgCO2.NL.Ser.Bld.Thermal.CA</t>
  </si>
  <si>
    <t>EMI_per_sqm.kgCO2.NL.Ser.Bld.Thermal.CA.LPG</t>
  </si>
  <si>
    <t>EMI_per_sqm.kgCO2.NL.Ser.Bld.Thermal.CA.Gas.NG_Biogas</t>
  </si>
  <si>
    <t>EMI_per_sqm.kgCO2.NL.Ser.Bld.Thermal.CA.Biomass.Biomass_Waste</t>
  </si>
  <si>
    <t>EMI_per_sqm.kgCO2.NL.Ser.Bld.Thermal.CA.Elc.Elec</t>
  </si>
  <si>
    <t>NL - Number of new and renovated buildings</t>
  </si>
  <si>
    <t>NUM.number.NL.Ser.BldNew.Thermal</t>
  </si>
  <si>
    <t>NUM.number.NL.Ser.BldNew.Thermal.SH</t>
  </si>
  <si>
    <t>NUM.number.NL.Ser.BldNew.Thermal.SH.Solids</t>
  </si>
  <si>
    <t>NUM.number.NL.Ser.BldNew.Thermal.SH.LPG</t>
  </si>
  <si>
    <t>NUM.number.NL.Ser.BldNew.Thermal.SH.Oil</t>
  </si>
  <si>
    <t>NUM.number.NL.Ser.BldNew.Thermal.SH.GasHP</t>
  </si>
  <si>
    <t>NUM.number.NL.Ser.BldNew.Thermal.SH.GasTH</t>
  </si>
  <si>
    <t>NUM.number.NL.Ser.BldNew.Thermal.SH.Biomass</t>
  </si>
  <si>
    <t>NUM.number.NL.Ser.BldNew.Thermal.SH.Geo</t>
  </si>
  <si>
    <t>NUM.number.NL.Ser.BldNew.Thermal.SH.DistrHeat</t>
  </si>
  <si>
    <t>NUM.number.NL.Ser.BldNew.Thermal.SH.AdvElc</t>
  </si>
  <si>
    <t>NUM.number.NL.Ser.BldNew.Thermal.SH.ConvElc</t>
  </si>
  <si>
    <t>NUM.number.NL.Ser.BldNew.Thermal.SC</t>
  </si>
  <si>
    <t>NUM.number.NL.Ser.BldNew.Thermal.SC.GasHP</t>
  </si>
  <si>
    <t>NUM.number.NL.Ser.BldNew.Thermal.SC.AC</t>
  </si>
  <si>
    <t>NUM.number.NL.Ser.BldNew.Thermal.HW</t>
  </si>
  <si>
    <t>NUM.number.NL.Ser.BldNew.Thermal.HW.Solids</t>
  </si>
  <si>
    <t>NUM.number.NL.Ser.BldNew.Thermal.HW.LPG</t>
  </si>
  <si>
    <t>NUM.number.NL.Ser.BldNew.Thermal.HW.Oil</t>
  </si>
  <si>
    <t>NUM.number.NL.Ser.BldNew.Thermal.HW.Gas</t>
  </si>
  <si>
    <t>NUM.number.NL.Ser.BldNew.Thermal.HW.Biomass</t>
  </si>
  <si>
    <t>NUM.number.NL.Ser.BldNew.Thermal.HW.DistrHeat</t>
  </si>
  <si>
    <t>NUM.number.NL.Ser.BldNew.Thermal.HW.Elc</t>
  </si>
  <si>
    <t>NUM.number.NL.Ser.BldNew.Thermal.HW.Solar</t>
  </si>
  <si>
    <t>NUM.number.NL.Ser.BldNew.Thermal.CA</t>
  </si>
  <si>
    <t>NUM.number.NL.Ser.BldNew.Thermal.CA.LPG</t>
  </si>
  <si>
    <t>NUM.number.NL.Ser.BldNew.Thermal.CA.Gas</t>
  </si>
  <si>
    <t>NUM.number.NL.Ser.BldNew.Thermal.CA.Biomass</t>
  </si>
  <si>
    <t>NUM.number.NL.Ser.BldNew.Thermal.CA.Elc</t>
  </si>
  <si>
    <t>NL - Final energy consumption in new and renovated buildings</t>
  </si>
  <si>
    <t>FEC.ktoe.NL.Ser.BldNew.Thermal</t>
  </si>
  <si>
    <t>FEC.ktoe.NL.Ser.BldNew.Thermal.SH</t>
  </si>
  <si>
    <t>FEC.ktoe.NL.Ser.BldNew.Thermal.SH.Solids.Solids</t>
  </si>
  <si>
    <t>FEC.ktoe.NL.Ser.BldNew.Thermal.SH.LPG.LPG</t>
  </si>
  <si>
    <t>FEC.ktoe.NL.Ser.BldNew.Thermal.SH.Oil.Oil_LiqBio</t>
  </si>
  <si>
    <t>FEC.ktoe.NL.Ser.BldNew.Thermal.SH.GasHP.NG_Biogas</t>
  </si>
  <si>
    <t>FEC.ktoe.NL.Ser.BldNew.Thermal.SH.GasTH.NG_Biogas</t>
  </si>
  <si>
    <t>FEC.ktoe.NL.Ser.BldNew.Thermal.SH.Biomass.Biomass_Waste</t>
  </si>
  <si>
    <t>FEC.ktoe.NL.Ser.BldNew.Thermal.SH.Geo.Geo</t>
  </si>
  <si>
    <t>FEC.ktoe.NL.Ser.BldNew.Thermal.SH.DistrHeat.Steam_Distr</t>
  </si>
  <si>
    <t>FEC.ktoe.NL.Ser.BldNew.Thermal.SH.AdvElc.Elec</t>
  </si>
  <si>
    <t>FEC.ktoe.NL.Ser.BldNew.Thermal.SH.ConvElc.Elec</t>
  </si>
  <si>
    <t>FEC.ktoe.NL.Ser.BldNew.Thermal.SH.TotalCirculation.Elec</t>
  </si>
  <si>
    <t>FEC.ktoe.NL.Ser.BldNew.Thermal.SC</t>
  </si>
  <si>
    <t>FEC.ktoe.NL.Ser.BldNew.Thermal.SC.GasHP.NG_Biogas</t>
  </si>
  <si>
    <t>FEC.ktoe.NL.Ser.BldNew.Thermal.SC.AC.Elec</t>
  </si>
  <si>
    <t>FEC.ktoe.NL.Ser.BldNew.Thermal.HW</t>
  </si>
  <si>
    <t>FEC.ktoe.NL.Ser.BldNew.Thermal.HW.Solids.Solids</t>
  </si>
  <si>
    <t>FEC.ktoe.NL.Ser.BldNew.Thermal.HW.LPG.LPG</t>
  </si>
  <si>
    <t>FEC.ktoe.NL.Ser.BldNew.Thermal.HW.Oil.Oil_LiqBio</t>
  </si>
  <si>
    <t>FEC.ktoe.NL.Ser.BldNew.Thermal.HW.Gas.NG_Biogas</t>
  </si>
  <si>
    <t>FEC.ktoe.NL.Ser.BldNew.Thermal.HW.Biomass.Biomass_Waste</t>
  </si>
  <si>
    <t>FEC.ktoe.NL.Ser.BldNew.Thermal.HW.DistrHeat.Steam_Distr</t>
  </si>
  <si>
    <t>FEC.ktoe.NL.Ser.BldNew.Thermal.HW.Elc.Elec</t>
  </si>
  <si>
    <t>FEC.ktoe.NL.Ser.BldNew.Thermal.HW.TotalSolar.Solar</t>
  </si>
  <si>
    <t>FEC.ktoe.NL.Ser.BldNew.Thermal.CA</t>
  </si>
  <si>
    <t>FEC.ktoe.NL.Ser.BldNew.Thermal.CA.LPG</t>
  </si>
  <si>
    <t>FEC.ktoe.NL.Ser.BldNew.Thermal.CA.Gas.NG_Biogas</t>
  </si>
  <si>
    <t>FEC.ktoe.NL.Ser.BldNew.Thermal.CA.Biomass.Biomass_Waste</t>
  </si>
  <si>
    <t>FEC.ktoe.NL.Ser.BldNew.Thermal.CA.Elc.Elec</t>
  </si>
  <si>
    <t>NL - Thermal energy service in new and renovated buildings</t>
  </si>
  <si>
    <t>TES.ktoe.NL.Ser.BldNew.Thermal</t>
  </si>
  <si>
    <t>TES.ktoe.NL.Ser.BldNew.Thermal.SH</t>
  </si>
  <si>
    <t>TES.ktoe.NL.Ser.BldNew.Thermal.SH.Solids.Solids</t>
  </si>
  <si>
    <t>TES.ktoe.NL.Ser.BldNew.Thermal.SH.LPG.LPG</t>
  </si>
  <si>
    <t>TES.ktoe.NL.Ser.BldNew.Thermal.SH.Oil.Oil_LiqBio</t>
  </si>
  <si>
    <t>TES.ktoe.NL.Ser.BldNew.Thermal.SH.GasHP.NG_Biogas</t>
  </si>
  <si>
    <t>TES.ktoe.NL.Ser.BldNew.Thermal.SH.GasTH.NG_Biogas</t>
  </si>
  <si>
    <t>TES.ktoe.NL.Ser.BldNew.Thermal.SH.Biomass.Biomass_Waste</t>
  </si>
  <si>
    <t>TES.ktoe.NL.Ser.BldNew.Thermal.SH.Geo.Geo</t>
  </si>
  <si>
    <t>TES.ktoe.NL.Ser.BldNew.Thermal.SH.DistrHeat.Steam_Distr</t>
  </si>
  <si>
    <t>TES.ktoe.NL.Ser.BldNew.Thermal.SH.AdvElc.Elec</t>
  </si>
  <si>
    <t>TES.ktoe.NL.Ser.BldNew.Thermal.SH.ConvElc.Elec</t>
  </si>
  <si>
    <t>TES.ktoe.NL.Ser.BldNew.Thermal.SH.TotalCirculation.Elec</t>
  </si>
  <si>
    <t>TES.ktoe.NL.Ser.BldNew.Thermal.SC</t>
  </si>
  <si>
    <t>TES.ktoe.NL.Ser.BldNew.Thermal.SC.GasHP.NG_Biogas</t>
  </si>
  <si>
    <t>TES.ktoe.NL.Ser.BldNew.Thermal.SC.AC.Elec</t>
  </si>
  <si>
    <t>TES.ktoe.NL.Ser.BldNew.Thermal.HW</t>
  </si>
  <si>
    <t>TES.ktoe.NL.Ser.BldNew.Thermal.HW.Solids.Solids</t>
  </si>
  <si>
    <t>TES.ktoe.NL.Ser.BldNew.Thermal.HW.LPG.LPG</t>
  </si>
  <si>
    <t>TES.ktoe.NL.Ser.BldNew.Thermal.HW.Oil.Oil_LiqBio</t>
  </si>
  <si>
    <t>TES.ktoe.NL.Ser.BldNew.Thermal.HW.Gas.NG_Biogas</t>
  </si>
  <si>
    <t>TES.ktoe.NL.Ser.BldNew.Thermal.HW.Biomass.Biomass_Waste</t>
  </si>
  <si>
    <t>TES.ktoe.NL.Ser.BldNew.Thermal.HW.DistrHeat.Steam_Distr</t>
  </si>
  <si>
    <t>TES.ktoe.NL.Ser.BldNew.Thermal.HW.Elc.Elec</t>
  </si>
  <si>
    <t>TES.ktoe.NL.Ser.BldNew.Thermal.HW.TotalSolar.Solar</t>
  </si>
  <si>
    <t>TES.ktoe.NL.Ser.BldNew.Thermal.CA</t>
  </si>
  <si>
    <t>TES.ktoe.NL.Ser.BldNew.Thermal.CA.LPG</t>
  </si>
  <si>
    <t>TES.ktoe.NL.Ser.BldNew.Thermal.CA.Gas.NG_Biogas</t>
  </si>
  <si>
    <t>TES.ktoe.NL.Ser.BldNew.Thermal.CA.Biomass.Biomass_Waste</t>
  </si>
  <si>
    <t>TES.ktoe.NL.Ser.BldNew.Thermal.CA.Elc.Elec</t>
  </si>
  <si>
    <t>NL - System efficiency indicator of new and renovated buildings</t>
  </si>
  <si>
    <t>Eff.ratio.NL.Ser.BldNew.Thermal</t>
  </si>
  <si>
    <t>Eff.ratio.NL.Ser.BldNew.Thermal.SH</t>
  </si>
  <si>
    <t>Eff.ratio.NL.Ser.BldNew.Thermal.SH.Solids.Solids</t>
  </si>
  <si>
    <t>Eff.ratio.NL.Ser.BldNew.Thermal.SH.LPG.LPG</t>
  </si>
  <si>
    <t>Eff.ratio.NL.Ser.BldNew.Thermal.SH.Oil.Oil_LiqBio</t>
  </si>
  <si>
    <t>Eff.ratio.NL.Ser.BldNew.Thermal.SH.GasHP.NG_Biogas</t>
  </si>
  <si>
    <t>Eff.ratio.NL.Ser.BldNew.Thermal.SH.GasTH.NG_Biogas</t>
  </si>
  <si>
    <t>Eff.ratio.NL.Ser.BldNew.Thermal.SH.Biomass.Biomass_Waste</t>
  </si>
  <si>
    <t>Eff.ratio.NL.Ser.BldNew.Thermal.SH.Geo.Geo</t>
  </si>
  <si>
    <t>Eff.ratio.NL.Ser.BldNew.Thermal.SH.DistrHeat.Steam_Distr</t>
  </si>
  <si>
    <t>Eff.ratio.NL.Ser.BldNew.Thermal.SH.AdvElc.Elec</t>
  </si>
  <si>
    <t>Eff.ratio.NL.Ser.BldNew.Thermal.SH.ConvElc.Elec</t>
  </si>
  <si>
    <t>Eff.ratio.NL.Ser.BldNew.Thermal.SH.TotalCirculation.Elec</t>
  </si>
  <si>
    <t>Eff.ratio.NL.Ser.BldNew.Thermal.SC</t>
  </si>
  <si>
    <t>Eff.ratio.NL.Ser.BldNew.Thermal.SC.GasHP.NG_Biogas</t>
  </si>
  <si>
    <t>Eff.ratio.NL.Ser.BldNew.Thermal.SC.AC.Elec</t>
  </si>
  <si>
    <t>Eff.ratio.NL.Ser.BldNew.Thermal.HW</t>
  </si>
  <si>
    <t>Eff.ratio.NL.Ser.BldNew.Thermal.HW.Solids.Solids</t>
  </si>
  <si>
    <t>Eff.ratio.NL.Ser.BldNew.Thermal.HW.LPG.LPG</t>
  </si>
  <si>
    <t>Eff.ratio.NL.Ser.BldNew.Thermal.HW.Oil.Oil_LiqBio</t>
  </si>
  <si>
    <t>Eff.ratio.NL.Ser.BldNew.Thermal.HW.Gas.NG_Biogas</t>
  </si>
  <si>
    <t>Eff.ratio.NL.Ser.BldNew.Thermal.HW.Biomass.Biomass_Waste</t>
  </si>
  <si>
    <t>Eff.ratio.NL.Ser.BldNew.Thermal.HW.DistrHeat.Steam_Distr</t>
  </si>
  <si>
    <t>Eff.ratio.NL.Ser.BldNew.Thermal.HW.Elc.Elec</t>
  </si>
  <si>
    <t>Eff.ratio.NL.Ser.BldNew.Thermal.HW.TotalSolar.Solar</t>
  </si>
  <si>
    <t>Eff.ratio.NL.Ser.BldNew.Thermal.CA</t>
  </si>
  <si>
    <t>Eff.ratio.NL.Ser.BldNew.Thermal.CA.LPG</t>
  </si>
  <si>
    <t>Eff.ratio.NL.Ser.BldNew.Thermal.CA.Gas.NG_Biogas</t>
  </si>
  <si>
    <t>Eff.ratio.NL.Ser.BldNew.Thermal.CA.Biomass.Biomass_Waste</t>
  </si>
  <si>
    <t>Eff.ratio.NL.Ser.BldNew.Thermal.CA.Elc.Elec</t>
  </si>
  <si>
    <t>NL - CO2 emissions in new and renovated buildings</t>
  </si>
  <si>
    <t>EMI.ktCO2.NL.Ser.BldNew.Thermal</t>
  </si>
  <si>
    <t>EMI.ktCO2.NL.Ser.BldNew.Thermal.SH</t>
  </si>
  <si>
    <t>EMI.ktCO2.NL.Ser.BldNew.Thermal.SH.Solids.Solids</t>
  </si>
  <si>
    <t>EMI.ktCO2.NL.Ser.BldNew.Thermal.SH.LPG.LPG</t>
  </si>
  <si>
    <t>EMI.ktCO2.NL.Ser.BldNew.Thermal.SH.Oil.Oil_LiqBio</t>
  </si>
  <si>
    <t>EMI.ktCO2.NL.Ser.BldNew.Thermal.SH.GasHP.NG_Biogas</t>
  </si>
  <si>
    <t>EMI.ktCO2.NL.Ser.BldNew.Thermal.SH.GasTH.NG_Biogas</t>
  </si>
  <si>
    <t>EMI.ktCO2.NL.Ser.BldNew.Thermal.SH.Biomass.Biomass_Waste</t>
  </si>
  <si>
    <t>EMI.ktCO2.NL.Ser.BldNew.Thermal.SH.Geo.Geo</t>
  </si>
  <si>
    <t>EMI.ktCO2.NL.Ser.BldNew.Thermal.SH.DistrHeat.Steam_Distr</t>
  </si>
  <si>
    <t>EMI.ktCO2.NL.Ser.BldNew.Thermal.SH.AdvElc.Elec</t>
  </si>
  <si>
    <t>EMI.ktCO2.NL.Ser.BldNew.Thermal.SH.ConvElc.Elec</t>
  </si>
  <si>
    <t>EMI.ktCO2.NL.Ser.BldNew.Thermal.SH.TotalCirculation.Elec</t>
  </si>
  <si>
    <t>EMI.ktCO2.NL.Ser.BldNew.Thermal.SC</t>
  </si>
  <si>
    <t>EMI.ktCO2.NL.Ser.BldNew.Thermal.SC.GasHP.NG_Biogas</t>
  </si>
  <si>
    <t>EMI.ktCO2.NL.Ser.BldNew.Thermal.SC.AC.Elec</t>
  </si>
  <si>
    <t>EMI.ktCO2.NL.Ser.BldNew.Thermal.HW</t>
  </si>
  <si>
    <t>EMI.ktCO2.NL.Ser.BldNew.Thermal.HW.Solids.Solids</t>
  </si>
  <si>
    <t>EMI.ktCO2.NL.Ser.BldNew.Thermal.HW.LPG.LPG</t>
  </si>
  <si>
    <t>EMI.ktCO2.NL.Ser.BldNew.Thermal.HW.Oil.Oil_LiqBio</t>
  </si>
  <si>
    <t>EMI.ktCO2.NL.Ser.BldNew.Thermal.HW.Gas.NG_Biogas</t>
  </si>
  <si>
    <t>EMI.ktCO2.NL.Ser.BldNew.Thermal.HW.Biomass.Biomass_Waste</t>
  </si>
  <si>
    <t>EMI.ktCO2.NL.Ser.BldNew.Thermal.HW.DistrHeat.Steam_Distr</t>
  </si>
  <si>
    <t>EMI.ktCO2.NL.Ser.BldNew.Thermal.HW.Elc.Elec</t>
  </si>
  <si>
    <t>EMI.ktCO2.NL.Ser.BldNew.Thermal.HW.TotalSolar.Solar</t>
  </si>
  <si>
    <t>EMI.ktCO2.NL.Ser.BldNew.Thermal.CA</t>
  </si>
  <si>
    <t>EMI.ktCO2.NL.Ser.BldNew.Thermal.CA.LPG</t>
  </si>
  <si>
    <t>EMI.ktCO2.NL.Ser.BldNew.Thermal.CA.Gas.NG_Biogas</t>
  </si>
  <si>
    <t>EMI.ktCO2.NL.Ser.BldNew.Thermal.CA.Biomass.Biomass_Waste</t>
  </si>
  <si>
    <t>EMI.ktCO2.NL.Ser.BldNew.Thermal.CA.Elc.Elec</t>
  </si>
  <si>
    <t>NL - Final energy consumption of new and renovated buildings (per building)</t>
  </si>
  <si>
    <t>FEC_per_building.kWh.NL.Ser.BldNew.Thermal</t>
  </si>
  <si>
    <t>FEC_per_building.kWh.NL.Ser.BldNew.Thermal.SH</t>
  </si>
  <si>
    <t>FEC_per_building.kWh.NL.Ser.BldNew.Thermal.SH.Solids.Solids</t>
  </si>
  <si>
    <t>FEC_per_building.kWh.NL.Ser.BldNew.Thermal.SH.LPG.LPG</t>
  </si>
  <si>
    <t>FEC_per_building.kWh.NL.Ser.BldNew.Thermal.SH.Oil.Oil_LiqBio</t>
  </si>
  <si>
    <t>FEC_per_building.kWh.NL.Ser.BldNew.Thermal.SH.GasHP.NG_Biogas</t>
  </si>
  <si>
    <t>FEC_per_building.kWh.NL.Ser.BldNew.Thermal.SH.GasTH.NG_Biogas</t>
  </si>
  <si>
    <t>FEC_per_building.kWh.NL.Ser.BldNew.Thermal.SH.Biomass.Biomass_Waste</t>
  </si>
  <si>
    <t>FEC_per_building.kWh.NL.Ser.BldNew.Thermal.SH.Geo.Geo</t>
  </si>
  <si>
    <t>FEC_per_building.kWh.NL.Ser.BldNew.Thermal.SH.DistrHeat.Steam_Distr</t>
  </si>
  <si>
    <t>FEC_per_building.kWh.NL.Ser.BldNew.Thermal.SH.AdvElc.Elec</t>
  </si>
  <si>
    <t>FEC_per_building.kWh.NL.Ser.BldNew.Thermal.SH.ConvElc.Elec</t>
  </si>
  <si>
    <t>FEC_per_building.kWh.NL.Ser.BldNew.Thermal.SH.TotalCirculation.Elec</t>
  </si>
  <si>
    <t>FEC_per_building.kWh.NL.Ser.BldNew.Thermal.SC</t>
  </si>
  <si>
    <t>FEC_per_building.kWh.NL.Ser.BldNew.Thermal.SC.GasHP.NG_Biogas</t>
  </si>
  <si>
    <t>FEC_per_building.kWh.NL.Ser.BldNew.Thermal.SC.AC.Elec</t>
  </si>
  <si>
    <t>FEC_per_building.kWh.NL.Ser.BldNew.Thermal.HW</t>
  </si>
  <si>
    <t>FEC_per_building.kWh.NL.Ser.BldNew.Thermal.HW.Solids.Solids</t>
  </si>
  <si>
    <t>FEC_per_building.kWh.NL.Ser.BldNew.Thermal.HW.LPG.LPG</t>
  </si>
  <si>
    <t>FEC_per_building.kWh.NL.Ser.BldNew.Thermal.HW.Oil.Oil_LiqBio</t>
  </si>
  <si>
    <t>FEC_per_building.kWh.NL.Ser.BldNew.Thermal.HW.Gas.NG_Biogas</t>
  </si>
  <si>
    <t>FEC_per_building.kWh.NL.Ser.BldNew.Thermal.HW.Biomass.Biomass_Waste</t>
  </si>
  <si>
    <t>FEC_per_building.kWh.NL.Ser.BldNew.Thermal.HW.DistrHeat.Steam_Distr</t>
  </si>
  <si>
    <t>FEC_per_building.kWh.NL.Ser.BldNew.Thermal.HW.Elc.Elec</t>
  </si>
  <si>
    <t>FEC_per_building.kWh.NL.Ser.BldNew.Thermal.HW.TotalSolar.Solar</t>
  </si>
  <si>
    <t>FEC_per_building.kWh.NL.Ser.BldNew.Thermal.CA</t>
  </si>
  <si>
    <t>FEC_per_building.kWh.NL.Ser.BldNew.Thermal.CA.LPG</t>
  </si>
  <si>
    <t>FEC_per_building.kWh.NL.Ser.BldNew.Thermal.CA.Gas.NG_Biogas</t>
  </si>
  <si>
    <t>FEC_per_building.kWh.NL.Ser.BldNew.Thermal.CA.Biomass.Biomass_Waste</t>
  </si>
  <si>
    <t>FEC_per_building.kWh.NL.Ser.BldNew.Thermal.CA.Elc.Elec</t>
  </si>
  <si>
    <t>NL - Thermal energy service of new and renovated buildings (per building)</t>
  </si>
  <si>
    <t>TES_per_building.kWh.NL.Ser.BldNew.Thermal</t>
  </si>
  <si>
    <t>TES_per_building.kWh.NL.Ser.BldNew.Thermal.SH</t>
  </si>
  <si>
    <t>TES_per_building.kWh.NL.Ser.BldNew.Thermal.SH.Solids.Solids</t>
  </si>
  <si>
    <t>TES_per_building.kWh.NL.Ser.BldNew.Thermal.SH.LPG.LPG</t>
  </si>
  <si>
    <t>TES_per_building.kWh.NL.Ser.BldNew.Thermal.SH.Oil.Oil_LiqBio</t>
  </si>
  <si>
    <t>TES_per_building.kWh.NL.Ser.BldNew.Thermal.SH.GasHP.NG_Biogas</t>
  </si>
  <si>
    <t>TES_per_building.kWh.NL.Ser.BldNew.Thermal.SH.GasTH.NG_Biogas</t>
  </si>
  <si>
    <t>TES_per_building.kWh.NL.Ser.BldNew.Thermal.SH.Biomass.Biomass_Waste</t>
  </si>
  <si>
    <t>TES_per_building.kWh.NL.Ser.BldNew.Thermal.SH.Geo.Geo</t>
  </si>
  <si>
    <t>TES_per_building.kWh.NL.Ser.BldNew.Thermal.SH.DistrHeat.Steam_Distr</t>
  </si>
  <si>
    <t>TES_per_building.kWh.NL.Ser.BldNew.Thermal.SH.AdvElc.Elec</t>
  </si>
  <si>
    <t>TES_per_building.kWh.NL.Ser.BldNew.Thermal.SH.ConvElc.Elec</t>
  </si>
  <si>
    <t>TES_per_building.kWh.NL.Ser.BldNew.Thermal.SH.TotalCirculation.Elec</t>
  </si>
  <si>
    <t>TES_per_building.kWh.NL.Ser.BldNew.Thermal.SC</t>
  </si>
  <si>
    <t>TES_per_building.kWh.NL.Ser.BldNew.Thermal.SC.GasHP.NG_Biogas</t>
  </si>
  <si>
    <t>TES_per_building.kWh.NL.Ser.BldNew.Thermal.SC.AC.Elec</t>
  </si>
  <si>
    <t>TES_per_building.kWh.NL.Ser.BldNew.Thermal.HW</t>
  </si>
  <si>
    <t>TES_per_building.kWh.NL.Ser.BldNew.Thermal.HW.Solids.Solids</t>
  </si>
  <si>
    <t>TES_per_building.kWh.NL.Ser.BldNew.Thermal.HW.LPG.LPG</t>
  </si>
  <si>
    <t>TES_per_building.kWh.NL.Ser.BldNew.Thermal.HW.Oil.Oil_LiqBio</t>
  </si>
  <si>
    <t>TES_per_building.kWh.NL.Ser.BldNew.Thermal.HW.Gas.NG_Biogas</t>
  </si>
  <si>
    <t>TES_per_building.kWh.NL.Ser.BldNew.Thermal.HW.Biomass.Biomass_Waste</t>
  </si>
  <si>
    <t>TES_per_building.kWh.NL.Ser.BldNew.Thermal.HW.DistrHeat.Steam_Distr</t>
  </si>
  <si>
    <t>TES_per_building.kWh.NL.Ser.BldNew.Thermal.HW.Elc.Elec</t>
  </si>
  <si>
    <t>TES_per_building.kWh.NL.Ser.BldNew.Thermal.HW.TotalSolar.Solar</t>
  </si>
  <si>
    <t>TES_per_building.kWh.NL.Ser.BldNew.Thermal.CA</t>
  </si>
  <si>
    <t>TES_per_building.kWh.NL.Ser.BldNew.Thermal.CA.LPG</t>
  </si>
  <si>
    <t>TES_per_building.kWh.NL.Ser.BldNew.Thermal.CA.Gas.NG_Biogas</t>
  </si>
  <si>
    <t>TES_per_building.kWh.NL.Ser.BldNew.Thermal.CA.Biomass.Biomass_Waste</t>
  </si>
  <si>
    <t>TES_per_building.kWh.NL.Ser.BldNew.Thermal.CA.Elc.Elec</t>
  </si>
  <si>
    <t>NL - CO2 emissions in new and renovated buildings (per building)</t>
  </si>
  <si>
    <t>EMI_per_building.kgCO2.NL.Ser.BldNew.Thermal</t>
  </si>
  <si>
    <t>EMI_per_building.kgCO2.NL.Ser.BldNew.Thermal.SH</t>
  </si>
  <si>
    <t>EMI_per_building.kgCO2.NL.Ser.BldNew.Thermal.SH.Solids.Solids</t>
  </si>
  <si>
    <t>EMI_per_building.kgCO2.NL.Ser.BldNew.Thermal.SH.LPG.LPG</t>
  </si>
  <si>
    <t>EMI_per_building.kgCO2.NL.Ser.BldNew.Thermal.SH.Oil.Oil_LiqBio</t>
  </si>
  <si>
    <t>EMI_per_building.kgCO2.NL.Ser.BldNew.Thermal.SH.GasHP.NG_Biogas</t>
  </si>
  <si>
    <t>EMI_per_building.kgCO2.NL.Ser.BldNew.Thermal.SH.GasTH.NG_Biogas</t>
  </si>
  <si>
    <t>EMI_per_building.kgCO2.NL.Ser.BldNew.Thermal.SH.Biomass.Biomass_Waste</t>
  </si>
  <si>
    <t>EMI_per_building.kgCO2.NL.Ser.BldNew.Thermal.SH.Geo.Geo</t>
  </si>
  <si>
    <t>EMI_per_building.kgCO2.NL.Ser.BldNew.Thermal.SH.DistrHeat.Steam_Distr</t>
  </si>
  <si>
    <t>EMI_per_building.kgCO2.NL.Ser.BldNew.Thermal.SH.AdvElc.Elec</t>
  </si>
  <si>
    <t>EMI_per_building.kgCO2.NL.Ser.BldNew.Thermal.SH.ConvElc.Elec</t>
  </si>
  <si>
    <t>EMI_per_building.kgCO2.NL.Ser.BldNew.Thermal.SH.TotalCirculation.Elec</t>
  </si>
  <si>
    <t>EMI_per_building.kgCO2.NL.Ser.BldNew.Thermal.SC</t>
  </si>
  <si>
    <t>EMI_per_building.kgCO2.NL.Ser.BldNew.Thermal.SC.GasHP.NG_Biogas</t>
  </si>
  <si>
    <t>EMI_per_building.kgCO2.NL.Ser.BldNew.Thermal.SC.AC.Elec</t>
  </si>
  <si>
    <t>EMI_per_building.kgCO2.NL.Ser.BldNew.Thermal.HW</t>
  </si>
  <si>
    <t>EMI_per_building.kgCO2.NL.Ser.BldNew.Thermal.HW.Solids.Solids</t>
  </si>
  <si>
    <t>EMI_per_building.kgCO2.NL.Ser.BldNew.Thermal.HW.LPG.LPG</t>
  </si>
  <si>
    <t>EMI_per_building.kgCO2.NL.Ser.BldNew.Thermal.HW.Oil.Oil_LiqBio</t>
  </si>
  <si>
    <t>EMI_per_building.kgCO2.NL.Ser.BldNew.Thermal.HW.Gas.NG_Biogas</t>
  </si>
  <si>
    <t>EMI_per_building.kgCO2.NL.Ser.BldNew.Thermal.HW.Biomass.Biomass_Waste</t>
  </si>
  <si>
    <t>EMI_per_building.kgCO2.NL.Ser.BldNew.Thermal.HW.DistrHeat.Steam_Distr</t>
  </si>
  <si>
    <t>EMI_per_building.kgCO2.NL.Ser.BldNew.Thermal.HW.Elc.Elec</t>
  </si>
  <si>
    <t>EMI_per_building.kgCO2.NL.Ser.BldNew.Thermal.HW.TotalSolar.Solar</t>
  </si>
  <si>
    <t>EMI_per_building.kgCO2.NL.Ser.BldNew.Thermal.CA</t>
  </si>
  <si>
    <t>EMI_per_building.kgCO2.NL.Ser.BldNew.Thermal.CA.LPG</t>
  </si>
  <si>
    <t>EMI_per_building.kgCO2.NL.Ser.BldNew.Thermal.CA.Gas.NG_Biogas</t>
  </si>
  <si>
    <t>EMI_per_building.kgCO2.NL.Ser.BldNew.Thermal.CA.Biomass.Biomass_Waste</t>
  </si>
  <si>
    <t>EMI_per_building.kgCO2.NL.Ser.BldNew.Thermal.CA.Elc.Elec</t>
  </si>
  <si>
    <t>NL - Final energy consumption in new and renovated buildings per surface area</t>
  </si>
  <si>
    <t>FEC_per_sqm.kWh.NL.Ser.BldNew.Thermal</t>
  </si>
  <si>
    <t>FEC_per_sqm.kWh.NL.Ser.BldNew.Thermal.SH</t>
  </si>
  <si>
    <t>FEC_per_sqm.kWh.NL.Ser.BldNew.Thermal.SH.Solids.Solids</t>
  </si>
  <si>
    <t>FEC_per_sqm.kWh.NL.Ser.BldNew.Thermal.SH.LPG.LPG</t>
  </si>
  <si>
    <t>FEC_per_sqm.kWh.NL.Ser.BldNew.Thermal.SH.Oil.Oil_LiqBio</t>
  </si>
  <si>
    <t>FEC_per_sqm.kWh.NL.Ser.BldNew.Thermal.SH.GasHP.NG_Biogas</t>
  </si>
  <si>
    <t>FEC_per_sqm.kWh.NL.Ser.BldNew.Thermal.SH.GasTH.NG_Biogas</t>
  </si>
  <si>
    <t>FEC_per_sqm.kWh.NL.Ser.BldNew.Thermal.SH.Biomass.Biomass_Waste</t>
  </si>
  <si>
    <t>FEC_per_sqm.kWh.NL.Ser.BldNew.Thermal.SH.Geo.Geo</t>
  </si>
  <si>
    <t>FEC_per_sqm.kWh.NL.Ser.BldNew.Thermal.SH.DistrHeat.Steam_Distr</t>
  </si>
  <si>
    <t>FEC_per_sqm.kWh.NL.Ser.BldNew.Thermal.SH.AdvElc.Elec</t>
  </si>
  <si>
    <t>FEC_per_sqm.kWh.NL.Ser.BldNew.Thermal.SH.ConvElc.Elec</t>
  </si>
  <si>
    <t>FEC_per_sqm.kWh.NL.Ser.BldNew.Thermal.SH.TotalCirculation.Elec</t>
  </si>
  <si>
    <t>FEC_per_sqm.kWh.NL.Ser.BldNew.Thermal.SC</t>
  </si>
  <si>
    <t>FEC_per_sqm.kWh.NL.Ser.BldNew.Thermal.SC.GasHP.NG_Biogas</t>
  </si>
  <si>
    <t>FEC_per_sqm.kWh.NL.Ser.BldNew.Thermal.SC.AC.Elec</t>
  </si>
  <si>
    <t>FEC_per_sqm.kWh.NL.Ser.BldNew.Thermal.HW</t>
  </si>
  <si>
    <t>FEC_per_sqm.kWh.NL.Ser.BldNew.Thermal.HW.Solids.Solids</t>
  </si>
  <si>
    <t>FEC_per_sqm.kWh.NL.Ser.BldNew.Thermal.HW.LPG.LPG</t>
  </si>
  <si>
    <t>FEC_per_sqm.kWh.NL.Ser.BldNew.Thermal.HW.Oil.Oil_LiqBio</t>
  </si>
  <si>
    <t>FEC_per_sqm.kWh.NL.Ser.BldNew.Thermal.HW.Gas.NG_Biogas</t>
  </si>
  <si>
    <t>FEC_per_sqm.kWh.NL.Ser.BldNew.Thermal.HW.Biomass.Biomass_Waste</t>
  </si>
  <si>
    <t>FEC_per_sqm.kWh.NL.Ser.BldNew.Thermal.HW.DistrHeat.Steam_Distr</t>
  </si>
  <si>
    <t>FEC_per_sqm.kWh.NL.Ser.BldNew.Thermal.HW.Elc.Elec</t>
  </si>
  <si>
    <t>FEC_per_sqm.kWh.NL.Ser.BldNew.Thermal.HW.TotalSolar.Solar</t>
  </si>
  <si>
    <t>FEC_per_sqm.kWh.NL.Ser.BldNew.Thermal.CA</t>
  </si>
  <si>
    <t>FEC_per_sqm.kWh.NL.Ser.BldNew.Thermal.CA.LPG</t>
  </si>
  <si>
    <t>FEC_per_sqm.kWh.NL.Ser.BldNew.Thermal.CA.Gas.NG_Biogas</t>
  </si>
  <si>
    <t>FEC_per_sqm.kWh.NL.Ser.BldNew.Thermal.CA.Biomass.Biomass_Waste</t>
  </si>
  <si>
    <t>FEC_per_sqm.kWh.NL.Ser.BldNew.Thermal.CA.Elc.Elec</t>
  </si>
  <si>
    <t>NL - Thermal energy service in new and renovated buildings per surface area</t>
  </si>
  <si>
    <t>TES_per_sqm.kWh.NL.Ser.BldNew.Thermal</t>
  </si>
  <si>
    <t>TES_per_sqm.kWh.NL.Ser.BldNew.Thermal.SH</t>
  </si>
  <si>
    <t>TES_per_sqm.kWh.NL.Ser.BldNew.Thermal.SH.Solids.Solids</t>
  </si>
  <si>
    <t>TES_per_sqm.kWh.NL.Ser.BldNew.Thermal.SH.LPG.LPG</t>
  </si>
  <si>
    <t>TES_per_sqm.kWh.NL.Ser.BldNew.Thermal.SH.Oil.Oil_LiqBio</t>
  </si>
  <si>
    <t>TES_per_sqm.kWh.NL.Ser.BldNew.Thermal.SH.GasHP.NG_Biogas</t>
  </si>
  <si>
    <t>TES_per_sqm.kWh.NL.Ser.BldNew.Thermal.SH.GasTH.NG_Biogas</t>
  </si>
  <si>
    <t>TES_per_sqm.kWh.NL.Ser.BldNew.Thermal.SH.Biomass.Biomass_Waste</t>
  </si>
  <si>
    <t>TES_per_sqm.kWh.NL.Ser.BldNew.Thermal.SH.Geo.Geo</t>
  </si>
  <si>
    <t>TES_per_sqm.kWh.NL.Ser.BldNew.Thermal.SH.DistrHeat.Steam_Distr</t>
  </si>
  <si>
    <t>TES_per_sqm.kWh.NL.Ser.BldNew.Thermal.SH.AdvElc.Elec</t>
  </si>
  <si>
    <t>TES_per_sqm.kWh.NL.Ser.BldNew.Thermal.SH.ConvElc.Elec</t>
  </si>
  <si>
    <t>TES_per_sqm.kWh.NL.Ser.BldNew.Thermal.SH.TotalCirculation.Elec</t>
  </si>
  <si>
    <t>TES_per_sqm.kWh.NL.Ser.BldNew.Thermal.SC</t>
  </si>
  <si>
    <t>TES_per_sqm.kWh.NL.Ser.BldNew.Thermal.SC.GasHP.NG_Biogas</t>
  </si>
  <si>
    <t>TES_per_sqm.kWh.NL.Ser.BldNew.Thermal.SC.AC.Elec</t>
  </si>
  <si>
    <t>TES_per_sqm.kWh.NL.Ser.BldNew.Thermal.HW</t>
  </si>
  <si>
    <t>TES_per_sqm.kWh.NL.Ser.BldNew.Thermal.HW.Solids.Solids</t>
  </si>
  <si>
    <t>TES_per_sqm.kWh.NL.Ser.BldNew.Thermal.HW.LPG.LPG</t>
  </si>
  <si>
    <t>TES_per_sqm.kWh.NL.Ser.BldNew.Thermal.HW.Oil.Oil_LiqBio</t>
  </si>
  <si>
    <t>TES_per_sqm.kWh.NL.Ser.BldNew.Thermal.HW.Gas.NG_Biogas</t>
  </si>
  <si>
    <t>TES_per_sqm.kWh.NL.Ser.BldNew.Thermal.HW.Biomass.Biomass_Waste</t>
  </si>
  <si>
    <t>TES_per_sqm.kWh.NL.Ser.BldNew.Thermal.HW.DistrHeat.Steam_Distr</t>
  </si>
  <si>
    <t>TES_per_sqm.kWh.NL.Ser.BldNew.Thermal.HW.Elc.Elec</t>
  </si>
  <si>
    <t>TES_per_sqm.kWh.NL.Ser.BldNew.Thermal.HW.TotalSolar.Solar</t>
  </si>
  <si>
    <t>TES_per_sqm.kWh.NL.Ser.BldNew.Thermal.CA</t>
  </si>
  <si>
    <t>TES_per_sqm.kWh.NL.Ser.BldNew.Thermal.CA.LPG</t>
  </si>
  <si>
    <t>TES_per_sqm.kWh.NL.Ser.BldNew.Thermal.CA.Gas.NG_Biogas</t>
  </si>
  <si>
    <t>TES_per_sqm.kWh.NL.Ser.BldNew.Thermal.CA.Biomass.Biomass_Waste</t>
  </si>
  <si>
    <t>TES_per_sqm.kWh.NL.Ser.BldNew.Thermal.CA.Elc.Elec</t>
  </si>
  <si>
    <t>NL - CO2 emissions in new and renovated buildings per surface area</t>
  </si>
  <si>
    <t>EMI_per_sqm.kgCO2.NL.Ser.BldNew.Thermal</t>
  </si>
  <si>
    <t>EMI_per_sqm.kgCO2.NL.Ser.BldNew.Thermal.SH</t>
  </si>
  <si>
    <t>EMI_per_sqm.kgCO2.NL.Ser.BldNew.Thermal.SH.Solids.Solids</t>
  </si>
  <si>
    <t>EMI_per_sqm.kgCO2.NL.Ser.BldNew.Thermal.SH.LPG.LPG</t>
  </si>
  <si>
    <t>EMI_per_sqm.kgCO2.NL.Ser.BldNew.Thermal.SH.Oil.Oil_LiqBio</t>
  </si>
  <si>
    <t>EMI_per_sqm.kgCO2.NL.Ser.BldNew.Thermal.SH.GasHP.NG_Biogas</t>
  </si>
  <si>
    <t>EMI_per_sqm.kgCO2.NL.Ser.BldNew.Thermal.SH.GasTH.NG_Biogas</t>
  </si>
  <si>
    <t>EMI_per_sqm.kgCO2.NL.Ser.BldNew.Thermal.SH.Biomass.Biomass_Waste</t>
  </si>
  <si>
    <t>EMI_per_sqm.kgCO2.NL.Ser.BldNew.Thermal.SH.Geo.Geo</t>
  </si>
  <si>
    <t>EMI_per_sqm.kgCO2.NL.Ser.BldNew.Thermal.SH.DistrHeat.Steam_Distr</t>
  </si>
  <si>
    <t>EMI_per_sqm.kgCO2.NL.Ser.BldNew.Thermal.SH.AdvElc.Elec</t>
  </si>
  <si>
    <t>EMI_per_sqm.kgCO2.NL.Ser.BldNew.Thermal.SH.ConvElc.Elec</t>
  </si>
  <si>
    <t>EMI_per_sqm.kgCO2.NL.Ser.BldNew.Thermal.SH.TotalCirculation.Elec</t>
  </si>
  <si>
    <t>EMI_per_sqm.kgCO2.NL.Ser.BldNew.Thermal.SC</t>
  </si>
  <si>
    <t>EMI_per_sqm.kgCO2.NL.Ser.BldNew.Thermal.SC.GasHP.NG_Biogas</t>
  </si>
  <si>
    <t>EMI_per_sqm.kgCO2.NL.Ser.BldNew.Thermal.SC.AC.Elec</t>
  </si>
  <si>
    <t>EMI_per_sqm.kgCO2.NL.Ser.BldNew.Thermal.HW</t>
  </si>
  <si>
    <t>EMI_per_sqm.kgCO2.NL.Ser.BldNew.Thermal.HW.Solids.Solids</t>
  </si>
  <si>
    <t>EMI_per_sqm.kgCO2.NL.Ser.BldNew.Thermal.HW.LPG.LPG</t>
  </si>
  <si>
    <t>EMI_per_sqm.kgCO2.NL.Ser.BldNew.Thermal.HW.Oil.Oil_LiqBio</t>
  </si>
  <si>
    <t>EMI_per_sqm.kgCO2.NL.Ser.BldNew.Thermal.HW.Gas.NG_Biogas</t>
  </si>
  <si>
    <t>EMI_per_sqm.kgCO2.NL.Ser.BldNew.Thermal.HW.Biomass.Biomass_Waste</t>
  </si>
  <si>
    <t>EMI_per_sqm.kgCO2.NL.Ser.BldNew.Thermal.HW.DistrHeat.Steam_Distr</t>
  </si>
  <si>
    <t>EMI_per_sqm.kgCO2.NL.Ser.BldNew.Thermal.HW.Elc.Elec</t>
  </si>
  <si>
    <t>EMI_per_sqm.kgCO2.NL.Ser.BldNew.Thermal.HW.TotalSolar.Solar</t>
  </si>
  <si>
    <t>EMI_per_sqm.kgCO2.NL.Ser.BldNew.Thermal.CA</t>
  </si>
  <si>
    <t>EMI_per_sqm.kgCO2.NL.Ser.BldNew.Thermal.CA.LPG</t>
  </si>
  <si>
    <t>EMI_per_sqm.kgCO2.NL.Ser.BldNew.Thermal.CA.Gas.NG_Biogas</t>
  </si>
  <si>
    <t>EMI_per_sqm.kgCO2.NL.Ser.BldNew.Thermal.CA.Biomass.Biomass_Waste</t>
  </si>
  <si>
    <t>EMI_per_sqm.kgCO2.NL.Ser.BldNew.Thermal.CA.Elc.Elec</t>
  </si>
  <si>
    <t>FEC.ktoe.NL.Ser.SEU.VE</t>
  </si>
  <si>
    <t>FEC.ktoe.NL.Ser.SEU.SL</t>
  </si>
  <si>
    <t>FEC.ktoe.NL.Ser.SEU.BL</t>
  </si>
  <si>
    <t>FEC.ktoe.NL.Ser.SEU.CR</t>
  </si>
  <si>
    <t>FEC.ktoe.NL.Ser.SEU.BT</t>
  </si>
  <si>
    <t>FEC.ktoe.NL.Ser.SEU.IT</t>
  </si>
  <si>
    <t>Size.MW.NL.Ser.SEU</t>
  </si>
  <si>
    <t>Size.MW.NL.Ser.SEU.VE</t>
  </si>
  <si>
    <t>Size.MW.NL.Ser.SEU.SL</t>
  </si>
  <si>
    <t>Size.MW.NL.Ser.SEU.BL</t>
  </si>
  <si>
    <t>Size.MW.NL.Ser.SEU.CR</t>
  </si>
  <si>
    <t>Size.MW.NL.Ser.SEU.BT</t>
  </si>
  <si>
    <t>Size.MW.NL.Ser.SEU.IT</t>
  </si>
  <si>
    <t>NUM.Msqm.NL.Ser.SEU.VE</t>
  </si>
  <si>
    <t>NUM.k.NL.Ser.SEU.SL</t>
  </si>
  <si>
    <t>NUM.M.NL.Ser.SEU.BL</t>
  </si>
  <si>
    <t>NUM.k.NL.Ser.SEU.CR</t>
  </si>
  <si>
    <t>NUM.Msqm.NL.Ser.SEU.BT</t>
  </si>
  <si>
    <t>NUM.k.NL.Ser.SEU.IT</t>
  </si>
  <si>
    <t>NUM.Msqm.NL.Ser.SEUnew.VE</t>
  </si>
  <si>
    <t>NUM.k.NL.Ser.SEUnew.SL</t>
  </si>
  <si>
    <t>NUM.M.NL.Ser.SEUnew.BL</t>
  </si>
  <si>
    <t>NUM.k.NL.Ser.SEUnew.CR</t>
  </si>
  <si>
    <t>NUM.Msqm.NL.Ser.SEUnew.BT</t>
  </si>
  <si>
    <t>NUM.k.NL.Ser.SEUnew.IT</t>
  </si>
  <si>
    <t>NUM.Msqm.NL.Ser.SEUrepl.VE</t>
  </si>
  <si>
    <t>NUM.k.NL.Ser.SEUrepl.SL</t>
  </si>
  <si>
    <t>NUM.M.NL.Ser.SEUrepl.BL</t>
  </si>
  <si>
    <t>NUM.k.NL.Ser.SEUrepl.CR</t>
  </si>
  <si>
    <t>NUM.Msqm.NL.Ser.SEUrepl.BT</t>
  </si>
  <si>
    <t>NUM.k.NL.Ser.SEUrepl.IT</t>
  </si>
  <si>
    <t>Op.hours.NL.Ser.SEU.VE</t>
  </si>
  <si>
    <t>Op.hours.NL.Ser.SEU.SL</t>
  </si>
  <si>
    <t>Op.hours.NL.Ser.SEU.BL</t>
  </si>
  <si>
    <t>Op.hours.NL.Ser.SEU.CR</t>
  </si>
  <si>
    <t>Op.hours.NL.Ser.SEU.BT</t>
  </si>
  <si>
    <t>Op.hours.NL.Ser.SEU.IT</t>
  </si>
  <si>
    <t>Size_per_appl.W.NL.Ser.SEU.VE</t>
  </si>
  <si>
    <t>Size_per_appl.W.NL.Ser.SEU.SL</t>
  </si>
  <si>
    <t>Size_per_appl.W.NL.Ser.SEU.BL</t>
  </si>
  <si>
    <t>Size_per_appl.W.NL.Ser.SEU.CR</t>
  </si>
  <si>
    <t>Size_per_appl.W.NL.Ser.SEU.BT</t>
  </si>
  <si>
    <t>Size_per_appl.W.NL.Ser.SEU.IT</t>
  </si>
  <si>
    <t>Size_per_appl.W.NL.Ser.SEUnew.VE</t>
  </si>
  <si>
    <t>Size_per_appl.W.NL.Ser.SEUnew.SL</t>
  </si>
  <si>
    <t>Size_per_appl.W.NL.Ser.SEUnew.BL</t>
  </si>
  <si>
    <t>Size_per_appl.W.NL.Ser.SEUnew.CR</t>
  </si>
  <si>
    <t>Size_per_appl.W.NL.Ser.SEUnew.BT</t>
  </si>
  <si>
    <t>Size_per_appl.W.NL.Ser.SEUnew.IT</t>
  </si>
  <si>
    <t>NUM.sqm_per_building.NL.Ser.SEU.VE</t>
  </si>
  <si>
    <t>NUM.number_per_capita.NL.Ser.SEU.SL</t>
  </si>
  <si>
    <t>NUM.number_per_building.NL.Ser.SEU.BL</t>
  </si>
  <si>
    <t>NUM.number_per_capita.NL.Ser.SEU.CR</t>
  </si>
  <si>
    <t>NUM.sqm_per_building.NL.Ser.SEU.BT</t>
  </si>
  <si>
    <t>NUM.number_per_capita.NL.Ser.SEU.IT</t>
  </si>
  <si>
    <t>Lumens_per_sqm.lumen.NL.Ser.SEU.BL</t>
  </si>
  <si>
    <t>FEC.ktoe.NL.Ser.SEU.IT.DataCenters</t>
  </si>
  <si>
    <t>NL - Services / specific electric uses</t>
  </si>
  <si>
    <t>NL - Ventilation and others</t>
  </si>
  <si>
    <t>NL - Street lighting</t>
  </si>
  <si>
    <t>NL - Building lighting</t>
  </si>
  <si>
    <t>NL - Commercial refrigeration</t>
  </si>
  <si>
    <t>NL - Miscellaneous building technologies</t>
  </si>
  <si>
    <t>NL - ICT and multimedia</t>
  </si>
  <si>
    <t>NL - Agriculture, forestry and fishing</t>
  </si>
  <si>
    <t>VA.Meuro2015.Meuro2023.NL.AGR.AGR</t>
  </si>
  <si>
    <t>OUTPUT.index.index.NL.AGR.AGR</t>
  </si>
  <si>
    <t>CAP.index.index.NL.AGR.AGR</t>
  </si>
  <si>
    <t>NEWCAP.index.index.NL.AGR.AGR</t>
  </si>
  <si>
    <t>CAPOUT.index.NL.AGR.AGR</t>
  </si>
  <si>
    <t>CAPIDLE.index.NL.AGR.AGR</t>
  </si>
  <si>
    <t>FEC.ktoe.NL.ES.AGR</t>
  </si>
  <si>
    <t>FEC.ktoe.NL.ES.AGR.Solids</t>
  </si>
  <si>
    <t>FEC.ktoe.NL.ES.AGR.LPG</t>
  </si>
  <si>
    <t>FEC.ktoe.NL.ES.AGR.Diesel</t>
  </si>
  <si>
    <t>FEC.ktoe.NL.ES.AGR.RFO</t>
  </si>
  <si>
    <t>FEC.ktoe.NL.ES.AGR.NG</t>
  </si>
  <si>
    <t>FEC.ktoe.NL.ES.AGR.Biomass_Waste</t>
  </si>
  <si>
    <t>FEC.ktoe.NL.ES.AGR.Biogas</t>
  </si>
  <si>
    <t>FEC.ktoe.NL.ES.AGR.LiqBio</t>
  </si>
  <si>
    <t>FEC.ktoe.NL.ES.AGR.Solar</t>
  </si>
  <si>
    <t>FEC.ktoe.NL.ES.AGR.Geo</t>
  </si>
  <si>
    <t>FEC.ktoe.NL.ES.AGR.Ambient</t>
  </si>
  <si>
    <t>FEC.ktoe.NL.ES.AGR.Steam_Distr</t>
  </si>
  <si>
    <t>FEC.ktoe.NL.ES.AGR.Elec</t>
  </si>
  <si>
    <t>NL - Agriculture, forestry and fishing / final energy consumption</t>
  </si>
  <si>
    <t>FEC.ktoe.ktoe.NL.AGR.AGR.LIGHT.GENERIC.ELEC</t>
  </si>
  <si>
    <t>FEC.ktoe.ktoe.NL.AGR.AGR.FANS.GENERIC.ELEC</t>
  </si>
  <si>
    <t>FEC.ktoe.ktoe.NL.AGR.AGR.MOTOR.GENERIC.ELEC</t>
  </si>
  <si>
    <t>FEC.ktoe.ktoe.NL.AGR.AGR.LOW_ENTH.THERM.DIESEL_LIQBIO</t>
  </si>
  <si>
    <t>FEC.ktoe.ktoe.NL.AGR.AGR.LOW_ENTH.THERM.NG_BIOGAS</t>
  </si>
  <si>
    <t>FEC.ktoe.ktoe.NL.AGR.AGR.LOW_ENTH.THERM.SOLAR_GEO</t>
  </si>
  <si>
    <t>FEC.ktoe.ktoe.NL.AGR.AGR.LOW_ENTH.HP.AMBIENT</t>
  </si>
  <si>
    <t>FEC.ktoe.ktoe.NL.AGR.AGR.LOW_ENTH.THERM.STEAM_DISTR</t>
  </si>
  <si>
    <t>FEC.ktoe.ktoe.NL.AGR.AGR.LOW_ENTH.THERM.ELEC</t>
  </si>
  <si>
    <t>FEC.ktoe.ktoe.NL.AGR.AGR.FARM_DRIVES.MECH.DIESEL_LIQBIO</t>
  </si>
  <si>
    <t>FEC.ktoe.ktoe.NL.AGR.AGR.HEAT_USE.THERM.SOLIDS</t>
  </si>
  <si>
    <t>FEC.ktoe.ktoe.NL.AGR.AGR.HEAT_USE.THERM.LPG</t>
  </si>
  <si>
    <t>FEC.ktoe.ktoe.NL.AGR.AGR.HEAT_USE.THERM.DIESEL_LIQBIO</t>
  </si>
  <si>
    <t>FEC.ktoe.ktoe.NL.AGR.AGR.HEAT_USE.THERM.RFO</t>
  </si>
  <si>
    <t>FEC.ktoe.ktoe.NL.AGR.AGR.HEAT_USE.THERM.NG_BIOGAS</t>
  </si>
  <si>
    <t>FEC.ktoe.ktoe.NL.AGR.AGR.HEAT_USE.THERM.BIOMASS_WASTE</t>
  </si>
  <si>
    <t>FEC.ktoe.ktoe.NL.AGR.AGR.HEAT_USE.THERM.SOLAR_GEO</t>
  </si>
  <si>
    <t>FEC.ktoe.ktoe.NL.AGR.AGR.FARM_PUMP.MECH.DIESEL_LIQBIO</t>
  </si>
  <si>
    <t>FEC.ktoe.ktoe.NL.AGR.AGR.FARM_PUMP_ELEC.MECH.ELEC</t>
  </si>
  <si>
    <t>FEC.ktoe.ktoe.NL.AGR.AGR.GENERIC.MECH.ELEC</t>
  </si>
  <si>
    <t>NL - Agriculture, forestry and fishing / useful energy demand</t>
  </si>
  <si>
    <t>UED.ktoe.ktoe.NL.AGR.AGR.LIGHT.GENERIC.ELEC</t>
  </si>
  <si>
    <t>UED.ktoe.ktoe.NL.AGR.AGR.FANS.GENERIC.ELEC</t>
  </si>
  <si>
    <t>UED.ktoe.ktoe.NL.AGR.AGR.MOTOR.GENERIC.ELEC</t>
  </si>
  <si>
    <t>UED.ktoe.ktoe.NL.AGR.AGR.LOW_ENTH.THERM.DIESEL_LIQBIO</t>
  </si>
  <si>
    <t>UED.ktoe.ktoe.NL.AGR.AGR.LOW_ENTH.THERM.NG_BIOGAS</t>
  </si>
  <si>
    <t>UED.ktoe.ktoe.NL.AGR.AGR.LOW_ENTH.THERM.SOLAR_GEO</t>
  </si>
  <si>
    <t>UED.ktoe.ktoe.NL.AGR.AGR.LOW_ENTH.HP.AMBIENT</t>
  </si>
  <si>
    <t>UED.ktoe.ktoe.NL.AGR.AGR.LOW_ENTH.THERM.STEAM_DISTR</t>
  </si>
  <si>
    <t>UED.ktoe.ktoe.NL.AGR.AGR.LOW_ENTH.THERM.ELEC</t>
  </si>
  <si>
    <t>UED.ktoe.ktoe.NL.AGR.AGR.FARM_DRIVES.MECH.DIESEL_LIQBIO</t>
  </si>
  <si>
    <t>UED.ktoe.ktoe.NL.AGR.AGR.HEAT_USE.THERM.SOLIDS</t>
  </si>
  <si>
    <t>UED.ktoe.ktoe.NL.AGR.AGR.HEAT_USE.THERM.LPG</t>
  </si>
  <si>
    <t>UED.ktoe.ktoe.NL.AGR.AGR.HEAT_USE.THERM.DIESEL_LIQBIO</t>
  </si>
  <si>
    <t>UED.ktoe.ktoe.NL.AGR.AGR.HEAT_USE.THERM.RFO</t>
  </si>
  <si>
    <t>UED.ktoe.ktoe.NL.AGR.AGR.HEAT_USE.THERM.NG_BIOGAS</t>
  </si>
  <si>
    <t>UED.ktoe.ktoe.NL.AGR.AGR.HEAT_USE.THERM.BIOMASS_WASTE</t>
  </si>
  <si>
    <t>UED.ktoe.ktoe.NL.AGR.AGR.HEAT_USE.THERM.SOLAR_GEO</t>
  </si>
  <si>
    <t>UED.ktoe.ktoe.NL.AGR.AGR.FARM_PUMP.MECH.DIESEL_LIQBIO</t>
  </si>
  <si>
    <t>UED.ktoe.ktoe.NL.AGR.AGR.FARM_PUMP_ELEC.MECH.ELEC</t>
  </si>
  <si>
    <t>UED.ktoe.ktoe.NL.AGR.AGR.GENERIC.MECH.ELEC</t>
  </si>
  <si>
    <t>NL - Agriculture, forestry and fishing / CO2 emissions</t>
  </si>
  <si>
    <t>FUEL_EMI.ktCO2.ktCO2.NL.AGR.AGR.LIGHT.GENERIC.ELEC</t>
  </si>
  <si>
    <t>FUEL_EMI.ktCO2.ktCO2.NL.AGR.AGR.FANS.GENERIC.ELEC</t>
  </si>
  <si>
    <t>FUEL_EMI.ktCO2.ktCO2.NL.AGR.AGR.MOTOR.GENERIC.ELEC</t>
  </si>
  <si>
    <t>FUEL_EMI.ktCO2.ktCO2.NL.AGR.AGR.LOW_ENTH.THERM.DIESEL_LIQBIO</t>
  </si>
  <si>
    <t>FUEL_EMI.ktCO2.ktCO2.NL.AGR.AGR.LOW_ENTH.THERM.NG_BIOGAS</t>
  </si>
  <si>
    <t>FUEL_EMI.ktCO2.ktCO2.NL.AGR.AGR.LOW_ENTH.THERM.SOLAR_GEO</t>
  </si>
  <si>
    <t>FUEL_EMI.ktCO2.ktCO2.NL.AGR.AGR.LOW_ENTH.HP.AMBIENT</t>
  </si>
  <si>
    <t>FUEL_EMI.ktCO2.ktCO2.NL.AGR.AGR.LOW_ENTH.THERM.STEAM_DISTR</t>
  </si>
  <si>
    <t>FUEL_EMI.ktCO2.ktCO2.NL.AGR.AGR.LOW_ENTH.THERM.ELEC</t>
  </si>
  <si>
    <t>FUEL_EMI.ktCO2.ktCO2.NL.AGR.AGR.FARM_DRIVES.MECH.DIESEL_LIQBIO</t>
  </si>
  <si>
    <t>FUEL_EMI.ktCO2.ktCO2.NL.AGR.AGR.HEAT_USE.THERM.SOLIDS</t>
  </si>
  <si>
    <t>FUEL_EMI.ktCO2.ktCO2.NL.AGR.AGR.HEAT_USE.THERM.LPG</t>
  </si>
  <si>
    <t>FUEL_EMI.ktCO2.ktCO2.NL.AGR.AGR.HEAT_USE.THERM.DIESEL_LIQBIO</t>
  </si>
  <si>
    <t>FUEL_EMI.ktCO2.ktCO2.NL.AGR.AGR.HEAT_USE.THERM.RFO</t>
  </si>
  <si>
    <t>FUEL_EMI.ktCO2.ktCO2.NL.AGR.AGR.HEAT_USE.THERM.NG_BIOGAS</t>
  </si>
  <si>
    <t>FUEL_EMI.ktCO2.ktCO2.NL.AGR.AGR.HEAT_USE.THERM.BIOMASS_WASTE</t>
  </si>
  <si>
    <t>FUEL_EMI.ktCO2.ktCO2.NL.AGR.AGR.HEAT_USE.THERM.SOLAR_GEO</t>
  </si>
  <si>
    <t>FUEL_EMI.ktCO2.ktCO2.NL.AGR.AGR.FARM_PUMP.MECH.DIESEL_LIQBIO</t>
  </si>
  <si>
    <t>FUEL_EMI.ktCO2.ktCO2.NL.AGR.AGR.FARM_PUMP_ELEC.MECH.ELEC</t>
  </si>
  <si>
    <t>FUEL_EMI.ktCO2.ktCO2.NL.AGR.AGR.GENERIC.MECH.ELEC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</si>
</sst>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45967.478414351855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15863950</v>
      </c>
      <c r="C3" s="34">
        <v>15987075</v>
      </c>
      <c r="D3" s="34">
        <v>16105285</v>
      </c>
      <c r="E3" s="34">
        <v>16192572</v>
      </c>
      <c r="F3" s="34">
        <v>16258032</v>
      </c>
      <c r="G3" s="34">
        <v>16305526</v>
      </c>
      <c r="H3" s="34">
        <v>16334210</v>
      </c>
      <c r="I3" s="34">
        <v>16357992</v>
      </c>
      <c r="J3" s="34">
        <v>16405399</v>
      </c>
      <c r="K3" s="34">
        <v>16485787</v>
      </c>
      <c r="L3" s="34">
        <v>16574989</v>
      </c>
      <c r="M3" s="34">
        <v>16655799</v>
      </c>
      <c r="N3" s="34">
        <v>16730348</v>
      </c>
      <c r="O3" s="34">
        <v>16779575</v>
      </c>
      <c r="P3" s="34">
        <v>16829289</v>
      </c>
      <c r="Q3" s="34">
        <v>16900726</v>
      </c>
      <c r="R3" s="34">
        <v>16979120</v>
      </c>
      <c r="S3" s="34">
        <v>17081507</v>
      </c>
      <c r="T3" s="34">
        <v>17181084</v>
      </c>
      <c r="U3" s="34">
        <v>17282163</v>
      </c>
      <c r="V3" s="34">
        <v>17407585</v>
      </c>
      <c r="W3" s="34">
        <v>17475415</v>
      </c>
      <c r="X3" s="34">
        <v>17590672</v>
      </c>
      <c r="Y3" s="34">
        <v>17811291</v>
      </c>
      <c r="DA3" s="88" t="s">
        <v>188</v>
      </c>
    </row>
    <row r="4" spans="1:105" ht="12" customHeight="1" x14ac:dyDescent="0.25">
      <c r="A4" s="35" t="s">
        <v>178</v>
      </c>
      <c r="B4" s="36">
        <v>746493.67340036912</v>
      </c>
      <c r="C4" s="36">
        <v>763842.32465990598</v>
      </c>
      <c r="D4" s="36">
        <v>765724.3251622119</v>
      </c>
      <c r="E4" s="36">
        <v>766466.30071232363</v>
      </c>
      <c r="F4" s="36">
        <v>781927.8399429518</v>
      </c>
      <c r="G4" s="36">
        <v>797833.17908983235</v>
      </c>
      <c r="H4" s="36">
        <v>826051.54533260025</v>
      </c>
      <c r="I4" s="36">
        <v>858145.75710560905</v>
      </c>
      <c r="J4" s="36">
        <v>876310.39218120417</v>
      </c>
      <c r="K4" s="36">
        <v>844191.15436424385</v>
      </c>
      <c r="L4" s="36">
        <v>855329.5435531009</v>
      </c>
      <c r="M4" s="36">
        <v>870500.25519817381</v>
      </c>
      <c r="N4" s="36">
        <v>861987.96801179589</v>
      </c>
      <c r="O4" s="36">
        <v>861719.93079570751</v>
      </c>
      <c r="P4" s="36">
        <v>875623.88930477505</v>
      </c>
      <c r="Q4" s="36">
        <v>894188.89100000006</v>
      </c>
      <c r="R4" s="36">
        <v>915862.4296481912</v>
      </c>
      <c r="S4" s="36">
        <v>941341.93692960683</v>
      </c>
      <c r="T4" s="36">
        <v>962608.09120720485</v>
      </c>
      <c r="U4" s="36">
        <v>984749.64889944706</v>
      </c>
      <c r="V4" s="36">
        <v>946656.80893538718</v>
      </c>
      <c r="W4" s="36">
        <v>1006071.546049729</v>
      </c>
      <c r="X4" s="36">
        <v>1056451.0634194997</v>
      </c>
      <c r="Y4" s="36">
        <v>1050133</v>
      </c>
      <c r="DA4" s="89" t="s">
        <v>189</v>
      </c>
    </row>
    <row r="5" spans="1:105" ht="12" customHeight="1" x14ac:dyDescent="0.25">
      <c r="A5" s="35" t="s">
        <v>179</v>
      </c>
      <c r="B5" s="36">
        <v>491668.21427937475</v>
      </c>
      <c r="C5" s="36">
        <v>501445.18943992956</v>
      </c>
      <c r="D5" s="36">
        <v>509834.69143320672</v>
      </c>
      <c r="E5" s="36">
        <v>513717.00669088564</v>
      </c>
      <c r="F5" s="36">
        <v>526013.87683545041</v>
      </c>
      <c r="G5" s="36">
        <v>534056.01736056746</v>
      </c>
      <c r="H5" s="36">
        <v>549783.40111292957</v>
      </c>
      <c r="I5" s="36">
        <v>573293.21928559989</v>
      </c>
      <c r="J5" s="36">
        <v>585994.56246731791</v>
      </c>
      <c r="K5" s="36">
        <v>578119.55752193986</v>
      </c>
      <c r="L5" s="36">
        <v>590179.21293098107</v>
      </c>
      <c r="M5" s="36">
        <v>602197.38359613623</v>
      </c>
      <c r="N5" s="36">
        <v>597715.1242254352</v>
      </c>
      <c r="O5" s="36">
        <v>603487.42937264009</v>
      </c>
      <c r="P5" s="36">
        <v>622545.84470022342</v>
      </c>
      <c r="Q5" s="36">
        <v>636772.59414000018</v>
      </c>
      <c r="R5" s="36">
        <v>653778.80685224838</v>
      </c>
      <c r="S5" s="36">
        <v>669592.98618841474</v>
      </c>
      <c r="T5" s="36">
        <v>684237.09846009372</v>
      </c>
      <c r="U5" s="36">
        <v>701512.38704739127</v>
      </c>
      <c r="V5" s="36">
        <v>670692.08315465809</v>
      </c>
      <c r="W5" s="36">
        <v>712615.93049021077</v>
      </c>
      <c r="X5" s="36">
        <v>744529.63239560986</v>
      </c>
      <c r="Y5" s="36">
        <v>746036</v>
      </c>
      <c r="DA5" s="89" t="s">
        <v>190</v>
      </c>
    </row>
    <row r="6" spans="1:105" ht="12" customHeight="1" x14ac:dyDescent="0.25">
      <c r="A6" s="37" t="s">
        <v>70</v>
      </c>
      <c r="B6" s="38">
        <v>6607000</v>
      </c>
      <c r="C6" s="38">
        <v>6759000</v>
      </c>
      <c r="D6" s="38">
        <v>6846000</v>
      </c>
      <c r="E6" s="38">
        <v>6858000</v>
      </c>
      <c r="F6" s="38">
        <v>6810000</v>
      </c>
      <c r="G6" s="38">
        <v>6882000</v>
      </c>
      <c r="H6" s="38">
        <v>7067000</v>
      </c>
      <c r="I6" s="38">
        <v>7301000</v>
      </c>
      <c r="J6" s="38">
        <v>7433000</v>
      </c>
      <c r="K6" s="38">
        <v>7393000</v>
      </c>
      <c r="L6" s="38">
        <v>7380000</v>
      </c>
      <c r="M6" s="38">
        <v>7460000</v>
      </c>
      <c r="N6" s="38">
        <v>7459000</v>
      </c>
      <c r="O6" s="38">
        <v>7392000</v>
      </c>
      <c r="P6" s="38">
        <v>7398000</v>
      </c>
      <c r="Q6" s="38">
        <v>7473000</v>
      </c>
      <c r="R6" s="38">
        <v>7594000</v>
      </c>
      <c r="S6" s="38">
        <v>7776000</v>
      </c>
      <c r="T6" s="38">
        <v>7981000</v>
      </c>
      <c r="U6" s="38">
        <v>8151000</v>
      </c>
      <c r="V6" s="38">
        <v>8083000</v>
      </c>
      <c r="W6" s="38">
        <v>8223000</v>
      </c>
      <c r="X6" s="38">
        <v>8500000</v>
      </c>
      <c r="Y6" s="38">
        <v>8638000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388765.91218783642</v>
      </c>
      <c r="C8" s="34">
        <v>394779.53288229246</v>
      </c>
      <c r="D8" s="34">
        <v>398133.0519863849</v>
      </c>
      <c r="E8" s="34">
        <v>399585.97263702803</v>
      </c>
      <c r="F8" s="34">
        <v>397935.4724366538</v>
      </c>
      <c r="G8" s="34">
        <v>403965.70387661079</v>
      </c>
      <c r="H8" s="34">
        <v>414261.80828934553</v>
      </c>
      <c r="I8" s="34">
        <v>427277.0214874731</v>
      </c>
      <c r="J8" s="34">
        <v>434859.54982328712</v>
      </c>
      <c r="K8" s="34">
        <v>433133.92804567557</v>
      </c>
      <c r="L8" s="34">
        <v>437576.21741488861</v>
      </c>
      <c r="M8" s="34">
        <v>443263.23874691891</v>
      </c>
      <c r="N8" s="34">
        <v>444621.39903230284</v>
      </c>
      <c r="O8" s="34">
        <v>443480.26574480836</v>
      </c>
      <c r="P8" s="34">
        <v>443595.98222024296</v>
      </c>
      <c r="Q8" s="34">
        <v>450150.59079536953</v>
      </c>
      <c r="R8" s="34">
        <v>452112.89615237608</v>
      </c>
      <c r="S8" s="34">
        <v>455111.12400772457</v>
      </c>
      <c r="T8" s="34">
        <v>457946.53731876245</v>
      </c>
      <c r="U8" s="34">
        <v>460640.80291483208</v>
      </c>
      <c r="V8" s="34">
        <v>463265.55666666664</v>
      </c>
      <c r="W8" s="34">
        <v>465885.71955534979</v>
      </c>
      <c r="X8" s="34">
        <v>468441.6934810222</v>
      </c>
      <c r="Y8" s="34">
        <v>470928.82046474732</v>
      </c>
      <c r="DA8" s="88" t="s">
        <v>192</v>
      </c>
    </row>
    <row r="9" spans="1:105" ht="12" customHeight="1" x14ac:dyDescent="0.25">
      <c r="A9" s="39" t="s">
        <v>68</v>
      </c>
      <c r="B9" s="40">
        <v>349889.32096905279</v>
      </c>
      <c r="C9" s="40">
        <v>355301.57959406322</v>
      </c>
      <c r="D9" s="40">
        <v>358319.74678774638</v>
      </c>
      <c r="E9" s="40">
        <v>359627.37537332519</v>
      </c>
      <c r="F9" s="40">
        <v>358141.92519298842</v>
      </c>
      <c r="G9" s="40">
        <v>363569.13348894974</v>
      </c>
      <c r="H9" s="40">
        <v>372835.62746041099</v>
      </c>
      <c r="I9" s="40">
        <v>384549.31933872582</v>
      </c>
      <c r="J9" s="40">
        <v>391373.59484095842</v>
      </c>
      <c r="K9" s="40">
        <v>389820.53524110804</v>
      </c>
      <c r="L9" s="40">
        <v>393818.59567339974</v>
      </c>
      <c r="M9" s="40">
        <v>398936.914872227</v>
      </c>
      <c r="N9" s="40">
        <v>400159.2591290726</v>
      </c>
      <c r="O9" s="40">
        <v>399132.23917032755</v>
      </c>
      <c r="P9" s="40">
        <v>399236.38399821863</v>
      </c>
      <c r="Q9" s="40">
        <v>405135.53171583253</v>
      </c>
      <c r="R9" s="40">
        <v>406901.60653713846</v>
      </c>
      <c r="S9" s="40">
        <v>409600.01160695212</v>
      </c>
      <c r="T9" s="40">
        <v>412151.88358688622</v>
      </c>
      <c r="U9" s="40">
        <v>414576.72262334888</v>
      </c>
      <c r="V9" s="40">
        <v>416939.00099999999</v>
      </c>
      <c r="W9" s="40">
        <v>419297.14759981481</v>
      </c>
      <c r="X9" s="40">
        <v>421597.52413291996</v>
      </c>
      <c r="Y9" s="40">
        <v>423835.93841827259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7568.5483931700073</v>
      </c>
      <c r="D10" s="41">
        <v>4932.831450459913</v>
      </c>
      <c r="E10" s="41">
        <v>3045.6445532202088</v>
      </c>
      <c r="F10" s="41">
        <v>1598.413653696251</v>
      </c>
      <c r="G10" s="41">
        <v>7622.1425209456884</v>
      </c>
      <c r="H10" s="41">
        <v>11911.993730582799</v>
      </c>
      <c r="I10" s="41">
        <v>14672.150006192522</v>
      </c>
      <c r="J10" s="41">
        <v>9291.4857255400748</v>
      </c>
      <c r="K10" s="41">
        <v>1739.4381992931485</v>
      </c>
      <c r="L10" s="41">
        <v>6174.8185850043656</v>
      </c>
      <c r="M10" s="41">
        <v>7437.4326227675265</v>
      </c>
      <c r="N10" s="41">
        <v>3131.3305805979967</v>
      </c>
      <c r="O10" s="41">
        <v>1778.4536355389764</v>
      </c>
      <c r="P10" s="41">
        <v>1889.6995922371095</v>
      </c>
      <c r="Q10" s="41">
        <v>8328.9981027232552</v>
      </c>
      <c r="R10" s="41">
        <v>4282.6692270857775</v>
      </c>
      <c r="S10" s="41">
        <v>5328.7067014948007</v>
      </c>
      <c r="T10" s="41">
        <v>5181.3469399437263</v>
      </c>
      <c r="U10" s="41">
        <v>5054.814757506364</v>
      </c>
      <c r="V10" s="41">
        <v>4999.1908802615717</v>
      </c>
      <c r="W10" s="41">
        <v>5008.1296756247284</v>
      </c>
      <c r="X10" s="41">
        <v>4957.4467068856793</v>
      </c>
      <c r="Y10" s="41">
        <v>4901.7748882664609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6811.693553853007</v>
      </c>
      <c r="D11" s="42">
        <v>4439.5483054139222</v>
      </c>
      <c r="E11" s="42">
        <v>2741.0800978981874</v>
      </c>
      <c r="F11" s="42">
        <v>1438.572288326626</v>
      </c>
      <c r="G11" s="42">
        <v>6859.9282688511194</v>
      </c>
      <c r="H11" s="42">
        <v>10720.794357524519</v>
      </c>
      <c r="I11" s="42">
        <v>13204.93500557327</v>
      </c>
      <c r="J11" s="42">
        <v>8362.3371529860669</v>
      </c>
      <c r="K11" s="42">
        <v>1565.4943793638336</v>
      </c>
      <c r="L11" s="42">
        <v>5557.3367265039296</v>
      </c>
      <c r="M11" s="42">
        <v>6693.6893604907737</v>
      </c>
      <c r="N11" s="42">
        <v>2818.1975225381971</v>
      </c>
      <c r="O11" s="42">
        <v>1600.6082719850788</v>
      </c>
      <c r="P11" s="42">
        <v>1700.7296330133986</v>
      </c>
      <c r="Q11" s="42">
        <v>7496.0982924509308</v>
      </c>
      <c r="R11" s="42">
        <v>3854.4023043771995</v>
      </c>
      <c r="S11" s="42">
        <v>4795.8360313453204</v>
      </c>
      <c r="T11" s="42">
        <v>4663.212245949353</v>
      </c>
      <c r="U11" s="42">
        <v>4549.3332817557275</v>
      </c>
      <c r="V11" s="42">
        <v>4499.2717922354141</v>
      </c>
      <c r="W11" s="42">
        <v>4507.3167080622552</v>
      </c>
      <c r="X11" s="42">
        <v>4461.7020361971108</v>
      </c>
      <c r="Y11" s="42">
        <v>4411.5973994398146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2496.48</v>
      </c>
      <c r="C13" s="43">
        <v>2728.84</v>
      </c>
      <c r="D13" s="43">
        <v>2594.89</v>
      </c>
      <c r="E13" s="43">
        <v>2762.17</v>
      </c>
      <c r="F13" s="43">
        <v>2772.07</v>
      </c>
      <c r="G13" s="43">
        <v>2650.18</v>
      </c>
      <c r="H13" s="43">
        <v>2566.5100000000002</v>
      </c>
      <c r="I13" s="43">
        <v>2424.77</v>
      </c>
      <c r="J13" s="43">
        <v>2697.32</v>
      </c>
      <c r="K13" s="43">
        <v>2727.14</v>
      </c>
      <c r="L13" s="43">
        <v>3311.71</v>
      </c>
      <c r="M13" s="43">
        <v>2516.5700000000002</v>
      </c>
      <c r="N13" s="43">
        <v>2817.13</v>
      </c>
      <c r="O13" s="43">
        <v>3012.96</v>
      </c>
      <c r="P13" s="43">
        <v>2282.08</v>
      </c>
      <c r="Q13" s="43">
        <v>2625.49</v>
      </c>
      <c r="R13" s="43">
        <v>2679.86</v>
      </c>
      <c r="S13" s="43">
        <v>2538.98</v>
      </c>
      <c r="T13" s="43">
        <v>2528.64</v>
      </c>
      <c r="U13" s="43">
        <v>2514.41</v>
      </c>
      <c r="V13" s="43">
        <v>2386.5300000000002</v>
      </c>
      <c r="W13" s="43">
        <v>2722.19</v>
      </c>
      <c r="X13" s="43">
        <v>2395.81</v>
      </c>
      <c r="Y13" s="43">
        <v>2318.86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2649.272857142857</v>
      </c>
      <c r="C14" s="44">
        <f t="shared" ref="C14:Y14" si="0">AVERAGE($B$13:$V$13)</f>
        <v>2649.272857142857</v>
      </c>
      <c r="D14" s="44">
        <f t="shared" si="0"/>
        <v>2649.272857142857</v>
      </c>
      <c r="E14" s="44">
        <f t="shared" si="0"/>
        <v>2649.272857142857</v>
      </c>
      <c r="F14" s="44">
        <f t="shared" si="0"/>
        <v>2649.272857142857</v>
      </c>
      <c r="G14" s="44">
        <f t="shared" si="0"/>
        <v>2649.272857142857</v>
      </c>
      <c r="H14" s="44">
        <f t="shared" si="0"/>
        <v>2649.272857142857</v>
      </c>
      <c r="I14" s="44">
        <f t="shared" si="0"/>
        <v>2649.272857142857</v>
      </c>
      <c r="J14" s="44">
        <f t="shared" si="0"/>
        <v>2649.272857142857</v>
      </c>
      <c r="K14" s="44">
        <f t="shared" si="0"/>
        <v>2649.272857142857</v>
      </c>
      <c r="L14" s="44">
        <f t="shared" si="0"/>
        <v>2649.272857142857</v>
      </c>
      <c r="M14" s="44">
        <f t="shared" si="0"/>
        <v>2649.272857142857</v>
      </c>
      <c r="N14" s="44">
        <f t="shared" si="0"/>
        <v>2649.272857142857</v>
      </c>
      <c r="O14" s="44">
        <f t="shared" si="0"/>
        <v>2649.272857142857</v>
      </c>
      <c r="P14" s="44">
        <f t="shared" si="0"/>
        <v>2649.272857142857</v>
      </c>
      <c r="Q14" s="44">
        <f t="shared" si="0"/>
        <v>2649.272857142857</v>
      </c>
      <c r="R14" s="44">
        <f t="shared" si="0"/>
        <v>2649.272857142857</v>
      </c>
      <c r="S14" s="44">
        <f t="shared" si="0"/>
        <v>2649.272857142857</v>
      </c>
      <c r="T14" s="44">
        <f t="shared" si="0"/>
        <v>2649.272857142857</v>
      </c>
      <c r="U14" s="44">
        <f t="shared" si="0"/>
        <v>2649.272857142857</v>
      </c>
      <c r="V14" s="44">
        <f t="shared" si="0"/>
        <v>2649.272857142857</v>
      </c>
      <c r="W14" s="44">
        <f t="shared" si="0"/>
        <v>2649.272857142857</v>
      </c>
      <c r="X14" s="44">
        <f t="shared" si="0"/>
        <v>2649.272857142857</v>
      </c>
      <c r="Y14" s="44">
        <f t="shared" si="0"/>
        <v>2649.272857142857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0.94232649282201963</v>
      </c>
      <c r="C15" s="46">
        <f t="shared" ref="C15:W15" si="1">C13/C14</f>
        <v>1.0300335779467251</v>
      </c>
      <c r="D15" s="46">
        <f t="shared" si="1"/>
        <v>0.97947253451216532</v>
      </c>
      <c r="E15" s="46">
        <f t="shared" si="1"/>
        <v>1.0426143885303301</v>
      </c>
      <c r="F15" s="46">
        <f t="shared" si="1"/>
        <v>1.0463512629611038</v>
      </c>
      <c r="G15" s="46">
        <f t="shared" si="1"/>
        <v>1.0003424120149411</v>
      </c>
      <c r="H15" s="46">
        <f t="shared" si="1"/>
        <v>0.96876016114394747</v>
      </c>
      <c r="I15" s="46">
        <f t="shared" si="1"/>
        <v>0.91525868823305156</v>
      </c>
      <c r="J15" s="46">
        <f t="shared" si="1"/>
        <v>1.0181359736984434</v>
      </c>
      <c r="K15" s="46">
        <f t="shared" si="1"/>
        <v>1.0293918924384102</v>
      </c>
      <c r="L15" s="46">
        <f t="shared" si="1"/>
        <v>1.2500448910240061</v>
      </c>
      <c r="M15" s="46">
        <f t="shared" si="1"/>
        <v>0.94990970568204436</v>
      </c>
      <c r="N15" s="46">
        <f t="shared" si="1"/>
        <v>1.0633597035520799</v>
      </c>
      <c r="O15" s="46">
        <f t="shared" si="1"/>
        <v>1.1372780994892939</v>
      </c>
      <c r="P15" s="46">
        <f t="shared" si="1"/>
        <v>0.86139862636162701</v>
      </c>
      <c r="Q15" s="46">
        <f t="shared" si="1"/>
        <v>0.99102287366182951</v>
      </c>
      <c r="R15" s="46">
        <f t="shared" si="1"/>
        <v>1.011545486065988</v>
      </c>
      <c r="S15" s="46">
        <f t="shared" si="1"/>
        <v>0.95836863052988674</v>
      </c>
      <c r="T15" s="46">
        <f t="shared" si="1"/>
        <v>0.95446567279107852</v>
      </c>
      <c r="U15" s="46">
        <f t="shared" si="1"/>
        <v>0.94909438762442089</v>
      </c>
      <c r="V15" s="46">
        <f t="shared" si="1"/>
        <v>0.90082453891660852</v>
      </c>
      <c r="W15" s="46">
        <f t="shared" si="1"/>
        <v>1.0275234552230235</v>
      </c>
      <c r="X15" s="46">
        <f t="shared" ref="X15:Y15" si="2">X13/X14</f>
        <v>0.90432738686787917</v>
      </c>
      <c r="Y15" s="46">
        <f t="shared" si="2"/>
        <v>0.875281681065047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47055.977445741388</v>
      </c>
      <c r="C19" s="34">
        <f t="shared" si="3"/>
        <v>47778.741555907254</v>
      </c>
      <c r="D19" s="34">
        <f t="shared" ref="D19:W19" si="4">D4*1000000/D3</f>
        <v>47544.909957334625</v>
      </c>
      <c r="E19" s="34">
        <f t="shared" si="4"/>
        <v>47334.438328409073</v>
      </c>
      <c r="F19" s="34">
        <f t="shared" si="4"/>
        <v>48094.864122727267</v>
      </c>
      <c r="G19" s="34">
        <f t="shared" si="4"/>
        <v>48930.232553665082</v>
      </c>
      <c r="H19" s="34">
        <f t="shared" si="4"/>
        <v>50571.870040399888</v>
      </c>
      <c r="I19" s="34">
        <f t="shared" si="4"/>
        <v>52460.336030584258</v>
      </c>
      <c r="J19" s="34">
        <f t="shared" si="4"/>
        <v>53415.975568848051</v>
      </c>
      <c r="K19" s="34">
        <f t="shared" si="4"/>
        <v>51207.209844713143</v>
      </c>
      <c r="L19" s="34">
        <f t="shared" si="4"/>
        <v>51603.626617978509</v>
      </c>
      <c r="M19" s="34">
        <f t="shared" si="4"/>
        <v>52264.094637439717</v>
      </c>
      <c r="N19" s="34">
        <f t="shared" si="4"/>
        <v>51522.417107629553</v>
      </c>
      <c r="O19" s="34">
        <f t="shared" si="4"/>
        <v>51355.289439435001</v>
      </c>
      <c r="P19" s="34">
        <f t="shared" si="4"/>
        <v>52029.761287287598</v>
      </c>
      <c r="Q19" s="34">
        <f t="shared" si="4"/>
        <v>52908.312400307543</v>
      </c>
      <c r="R19" s="34">
        <f t="shared" si="4"/>
        <v>53940.512208417822</v>
      </c>
      <c r="S19" s="34">
        <f t="shared" si="4"/>
        <v>55108.834187147935</v>
      </c>
      <c r="T19" s="34">
        <f t="shared" si="4"/>
        <v>56027.203592462785</v>
      </c>
      <c r="U19" s="34">
        <f t="shared" si="4"/>
        <v>56980.694424618436</v>
      </c>
      <c r="V19" s="34">
        <f t="shared" si="4"/>
        <v>54381.857617549314</v>
      </c>
      <c r="W19" s="34">
        <f t="shared" si="4"/>
        <v>57570.681214135919</v>
      </c>
      <c r="X19" s="34">
        <f t="shared" ref="X19:Y19" si="5">X4*1000000/X3</f>
        <v>60057.459056680702</v>
      </c>
      <c r="Y19" s="34">
        <f t="shared" si="5"/>
        <v>58958.836841192475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74416.257647854509</v>
      </c>
      <c r="C20" s="36">
        <f t="shared" si="6"/>
        <v>74189.257203717934</v>
      </c>
      <c r="D20" s="36">
        <f t="shared" ref="D20:W20" si="7">D5*1000000/D6</f>
        <v>74471.909353375217</v>
      </c>
      <c r="E20" s="36">
        <f t="shared" si="7"/>
        <v>74907.700013252499</v>
      </c>
      <c r="F20" s="36">
        <f t="shared" si="7"/>
        <v>77241.391605793018</v>
      </c>
      <c r="G20" s="36">
        <f t="shared" si="7"/>
        <v>77601.86244704554</v>
      </c>
      <c r="H20" s="36">
        <f t="shared" si="7"/>
        <v>77795.868276910929</v>
      </c>
      <c r="I20" s="36">
        <f t="shared" si="7"/>
        <v>78522.561195123941</v>
      </c>
      <c r="J20" s="36">
        <f t="shared" si="7"/>
        <v>78836.884497150255</v>
      </c>
      <c r="K20" s="36">
        <f t="shared" si="7"/>
        <v>78198.235834159321</v>
      </c>
      <c r="L20" s="36">
        <f t="shared" si="7"/>
        <v>79970.083052978473</v>
      </c>
      <c r="M20" s="36">
        <f t="shared" si="7"/>
        <v>80723.509865433807</v>
      </c>
      <c r="N20" s="36">
        <f t="shared" si="7"/>
        <v>80133.412552009002</v>
      </c>
      <c r="O20" s="36">
        <f t="shared" si="7"/>
        <v>81640.615445432923</v>
      </c>
      <c r="P20" s="36">
        <f t="shared" si="7"/>
        <v>84150.560246042631</v>
      </c>
      <c r="Q20" s="36">
        <f t="shared" si="7"/>
        <v>85209.767715776819</v>
      </c>
      <c r="R20" s="36">
        <f t="shared" si="7"/>
        <v>86091.494186495707</v>
      </c>
      <c r="S20" s="36">
        <f t="shared" si="7"/>
        <v>86110.209129168565</v>
      </c>
      <c r="T20" s="36">
        <f t="shared" si="7"/>
        <v>85733.253785251698</v>
      </c>
      <c r="U20" s="36">
        <f t="shared" si="7"/>
        <v>86064.579443919909</v>
      </c>
      <c r="V20" s="36">
        <f t="shared" si="7"/>
        <v>82975.63814854114</v>
      </c>
      <c r="W20" s="36">
        <f t="shared" si="7"/>
        <v>86661.307368382681</v>
      </c>
      <c r="X20" s="36">
        <f t="shared" ref="X20:Y20" si="8">X5*1000000/X6</f>
        <v>87591.721458307045</v>
      </c>
      <c r="Y20" s="36">
        <f t="shared" si="8"/>
        <v>86366.751562861769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30992.799036770462</v>
      </c>
      <c r="C21" s="36">
        <f t="shared" si="9"/>
        <v>31365.661913760308</v>
      </c>
      <c r="D21" s="36">
        <f t="shared" ref="D21:W21" si="10">D5*1000000/D3</f>
        <v>31656.359476607009</v>
      </c>
      <c r="E21" s="36">
        <f t="shared" si="10"/>
        <v>31725.473055848423</v>
      </c>
      <c r="F21" s="36">
        <f t="shared" si="10"/>
        <v>32354.092846874115</v>
      </c>
      <c r="G21" s="36">
        <f t="shared" si="10"/>
        <v>32753.068951014979</v>
      </c>
      <c r="H21" s="36">
        <f t="shared" si="10"/>
        <v>33658.401668212275</v>
      </c>
      <c r="I21" s="36">
        <f t="shared" si="10"/>
        <v>35046.674389228203</v>
      </c>
      <c r="J21" s="36">
        <f t="shared" si="10"/>
        <v>35719.616601054193</v>
      </c>
      <c r="K21" s="36">
        <f t="shared" si="10"/>
        <v>35067.756093290533</v>
      </c>
      <c r="L21" s="36">
        <f t="shared" si="10"/>
        <v>35606.612645774971</v>
      </c>
      <c r="M21" s="36">
        <f t="shared" si="10"/>
        <v>36155.418517967002</v>
      </c>
      <c r="N21" s="36">
        <f t="shared" si="10"/>
        <v>35726.401161854803</v>
      </c>
      <c r="O21" s="36">
        <f t="shared" si="10"/>
        <v>35965.596826656227</v>
      </c>
      <c r="P21" s="36">
        <f t="shared" si="10"/>
        <v>36991.809024149705</v>
      </c>
      <c r="Q21" s="36">
        <f t="shared" si="10"/>
        <v>37677.233163829776</v>
      </c>
      <c r="R21" s="36">
        <f t="shared" si="10"/>
        <v>38504.869913885312</v>
      </c>
      <c r="S21" s="36">
        <f t="shared" si="10"/>
        <v>39199.877750154876</v>
      </c>
      <c r="T21" s="36">
        <f t="shared" si="10"/>
        <v>39825.02492043539</v>
      </c>
      <c r="U21" s="36">
        <f t="shared" si="10"/>
        <v>40591.700648083875</v>
      </c>
      <c r="V21" s="36">
        <f t="shared" si="10"/>
        <v>38528.726595599452</v>
      </c>
      <c r="W21" s="36">
        <f t="shared" si="10"/>
        <v>40778.197856257539</v>
      </c>
      <c r="X21" s="36">
        <f t="shared" ref="X21:Y21" si="11">X5*1000000/X3</f>
        <v>42325.252406253145</v>
      </c>
      <c r="Y21" s="36">
        <f t="shared" si="11"/>
        <v>41885.5657346792</v>
      </c>
      <c r="DA21" s="89"/>
    </row>
    <row r="22" spans="1:105" ht="12" customHeight="1" x14ac:dyDescent="0.25">
      <c r="A22" s="51" t="s">
        <v>148</v>
      </c>
      <c r="B22" s="52">
        <v>1.6910247242686096</v>
      </c>
      <c r="C22" s="52">
        <v>1.668689811525651</v>
      </c>
      <c r="D22" s="52">
        <v>1.6508452331496644</v>
      </c>
      <c r="E22" s="52">
        <v>1.6363697037243161</v>
      </c>
      <c r="F22" s="52">
        <v>1.6309555293735469</v>
      </c>
      <c r="G22" s="52">
        <v>1.6161957051888582</v>
      </c>
      <c r="H22" s="52">
        <v>1.611510720645652</v>
      </c>
      <c r="I22" s="52">
        <v>1.6280945862941054</v>
      </c>
      <c r="J22" s="52">
        <v>1.6373054982111692</v>
      </c>
      <c r="K22" s="52">
        <v>1.6446237410809859</v>
      </c>
      <c r="L22" s="52">
        <v>1.6451470550615177</v>
      </c>
      <c r="M22" s="52">
        <v>1.6375985216523876</v>
      </c>
      <c r="N22" s="52">
        <v>1.6233124592320571</v>
      </c>
      <c r="O22" s="52">
        <v>1.6247769205028373</v>
      </c>
      <c r="P22" s="52">
        <v>1.6439621685599772</v>
      </c>
      <c r="Q22" s="52">
        <v>1.6470501272006801</v>
      </c>
      <c r="R22" s="52">
        <v>1.6553701589867389</v>
      </c>
      <c r="S22" s="52">
        <v>1.6411384727461606</v>
      </c>
      <c r="T22" s="52">
        <v>1.6321117432055183</v>
      </c>
      <c r="U22" s="52">
        <v>1.6325880704581697</v>
      </c>
      <c r="V22" s="52">
        <v>1.6372828938391033</v>
      </c>
      <c r="W22" s="52">
        <v>1.6328398310410224</v>
      </c>
      <c r="X22" s="52">
        <v>1.6436292360780476</v>
      </c>
      <c r="Y22" s="52">
        <v>1.6227699397583986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16.994802766575269</v>
      </c>
      <c r="C23" s="53">
        <f t="shared" si="12"/>
        <v>17.120948369973537</v>
      </c>
      <c r="D23" s="53">
        <f t="shared" ref="D23:W23" si="13">D6/D8</f>
        <v>17.195256625501454</v>
      </c>
      <c r="E23" s="53">
        <f t="shared" si="13"/>
        <v>17.16276463545832</v>
      </c>
      <c r="F23" s="53">
        <f t="shared" si="13"/>
        <v>17.113327339984913</v>
      </c>
      <c r="G23" s="53">
        <f t="shared" si="13"/>
        <v>17.03609968360599</v>
      </c>
      <c r="H23" s="53">
        <f t="shared" si="13"/>
        <v>17.059260251826014</v>
      </c>
      <c r="I23" s="53">
        <f t="shared" si="13"/>
        <v>17.087275076443703</v>
      </c>
      <c r="J23" s="53">
        <f t="shared" si="13"/>
        <v>17.092875166293418</v>
      </c>
      <c r="K23" s="53">
        <f t="shared" si="13"/>
        <v>17.06862363185823</v>
      </c>
      <c r="L23" s="53">
        <f t="shared" si="13"/>
        <v>16.865633245790963</v>
      </c>
      <c r="M23" s="53">
        <f t="shared" si="13"/>
        <v>16.829728585409011</v>
      </c>
      <c r="N23" s="53">
        <f t="shared" si="13"/>
        <v>16.776070643999944</v>
      </c>
      <c r="O23" s="53">
        <f t="shared" si="13"/>
        <v>16.668159940748243</v>
      </c>
      <c r="P23" s="53">
        <f t="shared" si="13"/>
        <v>16.67733770484633</v>
      </c>
      <c r="Q23" s="53">
        <f t="shared" si="13"/>
        <v>16.60111116770053</v>
      </c>
      <c r="R23" s="53">
        <f t="shared" si="13"/>
        <v>16.796689642404242</v>
      </c>
      <c r="S23" s="53">
        <f t="shared" si="13"/>
        <v>17.085937015830925</v>
      </c>
      <c r="T23" s="53">
        <f t="shared" si="13"/>
        <v>17.427798552049477</v>
      </c>
      <c r="U23" s="53">
        <f t="shared" si="13"/>
        <v>17.694915318882508</v>
      </c>
      <c r="V23" s="53">
        <f t="shared" si="13"/>
        <v>17.447876026354272</v>
      </c>
      <c r="W23" s="53">
        <f t="shared" si="13"/>
        <v>17.650251241545217</v>
      </c>
      <c r="X23" s="53">
        <f t="shared" ref="X23:Y23" si="14">X6/X8</f>
        <v>18.145267849315289</v>
      </c>
      <c r="Y23" s="53">
        <f t="shared" si="14"/>
        <v>18.342474753351013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22.055624290864053</v>
      </c>
      <c r="C24" s="54">
        <f t="shared" si="15"/>
        <v>22.22430179342145</v>
      </c>
      <c r="D24" s="54">
        <f t="shared" ref="D24:W24" si="16">D9*1000/D3</f>
        <v>22.248581554921032</v>
      </c>
      <c r="E24" s="54">
        <f t="shared" si="16"/>
        <v>22.209404125133744</v>
      </c>
      <c r="F24" s="54">
        <f t="shared" si="16"/>
        <v>22.028614852830181</v>
      </c>
      <c r="G24" s="54">
        <f t="shared" si="16"/>
        <v>22.297295621677566</v>
      </c>
      <c r="H24" s="54">
        <f t="shared" si="16"/>
        <v>22.825445948130398</v>
      </c>
      <c r="I24" s="54">
        <f t="shared" si="16"/>
        <v>23.508344993610816</v>
      </c>
      <c r="J24" s="54">
        <f t="shared" si="16"/>
        <v>23.856389889752663</v>
      </c>
      <c r="K24" s="54">
        <f t="shared" si="16"/>
        <v>23.645855380826408</v>
      </c>
      <c r="L24" s="54">
        <f t="shared" si="16"/>
        <v>23.759810378963131</v>
      </c>
      <c r="M24" s="54">
        <f t="shared" si="16"/>
        <v>23.951832924510377</v>
      </c>
      <c r="N24" s="54">
        <f t="shared" si="16"/>
        <v>23.918167101429844</v>
      </c>
      <c r="O24" s="54">
        <f t="shared" si="16"/>
        <v>23.786790736376073</v>
      </c>
      <c r="P24" s="54">
        <f t="shared" si="16"/>
        <v>23.722712468614606</v>
      </c>
      <c r="Q24" s="54">
        <f t="shared" si="16"/>
        <v>23.971486888541506</v>
      </c>
      <c r="R24" s="54">
        <f t="shared" si="16"/>
        <v>23.964823061332886</v>
      </c>
      <c r="S24" s="54">
        <f t="shared" si="16"/>
        <v>23.979149591833561</v>
      </c>
      <c r="T24" s="54">
        <f t="shared" si="16"/>
        <v>23.988700805309271</v>
      </c>
      <c r="U24" s="54">
        <f t="shared" si="16"/>
        <v>23.988705732225121</v>
      </c>
      <c r="V24" s="54">
        <f t="shared" si="16"/>
        <v>23.95157059408298</v>
      </c>
      <c r="W24" s="54">
        <f t="shared" si="16"/>
        <v>23.993544508088352</v>
      </c>
      <c r="X24" s="54">
        <f t="shared" ref="X24:Y24" si="17">X9*1000/X3</f>
        <v>23.967107347173545</v>
      </c>
      <c r="Y24" s="54">
        <f t="shared" si="17"/>
        <v>23.795913413478708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52.957366576215044</v>
      </c>
      <c r="C25" s="54">
        <f t="shared" si="18"/>
        <v>52.567181475671433</v>
      </c>
      <c r="D25" s="54">
        <f t="shared" ref="D25:W25" si="19">D9*1000/D6</f>
        <v>52.340015598560676</v>
      </c>
      <c r="E25" s="54">
        <f t="shared" si="19"/>
        <v>52.439104020607346</v>
      </c>
      <c r="F25" s="54">
        <f t="shared" si="19"/>
        <v>52.590591070923409</v>
      </c>
      <c r="G25" s="54">
        <f t="shared" si="19"/>
        <v>52.828993532250756</v>
      </c>
      <c r="H25" s="54">
        <f t="shared" si="19"/>
        <v>52.757270052414178</v>
      </c>
      <c r="I25" s="54">
        <f t="shared" si="19"/>
        <v>52.670773776020518</v>
      </c>
      <c r="J25" s="54">
        <f t="shared" si="19"/>
        <v>52.653517400909244</v>
      </c>
      <c r="K25" s="54">
        <f t="shared" si="19"/>
        <v>52.728328857176798</v>
      </c>
      <c r="L25" s="54">
        <f t="shared" si="19"/>
        <v>53.362953343279095</v>
      </c>
      <c r="M25" s="54">
        <f t="shared" si="19"/>
        <v>53.476798240244911</v>
      </c>
      <c r="N25" s="54">
        <f t="shared" si="19"/>
        <v>53.647842757617994</v>
      </c>
      <c r="O25" s="54">
        <f t="shared" si="19"/>
        <v>53.995162225423101</v>
      </c>
      <c r="P25" s="54">
        <f t="shared" si="19"/>
        <v>53.965447958667028</v>
      </c>
      <c r="Q25" s="54">
        <f t="shared" si="19"/>
        <v>54.213238554239602</v>
      </c>
      <c r="R25" s="54">
        <f t="shared" si="19"/>
        <v>53.581986639075382</v>
      </c>
      <c r="S25" s="54">
        <f t="shared" si="19"/>
        <v>52.674898612005158</v>
      </c>
      <c r="T25" s="54">
        <f t="shared" si="19"/>
        <v>51.641634329894281</v>
      </c>
      <c r="U25" s="54">
        <f t="shared" si="19"/>
        <v>50.862068779701744</v>
      </c>
      <c r="V25" s="54">
        <f t="shared" si="19"/>
        <v>51.582209699369045</v>
      </c>
      <c r="W25" s="54">
        <f t="shared" si="19"/>
        <v>50.990775580665797</v>
      </c>
      <c r="X25" s="54">
        <f t="shared" ref="X25:Y25" si="20">X9*1000/X6</f>
        <v>49.599708721519995</v>
      </c>
      <c r="Y25" s="54">
        <f t="shared" si="20"/>
        <v>49.066443438095924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899.99999999999989</v>
      </c>
      <c r="E26" s="55">
        <f t="shared" si="22"/>
        <v>899.99999999999989</v>
      </c>
      <c r="F26" s="55">
        <f t="shared" si="22"/>
        <v>899.99999999999989</v>
      </c>
      <c r="G26" s="55">
        <f t="shared" si="22"/>
        <v>900</v>
      </c>
      <c r="H26" s="55">
        <f t="shared" si="22"/>
        <v>900.00000000000011</v>
      </c>
      <c r="I26" s="55">
        <f t="shared" si="22"/>
        <v>900</v>
      </c>
      <c r="J26" s="55">
        <f t="shared" si="22"/>
        <v>900</v>
      </c>
      <c r="K26" s="55">
        <f t="shared" si="22"/>
        <v>900.00000000000011</v>
      </c>
      <c r="L26" s="55">
        <f t="shared" si="22"/>
        <v>900</v>
      </c>
      <c r="M26" s="55">
        <f t="shared" si="22"/>
        <v>900</v>
      </c>
      <c r="N26" s="55">
        <f t="shared" si="22"/>
        <v>900.00000000000011</v>
      </c>
      <c r="O26" s="55">
        <f t="shared" si="22"/>
        <v>900</v>
      </c>
      <c r="P26" s="55">
        <f t="shared" si="22"/>
        <v>900</v>
      </c>
      <c r="Q26" s="55">
        <f t="shared" si="22"/>
        <v>899.99999999999989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900.00000000000011</v>
      </c>
      <c r="E27" s="57">
        <f t="shared" si="25"/>
        <v>899.99999999999989</v>
      </c>
      <c r="F27" s="57">
        <f t="shared" si="25"/>
        <v>900</v>
      </c>
      <c r="G27" s="57">
        <f t="shared" si="25"/>
        <v>899.99999999999989</v>
      </c>
      <c r="H27" s="57">
        <f t="shared" si="25"/>
        <v>900.00000000000011</v>
      </c>
      <c r="I27" s="57">
        <f t="shared" si="25"/>
        <v>900.00000000000011</v>
      </c>
      <c r="J27" s="57">
        <f t="shared" si="25"/>
        <v>900</v>
      </c>
      <c r="K27" s="57">
        <f t="shared" si="25"/>
        <v>899.99999999999989</v>
      </c>
      <c r="L27" s="57">
        <f t="shared" si="25"/>
        <v>900.00000000000011</v>
      </c>
      <c r="M27" s="57">
        <f t="shared" si="25"/>
        <v>900</v>
      </c>
      <c r="N27" s="57">
        <f t="shared" si="25"/>
        <v>900.00000000000011</v>
      </c>
      <c r="O27" s="57">
        <f t="shared" si="25"/>
        <v>900</v>
      </c>
      <c r="P27" s="57">
        <f t="shared" si="25"/>
        <v>900</v>
      </c>
      <c r="Q27" s="57">
        <f t="shared" si="25"/>
        <v>900.00000000000011</v>
      </c>
      <c r="R27" s="57">
        <f t="shared" si="25"/>
        <v>900</v>
      </c>
      <c r="S27" s="57">
        <f t="shared" si="25"/>
        <v>900</v>
      </c>
      <c r="T27" s="57">
        <f t="shared" si="25"/>
        <v>899.99999999999989</v>
      </c>
      <c r="U27" s="57">
        <f t="shared" si="25"/>
        <v>900</v>
      </c>
      <c r="V27" s="57">
        <f t="shared" si="25"/>
        <v>900</v>
      </c>
      <c r="W27" s="57">
        <f t="shared" si="25"/>
        <v>899.99999999999989</v>
      </c>
      <c r="X27" s="57">
        <f t="shared" ref="X27:Y27" si="26">IF(SUM(X11)=0,"",X11*1000/X10)</f>
        <v>899.99999999999989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6414.3311154743151</v>
      </c>
      <c r="C31" s="80">
        <f t="shared" ref="C31:W31" si="27">SUM(C32:C33,C36:C37,C44:C45)</f>
        <v>6778.5153832771557</v>
      </c>
      <c r="D31" s="80">
        <f t="shared" si="27"/>
        <v>6726.7553574876101</v>
      </c>
      <c r="E31" s="80">
        <f t="shared" si="27"/>
        <v>7016.633810562842</v>
      </c>
      <c r="F31" s="80">
        <f t="shared" si="27"/>
        <v>7476.2871195814405</v>
      </c>
      <c r="G31" s="80">
        <f t="shared" si="27"/>
        <v>7113.0607198896141</v>
      </c>
      <c r="H31" s="80">
        <f t="shared" si="27"/>
        <v>7250.5693884638204</v>
      </c>
      <c r="I31" s="80">
        <f t="shared" si="27"/>
        <v>6963.3537571908219</v>
      </c>
      <c r="J31" s="80">
        <f t="shared" si="27"/>
        <v>7271.1515658033086</v>
      </c>
      <c r="K31" s="80">
        <f t="shared" si="27"/>
        <v>7482.6247875424797</v>
      </c>
      <c r="L31" s="80">
        <f t="shared" si="27"/>
        <v>8036.8422480862409</v>
      </c>
      <c r="M31" s="80">
        <f t="shared" si="27"/>
        <v>7152.8663428876098</v>
      </c>
      <c r="N31" s="80">
        <f t="shared" si="27"/>
        <v>7429.028334879511</v>
      </c>
      <c r="O31" s="80">
        <f t="shared" si="27"/>
        <v>7431.6366900689882</v>
      </c>
      <c r="P31" s="80">
        <f t="shared" si="27"/>
        <v>6534.5769103105986</v>
      </c>
      <c r="Q31" s="80">
        <f t="shared" si="27"/>
        <v>6828.1081765842573</v>
      </c>
      <c r="R31" s="80">
        <f t="shared" si="27"/>
        <v>6833.9520093279807</v>
      </c>
      <c r="S31" s="80">
        <f t="shared" si="27"/>
        <v>6928.063283900432</v>
      </c>
      <c r="T31" s="80">
        <f t="shared" si="27"/>
        <v>6859.4717997293637</v>
      </c>
      <c r="U31" s="80">
        <f t="shared" si="27"/>
        <v>6631.5007032914291</v>
      </c>
      <c r="V31" s="80">
        <f t="shared" si="27"/>
        <v>6282.9789583320089</v>
      </c>
      <c r="W31" s="80">
        <f t="shared" si="27"/>
        <v>6556.6528686931561</v>
      </c>
      <c r="X31" s="80">
        <f t="shared" ref="X31:Y31" si="28">SUM(X32:X33,X36:X37,X44:X45)</f>
        <v>6197.9632895094173</v>
      </c>
      <c r="Y31" s="80">
        <f t="shared" si="28"/>
        <v>6020.8961444015031</v>
      </c>
      <c r="DA31" s="103" t="s">
        <v>199</v>
      </c>
    </row>
    <row r="32" spans="1:105" ht="12" customHeight="1" x14ac:dyDescent="0.25">
      <c r="A32" s="58" t="s">
        <v>29</v>
      </c>
      <c r="B32" s="59">
        <v>0.47773000859845233</v>
      </c>
      <c r="C32" s="59">
        <v>0.47773000859845233</v>
      </c>
      <c r="D32" s="59">
        <v>0.47773000859845233</v>
      </c>
      <c r="E32" s="59">
        <v>0.95537403267411869</v>
      </c>
      <c r="F32" s="59">
        <v>0.47773000859845233</v>
      </c>
      <c r="G32" s="59">
        <v>0.95537403267411869</v>
      </c>
      <c r="H32" s="59">
        <v>0.95537403267411869</v>
      </c>
      <c r="I32" s="59">
        <v>2.3884780739466889</v>
      </c>
      <c r="J32" s="59">
        <v>3.3438521066208078</v>
      </c>
      <c r="K32" s="59">
        <v>3.8214961306964752</v>
      </c>
      <c r="L32" s="59">
        <v>3.8214961306964752</v>
      </c>
      <c r="M32" s="59">
        <v>3.8214961306964752</v>
      </c>
      <c r="N32" s="59">
        <v>3.8214961306964752</v>
      </c>
      <c r="O32" s="59">
        <v>2.3884780739466889</v>
      </c>
      <c r="P32" s="59">
        <v>0.95537403267411869</v>
      </c>
      <c r="Q32" s="59">
        <v>4.7678417884780737</v>
      </c>
      <c r="R32" s="59">
        <v>5.6080825451418743</v>
      </c>
      <c r="S32" s="59">
        <v>5.6158211521926047</v>
      </c>
      <c r="T32" s="59">
        <v>5.3315563198624236</v>
      </c>
      <c r="U32" s="59">
        <v>3.7436801375752351</v>
      </c>
      <c r="V32" s="59">
        <v>4.347463456577815</v>
      </c>
      <c r="W32" s="59">
        <v>2.8107480653482364</v>
      </c>
      <c r="X32" s="59">
        <v>6.0619088564058474</v>
      </c>
      <c r="Y32" s="59">
        <v>7.4715391229578678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315.4352536543422</v>
      </c>
      <c r="C33" s="55">
        <f t="shared" ref="C33:W33" si="29">SUM(C34:C35)</f>
        <v>312.40619088564063</v>
      </c>
      <c r="D33" s="55">
        <f t="shared" si="29"/>
        <v>322.04780739466901</v>
      </c>
      <c r="E33" s="55">
        <f t="shared" si="29"/>
        <v>321.80937231298373</v>
      </c>
      <c r="F33" s="55">
        <f t="shared" si="29"/>
        <v>316.95546001719686</v>
      </c>
      <c r="G33" s="55">
        <f t="shared" si="29"/>
        <v>321.06835769561474</v>
      </c>
      <c r="H33" s="55">
        <f t="shared" si="29"/>
        <v>327.77377472055025</v>
      </c>
      <c r="I33" s="55">
        <f t="shared" si="29"/>
        <v>300.41478933791916</v>
      </c>
      <c r="J33" s="55">
        <f t="shared" si="29"/>
        <v>289.51444539982805</v>
      </c>
      <c r="K33" s="55">
        <f t="shared" si="29"/>
        <v>297.5309544282029</v>
      </c>
      <c r="L33" s="55">
        <f t="shared" si="29"/>
        <v>344.41315563198629</v>
      </c>
      <c r="M33" s="55">
        <f t="shared" si="29"/>
        <v>301.98675838349095</v>
      </c>
      <c r="N33" s="55">
        <f t="shared" si="29"/>
        <v>309.66466036113496</v>
      </c>
      <c r="O33" s="55">
        <f t="shared" si="29"/>
        <v>310.59638865004302</v>
      </c>
      <c r="P33" s="55">
        <f t="shared" si="29"/>
        <v>265.7895098882201</v>
      </c>
      <c r="Q33" s="55">
        <f t="shared" si="29"/>
        <v>297.51564918314705</v>
      </c>
      <c r="R33" s="55">
        <f t="shared" si="29"/>
        <v>291.71461736887363</v>
      </c>
      <c r="S33" s="55">
        <f t="shared" si="29"/>
        <v>288.60739466895961</v>
      </c>
      <c r="T33" s="55">
        <f t="shared" si="29"/>
        <v>281.89320722269991</v>
      </c>
      <c r="U33" s="55">
        <f t="shared" si="29"/>
        <v>291.27884780739464</v>
      </c>
      <c r="V33" s="55">
        <f t="shared" si="29"/>
        <v>274.99131556319867</v>
      </c>
      <c r="W33" s="55">
        <f t="shared" si="29"/>
        <v>290.13852106620806</v>
      </c>
      <c r="X33" s="55">
        <f t="shared" ref="X33:Y33" si="30">SUM(X34:X35)</f>
        <v>295.0118658641444</v>
      </c>
      <c r="Y33" s="55">
        <f t="shared" si="30"/>
        <v>290.30739466895955</v>
      </c>
      <c r="DA33" s="101"/>
    </row>
    <row r="34" spans="1:105" ht="12" customHeight="1" x14ac:dyDescent="0.25">
      <c r="A34" s="61" t="s">
        <v>52</v>
      </c>
      <c r="B34" s="55">
        <v>42.099999999999987</v>
      </c>
      <c r="C34" s="55">
        <v>48.576956147893377</v>
      </c>
      <c r="D34" s="55">
        <v>55.053912295786759</v>
      </c>
      <c r="E34" s="55">
        <v>50.735941530524499</v>
      </c>
      <c r="F34" s="55">
        <v>57.212897678417868</v>
      </c>
      <c r="G34" s="55">
        <v>56.133361994840932</v>
      </c>
      <c r="H34" s="55">
        <v>71.246173688736022</v>
      </c>
      <c r="I34" s="55">
        <v>35.62312983662941</v>
      </c>
      <c r="J34" s="55">
        <v>29.146173688736031</v>
      </c>
      <c r="K34" s="55">
        <v>46.417970765262247</v>
      </c>
      <c r="L34" s="55">
        <v>56.133361994840932</v>
      </c>
      <c r="M34" s="55">
        <v>31.30515907136715</v>
      </c>
      <c r="N34" s="55">
        <v>42.099999999999987</v>
      </c>
      <c r="O34" s="55">
        <v>39.941014617368872</v>
      </c>
      <c r="P34" s="55">
        <v>6.4769561478933788</v>
      </c>
      <c r="Q34" s="55">
        <v>44.20206362854686</v>
      </c>
      <c r="R34" s="55">
        <v>44.005846947549443</v>
      </c>
      <c r="S34" s="55">
        <v>42.150214961306958</v>
      </c>
      <c r="T34" s="55">
        <v>41.315477214101463</v>
      </c>
      <c r="U34" s="55">
        <v>40.743164230438524</v>
      </c>
      <c r="V34" s="55">
        <v>40.630094582975062</v>
      </c>
      <c r="W34" s="55">
        <v>48.438435081685299</v>
      </c>
      <c r="X34" s="55">
        <v>40.466723989681853</v>
      </c>
      <c r="Y34" s="55">
        <v>39.171453138435083</v>
      </c>
      <c r="DA34" s="101" t="s">
        <v>201</v>
      </c>
    </row>
    <row r="35" spans="1:105" ht="12" customHeight="1" x14ac:dyDescent="0.25">
      <c r="A35" s="61" t="s">
        <v>163</v>
      </c>
      <c r="B35" s="55">
        <v>273.33525365434224</v>
      </c>
      <c r="C35" s="55">
        <v>263.82923473774724</v>
      </c>
      <c r="D35" s="55">
        <v>266.99389509888226</v>
      </c>
      <c r="E35" s="55">
        <v>271.07343078245924</v>
      </c>
      <c r="F35" s="55">
        <v>259.74256233877901</v>
      </c>
      <c r="G35" s="55">
        <v>264.93499570077381</v>
      </c>
      <c r="H35" s="55">
        <v>256.52760103181424</v>
      </c>
      <c r="I35" s="55">
        <v>264.79165950128976</v>
      </c>
      <c r="J35" s="55">
        <v>260.36827171109201</v>
      </c>
      <c r="K35" s="55">
        <v>251.11298366294065</v>
      </c>
      <c r="L35" s="55">
        <v>288.27979363714536</v>
      </c>
      <c r="M35" s="55">
        <v>270.68159931212381</v>
      </c>
      <c r="N35" s="55">
        <v>267.564660361135</v>
      </c>
      <c r="O35" s="55">
        <v>270.65537403267416</v>
      </c>
      <c r="P35" s="55">
        <v>259.31255374032673</v>
      </c>
      <c r="Q35" s="55">
        <v>253.31358555460019</v>
      </c>
      <c r="R35" s="55">
        <v>247.70877042132418</v>
      </c>
      <c r="S35" s="55">
        <v>246.45717970765264</v>
      </c>
      <c r="T35" s="55">
        <v>240.57773000859845</v>
      </c>
      <c r="U35" s="55">
        <v>250.5356835769561</v>
      </c>
      <c r="V35" s="55">
        <v>234.36122098022361</v>
      </c>
      <c r="W35" s="55">
        <v>241.70008598452276</v>
      </c>
      <c r="X35" s="55">
        <v>254.54514187446256</v>
      </c>
      <c r="Y35" s="55">
        <v>251.13594153052446</v>
      </c>
      <c r="DA35" s="101" t="s">
        <v>202</v>
      </c>
    </row>
    <row r="36" spans="1:105" ht="12" customHeight="1" x14ac:dyDescent="0.25">
      <c r="A36" s="60" t="s">
        <v>149</v>
      </c>
      <c r="B36" s="55">
        <v>3226.0131024641287</v>
      </c>
      <c r="C36" s="55">
        <v>3473.8430722084722</v>
      </c>
      <c r="D36" s="55">
        <v>3268.0463788848133</v>
      </c>
      <c r="E36" s="55">
        <v>3507.0543912249645</v>
      </c>
      <c r="F36" s="55">
        <v>3863.6729434995177</v>
      </c>
      <c r="G36" s="55">
        <v>3521.9696785364963</v>
      </c>
      <c r="H36" s="55">
        <v>3524.3600119890862</v>
      </c>
      <c r="I36" s="55">
        <v>3149.5670025773952</v>
      </c>
      <c r="J36" s="55">
        <v>3435.028635714486</v>
      </c>
      <c r="K36" s="55">
        <v>3534.3221948895325</v>
      </c>
      <c r="L36" s="55">
        <v>4039.9581508283882</v>
      </c>
      <c r="M36" s="55">
        <v>3225.507530532057</v>
      </c>
      <c r="N36" s="55">
        <v>3635.9804989934514</v>
      </c>
      <c r="O36" s="55">
        <v>3647.5298835696153</v>
      </c>
      <c r="P36" s="55">
        <v>2886.4763258848684</v>
      </c>
      <c r="Q36" s="55">
        <v>3109.4530274974236</v>
      </c>
      <c r="R36" s="55">
        <v>3123.0212690632529</v>
      </c>
      <c r="S36" s="55">
        <v>3097.6955297156978</v>
      </c>
      <c r="T36" s="55">
        <v>2999.6968299356918</v>
      </c>
      <c r="U36" s="55">
        <v>2768.3044255793161</v>
      </c>
      <c r="V36" s="55">
        <v>2484.87093435525</v>
      </c>
      <c r="W36" s="55">
        <v>2709.3605172466764</v>
      </c>
      <c r="X36" s="55">
        <v>2259.3285694401857</v>
      </c>
      <c r="Y36" s="55">
        <v>2101.2415212867786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114.46050028737582</v>
      </c>
      <c r="C37" s="55">
        <f t="shared" ref="C37:W37" si="31">SUM(C38:C42)</f>
        <v>137.51909460150182</v>
      </c>
      <c r="D37" s="55">
        <f t="shared" si="31"/>
        <v>133.02232274889289</v>
      </c>
      <c r="E37" s="55">
        <f t="shared" si="31"/>
        <v>127.22265090745169</v>
      </c>
      <c r="F37" s="55">
        <f t="shared" si="31"/>
        <v>137.37950705938115</v>
      </c>
      <c r="G37" s="55">
        <f t="shared" si="31"/>
        <v>133.13470667416561</v>
      </c>
      <c r="H37" s="55">
        <f t="shared" si="31"/>
        <v>146.85907657497154</v>
      </c>
      <c r="I37" s="55">
        <f t="shared" si="31"/>
        <v>149.849248497411</v>
      </c>
      <c r="J37" s="55">
        <f t="shared" si="31"/>
        <v>171.18658354604685</v>
      </c>
      <c r="K37" s="55">
        <f t="shared" si="31"/>
        <v>164.42406478372575</v>
      </c>
      <c r="L37" s="55">
        <f t="shared" si="31"/>
        <v>173.36085175114766</v>
      </c>
      <c r="M37" s="55">
        <f t="shared" si="31"/>
        <v>162.52755115323959</v>
      </c>
      <c r="N37" s="55">
        <f t="shared" si="31"/>
        <v>162.2446084872021</v>
      </c>
      <c r="O37" s="55">
        <f t="shared" si="31"/>
        <v>163.35653087578387</v>
      </c>
      <c r="P37" s="55">
        <f t="shared" si="31"/>
        <v>168.14276267918973</v>
      </c>
      <c r="Q37" s="55">
        <f t="shared" si="31"/>
        <v>152.95127172871591</v>
      </c>
      <c r="R37" s="55">
        <f t="shared" si="31"/>
        <v>153.802204711467</v>
      </c>
      <c r="S37" s="55">
        <f t="shared" si="31"/>
        <v>186.64548490167059</v>
      </c>
      <c r="T37" s="55">
        <f t="shared" si="31"/>
        <v>208.63550024487486</v>
      </c>
      <c r="U37" s="55">
        <f t="shared" si="31"/>
        <v>227.77287450666864</v>
      </c>
      <c r="V37" s="55">
        <f t="shared" si="31"/>
        <v>235.33448266968495</v>
      </c>
      <c r="W37" s="55">
        <f t="shared" si="31"/>
        <v>222.6043150835043</v>
      </c>
      <c r="X37" s="55">
        <f t="shared" ref="X37:Y37" si="32">SUM(X38:X42)</f>
        <v>193.86816314794768</v>
      </c>
      <c r="Y37" s="55">
        <f t="shared" si="32"/>
        <v>216.46114423342823</v>
      </c>
      <c r="DA37" s="101"/>
    </row>
    <row r="38" spans="1:105" ht="12" customHeight="1" x14ac:dyDescent="0.25">
      <c r="A38" s="61" t="s">
        <v>164</v>
      </c>
      <c r="B38" s="55">
        <v>74.73482373172827</v>
      </c>
      <c r="C38" s="55">
        <v>95.968271711091987</v>
      </c>
      <c r="D38" s="55">
        <v>93.149957007738635</v>
      </c>
      <c r="E38" s="55">
        <v>89.208942390369714</v>
      </c>
      <c r="F38" s="55">
        <v>97.903009458297504</v>
      </c>
      <c r="G38" s="55">
        <v>95.299570077386065</v>
      </c>
      <c r="H38" s="55">
        <v>109.74961306964747</v>
      </c>
      <c r="I38" s="55">
        <v>114.26388650042989</v>
      </c>
      <c r="J38" s="55">
        <v>134.37472055030091</v>
      </c>
      <c r="K38" s="55">
        <v>125.56130696474635</v>
      </c>
      <c r="L38" s="55">
        <v>131.96233877901977</v>
      </c>
      <c r="M38" s="55">
        <v>119.11246775580395</v>
      </c>
      <c r="N38" s="55">
        <v>116.17463456577818</v>
      </c>
      <c r="O38" s="55">
        <v>112.63972484952707</v>
      </c>
      <c r="P38" s="55">
        <v>112.16190885640583</v>
      </c>
      <c r="Q38" s="55">
        <v>104.86311263972483</v>
      </c>
      <c r="R38" s="55">
        <v>104.4652622527945</v>
      </c>
      <c r="S38" s="55">
        <v>136.21831470335337</v>
      </c>
      <c r="T38" s="55">
        <v>148.63430782459153</v>
      </c>
      <c r="U38" s="55">
        <v>163.93336199484094</v>
      </c>
      <c r="V38" s="55">
        <v>168.29561478933789</v>
      </c>
      <c r="W38" s="55">
        <v>158.69002579535677</v>
      </c>
      <c r="X38" s="55">
        <v>131.78804815133279</v>
      </c>
      <c r="Y38" s="55">
        <v>149.81461736887363</v>
      </c>
      <c r="DA38" s="101" t="s">
        <v>204</v>
      </c>
    </row>
    <row r="39" spans="1:105" ht="12" customHeight="1" x14ac:dyDescent="0.25">
      <c r="A39" s="61" t="s">
        <v>50</v>
      </c>
      <c r="B39" s="55">
        <v>37.552159788665605</v>
      </c>
      <c r="C39" s="55">
        <v>39.11462340631698</v>
      </c>
      <c r="D39" s="55">
        <v>37.125676145281524</v>
      </c>
      <c r="E39" s="55">
        <v>35.028153916910007</v>
      </c>
      <c r="F39" s="55">
        <v>36.252077996612442</v>
      </c>
      <c r="G39" s="55">
        <v>34.395755685343616</v>
      </c>
      <c r="H39" s="55">
        <v>33.502928681592351</v>
      </c>
      <c r="I39" s="55">
        <v>31.763865866284615</v>
      </c>
      <c r="J39" s="55">
        <v>32.775405558084728</v>
      </c>
      <c r="K39" s="55">
        <v>34.444099177534852</v>
      </c>
      <c r="L39" s="55">
        <v>36.645460521568992</v>
      </c>
      <c r="M39" s="55">
        <v>38.447069639911987</v>
      </c>
      <c r="N39" s="55">
        <v>40.958709948938974</v>
      </c>
      <c r="O39" s="55">
        <v>45.43830215695327</v>
      </c>
      <c r="P39" s="55">
        <v>50.582917451330765</v>
      </c>
      <c r="Q39" s="55">
        <v>42.666319020203467</v>
      </c>
      <c r="R39" s="55">
        <v>43.867380979738698</v>
      </c>
      <c r="S39" s="55">
        <v>44.981512416717884</v>
      </c>
      <c r="T39" s="55">
        <v>45.299816667918748</v>
      </c>
      <c r="U39" s="55">
        <v>48.50709634673742</v>
      </c>
      <c r="V39" s="55">
        <v>52.195531680862963</v>
      </c>
      <c r="W39" s="55">
        <v>49.558141394768349</v>
      </c>
      <c r="X39" s="55">
        <v>48.921903474688847</v>
      </c>
      <c r="Y39" s="55">
        <v>54.880576735577812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9.1840068787618225</v>
      </c>
      <c r="U40" s="55">
        <v>9.6956147893379185</v>
      </c>
      <c r="V40" s="55">
        <v>9.2304385210662065</v>
      </c>
      <c r="W40" s="55">
        <v>8.7910576096302648</v>
      </c>
      <c r="X40" s="55">
        <v>7.5692175408426481</v>
      </c>
      <c r="Y40" s="55">
        <v>6.1530524505588993</v>
      </c>
      <c r="DA40" s="101" t="s">
        <v>206</v>
      </c>
    </row>
    <row r="41" spans="1:105" ht="12" customHeight="1" x14ac:dyDescent="0.25">
      <c r="A41" s="61" t="s">
        <v>26</v>
      </c>
      <c r="B41" s="55">
        <v>2.1735167669819431</v>
      </c>
      <c r="C41" s="55">
        <v>2.4361994840928629</v>
      </c>
      <c r="D41" s="55">
        <v>2.7466895958727431</v>
      </c>
      <c r="E41" s="55">
        <v>2.9855546001719691</v>
      </c>
      <c r="F41" s="55">
        <v>3.224419604471195</v>
      </c>
      <c r="G41" s="55">
        <v>3.4393809114359408</v>
      </c>
      <c r="H41" s="55">
        <v>3.6065348237317281</v>
      </c>
      <c r="I41" s="55">
        <v>3.8214961306964752</v>
      </c>
      <c r="J41" s="55">
        <v>4.0364574376612206</v>
      </c>
      <c r="K41" s="55">
        <v>4.4186586414445399</v>
      </c>
      <c r="L41" s="55">
        <v>4.7530524505588989</v>
      </c>
      <c r="M41" s="55">
        <v>4.9680137575236456</v>
      </c>
      <c r="N41" s="55">
        <v>5.1112639724849522</v>
      </c>
      <c r="O41" s="55">
        <v>5.2785038693035249</v>
      </c>
      <c r="P41" s="55">
        <v>5.3979363714531381</v>
      </c>
      <c r="Q41" s="55">
        <v>5.4218400687876178</v>
      </c>
      <c r="R41" s="55">
        <v>5.469561478933791</v>
      </c>
      <c r="S41" s="55">
        <v>5.4456577815993112</v>
      </c>
      <c r="T41" s="55">
        <v>5.5173688736027513</v>
      </c>
      <c r="U41" s="55">
        <v>5.6368013757523636</v>
      </c>
      <c r="V41" s="55">
        <v>5.6128976784178848</v>
      </c>
      <c r="W41" s="55">
        <v>5.5650902837489236</v>
      </c>
      <c r="X41" s="55">
        <v>5.5889939810834042</v>
      </c>
      <c r="Y41" s="55">
        <v>5.6128976784178848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2.4882201203783318</v>
      </c>
      <c r="C43" s="309">
        <v>3.1257093723129832</v>
      </c>
      <c r="D43" s="55">
        <v>4.1624247635425613</v>
      </c>
      <c r="E43" s="55">
        <v>5.2265692175408445</v>
      </c>
      <c r="F43" s="55">
        <v>8.0638865004299198</v>
      </c>
      <c r="G43" s="55">
        <v>11.609286328460872</v>
      </c>
      <c r="H43" s="55">
        <v>15.101289767841784</v>
      </c>
      <c r="I43" s="55">
        <v>20.923645743766123</v>
      </c>
      <c r="J43" s="55">
        <v>27.681083404987092</v>
      </c>
      <c r="K43" s="55">
        <v>35.079105760963046</v>
      </c>
      <c r="L43" s="55">
        <v>43.625795356835788</v>
      </c>
      <c r="M43" s="55">
        <v>52.376956147893353</v>
      </c>
      <c r="N43" s="55">
        <v>61.432330180567519</v>
      </c>
      <c r="O43" s="55">
        <v>71.856663800515889</v>
      </c>
      <c r="P43" s="55">
        <v>83.015391229578697</v>
      </c>
      <c r="Q43" s="55">
        <v>94.657695614789233</v>
      </c>
      <c r="R43" s="55">
        <v>106.50137575236447</v>
      </c>
      <c r="S43" s="55">
        <v>119.99389509888229</v>
      </c>
      <c r="T43" s="55">
        <v>136.4464316423045</v>
      </c>
      <c r="U43" s="55">
        <v>151.96835769561474</v>
      </c>
      <c r="V43" s="55">
        <v>168.69105760963038</v>
      </c>
      <c r="W43" s="55">
        <v>186.89312123817683</v>
      </c>
      <c r="X43" s="55">
        <v>212.43095442820328</v>
      </c>
      <c r="Y43" s="55">
        <v>242.55451418744573</v>
      </c>
      <c r="DA43" s="101" t="s">
        <v>209</v>
      </c>
    </row>
    <row r="44" spans="1:105" ht="12" customHeight="1" x14ac:dyDescent="0.25">
      <c r="A44" s="60" t="s">
        <v>162</v>
      </c>
      <c r="B44" s="55">
        <v>282.4113499570077</v>
      </c>
      <c r="C44" s="55">
        <v>271.23336199484089</v>
      </c>
      <c r="D44" s="55">
        <v>387.79019776440242</v>
      </c>
      <c r="E44" s="55">
        <v>324.23327601031809</v>
      </c>
      <c r="F44" s="55">
        <v>325.69028374892508</v>
      </c>
      <c r="G44" s="55">
        <v>238.84591573516761</v>
      </c>
      <c r="H44" s="55">
        <v>273.66964746345661</v>
      </c>
      <c r="I44" s="55">
        <v>316.2558899398108</v>
      </c>
      <c r="J44" s="55">
        <v>286.35236457437662</v>
      </c>
      <c r="K44" s="55">
        <v>340.28374892519338</v>
      </c>
      <c r="L44" s="55">
        <v>306.20042992261392</v>
      </c>
      <c r="M44" s="55">
        <v>277.27618228718831</v>
      </c>
      <c r="N44" s="55">
        <v>164.13490971625109</v>
      </c>
      <c r="O44" s="55">
        <v>149.32648323301811</v>
      </c>
      <c r="P44" s="55">
        <v>146.67523645743759</v>
      </c>
      <c r="Q44" s="55">
        <v>140.85640584694761</v>
      </c>
      <c r="R44" s="55">
        <v>146.5910576096303</v>
      </c>
      <c r="S44" s="55">
        <v>197.1542562338779</v>
      </c>
      <c r="T44" s="55">
        <v>183.40318142734299</v>
      </c>
      <c r="U44" s="55">
        <v>216.55846947549441</v>
      </c>
      <c r="V44" s="55">
        <v>220.4788478073946</v>
      </c>
      <c r="W44" s="55">
        <v>200.27119518486671</v>
      </c>
      <c r="X44" s="55">
        <v>231.39991401547721</v>
      </c>
      <c r="Y44" s="55">
        <v>202.16629406706789</v>
      </c>
      <c r="DA44" s="101" t="s">
        <v>210</v>
      </c>
    </row>
    <row r="45" spans="1:105" ht="12" customHeight="1" x14ac:dyDescent="0.25">
      <c r="A45" s="62" t="s">
        <v>24</v>
      </c>
      <c r="B45" s="63">
        <v>2475.5331791028621</v>
      </c>
      <c r="C45" s="63">
        <v>2583.0359335781018</v>
      </c>
      <c r="D45" s="63">
        <v>2615.3709206862341</v>
      </c>
      <c r="E45" s="63">
        <v>2735.3587460744498</v>
      </c>
      <c r="F45" s="63">
        <v>2832.1111952478218</v>
      </c>
      <c r="G45" s="63">
        <v>2897.0866872154961</v>
      </c>
      <c r="H45" s="63">
        <v>2976.9515036830812</v>
      </c>
      <c r="I45" s="63">
        <v>3044.8783487643386</v>
      </c>
      <c r="J45" s="63">
        <v>3085.7256844619506</v>
      </c>
      <c r="K45" s="63">
        <v>3142.2423283851285</v>
      </c>
      <c r="L45" s="63">
        <v>3169.0881638214082</v>
      </c>
      <c r="M45" s="63">
        <v>3181.7468244009369</v>
      </c>
      <c r="N45" s="63">
        <v>3153.1821611907753</v>
      </c>
      <c r="O45" s="63">
        <v>3158.4389256665804</v>
      </c>
      <c r="P45" s="63">
        <v>3066.5377013682087</v>
      </c>
      <c r="Q45" s="63">
        <v>3122.5639805395454</v>
      </c>
      <c r="R45" s="63">
        <v>3113.214778029615</v>
      </c>
      <c r="S45" s="63">
        <v>3152.3447972280333</v>
      </c>
      <c r="T45" s="63">
        <v>3180.5115245788916</v>
      </c>
      <c r="U45" s="63">
        <v>3123.8424057849802</v>
      </c>
      <c r="V45" s="63">
        <v>3062.9559144799023</v>
      </c>
      <c r="W45" s="63">
        <v>3131.467572046552</v>
      </c>
      <c r="X45" s="63">
        <v>3212.2928681852563</v>
      </c>
      <c r="Y45" s="63">
        <v>3203.2482510223108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6414.3311154743151</v>
      </c>
      <c r="C47" s="82">
        <f t="shared" ref="C47:W47" si="34">SUM(C48,C53)</f>
        <v>6778.5153832771548</v>
      </c>
      <c r="D47" s="82">
        <f t="shared" si="34"/>
        <v>6726.7553574876101</v>
      </c>
      <c r="E47" s="82">
        <f t="shared" si="34"/>
        <v>7016.633810562842</v>
      </c>
      <c r="F47" s="82">
        <f t="shared" si="34"/>
        <v>7476.2871195814396</v>
      </c>
      <c r="G47" s="82">
        <f t="shared" si="34"/>
        <v>7113.060719889615</v>
      </c>
      <c r="H47" s="82">
        <f t="shared" si="34"/>
        <v>7250.5693884638222</v>
      </c>
      <c r="I47" s="82">
        <f t="shared" si="34"/>
        <v>6963.3537571908209</v>
      </c>
      <c r="J47" s="82">
        <f t="shared" si="34"/>
        <v>7271.1515658033068</v>
      </c>
      <c r="K47" s="82">
        <f t="shared" si="34"/>
        <v>7482.6247875424788</v>
      </c>
      <c r="L47" s="82">
        <f t="shared" si="34"/>
        <v>8036.8422480862428</v>
      </c>
      <c r="M47" s="82">
        <f t="shared" si="34"/>
        <v>7152.8663428876071</v>
      </c>
      <c r="N47" s="82">
        <f t="shared" si="34"/>
        <v>7429.0283348795119</v>
      </c>
      <c r="O47" s="82">
        <f t="shared" si="34"/>
        <v>7431.6366900689864</v>
      </c>
      <c r="P47" s="82">
        <f t="shared" si="34"/>
        <v>6534.5769103106004</v>
      </c>
      <c r="Q47" s="82">
        <f t="shared" si="34"/>
        <v>6828.1081765842546</v>
      </c>
      <c r="R47" s="82">
        <f t="shared" si="34"/>
        <v>6833.9520093279807</v>
      </c>
      <c r="S47" s="82">
        <f t="shared" si="34"/>
        <v>6928.0632839004302</v>
      </c>
      <c r="T47" s="82">
        <f t="shared" si="34"/>
        <v>6859.4717997293646</v>
      </c>
      <c r="U47" s="82">
        <f t="shared" si="34"/>
        <v>6631.5007032914309</v>
      </c>
      <c r="V47" s="82">
        <f t="shared" si="34"/>
        <v>6282.9789583320071</v>
      </c>
      <c r="W47" s="82">
        <f t="shared" si="34"/>
        <v>6556.6528686931561</v>
      </c>
      <c r="X47" s="82">
        <f t="shared" ref="X47:Y47" si="35">SUM(X48,X53)</f>
        <v>6197.9632895094173</v>
      </c>
      <c r="Y47" s="82">
        <f t="shared" si="35"/>
        <v>6020.8961444015058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5179.1721846411783</v>
      </c>
      <c r="C48" s="64">
        <f t="shared" ref="C48:W48" si="37">SUM(C49:C52)</f>
        <v>5493.6981908085054</v>
      </c>
      <c r="D48" s="64">
        <f t="shared" si="37"/>
        <v>5396.0097099332361</v>
      </c>
      <c r="E48" s="64">
        <f t="shared" si="37"/>
        <v>5641.5589302739572</v>
      </c>
      <c r="F48" s="64">
        <f t="shared" si="37"/>
        <v>6057.5776706627739</v>
      </c>
      <c r="G48" s="64">
        <f t="shared" si="37"/>
        <v>5643.5176118778891</v>
      </c>
      <c r="H48" s="64">
        <f t="shared" si="37"/>
        <v>5728.5359289209955</v>
      </c>
      <c r="I48" s="64">
        <f t="shared" si="37"/>
        <v>5386.5677073658562</v>
      </c>
      <c r="J48" s="64">
        <f t="shared" si="37"/>
        <v>5649.9962350790083</v>
      </c>
      <c r="K48" s="64">
        <f t="shared" si="37"/>
        <v>5834.0794557982535</v>
      </c>
      <c r="L48" s="64">
        <f t="shared" si="37"/>
        <v>6352.4120982202649</v>
      </c>
      <c r="M48" s="64">
        <f t="shared" si="37"/>
        <v>5432.3959886624707</v>
      </c>
      <c r="N48" s="64">
        <f t="shared" si="37"/>
        <v>5692.8789463409357</v>
      </c>
      <c r="O48" s="64">
        <f t="shared" si="37"/>
        <v>5676.4753272251646</v>
      </c>
      <c r="P48" s="64">
        <f t="shared" si="37"/>
        <v>4744.7846423056926</v>
      </c>
      <c r="Q48" s="64">
        <f t="shared" si="37"/>
        <v>4979.1102841965876</v>
      </c>
      <c r="R48" s="64">
        <f t="shared" si="37"/>
        <v>4973.8432333331939</v>
      </c>
      <c r="S48" s="64">
        <f t="shared" si="37"/>
        <v>5048.5913807978304</v>
      </c>
      <c r="T48" s="64">
        <f t="shared" si="37"/>
        <v>4995.4334764500918</v>
      </c>
      <c r="U48" s="64">
        <f t="shared" si="37"/>
        <v>4780.1955452573638</v>
      </c>
      <c r="V48" s="64">
        <f t="shared" si="37"/>
        <v>4456.6141231898646</v>
      </c>
      <c r="W48" s="64">
        <f t="shared" si="37"/>
        <v>4732.8227333174509</v>
      </c>
      <c r="X48" s="64">
        <f t="shared" ref="X48:Y48" si="38">SUM(X49:X52)</f>
        <v>4380.2769586788863</v>
      </c>
      <c r="Y48" s="64">
        <f t="shared" si="38"/>
        <v>4213.0687354632828</v>
      </c>
      <c r="DA48" s="108" t="s">
        <v>213</v>
      </c>
    </row>
    <row r="49" spans="1:105" ht="12" customHeight="1" x14ac:dyDescent="0.25">
      <c r="A49" s="61" t="s">
        <v>32</v>
      </c>
      <c r="B49" s="65">
        <v>3749.983475791722</v>
      </c>
      <c r="C49" s="65">
        <v>4054.8338826705749</v>
      </c>
      <c r="D49" s="65">
        <v>3943.355313233807</v>
      </c>
      <c r="E49" s="65">
        <v>4181.3158989656276</v>
      </c>
      <c r="F49" s="65">
        <v>4595.2527607334987</v>
      </c>
      <c r="G49" s="65">
        <v>4170.0567637577833</v>
      </c>
      <c r="H49" s="65">
        <v>4239.0180825670368</v>
      </c>
      <c r="I49" s="65">
        <v>3890.7974109457277</v>
      </c>
      <c r="J49" s="65">
        <v>4143.2448261938735</v>
      </c>
      <c r="K49" s="65">
        <v>4316.6118739727772</v>
      </c>
      <c r="L49" s="65">
        <v>4825.3104428753841</v>
      </c>
      <c r="M49" s="65">
        <v>3908.7895931241296</v>
      </c>
      <c r="N49" s="65">
        <v>4169.0320677872251</v>
      </c>
      <c r="O49" s="65">
        <v>4161.9294044683484</v>
      </c>
      <c r="P49" s="65">
        <v>3235.3392809863221</v>
      </c>
      <c r="Q49" s="65">
        <v>3452.6691970577126</v>
      </c>
      <c r="R49" s="65">
        <v>3469.167358131212</v>
      </c>
      <c r="S49" s="65">
        <v>3558.3490414993612</v>
      </c>
      <c r="T49" s="65">
        <v>3531.2325105587606</v>
      </c>
      <c r="U49" s="65">
        <v>3352.2585351344869</v>
      </c>
      <c r="V49" s="65">
        <v>3045.5123974120384</v>
      </c>
      <c r="W49" s="65">
        <v>3283.8522521282989</v>
      </c>
      <c r="X49" s="65">
        <v>2914.7182525879111</v>
      </c>
      <c r="Y49" s="65">
        <v>2746.6331023694029</v>
      </c>
      <c r="DA49" s="109" t="s">
        <v>214</v>
      </c>
    </row>
    <row r="50" spans="1:105" ht="12" customHeight="1" x14ac:dyDescent="0.25">
      <c r="A50" s="61" t="s">
        <v>31</v>
      </c>
      <c r="B50" s="65">
        <v>41.606100465012041</v>
      </c>
      <c r="C50" s="65">
        <v>47.023383153874462</v>
      </c>
      <c r="D50" s="65">
        <v>51.049874244779389</v>
      </c>
      <c r="E50" s="65">
        <v>59.5385355727459</v>
      </c>
      <c r="F50" s="65">
        <v>58.443325930261778</v>
      </c>
      <c r="G50" s="65">
        <v>63.973757774474684</v>
      </c>
      <c r="H50" s="65">
        <v>77.027658607114006</v>
      </c>
      <c r="I50" s="65">
        <v>79.59908200680492</v>
      </c>
      <c r="J50" s="65">
        <v>85.839819489661082</v>
      </c>
      <c r="K50" s="65">
        <v>92.13873825952318</v>
      </c>
      <c r="L50" s="65">
        <v>99.555963507215466</v>
      </c>
      <c r="M50" s="65">
        <v>99.475155838602035</v>
      </c>
      <c r="N50" s="65">
        <v>100.90575907386233</v>
      </c>
      <c r="O50" s="65">
        <v>101.63054597960824</v>
      </c>
      <c r="P50" s="65">
        <v>100.74522497421498</v>
      </c>
      <c r="Q50" s="65">
        <v>104.87574573778011</v>
      </c>
      <c r="R50" s="65">
        <v>102.48985191371153</v>
      </c>
      <c r="S50" s="65">
        <v>100.90411184760646</v>
      </c>
      <c r="T50" s="65">
        <v>111.92024775375768</v>
      </c>
      <c r="U50" s="65">
        <v>112.84120350448347</v>
      </c>
      <c r="V50" s="65">
        <v>111.48779863931071</v>
      </c>
      <c r="W50" s="65">
        <v>100.97398476391959</v>
      </c>
      <c r="X50" s="65">
        <v>105.15970970096829</v>
      </c>
      <c r="Y50" s="65">
        <v>102.08574403075301</v>
      </c>
      <c r="DA50" s="109" t="s">
        <v>215</v>
      </c>
    </row>
    <row r="51" spans="1:105" ht="12" customHeight="1" x14ac:dyDescent="0.25">
      <c r="A51" s="61" t="s">
        <v>35</v>
      </c>
      <c r="B51" s="65">
        <v>758.4155177848902</v>
      </c>
      <c r="C51" s="65">
        <v>757.41797630719611</v>
      </c>
      <c r="D51" s="65">
        <v>760.84771075328388</v>
      </c>
      <c r="E51" s="65">
        <v>753.76373814236388</v>
      </c>
      <c r="F51" s="65">
        <v>751.14637833703227</v>
      </c>
      <c r="G51" s="65">
        <v>747.48659863194121</v>
      </c>
      <c r="H51" s="65">
        <v>742.52763145680285</v>
      </c>
      <c r="I51" s="65">
        <v>737.04602307460016</v>
      </c>
      <c r="J51" s="65">
        <v>732.52273687919808</v>
      </c>
      <c r="K51" s="65">
        <v>731.24405466732526</v>
      </c>
      <c r="L51" s="65">
        <v>728.97748084702744</v>
      </c>
      <c r="M51" s="65">
        <v>726.29645804228676</v>
      </c>
      <c r="N51" s="65">
        <v>724.60567128946889</v>
      </c>
      <c r="O51" s="65">
        <v>714.54255681218183</v>
      </c>
      <c r="P51" s="65">
        <v>709.24613766306129</v>
      </c>
      <c r="Q51" s="65">
        <v>716.37846981231598</v>
      </c>
      <c r="R51" s="65">
        <v>704.66722830826529</v>
      </c>
      <c r="S51" s="65">
        <v>701.05113670371645</v>
      </c>
      <c r="T51" s="65">
        <v>694.47185149863117</v>
      </c>
      <c r="U51" s="65">
        <v>687.68926799114524</v>
      </c>
      <c r="V51" s="65">
        <v>659.80203107663317</v>
      </c>
      <c r="W51" s="65">
        <v>674.45854364028946</v>
      </c>
      <c r="X51" s="65">
        <v>673.81919193223143</v>
      </c>
      <c r="Y51" s="65">
        <v>671.59454898440663</v>
      </c>
      <c r="DA51" s="109" t="s">
        <v>216</v>
      </c>
    </row>
    <row r="52" spans="1:105" ht="12" customHeight="1" x14ac:dyDescent="0.25">
      <c r="A52" s="66" t="s">
        <v>34</v>
      </c>
      <c r="B52" s="67">
        <v>629.16709059955383</v>
      </c>
      <c r="C52" s="67">
        <v>634.42294867686041</v>
      </c>
      <c r="D52" s="67">
        <v>640.7568117013659</v>
      </c>
      <c r="E52" s="67">
        <v>646.94075759322027</v>
      </c>
      <c r="F52" s="67">
        <v>652.73520566198147</v>
      </c>
      <c r="G52" s="67">
        <v>662.00049171369039</v>
      </c>
      <c r="H52" s="67">
        <v>669.96255629004236</v>
      </c>
      <c r="I52" s="67">
        <v>679.12519133872354</v>
      </c>
      <c r="J52" s="67">
        <v>688.38885251627607</v>
      </c>
      <c r="K52" s="67">
        <v>694.08478889862772</v>
      </c>
      <c r="L52" s="67">
        <v>698.56821099063768</v>
      </c>
      <c r="M52" s="67">
        <v>697.83478165745214</v>
      </c>
      <c r="N52" s="67">
        <v>698.33544819038025</v>
      </c>
      <c r="O52" s="67">
        <v>698.37281996502577</v>
      </c>
      <c r="P52" s="67">
        <v>699.45399868209392</v>
      </c>
      <c r="Q52" s="67">
        <v>705.18687158877901</v>
      </c>
      <c r="R52" s="67">
        <v>697.51879498000449</v>
      </c>
      <c r="S52" s="67">
        <v>688.28709074714561</v>
      </c>
      <c r="T52" s="67">
        <v>657.80886663894239</v>
      </c>
      <c r="U52" s="67">
        <v>627.40653862724855</v>
      </c>
      <c r="V52" s="67">
        <v>639.81189606188252</v>
      </c>
      <c r="W52" s="67">
        <v>673.53795278494317</v>
      </c>
      <c r="X52" s="67">
        <v>686.57980445777469</v>
      </c>
      <c r="Y52" s="67">
        <v>692.75534007872034</v>
      </c>
      <c r="DA52" s="110" t="s">
        <v>217</v>
      </c>
    </row>
    <row r="53" spans="1:105" ht="12" customHeight="1" x14ac:dyDescent="0.25">
      <c r="A53" s="78" t="s">
        <v>33</v>
      </c>
      <c r="B53" s="68">
        <v>1235.1589308331372</v>
      </c>
      <c r="C53" s="68">
        <v>1284.8171924686494</v>
      </c>
      <c r="D53" s="68">
        <v>1330.7456475543743</v>
      </c>
      <c r="E53" s="68">
        <v>1375.0748802888847</v>
      </c>
      <c r="F53" s="68">
        <v>1418.7094489186659</v>
      </c>
      <c r="G53" s="68">
        <v>1469.5431080117257</v>
      </c>
      <c r="H53" s="68">
        <v>1522.0334595428264</v>
      </c>
      <c r="I53" s="68">
        <v>1576.7860498249647</v>
      </c>
      <c r="J53" s="68">
        <v>1621.1553307242987</v>
      </c>
      <c r="K53" s="68">
        <v>1648.5453317442252</v>
      </c>
      <c r="L53" s="68">
        <v>1684.4301498659779</v>
      </c>
      <c r="M53" s="68">
        <v>1720.4703542251366</v>
      </c>
      <c r="N53" s="68">
        <v>1736.1493885385762</v>
      </c>
      <c r="O53" s="68">
        <v>1755.1613628438213</v>
      </c>
      <c r="P53" s="68">
        <v>1789.7922680049078</v>
      </c>
      <c r="Q53" s="68">
        <v>1848.997892387667</v>
      </c>
      <c r="R53" s="68">
        <v>1860.1087759947873</v>
      </c>
      <c r="S53" s="68">
        <v>1879.4719031026002</v>
      </c>
      <c r="T53" s="68">
        <v>1864.0383232792731</v>
      </c>
      <c r="U53" s="68">
        <v>1851.3051580340675</v>
      </c>
      <c r="V53" s="68">
        <v>1826.3648351421421</v>
      </c>
      <c r="W53" s="68">
        <v>1823.8301353757049</v>
      </c>
      <c r="X53" s="68">
        <v>1817.686330830531</v>
      </c>
      <c r="Y53" s="68">
        <v>1807.8274089382226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0.80743760984627599</v>
      </c>
      <c r="C56" s="70">
        <f t="shared" ref="C56:W56" si="43">IF(C48=0,0,C48/C$47)</f>
        <v>0.8104574350250292</v>
      </c>
      <c r="D56" s="70">
        <f t="shared" si="43"/>
        <v>0.8021712435144368</v>
      </c>
      <c r="E56" s="70">
        <f t="shared" si="43"/>
        <v>0.80402641531344465</v>
      </c>
      <c r="F56" s="70">
        <f t="shared" si="43"/>
        <v>0.81023876875958023</v>
      </c>
      <c r="G56" s="70">
        <f t="shared" si="43"/>
        <v>0.79340214207611437</v>
      </c>
      <c r="H56" s="70">
        <f t="shared" si="43"/>
        <v>0.790080836690634</v>
      </c>
      <c r="I56" s="70">
        <f t="shared" si="43"/>
        <v>0.77355939324543566</v>
      </c>
      <c r="J56" s="70">
        <f t="shared" si="43"/>
        <v>0.77704283619272962</v>
      </c>
      <c r="K56" s="70">
        <f t="shared" si="43"/>
        <v>0.77968354974997245</v>
      </c>
      <c r="L56" s="70">
        <f t="shared" si="43"/>
        <v>0.79041144545706621</v>
      </c>
      <c r="M56" s="70">
        <f t="shared" si="43"/>
        <v>0.75947120052985873</v>
      </c>
      <c r="N56" s="70">
        <f t="shared" si="43"/>
        <v>0.76630195628850917</v>
      </c>
      <c r="O56" s="70">
        <f t="shared" si="43"/>
        <v>0.7638257309874591</v>
      </c>
      <c r="P56" s="70">
        <f t="shared" si="43"/>
        <v>0.72610433811240649</v>
      </c>
      <c r="Q56" s="70">
        <f t="shared" si="43"/>
        <v>0.72920787946382182</v>
      </c>
      <c r="R56" s="70">
        <f t="shared" si="43"/>
        <v>0.72781360280905727</v>
      </c>
      <c r="S56" s="70">
        <f t="shared" si="43"/>
        <v>0.72871611789832325</v>
      </c>
      <c r="T56" s="70">
        <f t="shared" si="43"/>
        <v>0.72825337318934424</v>
      </c>
      <c r="U56" s="70">
        <f t="shared" si="43"/>
        <v>0.72083164266043076</v>
      </c>
      <c r="V56" s="70">
        <f t="shared" si="43"/>
        <v>0.70931546209936658</v>
      </c>
      <c r="W56" s="70">
        <f t="shared" si="43"/>
        <v>0.72183518452163797</v>
      </c>
      <c r="X56" s="70">
        <f t="shared" ref="X56:Y56" si="44">IF(X48=0,0,X48/X$47)</f>
        <v>0.70672844514792132</v>
      </c>
      <c r="Y56" s="70">
        <f t="shared" si="44"/>
        <v>0.69974114059096992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0.5846258024854748</v>
      </c>
      <c r="C57" s="71">
        <f t="shared" ref="C57:W57" si="46">IF(C49=0,0,C49/C$47)</f>
        <v>0.59818908026291395</v>
      </c>
      <c r="D57" s="71">
        <f t="shared" si="46"/>
        <v>0.5862195224395107</v>
      </c>
      <c r="E57" s="71">
        <f t="shared" si="46"/>
        <v>0.59591479502194822</v>
      </c>
      <c r="F57" s="71">
        <f t="shared" si="46"/>
        <v>0.61464369776515004</v>
      </c>
      <c r="G57" s="71">
        <f t="shared" si="46"/>
        <v>0.58625350295371814</v>
      </c>
      <c r="H57" s="71">
        <f t="shared" si="46"/>
        <v>0.58464623334432464</v>
      </c>
      <c r="I57" s="71">
        <f t="shared" si="46"/>
        <v>0.55875337468354702</v>
      </c>
      <c r="J57" s="71">
        <f t="shared" si="46"/>
        <v>0.56981962055086577</v>
      </c>
      <c r="K57" s="71">
        <f t="shared" si="46"/>
        <v>0.57688471579643164</v>
      </c>
      <c r="L57" s="71">
        <f t="shared" si="46"/>
        <v>0.60039880016612268</v>
      </c>
      <c r="M57" s="71">
        <f t="shared" si="46"/>
        <v>0.54646478848452162</v>
      </c>
      <c r="N57" s="71">
        <f t="shared" si="46"/>
        <v>0.56118133891258615</v>
      </c>
      <c r="O57" s="71">
        <f t="shared" si="46"/>
        <v>0.56002864214689085</v>
      </c>
      <c r="P57" s="71">
        <f t="shared" si="46"/>
        <v>0.49511075091662521</v>
      </c>
      <c r="Q57" s="71">
        <f t="shared" si="46"/>
        <v>0.50565531590404622</v>
      </c>
      <c r="R57" s="71">
        <f t="shared" si="46"/>
        <v>0.50763706759953586</v>
      </c>
      <c r="S57" s="71">
        <f t="shared" si="46"/>
        <v>0.51361381899734126</v>
      </c>
      <c r="T57" s="71">
        <f t="shared" si="46"/>
        <v>0.51479656359227</v>
      </c>
      <c r="U57" s="71">
        <f t="shared" si="46"/>
        <v>0.50550526722716793</v>
      </c>
      <c r="V57" s="71">
        <f t="shared" si="46"/>
        <v>0.48472427133840901</v>
      </c>
      <c r="W57" s="71">
        <f t="shared" si="46"/>
        <v>0.50084278028628082</v>
      </c>
      <c r="X57" s="71">
        <f t="shared" ref="X57:Y57" si="47">IF(X49=0,0,X49/X$47)</f>
        <v>0.47027033179130329</v>
      </c>
      <c r="Y57" s="71">
        <f t="shared" si="47"/>
        <v>0.45618343789625787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6.4864285481987362E-3</v>
      </c>
      <c r="C58" s="72">
        <f t="shared" ref="C58:W58" si="49">IF(C50=0,0,C50/C$47)</f>
        <v>6.9371212566519897E-3</v>
      </c>
      <c r="D58" s="72">
        <f t="shared" si="49"/>
        <v>7.5890784682626118E-3</v>
      </c>
      <c r="E58" s="72">
        <f t="shared" si="49"/>
        <v>8.4853417151564293E-3</v>
      </c>
      <c r="F58" s="72">
        <f t="shared" si="49"/>
        <v>7.8171591052449748E-3</v>
      </c>
      <c r="G58" s="72">
        <f t="shared" si="49"/>
        <v>8.9938439012042445E-3</v>
      </c>
      <c r="H58" s="72">
        <f t="shared" si="49"/>
        <v>1.0623670291283683E-2</v>
      </c>
      <c r="I58" s="72">
        <f t="shared" si="49"/>
        <v>1.143114148474873E-2</v>
      </c>
      <c r="J58" s="72">
        <f t="shared" si="49"/>
        <v>1.1805532963082666E-2</v>
      </c>
      <c r="K58" s="72">
        <f t="shared" si="49"/>
        <v>1.2313692170282447E-2</v>
      </c>
      <c r="L58" s="72">
        <f t="shared" si="49"/>
        <v>1.2387447760458659E-2</v>
      </c>
      <c r="M58" s="72">
        <f t="shared" si="49"/>
        <v>1.3907034057404739E-2</v>
      </c>
      <c r="N58" s="72">
        <f t="shared" si="49"/>
        <v>1.3582632145863107E-2</v>
      </c>
      <c r="O58" s="72">
        <f t="shared" si="49"/>
        <v>1.3675392140121536E-2</v>
      </c>
      <c r="P58" s="72">
        <f t="shared" si="49"/>
        <v>1.5417252923483667E-2</v>
      </c>
      <c r="Q58" s="72">
        <f t="shared" si="49"/>
        <v>1.535941479331453E-2</v>
      </c>
      <c r="R58" s="72">
        <f t="shared" si="49"/>
        <v>1.4997157102335273E-2</v>
      </c>
      <c r="S58" s="72">
        <f t="shared" si="49"/>
        <v>1.4564548231262468E-2</v>
      </c>
      <c r="T58" s="72">
        <f t="shared" si="49"/>
        <v>1.6316161217861325E-2</v>
      </c>
      <c r="U58" s="72">
        <f t="shared" si="49"/>
        <v>1.7015937802506254E-2</v>
      </c>
      <c r="V58" s="72">
        <f t="shared" si="49"/>
        <v>1.7744417000070341E-2</v>
      </c>
      <c r="W58" s="72">
        <f t="shared" si="49"/>
        <v>1.5400233440152412E-2</v>
      </c>
      <c r="X58" s="72">
        <f t="shared" ref="X58:Y58" si="50">IF(X50=0,0,X50/X$47)</f>
        <v>1.6966817128291175E-2</v>
      </c>
      <c r="Y58" s="72">
        <f t="shared" si="50"/>
        <v>1.695524081173146E-2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0.11823766252965073</v>
      </c>
      <c r="C59" s="72">
        <f t="shared" ref="C59:W59" si="52">IF(C51=0,0,C51/C$47)</f>
        <v>0.11173803310615389</v>
      </c>
      <c r="D59" s="72">
        <f t="shared" si="52"/>
        <v>0.11310768272646896</v>
      </c>
      <c r="E59" s="72">
        <f t="shared" si="52"/>
        <v>0.10742526380778883</v>
      </c>
      <c r="F59" s="72">
        <f t="shared" si="52"/>
        <v>0.10047050980287729</v>
      </c>
      <c r="G59" s="72">
        <f t="shared" si="52"/>
        <v>0.10508649202751937</v>
      </c>
      <c r="H59" s="72">
        <f t="shared" si="52"/>
        <v>0.10240956146674739</v>
      </c>
      <c r="I59" s="72">
        <f t="shared" si="52"/>
        <v>0.10584641377920481</v>
      </c>
      <c r="J59" s="72">
        <f t="shared" si="52"/>
        <v>0.10074370342165602</v>
      </c>
      <c r="K59" s="72">
        <f t="shared" si="52"/>
        <v>9.7725607715188942E-2</v>
      </c>
      <c r="L59" s="72">
        <f t="shared" si="52"/>
        <v>9.0704465553073876E-2</v>
      </c>
      <c r="M59" s="72">
        <f t="shared" si="52"/>
        <v>0.10153921843716171</v>
      </c>
      <c r="N59" s="72">
        <f t="shared" si="52"/>
        <v>9.7537071959656343E-2</v>
      </c>
      <c r="O59" s="72">
        <f t="shared" si="52"/>
        <v>9.6148747121483524E-2</v>
      </c>
      <c r="P59" s="72">
        <f t="shared" si="52"/>
        <v>0.10853742291164639</v>
      </c>
      <c r="Q59" s="72">
        <f t="shared" si="52"/>
        <v>0.10491609846911984</v>
      </c>
      <c r="R59" s="72">
        <f t="shared" si="52"/>
        <v>0.10311269779864302</v>
      </c>
      <c r="S59" s="72">
        <f t="shared" si="52"/>
        <v>0.10119005961346123</v>
      </c>
      <c r="T59" s="72">
        <f t="shared" si="52"/>
        <v>0.10124275917659302</v>
      </c>
      <c r="U59" s="72">
        <f t="shared" si="52"/>
        <v>0.10370039886293347</v>
      </c>
      <c r="V59" s="72">
        <f t="shared" si="52"/>
        <v>0.10501420352548756</v>
      </c>
      <c r="W59" s="72">
        <f t="shared" si="52"/>
        <v>0.1028662882033466</v>
      </c>
      <c r="X59" s="72">
        <f t="shared" ref="X59:Y59" si="53">IF(X51=0,0,X51/X$47)</f>
        <v>0.10871622829272448</v>
      </c>
      <c r="Y59" s="72">
        <f t="shared" si="53"/>
        <v>0.11154395174360959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9.8087716282951723E-2</v>
      </c>
      <c r="C60" s="73">
        <f t="shared" ref="C60:W60" si="55">IF(C52=0,0,C52/C$47)</f>
        <v>9.359320039930942E-2</v>
      </c>
      <c r="D60" s="73">
        <f t="shared" si="55"/>
        <v>9.5254959880194529E-2</v>
      </c>
      <c r="E60" s="73">
        <f t="shared" si="55"/>
        <v>9.2201014768551193E-2</v>
      </c>
      <c r="F60" s="73">
        <f t="shared" si="55"/>
        <v>8.7307402086307898E-2</v>
      </c>
      <c r="G60" s="73">
        <f t="shared" si="55"/>
        <v>9.306830319367268E-2</v>
      </c>
      <c r="H60" s="73">
        <f t="shared" si="55"/>
        <v>9.2401371588278436E-2</v>
      </c>
      <c r="I60" s="73">
        <f t="shared" si="55"/>
        <v>9.7528463297935117E-2</v>
      </c>
      <c r="J60" s="73">
        <f t="shared" si="55"/>
        <v>9.4673979257125257E-2</v>
      </c>
      <c r="K60" s="73">
        <f t="shared" si="55"/>
        <v>9.2759534068069485E-2</v>
      </c>
      <c r="L60" s="73">
        <f t="shared" si="55"/>
        <v>8.6920731977411014E-2</v>
      </c>
      <c r="M60" s="73">
        <f t="shared" si="55"/>
        <v>9.7560159550770631E-2</v>
      </c>
      <c r="N60" s="73">
        <f t="shared" si="55"/>
        <v>9.4000913270403649E-2</v>
      </c>
      <c r="O60" s="73">
        <f t="shared" si="55"/>
        <v>9.3972949578963197E-2</v>
      </c>
      <c r="P60" s="73">
        <f t="shared" si="55"/>
        <v>0.10703891136065113</v>
      </c>
      <c r="Q60" s="73">
        <f t="shared" si="55"/>
        <v>0.10327705029734123</v>
      </c>
      <c r="R60" s="73">
        <f t="shared" si="55"/>
        <v>0.10206668030854306</v>
      </c>
      <c r="S60" s="73">
        <f t="shared" si="55"/>
        <v>9.9347691056258208E-2</v>
      </c>
      <c r="T60" s="73">
        <f t="shared" si="55"/>
        <v>9.5897889202619907E-2</v>
      </c>
      <c r="U60" s="73">
        <f t="shared" si="55"/>
        <v>9.4610038767823118E-2</v>
      </c>
      <c r="V60" s="73">
        <f t="shared" si="55"/>
        <v>0.1018325702353997</v>
      </c>
      <c r="W60" s="73">
        <f t="shared" si="55"/>
        <v>0.10272588259185816</v>
      </c>
      <c r="X60" s="73">
        <f t="shared" ref="X60:Y60" si="56">IF(X52=0,0,X52/X$47)</f>
        <v>0.11077506793560228</v>
      </c>
      <c r="Y60" s="73">
        <f t="shared" si="56"/>
        <v>0.11505851013937099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0.19256239015372409</v>
      </c>
      <c r="C61" s="70">
        <f t="shared" ref="C61:W61" si="58">IF(C53=0,0,C53/C$47)</f>
        <v>0.18954256497497082</v>
      </c>
      <c r="D61" s="70">
        <f t="shared" si="58"/>
        <v>0.19782875648556322</v>
      </c>
      <c r="E61" s="70">
        <f t="shared" si="58"/>
        <v>0.19597358468655535</v>
      </c>
      <c r="F61" s="70">
        <f t="shared" si="58"/>
        <v>0.18976123124041983</v>
      </c>
      <c r="G61" s="70">
        <f t="shared" si="58"/>
        <v>0.20659785792388555</v>
      </c>
      <c r="H61" s="70">
        <f t="shared" si="58"/>
        <v>0.20991916330936591</v>
      </c>
      <c r="I61" s="70">
        <f t="shared" si="58"/>
        <v>0.22644060675456434</v>
      </c>
      <c r="J61" s="70">
        <f t="shared" si="58"/>
        <v>0.22295716380727043</v>
      </c>
      <c r="K61" s="70">
        <f t="shared" si="58"/>
        <v>0.22031645025002752</v>
      </c>
      <c r="L61" s="70">
        <f t="shared" si="58"/>
        <v>0.20958855454293376</v>
      </c>
      <c r="M61" s="70">
        <f t="shared" si="58"/>
        <v>0.24052879947014136</v>
      </c>
      <c r="N61" s="70">
        <f t="shared" si="58"/>
        <v>0.23369804371149083</v>
      </c>
      <c r="O61" s="70">
        <f t="shared" si="58"/>
        <v>0.23617426901254082</v>
      </c>
      <c r="P61" s="70">
        <f t="shared" si="58"/>
        <v>0.27389566188759351</v>
      </c>
      <c r="Q61" s="70">
        <f t="shared" si="58"/>
        <v>0.27079212053617813</v>
      </c>
      <c r="R61" s="70">
        <f t="shared" si="58"/>
        <v>0.27218639719094279</v>
      </c>
      <c r="S61" s="70">
        <f t="shared" si="58"/>
        <v>0.27128388210167681</v>
      </c>
      <c r="T61" s="70">
        <f t="shared" si="58"/>
        <v>0.27174662681065581</v>
      </c>
      <c r="U61" s="70">
        <f t="shared" si="58"/>
        <v>0.27916835733956935</v>
      </c>
      <c r="V61" s="70">
        <f t="shared" si="58"/>
        <v>0.29068453790063331</v>
      </c>
      <c r="W61" s="70">
        <f t="shared" si="58"/>
        <v>0.27816481547836203</v>
      </c>
      <c r="X61" s="70">
        <f t="shared" ref="X61:Y61" si="59">IF(X53=0,0,X53/X$47)</f>
        <v>0.29327155485207868</v>
      </c>
      <c r="Y61" s="70">
        <f t="shared" si="59"/>
        <v>0.30025885940903002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8614.3714834327184</v>
      </c>
      <c r="C65" s="80">
        <v>9214.6204577965782</v>
      </c>
      <c r="D65" s="80">
        <v>8755.1647992803992</v>
      </c>
      <c r="E65" s="80">
        <v>9319.9466447102805</v>
      </c>
      <c r="F65" s="80">
        <v>10158.327695288444</v>
      </c>
      <c r="G65" s="80">
        <v>9379.6201169264696</v>
      </c>
      <c r="H65" s="80">
        <v>9423.3862830696198</v>
      </c>
      <c r="I65" s="80">
        <v>8480.619792080297</v>
      </c>
      <c r="J65" s="80">
        <v>9149.7105182629111</v>
      </c>
      <c r="K65" s="80">
        <v>9407.2946695071805</v>
      </c>
      <c r="L65" s="80">
        <v>10740.897014773138</v>
      </c>
      <c r="M65" s="80">
        <v>8678.3472561220169</v>
      </c>
      <c r="N65" s="80">
        <v>9633.0693127511167</v>
      </c>
      <c r="O65" s="80">
        <v>9661.15731940365</v>
      </c>
      <c r="P65" s="80">
        <v>7743.2306386949776</v>
      </c>
      <c r="Q65" s="80">
        <v>8344.7096988429148</v>
      </c>
      <c r="R65" s="80">
        <v>8356.2647964370317</v>
      </c>
      <c r="S65" s="80">
        <v>8274.8334051185411</v>
      </c>
      <c r="T65" s="80">
        <v>8049.8841593144944</v>
      </c>
      <c r="U65" s="80">
        <v>7527.0724239089986</v>
      </c>
      <c r="V65" s="80">
        <v>6807.3170796673157</v>
      </c>
      <c r="W65" s="80">
        <v>7368.6242260382087</v>
      </c>
      <c r="X65" s="80">
        <v>6349.673610296195</v>
      </c>
      <c r="Y65" s="80">
        <v>5959.5769564117682</v>
      </c>
      <c r="DA65" s="103" t="s">
        <v>219</v>
      </c>
    </row>
    <row r="66" spans="1:105" ht="12" customHeight="1" x14ac:dyDescent="0.25">
      <c r="A66" s="58" t="s">
        <v>29</v>
      </c>
      <c r="B66" s="59">
        <v>1.9501560000000011</v>
      </c>
      <c r="C66" s="59">
        <v>1.9501560000000011</v>
      </c>
      <c r="D66" s="59">
        <v>1.9501560000000011</v>
      </c>
      <c r="E66" s="59">
        <v>3.899961000000002</v>
      </c>
      <c r="F66" s="59">
        <v>1.9501560000000011</v>
      </c>
      <c r="G66" s="59">
        <v>3.899961000000002</v>
      </c>
      <c r="H66" s="59">
        <v>3.899961000000002</v>
      </c>
      <c r="I66" s="59">
        <v>9.750078000000002</v>
      </c>
      <c r="J66" s="59">
        <v>13.650039000000005</v>
      </c>
      <c r="K66" s="59">
        <v>15.59984400000001</v>
      </c>
      <c r="L66" s="59">
        <v>15.59984400000001</v>
      </c>
      <c r="M66" s="59">
        <v>15.59984400000001</v>
      </c>
      <c r="N66" s="59">
        <v>15.59984400000001</v>
      </c>
      <c r="O66" s="59">
        <v>9.750078000000002</v>
      </c>
      <c r="P66" s="59">
        <v>3.899961000000002</v>
      </c>
      <c r="Q66" s="59">
        <v>20.042965800000033</v>
      </c>
      <c r="R66" s="59">
        <v>23.435213400000034</v>
      </c>
      <c r="S66" s="59">
        <v>23.450007600000035</v>
      </c>
      <c r="T66" s="59">
        <v>22.277908800000031</v>
      </c>
      <c r="U66" s="59">
        <v>15.528871800000012</v>
      </c>
      <c r="V66" s="59">
        <v>18.306628200000031</v>
      </c>
      <c r="W66" s="59">
        <v>11.796121800000018</v>
      </c>
      <c r="X66" s="59">
        <v>25.633800000000054</v>
      </c>
      <c r="Y66" s="59">
        <v>31.594658400000068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951.74208143999999</v>
      </c>
      <c r="C67" s="55">
        <f t="shared" ref="C67:W67" si="60">SUM(C68:C69)</f>
        <v>941.41100700000015</v>
      </c>
      <c r="D67" s="55">
        <f t="shared" si="60"/>
        <v>967.57479540000008</v>
      </c>
      <c r="E67" s="55">
        <f t="shared" si="60"/>
        <v>969.20650008000007</v>
      </c>
      <c r="F67" s="55">
        <f t="shared" si="60"/>
        <v>951.6035807999998</v>
      </c>
      <c r="G67" s="55">
        <f t="shared" si="60"/>
        <v>964.37120399999992</v>
      </c>
      <c r="H67" s="55">
        <f t="shared" si="60"/>
        <v>979.93664063999995</v>
      </c>
      <c r="I67" s="55">
        <f t="shared" si="60"/>
        <v>911.1766316400001</v>
      </c>
      <c r="J67" s="55">
        <f t="shared" si="60"/>
        <v>879.66565416000014</v>
      </c>
      <c r="K67" s="55">
        <f t="shared" si="60"/>
        <v>896.73352955999997</v>
      </c>
      <c r="L67" s="55">
        <f t="shared" si="60"/>
        <v>1037.4202479600003</v>
      </c>
      <c r="M67" s="55">
        <f t="shared" si="60"/>
        <v>917.99597735999998</v>
      </c>
      <c r="N67" s="55">
        <f t="shared" si="60"/>
        <v>937.13160239999991</v>
      </c>
      <c r="O67" s="55">
        <f t="shared" si="60"/>
        <v>941.00552424000011</v>
      </c>
      <c r="P67" s="55">
        <f t="shared" si="60"/>
        <v>817.31192904</v>
      </c>
      <c r="Q67" s="55">
        <f t="shared" si="60"/>
        <v>896.65659108</v>
      </c>
      <c r="R67" s="55">
        <f t="shared" si="60"/>
        <v>878.76231660000008</v>
      </c>
      <c r="S67" s="55">
        <f t="shared" si="60"/>
        <v>870.34174272000007</v>
      </c>
      <c r="T67" s="55">
        <f t="shared" si="60"/>
        <v>849.83154048000006</v>
      </c>
      <c r="U67" s="55">
        <f t="shared" si="60"/>
        <v>879.06712715999993</v>
      </c>
      <c r="V67" s="55">
        <f t="shared" si="60"/>
        <v>828.80528112000025</v>
      </c>
      <c r="W67" s="55">
        <f t="shared" si="60"/>
        <v>871.9914805200001</v>
      </c>
      <c r="X67" s="55">
        <f t="shared" ref="X67:Y67" si="61">SUM(X68:X69)</f>
        <v>890.47816775999991</v>
      </c>
      <c r="Y67" s="55">
        <f t="shared" si="61"/>
        <v>876.12863543999993</v>
      </c>
      <c r="DA67" s="101"/>
    </row>
    <row r="68" spans="1:105" ht="12" customHeight="1" x14ac:dyDescent="0.25">
      <c r="A68" s="61" t="s">
        <v>52</v>
      </c>
      <c r="B68" s="55">
        <v>111.22276067999998</v>
      </c>
      <c r="C68" s="55">
        <v>128.33404200000001</v>
      </c>
      <c r="D68" s="55">
        <v>145.44532332000003</v>
      </c>
      <c r="E68" s="55">
        <v>134.03780244000001</v>
      </c>
      <c r="F68" s="55">
        <v>151.14908375999997</v>
      </c>
      <c r="G68" s="55">
        <v>148.29708996000002</v>
      </c>
      <c r="H68" s="55">
        <v>188.22318588000002</v>
      </c>
      <c r="I68" s="55">
        <v>94.111706520000027</v>
      </c>
      <c r="J68" s="55">
        <v>77.000425200000024</v>
      </c>
      <c r="K68" s="55">
        <v>122.63028156</v>
      </c>
      <c r="L68" s="55">
        <v>148.29708996000002</v>
      </c>
      <c r="M68" s="55">
        <v>82.704185640000006</v>
      </c>
      <c r="N68" s="55">
        <v>111.22276067999998</v>
      </c>
      <c r="O68" s="55">
        <v>105.51900024000001</v>
      </c>
      <c r="P68" s="55">
        <v>17.111281320000003</v>
      </c>
      <c r="Q68" s="55">
        <v>116.77614120000001</v>
      </c>
      <c r="R68" s="55">
        <v>116.25776208000002</v>
      </c>
      <c r="S68" s="55">
        <v>111.35542212</v>
      </c>
      <c r="T68" s="55">
        <v>109.15015284000002</v>
      </c>
      <c r="U68" s="55">
        <v>107.63817588000002</v>
      </c>
      <c r="V68" s="55">
        <v>107.33946048000001</v>
      </c>
      <c r="W68" s="55">
        <v>127.96808724000003</v>
      </c>
      <c r="X68" s="55">
        <v>106.90785648000001</v>
      </c>
      <c r="Y68" s="55">
        <v>103.48591824000002</v>
      </c>
      <c r="DA68" s="101" t="s">
        <v>221</v>
      </c>
    </row>
    <row r="69" spans="1:105" ht="12" customHeight="1" x14ac:dyDescent="0.25">
      <c r="A69" s="61" t="s">
        <v>163</v>
      </c>
      <c r="B69" s="55">
        <v>840.51932076000003</v>
      </c>
      <c r="C69" s="55">
        <v>813.0769650000002</v>
      </c>
      <c r="D69" s="55">
        <v>822.12947208000003</v>
      </c>
      <c r="E69" s="55">
        <v>835.16869764000012</v>
      </c>
      <c r="F69" s="55">
        <v>800.45449703999986</v>
      </c>
      <c r="G69" s="55">
        <v>816.07411403999993</v>
      </c>
      <c r="H69" s="55">
        <v>791.71345475999988</v>
      </c>
      <c r="I69" s="55">
        <v>817.06492512000011</v>
      </c>
      <c r="J69" s="55">
        <v>802.66522896000015</v>
      </c>
      <c r="K69" s="55">
        <v>774.10324800000001</v>
      </c>
      <c r="L69" s="55">
        <v>889.12315800000033</v>
      </c>
      <c r="M69" s="55">
        <v>835.29179171999999</v>
      </c>
      <c r="N69" s="55">
        <v>825.90884171999994</v>
      </c>
      <c r="O69" s="55">
        <v>835.48652400000014</v>
      </c>
      <c r="P69" s="55">
        <v>800.20064772000001</v>
      </c>
      <c r="Q69" s="55">
        <v>779.88044988000001</v>
      </c>
      <c r="R69" s="55">
        <v>762.50455452000006</v>
      </c>
      <c r="S69" s="55">
        <v>758.98632060000011</v>
      </c>
      <c r="T69" s="55">
        <v>740.68138764000003</v>
      </c>
      <c r="U69" s="55">
        <v>771.42895127999986</v>
      </c>
      <c r="V69" s="55">
        <v>721.46582064000017</v>
      </c>
      <c r="W69" s="55">
        <v>744.02339328000005</v>
      </c>
      <c r="X69" s="55">
        <v>783.57031127999994</v>
      </c>
      <c r="Y69" s="55">
        <v>772.64271719999988</v>
      </c>
      <c r="DA69" s="101" t="s">
        <v>222</v>
      </c>
    </row>
    <row r="70" spans="1:105" ht="12" customHeight="1" x14ac:dyDescent="0.25">
      <c r="A70" s="60" t="s">
        <v>149</v>
      </c>
      <c r="B70" s="55">
        <v>7577.2427997996137</v>
      </c>
      <c r="C70" s="55">
        <v>8159.3445440192854</v>
      </c>
      <c r="D70" s="55">
        <v>7675.9703408834803</v>
      </c>
      <c r="E70" s="55">
        <v>8237.351117426364</v>
      </c>
      <c r="F70" s="55">
        <v>9074.9749185923629</v>
      </c>
      <c r="G70" s="55">
        <v>8272.384066704195</v>
      </c>
      <c r="H70" s="55">
        <v>8277.998469487904</v>
      </c>
      <c r="I70" s="55">
        <v>7397.6865979053737</v>
      </c>
      <c r="J70" s="55">
        <v>8068.1773974172802</v>
      </c>
      <c r="K70" s="55">
        <v>8301.3975928811215</v>
      </c>
      <c r="L70" s="55">
        <v>9489.0326968833342</v>
      </c>
      <c r="M70" s="55">
        <v>7576.0553150745372</v>
      </c>
      <c r="N70" s="55">
        <v>8540.1720889372245</v>
      </c>
      <c r="O70" s="55">
        <v>8567.2992233729183</v>
      </c>
      <c r="P70" s="55">
        <v>6779.7405845614849</v>
      </c>
      <c r="Q70" s="55">
        <v>7303.467101830206</v>
      </c>
      <c r="R70" s="55">
        <v>7335.3361170651706</v>
      </c>
      <c r="S70" s="55">
        <v>7275.8511521794771</v>
      </c>
      <c r="T70" s="55">
        <v>7045.6723157294382</v>
      </c>
      <c r="U70" s="55">
        <v>6502.1790396176857</v>
      </c>
      <c r="V70" s="55">
        <v>5836.4519292847535</v>
      </c>
      <c r="W70" s="55">
        <v>6363.7318942343045</v>
      </c>
      <c r="X70" s="55">
        <v>5306.6991953925481</v>
      </c>
      <c r="Y70" s="55">
        <v>4935.3851587424751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83.436446193105141</v>
      </c>
      <c r="C71" s="55">
        <f t="shared" ref="C71:W71" si="62">SUM(C72:C76)</f>
        <v>111.91475077729291</v>
      </c>
      <c r="D71" s="55">
        <f t="shared" si="62"/>
        <v>109.66950699691849</v>
      </c>
      <c r="E71" s="55">
        <f t="shared" si="62"/>
        <v>109.48906620391689</v>
      </c>
      <c r="F71" s="55">
        <f t="shared" si="62"/>
        <v>129.79903989608124</v>
      </c>
      <c r="G71" s="55">
        <f t="shared" si="62"/>
        <v>138.96488522227418</v>
      </c>
      <c r="H71" s="55">
        <f t="shared" si="62"/>
        <v>161.55121194171639</v>
      </c>
      <c r="I71" s="55">
        <f t="shared" si="62"/>
        <v>162.00648453492281</v>
      </c>
      <c r="J71" s="55">
        <f t="shared" si="62"/>
        <v>188.21742768563118</v>
      </c>
      <c r="K71" s="55">
        <f t="shared" si="62"/>
        <v>193.56370306605731</v>
      </c>
      <c r="L71" s="55">
        <f t="shared" si="62"/>
        <v>198.8442259298026</v>
      </c>
      <c r="M71" s="55">
        <f t="shared" si="62"/>
        <v>168.69611968748023</v>
      </c>
      <c r="N71" s="55">
        <f t="shared" si="62"/>
        <v>140.16577741389222</v>
      </c>
      <c r="O71" s="55">
        <f t="shared" si="62"/>
        <v>143.10249379073051</v>
      </c>
      <c r="P71" s="55">
        <f t="shared" si="62"/>
        <v>142.27816409349305</v>
      </c>
      <c r="Q71" s="55">
        <f t="shared" si="62"/>
        <v>124.54304013270814</v>
      </c>
      <c r="R71" s="55">
        <f t="shared" si="62"/>
        <v>118.73114937186105</v>
      </c>
      <c r="S71" s="55">
        <f t="shared" si="62"/>
        <v>105.19050261906371</v>
      </c>
      <c r="T71" s="55">
        <f t="shared" si="62"/>
        <v>132.10239430505607</v>
      </c>
      <c r="U71" s="55">
        <f t="shared" si="62"/>
        <v>130.29738533131331</v>
      </c>
      <c r="V71" s="55">
        <f t="shared" si="62"/>
        <v>123.75324106256194</v>
      </c>
      <c r="W71" s="55">
        <f t="shared" si="62"/>
        <v>121.10472948390371</v>
      </c>
      <c r="X71" s="55">
        <f t="shared" ref="X71:Y71" si="63">SUM(X72:X76)</f>
        <v>126.86244714364716</v>
      </c>
      <c r="Y71" s="55">
        <f t="shared" si="63"/>
        <v>116.46850382929301</v>
      </c>
      <c r="DA71" s="101"/>
    </row>
    <row r="72" spans="1:105" ht="12" customHeight="1" x14ac:dyDescent="0.25">
      <c r="A72" s="61" t="s">
        <v>164</v>
      </c>
      <c r="B72" s="55">
        <v>83.436446193105141</v>
      </c>
      <c r="C72" s="55">
        <v>111.91475077729291</v>
      </c>
      <c r="D72" s="55">
        <v>109.66950699691849</v>
      </c>
      <c r="E72" s="55">
        <v>109.48906620391689</v>
      </c>
      <c r="F72" s="55">
        <v>129.79903989608124</v>
      </c>
      <c r="G72" s="55">
        <v>138.96488522227418</v>
      </c>
      <c r="H72" s="55">
        <v>161.55121194171639</v>
      </c>
      <c r="I72" s="55">
        <v>162.00648453492281</v>
      </c>
      <c r="J72" s="55">
        <v>188.21742768563118</v>
      </c>
      <c r="K72" s="55">
        <v>193.56370306605731</v>
      </c>
      <c r="L72" s="55">
        <v>198.8442259298026</v>
      </c>
      <c r="M72" s="55">
        <v>168.69611968748023</v>
      </c>
      <c r="N72" s="55">
        <v>140.16577741389222</v>
      </c>
      <c r="O72" s="55">
        <v>143.10249379073051</v>
      </c>
      <c r="P72" s="55">
        <v>142.27816409349305</v>
      </c>
      <c r="Q72" s="55">
        <v>124.54304013270814</v>
      </c>
      <c r="R72" s="55">
        <v>118.73114937186105</v>
      </c>
      <c r="S72" s="55">
        <v>105.19050261906371</v>
      </c>
      <c r="T72" s="55">
        <v>132.10239430505607</v>
      </c>
      <c r="U72" s="55">
        <v>130.29738533131331</v>
      </c>
      <c r="V72" s="55">
        <v>123.75324106256194</v>
      </c>
      <c r="W72" s="55">
        <v>121.10472948390371</v>
      </c>
      <c r="X72" s="55">
        <v>126.86244714364716</v>
      </c>
      <c r="Y72" s="55">
        <v>116.46850382929301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8614.3714834327202</v>
      </c>
      <c r="C81" s="82">
        <f t="shared" ref="C81:W81" si="65">C82+C87</f>
        <v>9214.62045779658</v>
      </c>
      <c r="D81" s="82">
        <f t="shared" si="65"/>
        <v>8755.164799280401</v>
      </c>
      <c r="E81" s="82">
        <f t="shared" si="65"/>
        <v>9319.9466447102823</v>
      </c>
      <c r="F81" s="82">
        <f t="shared" si="65"/>
        <v>10158.327695288441</v>
      </c>
      <c r="G81" s="82">
        <f t="shared" si="65"/>
        <v>9379.6201169264732</v>
      </c>
      <c r="H81" s="82">
        <f t="shared" si="65"/>
        <v>9423.3862830696235</v>
      </c>
      <c r="I81" s="82">
        <f t="shared" si="65"/>
        <v>8480.619792080297</v>
      </c>
      <c r="J81" s="82">
        <f t="shared" si="65"/>
        <v>9149.7105182629075</v>
      </c>
      <c r="K81" s="82">
        <f t="shared" si="65"/>
        <v>9407.2946695071805</v>
      </c>
      <c r="L81" s="82">
        <f t="shared" si="65"/>
        <v>10740.897014773142</v>
      </c>
      <c r="M81" s="82">
        <f t="shared" si="65"/>
        <v>8678.3472561220133</v>
      </c>
      <c r="N81" s="82">
        <f t="shared" si="65"/>
        <v>9633.0693127511204</v>
      </c>
      <c r="O81" s="82">
        <f t="shared" si="65"/>
        <v>9661.1573194036464</v>
      </c>
      <c r="P81" s="82">
        <f t="shared" si="65"/>
        <v>7743.2306386949804</v>
      </c>
      <c r="Q81" s="82">
        <f t="shared" si="65"/>
        <v>8344.7096988429075</v>
      </c>
      <c r="R81" s="82">
        <f t="shared" si="65"/>
        <v>8356.2647964370299</v>
      </c>
      <c r="S81" s="82">
        <f t="shared" si="65"/>
        <v>8274.8334051185357</v>
      </c>
      <c r="T81" s="82">
        <f t="shared" si="65"/>
        <v>8049.8841593144971</v>
      </c>
      <c r="U81" s="82">
        <f t="shared" si="65"/>
        <v>7527.0724239090068</v>
      </c>
      <c r="V81" s="82">
        <f t="shared" si="65"/>
        <v>6807.317079667313</v>
      </c>
      <c r="W81" s="82">
        <f t="shared" si="65"/>
        <v>7368.6242260382096</v>
      </c>
      <c r="X81" s="82">
        <f t="shared" ref="X81:Y81" si="66">X82+X87</f>
        <v>6349.673610296195</v>
      </c>
      <c r="Y81" s="82">
        <f t="shared" si="66"/>
        <v>5959.5769564117736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8614.3714834327202</v>
      </c>
      <c r="C82" s="64">
        <f t="shared" ref="C82:W82" si="68">SUM(C83:C86)</f>
        <v>9214.62045779658</v>
      </c>
      <c r="D82" s="64">
        <f t="shared" si="68"/>
        <v>8755.164799280401</v>
      </c>
      <c r="E82" s="64">
        <f t="shared" si="68"/>
        <v>9319.9466447102823</v>
      </c>
      <c r="F82" s="64">
        <f t="shared" si="68"/>
        <v>10158.327695288441</v>
      </c>
      <c r="G82" s="64">
        <f t="shared" si="68"/>
        <v>9379.6201169264732</v>
      </c>
      <c r="H82" s="64">
        <f t="shared" si="68"/>
        <v>9423.3862830696235</v>
      </c>
      <c r="I82" s="64">
        <f t="shared" si="68"/>
        <v>8480.619792080297</v>
      </c>
      <c r="J82" s="64">
        <f t="shared" si="68"/>
        <v>9149.7105182629075</v>
      </c>
      <c r="K82" s="64">
        <f t="shared" si="68"/>
        <v>9407.2946695071805</v>
      </c>
      <c r="L82" s="64">
        <f t="shared" si="68"/>
        <v>10740.897014773142</v>
      </c>
      <c r="M82" s="64">
        <f t="shared" si="68"/>
        <v>8678.3472561220133</v>
      </c>
      <c r="N82" s="64">
        <f t="shared" si="68"/>
        <v>9633.0693127511204</v>
      </c>
      <c r="O82" s="64">
        <f t="shared" si="68"/>
        <v>9661.1573194036464</v>
      </c>
      <c r="P82" s="64">
        <f t="shared" si="68"/>
        <v>7743.2306386949804</v>
      </c>
      <c r="Q82" s="64">
        <f t="shared" si="68"/>
        <v>8344.7096988429075</v>
      </c>
      <c r="R82" s="64">
        <f t="shared" si="68"/>
        <v>8356.2647964370299</v>
      </c>
      <c r="S82" s="64">
        <f t="shared" si="68"/>
        <v>8274.8334051185357</v>
      </c>
      <c r="T82" s="64">
        <f t="shared" si="68"/>
        <v>8049.8841593144971</v>
      </c>
      <c r="U82" s="64">
        <f t="shared" si="68"/>
        <v>7527.0724239090068</v>
      </c>
      <c r="V82" s="64">
        <f t="shared" si="68"/>
        <v>6807.317079667313</v>
      </c>
      <c r="W82" s="64">
        <f t="shared" si="68"/>
        <v>7368.6242260382096</v>
      </c>
      <c r="X82" s="64">
        <f t="shared" ref="X82:Y82" si="69">SUM(X83:X86)</f>
        <v>6349.673610296195</v>
      </c>
      <c r="Y82" s="64">
        <f t="shared" si="69"/>
        <v>5959.5769564117736</v>
      </c>
      <c r="DA82" s="108" t="s">
        <v>233</v>
      </c>
    </row>
    <row r="83" spans="1:105" ht="12" customHeight="1" x14ac:dyDescent="0.25">
      <c r="A83" s="61" t="s">
        <v>32</v>
      </c>
      <c r="B83" s="65">
        <v>7275.4023352152899</v>
      </c>
      <c r="C83" s="65">
        <v>7841.3368576545208</v>
      </c>
      <c r="D83" s="65">
        <v>7327.12583817623</v>
      </c>
      <c r="E83" s="65">
        <v>7904.805044139167</v>
      </c>
      <c r="F83" s="65">
        <v>8734.1338642895353</v>
      </c>
      <c r="G83" s="65">
        <v>7954.4627041948006</v>
      </c>
      <c r="H83" s="65">
        <v>7980.1097854162508</v>
      </c>
      <c r="I83" s="65">
        <v>7060.0902878675024</v>
      </c>
      <c r="J83" s="65">
        <v>7722.0818281473466</v>
      </c>
      <c r="K83" s="65">
        <v>7968.4515437082837</v>
      </c>
      <c r="L83" s="65">
        <v>9302.9807278617827</v>
      </c>
      <c r="M83" s="65">
        <v>7257.8928396194178</v>
      </c>
      <c r="N83" s="65">
        <v>8162.9968106233391</v>
      </c>
      <c r="O83" s="65">
        <v>8194.2286432695764</v>
      </c>
      <c r="P83" s="65">
        <v>6353.2392617555552</v>
      </c>
      <c r="Q83" s="65">
        <v>6966.179997747171</v>
      </c>
      <c r="R83" s="65">
        <v>6986.5704422071394</v>
      </c>
      <c r="S83" s="65">
        <v>6900.2082182740469</v>
      </c>
      <c r="T83" s="65">
        <v>6772.2411697374837</v>
      </c>
      <c r="U83" s="65">
        <v>6360.8175718083403</v>
      </c>
      <c r="V83" s="65">
        <v>5718.9555097498178</v>
      </c>
      <c r="W83" s="65">
        <v>6218.6830681202346</v>
      </c>
      <c r="X83" s="65">
        <v>5225.1534708989548</v>
      </c>
      <c r="Y83" s="65">
        <v>4830.4926716855662</v>
      </c>
      <c r="DA83" s="109" t="s">
        <v>234</v>
      </c>
    </row>
    <row r="84" spans="1:105" ht="12" customHeight="1" x14ac:dyDescent="0.25">
      <c r="A84" s="61" t="s">
        <v>31</v>
      </c>
      <c r="B84" s="65">
        <v>0.47940555588415262</v>
      </c>
      <c r="C84" s="65">
        <v>0.55243595060198103</v>
      </c>
      <c r="D84" s="65">
        <v>0.67620810930723951</v>
      </c>
      <c r="E84" s="65">
        <v>0.81287205428618092</v>
      </c>
      <c r="F84" s="65">
        <v>1.0023462844229378</v>
      </c>
      <c r="G84" s="65">
        <v>1.201485246289993</v>
      </c>
      <c r="H84" s="65">
        <v>1.6752853172790896</v>
      </c>
      <c r="I84" s="65">
        <v>2.0685798893624137</v>
      </c>
      <c r="J84" s="65">
        <v>2.5418854099272004</v>
      </c>
      <c r="K84" s="65">
        <v>2.9025866122193467</v>
      </c>
      <c r="L84" s="65">
        <v>3.3189086194748598</v>
      </c>
      <c r="M84" s="65">
        <v>3.6203578654549542</v>
      </c>
      <c r="N84" s="65">
        <v>4.1430186221700547</v>
      </c>
      <c r="O84" s="65">
        <v>5.0494978514820508</v>
      </c>
      <c r="P84" s="65">
        <v>6.6363761256159473</v>
      </c>
      <c r="Q84" s="65">
        <v>9.1479375762144741</v>
      </c>
      <c r="R84" s="65">
        <v>11.601351935386838</v>
      </c>
      <c r="S84" s="65">
        <v>13.861137956092339</v>
      </c>
      <c r="T84" s="65">
        <v>15.836913616114566</v>
      </c>
      <c r="U84" s="65">
        <v>17.467314115437738</v>
      </c>
      <c r="V84" s="65">
        <v>18.768718251879353</v>
      </c>
      <c r="W84" s="65">
        <v>19.911773301784287</v>
      </c>
      <c r="X84" s="65">
        <v>17.806005796006232</v>
      </c>
      <c r="Y84" s="65">
        <v>17.023794928503648</v>
      </c>
      <c r="DA84" s="109" t="s">
        <v>235</v>
      </c>
    </row>
    <row r="85" spans="1:105" ht="12" customHeight="1" x14ac:dyDescent="0.25">
      <c r="A85" s="61" t="s">
        <v>35</v>
      </c>
      <c r="B85" s="65">
        <v>702.13963240560543</v>
      </c>
      <c r="C85" s="65">
        <v>711.72165830132337</v>
      </c>
      <c r="D85" s="65">
        <v>749.68476035187916</v>
      </c>
      <c r="E85" s="65">
        <v>724.79654023613534</v>
      </c>
      <c r="F85" s="65">
        <v>720.82492077399047</v>
      </c>
      <c r="G85" s="65">
        <v>720.26746686753086</v>
      </c>
      <c r="H85" s="65">
        <v>723.00321661425608</v>
      </c>
      <c r="I85" s="65">
        <v>710.99144168562225</v>
      </c>
      <c r="J85" s="65">
        <v>707.69559046692757</v>
      </c>
      <c r="K85" s="65">
        <v>714.42734970399738</v>
      </c>
      <c r="L85" s="65">
        <v>716.8717938733439</v>
      </c>
      <c r="M85" s="65">
        <v>713.885900663808</v>
      </c>
      <c r="N85" s="65">
        <v>767.16533726463331</v>
      </c>
      <c r="O85" s="65">
        <v>765.86222397573351</v>
      </c>
      <c r="P85" s="65">
        <v>708.01236794783767</v>
      </c>
      <c r="Q85" s="65">
        <v>699.30852602584912</v>
      </c>
      <c r="R85" s="65">
        <v>704.69830453272812</v>
      </c>
      <c r="S85" s="65">
        <v>735.30996500036929</v>
      </c>
      <c r="T85" s="65">
        <v>714.5091920481176</v>
      </c>
      <c r="U85" s="65">
        <v>684.16930177267386</v>
      </c>
      <c r="V85" s="65">
        <v>573.11161927984449</v>
      </c>
      <c r="W85" s="65">
        <v>581.29224533668275</v>
      </c>
      <c r="X85" s="65">
        <v>577.5999166512845</v>
      </c>
      <c r="Y85" s="65">
        <v>585.22817942881068</v>
      </c>
      <c r="DA85" s="109" t="s">
        <v>236</v>
      </c>
    </row>
    <row r="86" spans="1:105" ht="12" customHeight="1" x14ac:dyDescent="0.25">
      <c r="A86" s="66" t="s">
        <v>34</v>
      </c>
      <c r="B86" s="67">
        <v>636.35011025593963</v>
      </c>
      <c r="C86" s="67">
        <v>661.0095058901328</v>
      </c>
      <c r="D86" s="67">
        <v>677.67799264298469</v>
      </c>
      <c r="E86" s="67">
        <v>689.53218828069316</v>
      </c>
      <c r="F86" s="67">
        <v>702.3665639404926</v>
      </c>
      <c r="G86" s="67">
        <v>703.68846061785121</v>
      </c>
      <c r="H86" s="67">
        <v>718.59799572183692</v>
      </c>
      <c r="I86" s="67">
        <v>707.46948263780939</v>
      </c>
      <c r="J86" s="67">
        <v>717.39121423870779</v>
      </c>
      <c r="K86" s="67">
        <v>721.51318948268022</v>
      </c>
      <c r="L86" s="67">
        <v>717.72558441854108</v>
      </c>
      <c r="M86" s="67">
        <v>702.94815797333206</v>
      </c>
      <c r="N86" s="67">
        <v>698.76414624097868</v>
      </c>
      <c r="O86" s="67">
        <v>696.01695430685527</v>
      </c>
      <c r="P86" s="67">
        <v>675.34263286597172</v>
      </c>
      <c r="Q86" s="67">
        <v>670.07323749367197</v>
      </c>
      <c r="R86" s="67">
        <v>653.394697761776</v>
      </c>
      <c r="S86" s="67">
        <v>625.45408388802628</v>
      </c>
      <c r="T86" s="67">
        <v>547.29688391278137</v>
      </c>
      <c r="U86" s="67">
        <v>464.61823621255451</v>
      </c>
      <c r="V86" s="67">
        <v>496.48123238577131</v>
      </c>
      <c r="W86" s="67">
        <v>548.73713927950803</v>
      </c>
      <c r="X86" s="67">
        <v>529.11421694994897</v>
      </c>
      <c r="Y86" s="67">
        <v>526.83231036889265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0.84456565974748654</v>
      </c>
      <c r="C91" s="71">
        <f t="shared" ref="C91:W91" si="77">IF(C83=0,0,C83/C$81)</f>
        <v>0.8509668839393042</v>
      </c>
      <c r="D91" s="71">
        <f t="shared" si="77"/>
        <v>0.83689182398696327</v>
      </c>
      <c r="E91" s="71">
        <f t="shared" si="77"/>
        <v>0.84815990321421997</v>
      </c>
      <c r="F91" s="71">
        <f t="shared" si="77"/>
        <v>0.85980036540271643</v>
      </c>
      <c r="G91" s="71">
        <f t="shared" si="77"/>
        <v>0.84805808817781092</v>
      </c>
      <c r="H91" s="71">
        <f t="shared" si="77"/>
        <v>0.84684099173071015</v>
      </c>
      <c r="I91" s="71">
        <f t="shared" si="77"/>
        <v>0.83249697085354912</v>
      </c>
      <c r="J91" s="71">
        <f t="shared" si="77"/>
        <v>0.84397007017150971</v>
      </c>
      <c r="K91" s="71">
        <f t="shared" si="77"/>
        <v>0.84705027573306857</v>
      </c>
      <c r="L91" s="71">
        <f t="shared" si="77"/>
        <v>0.86612698316224113</v>
      </c>
      <c r="M91" s="71">
        <f t="shared" si="77"/>
        <v>0.8363220121780035</v>
      </c>
      <c r="N91" s="71">
        <f t="shared" si="77"/>
        <v>0.84739313562481355</v>
      </c>
      <c r="O91" s="71">
        <f t="shared" si="77"/>
        <v>0.84816222035968059</v>
      </c>
      <c r="P91" s="71">
        <f t="shared" si="77"/>
        <v>0.82048947760986624</v>
      </c>
      <c r="Q91" s="71">
        <f t="shared" si="77"/>
        <v>0.83480195826502079</v>
      </c>
      <c r="R91" s="71">
        <f t="shared" si="77"/>
        <v>0.8360877272805064</v>
      </c>
      <c r="S91" s="71">
        <f t="shared" si="77"/>
        <v>0.83387880824353622</v>
      </c>
      <c r="T91" s="71">
        <f t="shared" si="77"/>
        <v>0.84128430120343334</v>
      </c>
      <c r="U91" s="71">
        <f t="shared" si="77"/>
        <v>0.84505863815044846</v>
      </c>
      <c r="V91" s="71">
        <f t="shared" si="77"/>
        <v>0.84011886662833613</v>
      </c>
      <c r="W91" s="71">
        <f t="shared" si="77"/>
        <v>0.84394086024166159</v>
      </c>
      <c r="X91" s="71">
        <f t="shared" ref="X91:Y91" si="78">IF(X83=0,0,X83/X$81)</f>
        <v>0.8229011113935375</v>
      </c>
      <c r="Y91" s="71">
        <f t="shared" si="78"/>
        <v>0.81054288031108457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5.5651832151208258E-5</v>
      </c>
      <c r="C92" s="72">
        <f t="shared" ref="C92:W92" si="80">IF(C84=0,0,C84/C$81)</f>
        <v>5.995211122717047E-5</v>
      </c>
      <c r="D92" s="72">
        <f t="shared" si="80"/>
        <v>7.7235337633258254E-5</v>
      </c>
      <c r="E92" s="72">
        <f t="shared" si="80"/>
        <v>8.7218530885854623E-5</v>
      </c>
      <c r="F92" s="72">
        <f t="shared" si="80"/>
        <v>9.8672371525072825E-5</v>
      </c>
      <c r="G92" s="72">
        <f t="shared" si="80"/>
        <v>1.28095299309808E-4</v>
      </c>
      <c r="H92" s="72">
        <f t="shared" si="80"/>
        <v>1.7777954409965813E-4</v>
      </c>
      <c r="I92" s="72">
        <f t="shared" si="80"/>
        <v>2.4391848002597351E-4</v>
      </c>
      <c r="J92" s="72">
        <f t="shared" si="80"/>
        <v>2.7781047333175988E-4</v>
      </c>
      <c r="K92" s="72">
        <f t="shared" si="80"/>
        <v>3.0854636898191309E-4</v>
      </c>
      <c r="L92" s="72">
        <f t="shared" si="80"/>
        <v>3.0899734118202592E-4</v>
      </c>
      <c r="M92" s="72">
        <f t="shared" si="80"/>
        <v>4.1717135286341826E-4</v>
      </c>
      <c r="N92" s="72">
        <f t="shared" si="80"/>
        <v>4.3008292452396409E-4</v>
      </c>
      <c r="O92" s="72">
        <f t="shared" si="80"/>
        <v>5.2265972745734574E-4</v>
      </c>
      <c r="P92" s="72">
        <f t="shared" si="80"/>
        <v>8.5705520541416041E-4</v>
      </c>
      <c r="Q92" s="72">
        <f t="shared" si="80"/>
        <v>1.0962559401536693E-3</v>
      </c>
      <c r="R92" s="72">
        <f t="shared" si="80"/>
        <v>1.388341827120349E-3</v>
      </c>
      <c r="S92" s="72">
        <f t="shared" si="80"/>
        <v>1.6750957122010821E-3</v>
      </c>
      <c r="T92" s="72">
        <f t="shared" si="80"/>
        <v>1.9673467720389146E-3</v>
      </c>
      <c r="U92" s="72">
        <f t="shared" si="80"/>
        <v>2.3205986513368105E-3</v>
      </c>
      <c r="V92" s="72">
        <f t="shared" si="80"/>
        <v>2.7571388305004029E-3</v>
      </c>
      <c r="W92" s="72">
        <f t="shared" si="80"/>
        <v>2.7022375807172873E-3</v>
      </c>
      <c r="X92" s="72">
        <f t="shared" ref="X92:Y92" si="81">IF(X84=0,0,X84/X$81)</f>
        <v>2.8042395387273505E-3</v>
      </c>
      <c r="Y92" s="72">
        <f t="shared" si="81"/>
        <v>2.8565441897999374E-3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8.1507935170426565E-2</v>
      </c>
      <c r="C93" s="72">
        <f t="shared" ref="C93:W93" si="83">IF(C85=0,0,C85/C$81)</f>
        <v>7.7238304231958765E-2</v>
      </c>
      <c r="D93" s="72">
        <f t="shared" si="83"/>
        <v>8.5627715472985366E-2</v>
      </c>
      <c r="E93" s="72">
        <f t="shared" si="83"/>
        <v>7.7768314333377414E-2</v>
      </c>
      <c r="F93" s="72">
        <f t="shared" si="83"/>
        <v>7.0959014357089317E-2</v>
      </c>
      <c r="G93" s="72">
        <f t="shared" si="83"/>
        <v>7.6790686391204205E-2</v>
      </c>
      <c r="H93" s="72">
        <f t="shared" si="83"/>
        <v>7.6724353103642617E-2</v>
      </c>
      <c r="I93" s="72">
        <f t="shared" si="83"/>
        <v>8.3837202836234678E-2</v>
      </c>
      <c r="J93" s="72">
        <f t="shared" si="83"/>
        <v>7.7346227408436649E-2</v>
      </c>
      <c r="K93" s="72">
        <f t="shared" si="83"/>
        <v>7.5943974841113815E-2</v>
      </c>
      <c r="L93" s="72">
        <f t="shared" si="83"/>
        <v>6.6742264904630491E-2</v>
      </c>
      <c r="M93" s="72">
        <f t="shared" si="83"/>
        <v>8.2260582527417025E-2</v>
      </c>
      <c r="N93" s="72">
        <f t="shared" si="83"/>
        <v>7.9638722857433439E-2</v>
      </c>
      <c r="O93" s="72">
        <f t="shared" si="83"/>
        <v>7.9272306480048904E-2</v>
      </c>
      <c r="P93" s="72">
        <f t="shared" si="83"/>
        <v>9.1436301071766063E-2</v>
      </c>
      <c r="Q93" s="72">
        <f t="shared" si="83"/>
        <v>8.3802618816424077E-2</v>
      </c>
      <c r="R93" s="72">
        <f t="shared" si="83"/>
        <v>8.4331734536847086E-2</v>
      </c>
      <c r="S93" s="72">
        <f t="shared" si="83"/>
        <v>8.8860999249305864E-2</v>
      </c>
      <c r="T93" s="72">
        <f t="shared" si="83"/>
        <v>8.8760183116593186E-2</v>
      </c>
      <c r="U93" s="72">
        <f t="shared" si="83"/>
        <v>9.0894475732620453E-2</v>
      </c>
      <c r="V93" s="72">
        <f t="shared" si="83"/>
        <v>8.4190528011639731E-2</v>
      </c>
      <c r="W93" s="72">
        <f t="shared" si="83"/>
        <v>7.8887486660344799E-2</v>
      </c>
      <c r="X93" s="72">
        <f t="shared" ref="X93:Y93" si="84">IF(X85=0,0,X85/X$81)</f>
        <v>9.0965292407264545E-2</v>
      </c>
      <c r="Y93" s="72">
        <f t="shared" si="84"/>
        <v>9.8199617809981793E-2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7.3870753249935542E-2</v>
      </c>
      <c r="C94" s="73">
        <f t="shared" ref="C94:W94" si="86">IF(C86=0,0,C86/C$81)</f>
        <v>7.1734859717509716E-2</v>
      </c>
      <c r="D94" s="73">
        <f t="shared" si="86"/>
        <v>7.7403225202418116E-2</v>
      </c>
      <c r="E94" s="73">
        <f t="shared" si="86"/>
        <v>7.3984563921516727E-2</v>
      </c>
      <c r="F94" s="73">
        <f t="shared" si="86"/>
        <v>6.9141947868669271E-2</v>
      </c>
      <c r="G94" s="73">
        <f t="shared" si="86"/>
        <v>7.502313013167497E-2</v>
      </c>
      <c r="H94" s="73">
        <f t="shared" si="86"/>
        <v>7.6256875621547482E-2</v>
      </c>
      <c r="I94" s="73">
        <f t="shared" si="86"/>
        <v>8.3421907830190212E-2</v>
      </c>
      <c r="J94" s="73">
        <f t="shared" si="86"/>
        <v>7.8405891946722053E-2</v>
      </c>
      <c r="K94" s="73">
        <f t="shared" si="86"/>
        <v>7.6697203056835694E-2</v>
      </c>
      <c r="L94" s="73">
        <f t="shared" si="86"/>
        <v>6.6821754591946447E-2</v>
      </c>
      <c r="M94" s="73">
        <f t="shared" si="86"/>
        <v>8.1000233941715988E-2</v>
      </c>
      <c r="N94" s="73">
        <f t="shared" si="86"/>
        <v>7.2538058593229177E-2</v>
      </c>
      <c r="O94" s="73">
        <f t="shared" si="86"/>
        <v>7.2042813432813269E-2</v>
      </c>
      <c r="P94" s="73">
        <f t="shared" si="86"/>
        <v>8.7217166112953576E-2</v>
      </c>
      <c r="Q94" s="73">
        <f t="shared" si="86"/>
        <v>8.0299166978401365E-2</v>
      </c>
      <c r="R94" s="73">
        <f t="shared" si="86"/>
        <v>7.8192196355526267E-2</v>
      </c>
      <c r="S94" s="73">
        <f t="shared" si="86"/>
        <v>7.5585096794956771E-2</v>
      </c>
      <c r="T94" s="73">
        <f t="shared" si="86"/>
        <v>6.7988168907934632E-2</v>
      </c>
      <c r="U94" s="73">
        <f t="shared" si="86"/>
        <v>6.1726287465594228E-2</v>
      </c>
      <c r="V94" s="73">
        <f t="shared" si="86"/>
        <v>7.2933466529523747E-2</v>
      </c>
      <c r="W94" s="73">
        <f t="shared" si="86"/>
        <v>7.4469415517276316E-2</v>
      </c>
      <c r="X94" s="73">
        <f t="shared" ref="X94:Y94" si="87">IF(X86=0,0,X86/X$81)</f>
        <v>8.3329356660470491E-2</v>
      </c>
      <c r="Y94" s="73">
        <f t="shared" si="87"/>
        <v>8.8400957689133572E-2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191885.83292488655</v>
      </c>
      <c r="C99" s="82">
        <f t="shared" ref="C99:W99" si="92">C47*11630*1000/C$8</f>
        <v>199691.54259833044</v>
      </c>
      <c r="D99" s="82">
        <f t="shared" si="92"/>
        <v>196497.5387430437</v>
      </c>
      <c r="E99" s="82">
        <f t="shared" si="92"/>
        <v>204220.00972234327</v>
      </c>
      <c r="F99" s="82">
        <f t="shared" si="92"/>
        <v>218500.80031398393</v>
      </c>
      <c r="G99" s="82">
        <f t="shared" si="92"/>
        <v>204781.9787136784</v>
      </c>
      <c r="H99" s="82">
        <f t="shared" si="92"/>
        <v>203552.72994158606</v>
      </c>
      <c r="I99" s="82">
        <f t="shared" si="92"/>
        <v>189534.65813397017</v>
      </c>
      <c r="J99" s="82">
        <f t="shared" si="92"/>
        <v>194461.62041205337</v>
      </c>
      <c r="K99" s="82">
        <f t="shared" si="92"/>
        <v>200914.59164090731</v>
      </c>
      <c r="L99" s="82">
        <f t="shared" si="92"/>
        <v>213605.0169669544</v>
      </c>
      <c r="M99" s="82">
        <f t="shared" si="92"/>
        <v>187671.40673102142</v>
      </c>
      <c r="N99" s="82">
        <f t="shared" si="92"/>
        <v>194321.73017918906</v>
      </c>
      <c r="O99" s="82">
        <f t="shared" si="92"/>
        <v>194890.1481790774</v>
      </c>
      <c r="P99" s="82">
        <f t="shared" si="92"/>
        <v>171320.59917797029</v>
      </c>
      <c r="Q99" s="82">
        <f t="shared" si="92"/>
        <v>176409.62761675828</v>
      </c>
      <c r="R99" s="82">
        <f t="shared" si="92"/>
        <v>175794.2817930537</v>
      </c>
      <c r="S99" s="82">
        <f t="shared" si="92"/>
        <v>177041.1043400346</v>
      </c>
      <c r="T99" s="82">
        <f t="shared" si="92"/>
        <v>174202.99211766533</v>
      </c>
      <c r="U99" s="82">
        <f t="shared" si="92"/>
        <v>167428.40124290698</v>
      </c>
      <c r="V99" s="82">
        <f t="shared" si="92"/>
        <v>157730.36487143385</v>
      </c>
      <c r="W99" s="82">
        <f t="shared" si="92"/>
        <v>163675.05948814991</v>
      </c>
      <c r="X99" s="82">
        <f t="shared" ref="X99:Y99" si="93">X47*11630*1000/X$8</f>
        <v>153876.80913145441</v>
      </c>
      <c r="Y99" s="82">
        <f t="shared" si="93"/>
        <v>148691.30772307719</v>
      </c>
      <c r="DA99" s="107"/>
    </row>
    <row r="100" spans="1:105" ht="12" customHeight="1" x14ac:dyDescent="0.25">
      <c r="A100" s="77" t="s">
        <v>36</v>
      </c>
      <c r="B100" s="64">
        <f t="shared" si="91"/>
        <v>154935.83830023222</v>
      </c>
      <c r="C100" s="64">
        <f t="shared" ref="C100:W100" si="94">C48*11630*1000/C$8</f>
        <v>161841.49541043426</v>
      </c>
      <c r="D100" s="64">
        <f t="shared" si="94"/>
        <v>157624.67500103361</v>
      </c>
      <c r="E100" s="64">
        <f t="shared" si="94"/>
        <v>164198.28235233249</v>
      </c>
      <c r="F100" s="64">
        <f t="shared" si="94"/>
        <v>177037.81941938523</v>
      </c>
      <c r="G100" s="64">
        <f t="shared" si="94"/>
        <v>162474.46057001772</v>
      </c>
      <c r="H100" s="64">
        <f t="shared" si="94"/>
        <v>160823.111182911</v>
      </c>
      <c r="I100" s="64">
        <f t="shared" si="94"/>
        <v>146616.31514509505</v>
      </c>
      <c r="J100" s="64">
        <f t="shared" si="94"/>
        <v>151105.00905561593</v>
      </c>
      <c r="K100" s="64">
        <f t="shared" si="94"/>
        <v>156649.80200714874</v>
      </c>
      <c r="L100" s="64">
        <f t="shared" si="94"/>
        <v>168835.85021773158</v>
      </c>
      <c r="M100" s="64">
        <f t="shared" si="94"/>
        <v>142531.02857513624</v>
      </c>
      <c r="N100" s="64">
        <f t="shared" si="94"/>
        <v>148909.12198568042</v>
      </c>
      <c r="O100" s="64">
        <f t="shared" si="94"/>
        <v>148862.10989513798</v>
      </c>
      <c r="P100" s="64">
        <f t="shared" si="94"/>
        <v>124396.63027114101</v>
      </c>
      <c r="Q100" s="64">
        <f t="shared" si="94"/>
        <v>128639.29047141878</v>
      </c>
      <c r="R100" s="64">
        <f t="shared" si="94"/>
        <v>127945.46958503305</v>
      </c>
      <c r="S100" s="64">
        <f t="shared" si="94"/>
        <v>129012.70626310202</v>
      </c>
      <c r="T100" s="64">
        <f t="shared" si="94"/>
        <v>126863.91662936653</v>
      </c>
      <c r="U100" s="64">
        <f t="shared" si="94"/>
        <v>120687.68949593436</v>
      </c>
      <c r="V100" s="64">
        <f t="shared" si="94"/>
        <v>111880.58664588279</v>
      </c>
      <c r="W100" s="64">
        <f t="shared" si="94"/>
        <v>118146.41676721875</v>
      </c>
      <c r="X100" s="64">
        <f t="shared" ref="X100:Y100" si="95">X48*11630*1000/X$8</f>
        <v>108749.11806179624</v>
      </c>
      <c r="Y100" s="64">
        <f t="shared" si="95"/>
        <v>104045.42526210893</v>
      </c>
      <c r="DA100" s="108"/>
    </row>
    <row r="101" spans="1:105" ht="12" customHeight="1" x14ac:dyDescent="0.25">
      <c r="A101" s="61" t="s">
        <v>32</v>
      </c>
      <c r="B101" s="65">
        <f t="shared" si="91"/>
        <v>112181.40905930552</v>
      </c>
      <c r="C101" s="65">
        <f t="shared" ref="C101:W101" si="96">C49*11630*1000/C$8</f>
        <v>119453.3002031778</v>
      </c>
      <c r="D101" s="65">
        <f t="shared" si="96"/>
        <v>115190.69332248633</v>
      </c>
      <c r="E101" s="65">
        <f t="shared" si="96"/>
        <v>121697.72523307048</v>
      </c>
      <c r="F101" s="65">
        <f t="shared" si="96"/>
        <v>134300.13986963173</v>
      </c>
      <c r="G101" s="65">
        <f t="shared" si="96"/>
        <v>120054.15236268772</v>
      </c>
      <c r="H101" s="65">
        <f t="shared" si="96"/>
        <v>119006.33684730282</v>
      </c>
      <c r="I101" s="65">
        <f t="shared" si="96"/>
        <v>105903.12985184824</v>
      </c>
      <c r="J101" s="65">
        <f t="shared" si="96"/>
        <v>110808.04675490271</v>
      </c>
      <c r="K101" s="65">
        <f t="shared" si="96"/>
        <v>115904.55709812092</v>
      </c>
      <c r="L101" s="65">
        <f t="shared" si="96"/>
        <v>128248.19589642368</v>
      </c>
      <c r="M101" s="65">
        <f t="shared" si="96"/>
        <v>102555.81558386024</v>
      </c>
      <c r="N101" s="65">
        <f t="shared" si="96"/>
        <v>109049.72872176763</v>
      </c>
      <c r="O101" s="65">
        <f t="shared" si="96"/>
        <v>109144.06505253504</v>
      </c>
      <c r="P101" s="65">
        <f t="shared" si="96"/>
        <v>84822.670506491035</v>
      </c>
      <c r="Q101" s="65">
        <f t="shared" si="96"/>
        <v>89202.4659810671</v>
      </c>
      <c r="R101" s="65">
        <f t="shared" si="96"/>
        <v>89239.693710192238</v>
      </c>
      <c r="S101" s="65">
        <f t="shared" si="96"/>
        <v>90930.757719591958</v>
      </c>
      <c r="T101" s="65">
        <f t="shared" si="96"/>
        <v>89679.10170966541</v>
      </c>
      <c r="U101" s="65">
        <f t="shared" si="96"/>
        <v>84635.938711713185</v>
      </c>
      <c r="V101" s="65">
        <f t="shared" si="96"/>
        <v>76455.736180247171</v>
      </c>
      <c r="W101" s="65">
        <f t="shared" si="96"/>
        <v>81975.471857567391</v>
      </c>
      <c r="X101" s="65">
        <f t="shared" ref="X101:Y101" si="97">X49*11630*1000/X$8</f>
        <v>72363.698085236101</v>
      </c>
      <c r="Y101" s="65">
        <f t="shared" si="97"/>
        <v>67830.511942403755</v>
      </c>
      <c r="DA101" s="109"/>
    </row>
    <row r="102" spans="1:105" ht="12" customHeight="1" x14ac:dyDescent="0.25">
      <c r="A102" s="61" t="s">
        <v>31</v>
      </c>
      <c r="B102" s="65">
        <f t="shared" si="91"/>
        <v>1244.653744678877</v>
      </c>
      <c r="C102" s="65">
        <f t="shared" ref="C102:W102" si="98">C50*11630*1000/C$8</f>
        <v>1385.2844449325046</v>
      </c>
      <c r="D102" s="65">
        <f t="shared" si="98"/>
        <v>1491.2352403414313</v>
      </c>
      <c r="E102" s="65">
        <f t="shared" si="98"/>
        <v>1732.8765675666507</v>
      </c>
      <c r="F102" s="65">
        <f t="shared" si="98"/>
        <v>1708.0555206777733</v>
      </c>
      <c r="G102" s="65">
        <f t="shared" si="98"/>
        <v>1841.7771503305537</v>
      </c>
      <c r="H102" s="65">
        <f t="shared" si="98"/>
        <v>2162.4770897901185</v>
      </c>
      <c r="I102" s="65">
        <f t="shared" si="98"/>
        <v>2166.5974933928946</v>
      </c>
      <c r="J102" s="65">
        <f t="shared" si="98"/>
        <v>2295.7230698289645</v>
      </c>
      <c r="K102" s="65">
        <f t="shared" si="98"/>
        <v>2474.0004339841348</v>
      </c>
      <c r="L102" s="65">
        <f t="shared" si="98"/>
        <v>2646.0209890500328</v>
      </c>
      <c r="M102" s="65">
        <f t="shared" si="98"/>
        <v>2609.9526450093717</v>
      </c>
      <c r="N102" s="65">
        <f t="shared" si="98"/>
        <v>2639.4005789715911</v>
      </c>
      <c r="O102" s="65">
        <f t="shared" si="98"/>
        <v>2665.1992005952761</v>
      </c>
      <c r="P102" s="65">
        <f t="shared" si="98"/>
        <v>2641.2930085295357</v>
      </c>
      <c r="Q102" s="65">
        <f t="shared" si="98"/>
        <v>2709.5486440999452</v>
      </c>
      <c r="R102" s="65">
        <f t="shared" si="98"/>
        <v>2636.4144617426236</v>
      </c>
      <c r="S102" s="65">
        <f t="shared" si="98"/>
        <v>2578.5237030764056</v>
      </c>
      <c r="T102" s="65">
        <f t="shared" si="98"/>
        <v>2842.3241040256535</v>
      </c>
      <c r="U102" s="65">
        <f t="shared" si="98"/>
        <v>2848.951261922366</v>
      </c>
      <c r="V102" s="65">
        <f t="shared" si="98"/>
        <v>2798.8333678519684</v>
      </c>
      <c r="W102" s="65">
        <f t="shared" si="98"/>
        <v>2520.6341244483415</v>
      </c>
      <c r="X102" s="65">
        <f t="shared" ref="X102:Y102" si="99">X50*11630*1000/X$8</f>
        <v>2610.799680818352</v>
      </c>
      <c r="Y102" s="65">
        <f t="shared" si="99"/>
        <v>2521.0969290560397</v>
      </c>
      <c r="DA102" s="109"/>
    </row>
    <row r="103" spans="1:105" ht="12" customHeight="1" x14ac:dyDescent="0.25">
      <c r="A103" s="61" t="s">
        <v>35</v>
      </c>
      <c r="B103" s="65">
        <f t="shared" si="91"/>
        <v>22688.132357593677</v>
      </c>
      <c r="C103" s="65">
        <f t="shared" ref="C103:W103" si="100">C51*11630*1000/C$8</f>
        <v>22313.140197871187</v>
      </c>
      <c r="D103" s="65">
        <f t="shared" si="100"/>
        <v>22225.381268680227</v>
      </c>
      <c r="E103" s="65">
        <f t="shared" si="100"/>
        <v>21938.388419251929</v>
      </c>
      <c r="F103" s="65">
        <f t="shared" si="100"/>
        <v>21952.886799882654</v>
      </c>
      <c r="G103" s="65">
        <f t="shared" si="100"/>
        <v>21519.81977347461</v>
      </c>
      <c r="H103" s="65">
        <f t="shared" si="100"/>
        <v>20845.745808677089</v>
      </c>
      <c r="I103" s="65">
        <f t="shared" si="100"/>
        <v>20061.563850348335</v>
      </c>
      <c r="J103" s="65">
        <f t="shared" si="100"/>
        <v>19590.783813686554</v>
      </c>
      <c r="K103" s="65">
        <f t="shared" si="100"/>
        <v>19634.500566956685</v>
      </c>
      <c r="L103" s="65">
        <f t="shared" si="100"/>
        <v>19374.928903442877</v>
      </c>
      <c r="M103" s="65">
        <f t="shared" si="100"/>
        <v>19056.007962470605</v>
      </c>
      <c r="N103" s="65">
        <f t="shared" si="100"/>
        <v>18953.572579812488</v>
      </c>
      <c r="O103" s="65">
        <f t="shared" si="100"/>
        <v>18738.443573738565</v>
      </c>
      <c r="P103" s="65">
        <f t="shared" si="100"/>
        <v>18594.696326456022</v>
      </c>
      <c r="Q103" s="65">
        <f t="shared" si="100"/>
        <v>18508.209861940573</v>
      </c>
      <c r="R103" s="65">
        <f t="shared" si="100"/>
        <v>18126.622653256636</v>
      </c>
      <c r="S103" s="65">
        <f t="shared" si="100"/>
        <v>17914.799902201114</v>
      </c>
      <c r="T103" s="65">
        <f t="shared" si="100"/>
        <v>17636.791578810724</v>
      </c>
      <c r="U103" s="65">
        <f t="shared" si="100"/>
        <v>17362.391989872722</v>
      </c>
      <c r="V103" s="65">
        <f t="shared" si="100"/>
        <v>16563.928638758167</v>
      </c>
      <c r="W103" s="65">
        <f t="shared" si="100"/>
        <v>16836.645841007929</v>
      </c>
      <c r="X103" s="65">
        <f t="shared" ref="X103:Y103" si="101">X51*11630*1000/X$8</f>
        <v>16728.906310491191</v>
      </c>
      <c r="Y103" s="65">
        <f t="shared" si="101"/>
        <v>16585.616053357127</v>
      </c>
      <c r="DA103" s="109"/>
    </row>
    <row r="104" spans="1:105" ht="12" customHeight="1" x14ac:dyDescent="0.25">
      <c r="A104" s="66" t="s">
        <v>34</v>
      </c>
      <c r="B104" s="67">
        <f t="shared" si="91"/>
        <v>18821.643138654144</v>
      </c>
      <c r="C104" s="67">
        <f t="shared" ref="C104:W104" si="102">C52*11630*1000/C$8</f>
        <v>18689.770564452774</v>
      </c>
      <c r="D104" s="67">
        <f t="shared" si="102"/>
        <v>18717.365169525598</v>
      </c>
      <c r="E104" s="67">
        <f t="shared" si="102"/>
        <v>18829.292132443439</v>
      </c>
      <c r="F104" s="67">
        <f t="shared" si="102"/>
        <v>19076.737229193066</v>
      </c>
      <c r="G104" s="67">
        <f t="shared" si="102"/>
        <v>19058.711283524844</v>
      </c>
      <c r="H104" s="67">
        <f t="shared" si="102"/>
        <v>18808.551437140984</v>
      </c>
      <c r="I104" s="67">
        <f t="shared" si="102"/>
        <v>18485.02394950559</v>
      </c>
      <c r="J104" s="67">
        <f t="shared" si="102"/>
        <v>18410.455417197703</v>
      </c>
      <c r="K104" s="67">
        <f t="shared" si="102"/>
        <v>18636.74390808701</v>
      </c>
      <c r="L104" s="67">
        <f t="shared" si="102"/>
        <v>18566.704428814974</v>
      </c>
      <c r="M104" s="67">
        <f t="shared" si="102"/>
        <v>18309.252383796018</v>
      </c>
      <c r="N104" s="67">
        <f t="shared" si="102"/>
        <v>18266.420105128735</v>
      </c>
      <c r="O104" s="67">
        <f t="shared" si="102"/>
        <v>18314.402068269104</v>
      </c>
      <c r="P104" s="67">
        <f t="shared" si="102"/>
        <v>18337.970429664405</v>
      </c>
      <c r="Q104" s="67">
        <f t="shared" si="102"/>
        <v>18219.065984311183</v>
      </c>
      <c r="R104" s="67">
        <f t="shared" si="102"/>
        <v>17942.738759841541</v>
      </c>
      <c r="S104" s="67">
        <f t="shared" si="102"/>
        <v>17588.624938232533</v>
      </c>
      <c r="T104" s="67">
        <f t="shared" si="102"/>
        <v>16705.699236864741</v>
      </c>
      <c r="U104" s="67">
        <f t="shared" si="102"/>
        <v>15840.407532426074</v>
      </c>
      <c r="V104" s="67">
        <f t="shared" si="102"/>
        <v>16062.088459025508</v>
      </c>
      <c r="W104" s="67">
        <f t="shared" si="102"/>
        <v>16813.66494419509</v>
      </c>
      <c r="X104" s="67">
        <f t="shared" ref="X104:Y104" si="103">X52*11630*1000/X$8</f>
        <v>17045.713985250568</v>
      </c>
      <c r="Y104" s="67">
        <f t="shared" si="103"/>
        <v>17108.200337292008</v>
      </c>
      <c r="DA104" s="110"/>
    </row>
    <row r="105" spans="1:105" ht="12" customHeight="1" x14ac:dyDescent="0.25">
      <c r="A105" s="78" t="s">
        <v>33</v>
      </c>
      <c r="B105" s="68">
        <f t="shared" si="91"/>
        <v>36949.994624654311</v>
      </c>
      <c r="C105" s="68">
        <f t="shared" ref="C105:W105" si="104">C53*11630*1000/C$8</f>
        <v>37850.047187896205</v>
      </c>
      <c r="D105" s="68">
        <f t="shared" si="104"/>
        <v>38872.863742010122</v>
      </c>
      <c r="E105" s="68">
        <f t="shared" si="104"/>
        <v>40021.727370010798</v>
      </c>
      <c r="F105" s="68">
        <f t="shared" si="104"/>
        <v>41462.980894598702</v>
      </c>
      <c r="G105" s="68">
        <f t="shared" si="104"/>
        <v>42307.518143660687</v>
      </c>
      <c r="H105" s="68">
        <f t="shared" si="104"/>
        <v>42729.618758675068</v>
      </c>
      <c r="I105" s="68">
        <f t="shared" si="104"/>
        <v>42918.342988875134</v>
      </c>
      <c r="J105" s="68">
        <f t="shared" si="104"/>
        <v>43356.611356437417</v>
      </c>
      <c r="K105" s="68">
        <f t="shared" si="104"/>
        <v>44264.789633758541</v>
      </c>
      <c r="L105" s="68">
        <f t="shared" si="104"/>
        <v>44769.166749222808</v>
      </c>
      <c r="M105" s="68">
        <f t="shared" si="104"/>
        <v>45140.378155885192</v>
      </c>
      <c r="N105" s="68">
        <f t="shared" si="104"/>
        <v>45412.608193508662</v>
      </c>
      <c r="O105" s="68">
        <f t="shared" si="104"/>
        <v>46028.038283939364</v>
      </c>
      <c r="P105" s="68">
        <f t="shared" si="104"/>
        <v>46923.968906829279</v>
      </c>
      <c r="Q105" s="68">
        <f t="shared" si="104"/>
        <v>47770.337145339508</v>
      </c>
      <c r="R105" s="68">
        <f t="shared" si="104"/>
        <v>47848.812208020638</v>
      </c>
      <c r="S105" s="68">
        <f t="shared" si="104"/>
        <v>48028.398076932615</v>
      </c>
      <c r="T105" s="68">
        <f t="shared" si="104"/>
        <v>47339.075488298811</v>
      </c>
      <c r="U105" s="68">
        <f t="shared" si="104"/>
        <v>46740.711746972651</v>
      </c>
      <c r="V105" s="68">
        <f t="shared" si="104"/>
        <v>45849.778225551039</v>
      </c>
      <c r="W105" s="68">
        <f t="shared" si="104"/>
        <v>45528.642720931151</v>
      </c>
      <c r="X105" s="68">
        <f t="shared" ref="X105:Y105" si="105">X53*11630*1000/X$8</f>
        <v>45127.691069658169</v>
      </c>
      <c r="Y105" s="68">
        <f t="shared" si="105"/>
        <v>44645.882460968256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97073.202200779619</v>
      </c>
      <c r="C107" s="85">
        <f t="shared" ref="C107:W107" si="107">SUM(C108:C111)</f>
        <v>101904.52147414649</v>
      </c>
      <c r="D107" s="85">
        <f t="shared" si="107"/>
        <v>101465.25940452614</v>
      </c>
      <c r="E107" s="85">
        <f t="shared" si="107"/>
        <v>106165.89542564294</v>
      </c>
      <c r="F107" s="85">
        <f t="shared" si="107"/>
        <v>114737.30937640683</v>
      </c>
      <c r="G107" s="85">
        <f t="shared" si="107"/>
        <v>107086.79421407943</v>
      </c>
      <c r="H107" s="85">
        <f t="shared" si="107"/>
        <v>108235.75414542411</v>
      </c>
      <c r="I107" s="85">
        <f t="shared" si="107"/>
        <v>101528.03591843591</v>
      </c>
      <c r="J107" s="85">
        <f t="shared" si="107"/>
        <v>105416.54293715907</v>
      </c>
      <c r="K107" s="85">
        <f t="shared" si="107"/>
        <v>111065.07646430304</v>
      </c>
      <c r="L107" s="85">
        <f t="shared" si="107"/>
        <v>120030.21668177003</v>
      </c>
      <c r="M107" s="85">
        <f t="shared" si="107"/>
        <v>105180.31092594651</v>
      </c>
      <c r="N107" s="85">
        <f t="shared" si="107"/>
        <v>110319.18064754774</v>
      </c>
      <c r="O107" s="85">
        <f t="shared" si="107"/>
        <v>112371.45396438168</v>
      </c>
      <c r="P107" s="85">
        <f t="shared" si="107"/>
        <v>96967.132902667508</v>
      </c>
      <c r="Q107" s="85">
        <f t="shared" si="107"/>
        <v>101388.27990018635</v>
      </c>
      <c r="R107" s="85">
        <f t="shared" si="107"/>
        <v>102317.52430946739</v>
      </c>
      <c r="S107" s="85">
        <f t="shared" si="107"/>
        <v>105110.02053443437</v>
      </c>
      <c r="T107" s="85">
        <f t="shared" si="107"/>
        <v>106660.40269910714</v>
      </c>
      <c r="U107" s="85">
        <f t="shared" si="107"/>
        <v>104357.79895673145</v>
      </c>
      <c r="V107" s="85">
        <f t="shared" si="107"/>
        <v>99636.634529167437</v>
      </c>
      <c r="W107" s="85">
        <f t="shared" si="107"/>
        <v>105315.0378334355</v>
      </c>
      <c r="X107" s="85">
        <f t="shared" ref="X107:Y107" si="108">SUM(X108:X111)</f>
        <v>101345.53986762498</v>
      </c>
      <c r="Y107" s="85">
        <f t="shared" si="108"/>
        <v>99360.163500320297</v>
      </c>
      <c r="DA107" s="117"/>
    </row>
    <row r="108" spans="1:105" ht="12" customHeight="1" x14ac:dyDescent="0.25">
      <c r="A108" s="61" t="s">
        <v>32</v>
      </c>
      <c r="B108" s="65">
        <v>65857.461689418473</v>
      </c>
      <c r="C108" s="65">
        <v>70551.529607278659</v>
      </c>
      <c r="D108" s="65">
        <v>69726.004615535916</v>
      </c>
      <c r="E108" s="65">
        <v>73699.054579688644</v>
      </c>
      <c r="F108" s="65">
        <v>81838.170571614246</v>
      </c>
      <c r="G108" s="65">
        <v>73768.137220919874</v>
      </c>
      <c r="H108" s="65">
        <v>74303.317832239598</v>
      </c>
      <c r="I108" s="65">
        <v>67843.680694093244</v>
      </c>
      <c r="J108" s="65">
        <v>71272.42380267517</v>
      </c>
      <c r="K108" s="65">
        <v>75865.991288320904</v>
      </c>
      <c r="L108" s="65">
        <v>84136.942062166432</v>
      </c>
      <c r="M108" s="65">
        <v>69355.815127124981</v>
      </c>
      <c r="N108" s="65">
        <v>74071.170298539801</v>
      </c>
      <c r="O108" s="65">
        <v>75675.928922949868</v>
      </c>
      <c r="P108" s="65">
        <v>59950.320744721146</v>
      </c>
      <c r="Q108" s="65">
        <v>63682.537674317799</v>
      </c>
      <c r="R108" s="65">
        <v>64809.597711221119</v>
      </c>
      <c r="S108" s="65">
        <v>67617.028154677551</v>
      </c>
      <c r="T108" s="65">
        <v>68159.335281217689</v>
      </c>
      <c r="U108" s="65">
        <v>65951.216342092914</v>
      </c>
      <c r="V108" s="65">
        <v>61362.436149160952</v>
      </c>
      <c r="W108" s="65">
        <v>67086.87223767527</v>
      </c>
      <c r="X108" s="65">
        <v>61946.501263943843</v>
      </c>
      <c r="Y108" s="65">
        <v>59972.82331156182</v>
      </c>
      <c r="DA108" s="109"/>
    </row>
    <row r="109" spans="1:105" ht="12" customHeight="1" x14ac:dyDescent="0.25">
      <c r="A109" s="61" t="s">
        <v>31</v>
      </c>
      <c r="B109" s="65">
        <v>2414.5212487004328</v>
      </c>
      <c r="C109" s="65">
        <v>2867.389591703839</v>
      </c>
      <c r="D109" s="65">
        <v>3280.0201309209938</v>
      </c>
      <c r="E109" s="65">
        <v>4018.3150316568403</v>
      </c>
      <c r="F109" s="65">
        <v>4183.2618143271102</v>
      </c>
      <c r="G109" s="65">
        <v>4787.4792105409651</v>
      </c>
      <c r="H109" s="65">
        <v>5939.8856271192381</v>
      </c>
      <c r="I109" s="65">
        <v>6303.2193226689969</v>
      </c>
      <c r="J109" s="65">
        <v>7024.7459045961941</v>
      </c>
      <c r="K109" s="65">
        <v>7750.7623477513507</v>
      </c>
      <c r="L109" s="65">
        <v>8521.4537439366759</v>
      </c>
      <c r="M109" s="65">
        <v>8713.4421342129572</v>
      </c>
      <c r="N109" s="65">
        <v>9110.1946277421266</v>
      </c>
      <c r="O109" s="65">
        <v>9509.8288823056464</v>
      </c>
      <c r="P109" s="65">
        <v>9769.8767076145396</v>
      </c>
      <c r="Q109" s="65">
        <v>10385.405888903968</v>
      </c>
      <c r="R109" s="65">
        <v>10473.064680028398</v>
      </c>
      <c r="S109" s="65">
        <v>10596.002188022208</v>
      </c>
      <c r="T109" s="65">
        <v>12062.780508330696</v>
      </c>
      <c r="U109" s="65">
        <v>12386.038028470508</v>
      </c>
      <c r="V109" s="65">
        <v>12405.679449890979</v>
      </c>
      <c r="W109" s="65">
        <v>11286.303797625078</v>
      </c>
      <c r="X109" s="65">
        <v>11965.130847131528</v>
      </c>
      <c r="Y109" s="65">
        <v>11699.71281228913</v>
      </c>
      <c r="DA109" s="109"/>
    </row>
    <row r="110" spans="1:105" ht="12" customHeight="1" x14ac:dyDescent="0.25">
      <c r="A110" s="61" t="s">
        <v>35</v>
      </c>
      <c r="B110" s="65">
        <v>15458.002119072878</v>
      </c>
      <c r="C110" s="65">
        <v>15255.726347599668</v>
      </c>
      <c r="D110" s="65">
        <v>15208.766705318701</v>
      </c>
      <c r="E110" s="65">
        <v>15110.158392587977</v>
      </c>
      <c r="F110" s="65">
        <v>15191.507821226705</v>
      </c>
      <c r="G110" s="65">
        <v>14973.725263589355</v>
      </c>
      <c r="H110" s="65">
        <v>14590.912200746716</v>
      </c>
      <c r="I110" s="65">
        <v>14151.572118208738</v>
      </c>
      <c r="J110" s="65">
        <v>13916.906331189537</v>
      </c>
      <c r="K110" s="65">
        <v>14041.271312056282</v>
      </c>
      <c r="L110" s="65">
        <v>13967.715815090825</v>
      </c>
      <c r="M110" s="65">
        <v>13869.132216359927</v>
      </c>
      <c r="N110" s="65">
        <v>13898.410151047208</v>
      </c>
      <c r="O110" s="65">
        <v>13889.409482181612</v>
      </c>
      <c r="P110" s="65">
        <v>13886.886578970383</v>
      </c>
      <c r="Q110" s="65">
        <v>13959.623730369622</v>
      </c>
      <c r="R110" s="65">
        <v>13811.253248105142</v>
      </c>
      <c r="S110" s="65">
        <v>13828.13104865618</v>
      </c>
      <c r="T110" s="65">
        <v>13829.865590984467</v>
      </c>
      <c r="U110" s="65">
        <v>13844.021860172919</v>
      </c>
      <c r="V110" s="65">
        <v>13496.814798104726</v>
      </c>
      <c r="W110" s="65">
        <v>13965.462369657658</v>
      </c>
      <c r="X110" s="65">
        <v>14122.513184945576</v>
      </c>
      <c r="Y110" s="65">
        <v>14225.47774903565</v>
      </c>
      <c r="DA110" s="109"/>
    </row>
    <row r="111" spans="1:105" ht="12" customHeight="1" x14ac:dyDescent="0.25">
      <c r="A111" s="74" t="s">
        <v>34</v>
      </c>
      <c r="B111" s="68">
        <v>13343.217143587844</v>
      </c>
      <c r="C111" s="68">
        <v>13229.875927564311</v>
      </c>
      <c r="D111" s="68">
        <v>13250.467952750518</v>
      </c>
      <c r="E111" s="68">
        <v>13338.367421709485</v>
      </c>
      <c r="F111" s="68">
        <v>13524.369169238769</v>
      </c>
      <c r="G111" s="68">
        <v>13557.45251902925</v>
      </c>
      <c r="H111" s="68">
        <v>13401.638485318581</v>
      </c>
      <c r="I111" s="68">
        <v>13229.56378346493</v>
      </c>
      <c r="J111" s="68">
        <v>13202.466898698183</v>
      </c>
      <c r="K111" s="68">
        <v>13407.051516174506</v>
      </c>
      <c r="L111" s="68">
        <v>13404.105060576114</v>
      </c>
      <c r="M111" s="68">
        <v>13241.921448248639</v>
      </c>
      <c r="N111" s="68">
        <v>13239.405570218601</v>
      </c>
      <c r="O111" s="68">
        <v>13296.286676944561</v>
      </c>
      <c r="P111" s="68">
        <v>13360.048871361432</v>
      </c>
      <c r="Q111" s="68">
        <v>13360.712606594956</v>
      </c>
      <c r="R111" s="68">
        <v>13223.608670112733</v>
      </c>
      <c r="S111" s="68">
        <v>13068.859143078434</v>
      </c>
      <c r="T111" s="68">
        <v>12608.421318574303</v>
      </c>
      <c r="U111" s="68">
        <v>12176.522725995123</v>
      </c>
      <c r="V111" s="68">
        <v>12371.704132010789</v>
      </c>
      <c r="W111" s="68">
        <v>12976.399428477494</v>
      </c>
      <c r="X111" s="68">
        <v>13311.394571604036</v>
      </c>
      <c r="Y111" s="68">
        <v>13462.149627433691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22158.2479671484</v>
      </c>
      <c r="C113" s="82">
        <f t="shared" ref="C113:W113" si="110">C81*1000000/C$8</f>
        <v>23341.180811782389</v>
      </c>
      <c r="D113" s="82">
        <f t="shared" si="110"/>
        <v>21990.550032454488</v>
      </c>
      <c r="E113" s="82">
        <f t="shared" si="110"/>
        <v>23324.008556166817</v>
      </c>
      <c r="F113" s="82">
        <f t="shared" si="110"/>
        <v>25527.57519475853</v>
      </c>
      <c r="G113" s="82">
        <f t="shared" si="110"/>
        <v>23218.852558313785</v>
      </c>
      <c r="H113" s="82">
        <f t="shared" si="110"/>
        <v>22747.417441116755</v>
      </c>
      <c r="I113" s="82">
        <f t="shared" si="110"/>
        <v>19848.059609095853</v>
      </c>
      <c r="J113" s="82">
        <f t="shared" si="110"/>
        <v>21040.61074887525</v>
      </c>
      <c r="K113" s="82">
        <f t="shared" si="110"/>
        <v>21719.135953984071</v>
      </c>
      <c r="L113" s="82">
        <f t="shared" si="110"/>
        <v>24546.345498912575</v>
      </c>
      <c r="M113" s="82">
        <f t="shared" si="110"/>
        <v>19578.314864673255</v>
      </c>
      <c r="N113" s="82">
        <f t="shared" si="110"/>
        <v>21665.779770647641</v>
      </c>
      <c r="O113" s="82">
        <f t="shared" si="110"/>
        <v>21784.864098018199</v>
      </c>
      <c r="P113" s="82">
        <f t="shared" si="110"/>
        <v>17455.592361182633</v>
      </c>
      <c r="Q113" s="82">
        <f t="shared" si="110"/>
        <v>18537.595794551038</v>
      </c>
      <c r="R113" s="82">
        <f t="shared" si="110"/>
        <v>18482.695069199508</v>
      </c>
      <c r="S113" s="82">
        <f t="shared" si="110"/>
        <v>18182.006478439951</v>
      </c>
      <c r="T113" s="82">
        <f t="shared" si="110"/>
        <v>17578.218205220801</v>
      </c>
      <c r="U113" s="82">
        <f t="shared" si="110"/>
        <v>16340.437877581349</v>
      </c>
      <c r="V113" s="82">
        <f t="shared" si="110"/>
        <v>14694.200727220003</v>
      </c>
      <c r="W113" s="82">
        <f t="shared" si="110"/>
        <v>15816.377100098636</v>
      </c>
      <c r="X113" s="82">
        <f t="shared" ref="X113:Y113" si="111">X81*1000000/X$8</f>
        <v>13554.885695829798</v>
      </c>
      <c r="Y113" s="82">
        <f t="shared" si="111"/>
        <v>12654.942100444019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22158.2479671484</v>
      </c>
      <c r="C114" s="64">
        <f t="shared" ref="C114:W114" si="113">C82*1000000/C$8</f>
        <v>23341.180811782389</v>
      </c>
      <c r="D114" s="64">
        <f t="shared" si="113"/>
        <v>21990.550032454488</v>
      </c>
      <c r="E114" s="64">
        <f t="shared" si="113"/>
        <v>23324.008556166817</v>
      </c>
      <c r="F114" s="64">
        <f t="shared" si="113"/>
        <v>25527.57519475853</v>
      </c>
      <c r="G114" s="64">
        <f t="shared" si="113"/>
        <v>23218.852558313785</v>
      </c>
      <c r="H114" s="64">
        <f t="shared" si="113"/>
        <v>22747.417441116755</v>
      </c>
      <c r="I114" s="64">
        <f t="shared" si="113"/>
        <v>19848.059609095853</v>
      </c>
      <c r="J114" s="64">
        <f t="shared" si="113"/>
        <v>21040.61074887525</v>
      </c>
      <c r="K114" s="64">
        <f t="shared" si="113"/>
        <v>21719.135953984071</v>
      </c>
      <c r="L114" s="64">
        <f t="shared" si="113"/>
        <v>24546.345498912575</v>
      </c>
      <c r="M114" s="64">
        <f t="shared" si="113"/>
        <v>19578.314864673255</v>
      </c>
      <c r="N114" s="64">
        <f t="shared" si="113"/>
        <v>21665.779770647641</v>
      </c>
      <c r="O114" s="64">
        <f t="shared" si="113"/>
        <v>21784.864098018199</v>
      </c>
      <c r="P114" s="64">
        <f t="shared" si="113"/>
        <v>17455.592361182633</v>
      </c>
      <c r="Q114" s="64">
        <f t="shared" si="113"/>
        <v>18537.595794551038</v>
      </c>
      <c r="R114" s="64">
        <f t="shared" si="113"/>
        <v>18482.695069199508</v>
      </c>
      <c r="S114" s="64">
        <f t="shared" si="113"/>
        <v>18182.006478439951</v>
      </c>
      <c r="T114" s="64">
        <f t="shared" si="113"/>
        <v>17578.218205220801</v>
      </c>
      <c r="U114" s="64">
        <f t="shared" si="113"/>
        <v>16340.437877581349</v>
      </c>
      <c r="V114" s="64">
        <f t="shared" si="113"/>
        <v>14694.200727220003</v>
      </c>
      <c r="W114" s="64">
        <f t="shared" si="113"/>
        <v>15816.377100098636</v>
      </c>
      <c r="X114" s="64">
        <f t="shared" ref="X114:Y114" si="114">X82*1000000/X$8</f>
        <v>13554.885695829798</v>
      </c>
      <c r="Y114" s="64">
        <f t="shared" si="114"/>
        <v>12654.942100444019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18714.095313223093</v>
      </c>
      <c r="C115" s="65">
        <f t="shared" ref="C115:W115" si="116">C83*1000000/C$8</f>
        <v>19862.571902866341</v>
      </c>
      <c r="D115" s="65">
        <f t="shared" si="116"/>
        <v>18403.711527137413</v>
      </c>
      <c r="E115" s="65">
        <f t="shared" si="116"/>
        <v>19782.488839566086</v>
      </c>
      <c r="F115" s="65">
        <f t="shared" si="116"/>
        <v>21948.618480298705</v>
      </c>
      <c r="G115" s="65">
        <f t="shared" si="116"/>
        <v>19690.935710286063</v>
      </c>
      <c r="H115" s="65">
        <f t="shared" si="116"/>
        <v>19263.445545147766</v>
      </c>
      <c r="I115" s="65">
        <f t="shared" si="116"/>
        <v>16523.449501892977</v>
      </c>
      <c r="J115" s="65">
        <f t="shared" si="116"/>
        <v>17757.645730179665</v>
      </c>
      <c r="K115" s="65">
        <f t="shared" si="116"/>
        <v>18397.200098506208</v>
      </c>
      <c r="L115" s="65">
        <f t="shared" si="116"/>
        <v>21260.252174631205</v>
      </c>
      <c r="M115" s="65">
        <f t="shared" si="116"/>
        <v>16373.775682678055</v>
      </c>
      <c r="N115" s="65">
        <f t="shared" si="116"/>
        <v>18359.433055605758</v>
      </c>
      <c r="O115" s="65">
        <f t="shared" si="116"/>
        <v>18477.098703609005</v>
      </c>
      <c r="P115" s="65">
        <f t="shared" si="116"/>
        <v>14322.12985779751</v>
      </c>
      <c r="Q115" s="65">
        <f t="shared" si="116"/>
        <v>15475.221270816621</v>
      </c>
      <c r="R115" s="65">
        <f t="shared" si="116"/>
        <v>15453.154514425636</v>
      </c>
      <c r="S115" s="65">
        <f t="shared" si="116"/>
        <v>15161.589893717759</v>
      </c>
      <c r="T115" s="65">
        <f t="shared" si="116"/>
        <v>14788.279019180651</v>
      </c>
      <c r="U115" s="65">
        <f t="shared" si="116"/>
        <v>13808.628179610898</v>
      </c>
      <c r="V115" s="65">
        <f t="shared" si="116"/>
        <v>12344.875260961342</v>
      </c>
      <c r="W115" s="65">
        <f t="shared" si="116"/>
        <v>13348.086895763759</v>
      </c>
      <c r="X115" s="65">
        <f t="shared" ref="X115:Y115" si="117">X83*1000000/X$8</f>
        <v>11154.330503910705</v>
      </c>
      <c r="Y115" s="65">
        <f t="shared" si="117"/>
        <v>10257.373220263902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1.2331470966325944</v>
      </c>
      <c r="C116" s="65">
        <f t="shared" ref="C116:W116" si="119">C84*1000000/C$8</f>
        <v>1.399353068201475</v>
      </c>
      <c r="D116" s="65">
        <f t="shared" si="119"/>
        <v>1.6984475564976806</v>
      </c>
      <c r="E116" s="65">
        <f t="shared" si="119"/>
        <v>2.0342857606379732</v>
      </c>
      <c r="F116" s="65">
        <f t="shared" si="119"/>
        <v>2.5188663837514471</v>
      </c>
      <c r="G116" s="65">
        <f t="shared" si="119"/>
        <v>2.9742258680875056</v>
      </c>
      <c r="H116" s="65">
        <f t="shared" si="119"/>
        <v>4.044025502126348</v>
      </c>
      <c r="I116" s="65">
        <f t="shared" si="119"/>
        <v>4.8413085313155797</v>
      </c>
      <c r="J116" s="65">
        <f t="shared" si="119"/>
        <v>5.8453020313343487</v>
      </c>
      <c r="K116" s="65">
        <f t="shared" si="119"/>
        <v>6.7013605360263035</v>
      </c>
      <c r="L116" s="65">
        <f t="shared" si="119"/>
        <v>7.5847554948993752</v>
      </c>
      <c r="M116" s="65">
        <f t="shared" si="119"/>
        <v>8.1675120988817138</v>
      </c>
      <c r="N116" s="65">
        <f t="shared" si="119"/>
        <v>9.3180819258522778</v>
      </c>
      <c r="O116" s="65">
        <f t="shared" si="119"/>
        <v>11.386071132165508</v>
      </c>
      <c r="P116" s="65">
        <f t="shared" si="119"/>
        <v>14.960406296739231</v>
      </c>
      <c r="Q116" s="65">
        <f t="shared" si="119"/>
        <v>20.321949505944254</v>
      </c>
      <c r="R116" s="65">
        <f t="shared" si="119"/>
        <v>25.660298642480711</v>
      </c>
      <c r="S116" s="65">
        <f t="shared" si="119"/>
        <v>30.456601091247059</v>
      </c>
      <c r="T116" s="65">
        <f t="shared" si="119"/>
        <v>34.582450844236824</v>
      </c>
      <c r="U116" s="65">
        <f t="shared" si="119"/>
        <v>37.919598100968209</v>
      </c>
      <c r="V116" s="65">
        <f t="shared" si="119"/>
        <v>40.513951408185534</v>
      </c>
      <c r="W116" s="65">
        <f t="shared" si="119"/>
        <v>42.739608590682849</v>
      </c>
      <c r="X116" s="65">
        <f t="shared" ref="X116:Y116" si="120">X84*1000000/X$8</f>
        <v>38.011146411175716</v>
      </c>
      <c r="Y116" s="65">
        <f t="shared" si="120"/>
        <v>36.149401329277978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1806.073038796568</v>
      </c>
      <c r="C117" s="65">
        <f t="shared" ref="C117:W117" si="122">C85*1000000/C$8</f>
        <v>1802.8332246736065</v>
      </c>
      <c r="D117" s="65">
        <f t="shared" si="122"/>
        <v>1883.0005612734617</v>
      </c>
      <c r="E117" s="65">
        <f t="shared" si="122"/>
        <v>1813.8688289103654</v>
      </c>
      <c r="F117" s="65">
        <f t="shared" si="122"/>
        <v>1811.4115747465478</v>
      </c>
      <c r="G117" s="65">
        <f t="shared" si="122"/>
        <v>1782.9916251690831</v>
      </c>
      <c r="H117" s="65">
        <f t="shared" si="122"/>
        <v>1745.2808879482002</v>
      </c>
      <c r="I117" s="65">
        <f t="shared" si="122"/>
        <v>1664.005799353446</v>
      </c>
      <c r="J117" s="65">
        <f t="shared" si="122"/>
        <v>1627.4118637949016</v>
      </c>
      <c r="K117" s="65">
        <f t="shared" si="122"/>
        <v>1649.4375144600965</v>
      </c>
      <c r="L117" s="65">
        <f t="shared" si="122"/>
        <v>1638.2786937290075</v>
      </c>
      <c r="M117" s="65">
        <f t="shared" si="122"/>
        <v>1610.5235856732099</v>
      </c>
      <c r="N117" s="65">
        <f t="shared" si="122"/>
        <v>1725.4350306447955</v>
      </c>
      <c r="O117" s="65">
        <f t="shared" si="122"/>
        <v>1726.9364234043128</v>
      </c>
      <c r="P117" s="65">
        <f t="shared" si="122"/>
        <v>1596.0747985231153</v>
      </c>
      <c r="Q117" s="65">
        <f t="shared" si="122"/>
        <v>1553.4990741437066</v>
      </c>
      <c r="R117" s="65">
        <f t="shared" si="122"/>
        <v>1558.6777341012253</v>
      </c>
      <c r="S117" s="65">
        <f t="shared" si="122"/>
        <v>1615.6712640315268</v>
      </c>
      <c r="T117" s="65">
        <f t="shared" si="122"/>
        <v>1560.2458667588305</v>
      </c>
      <c r="U117" s="65">
        <f t="shared" si="122"/>
        <v>1485.25553412421</v>
      </c>
      <c r="V117" s="65">
        <f t="shared" si="122"/>
        <v>1237.1125179336727</v>
      </c>
      <c r="W117" s="65">
        <f t="shared" si="122"/>
        <v>1247.7142374990142</v>
      </c>
      <c r="X117" s="65">
        <f t="shared" ref="X117:Y117" si="123">X85*1000000/X$8</f>
        <v>1233.024140868205</v>
      </c>
      <c r="Y117" s="65">
        <f t="shared" si="123"/>
        <v>1242.710477671051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1636.8464680321051</v>
      </c>
      <c r="C118" s="67">
        <f t="shared" ref="C118:W118" si="125">C86*1000000/C$8</f>
        <v>1674.3763311742391</v>
      </c>
      <c r="D118" s="67">
        <f t="shared" si="125"/>
        <v>1702.1394964871179</v>
      </c>
      <c r="E118" s="67">
        <f t="shared" si="125"/>
        <v>1725.616601929727</v>
      </c>
      <c r="F118" s="67">
        <f t="shared" si="125"/>
        <v>1765.0262733295292</v>
      </c>
      <c r="G118" s="67">
        <f t="shared" si="125"/>
        <v>1741.9509969905496</v>
      </c>
      <c r="H118" s="67">
        <f t="shared" si="125"/>
        <v>1734.6469825186603</v>
      </c>
      <c r="I118" s="67">
        <f t="shared" si="125"/>
        <v>1655.7629993181156</v>
      </c>
      <c r="J118" s="67">
        <f t="shared" si="125"/>
        <v>1649.7078528693514</v>
      </c>
      <c r="K118" s="67">
        <f t="shared" si="125"/>
        <v>1665.7969804817367</v>
      </c>
      <c r="L118" s="67">
        <f t="shared" si="125"/>
        <v>1640.2298750574655</v>
      </c>
      <c r="M118" s="67">
        <f t="shared" si="125"/>
        <v>1585.8480842231093</v>
      </c>
      <c r="N118" s="67">
        <f t="shared" si="125"/>
        <v>1571.5936024712382</v>
      </c>
      <c r="O118" s="67">
        <f t="shared" si="125"/>
        <v>1569.4428998727174</v>
      </c>
      <c r="P118" s="67">
        <f t="shared" si="125"/>
        <v>1522.4272985652692</v>
      </c>
      <c r="Q118" s="67">
        <f t="shared" si="125"/>
        <v>1488.5535000847649</v>
      </c>
      <c r="R118" s="67">
        <f t="shared" si="125"/>
        <v>1445.202522030165</v>
      </c>
      <c r="S118" s="67">
        <f t="shared" si="125"/>
        <v>1374.2887195994147</v>
      </c>
      <c r="T118" s="67">
        <f t="shared" si="125"/>
        <v>1195.1108684370834</v>
      </c>
      <c r="U118" s="67">
        <f t="shared" si="125"/>
        <v>1008.6345657452707</v>
      </c>
      <c r="V118" s="67">
        <f t="shared" si="125"/>
        <v>1071.6989969168037</v>
      </c>
      <c r="W118" s="67">
        <f t="shared" si="125"/>
        <v>1177.8363582451791</v>
      </c>
      <c r="X118" s="67">
        <f t="shared" ref="X118:Y118" si="126">X86*1000000/X$8</f>
        <v>1129.5199046397111</v>
      </c>
      <c r="Y118" s="67">
        <f t="shared" si="126"/>
        <v>1118.7090011797868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0.62653807708887022</v>
      </c>
      <c r="C121" s="86">
        <f t="shared" ref="C121:W121" si="131">IF(C107=0,"",C107/C100)</f>
        <v>0.62965632649225067</v>
      </c>
      <c r="D121" s="86">
        <f t="shared" si="131"/>
        <v>0.64371431315471883</v>
      </c>
      <c r="E121" s="86">
        <f t="shared" si="131"/>
        <v>0.64657129115294198</v>
      </c>
      <c r="F121" s="86">
        <f t="shared" si="131"/>
        <v>0.64809490849300055</v>
      </c>
      <c r="G121" s="86">
        <f t="shared" si="131"/>
        <v>0.65909924451129853</v>
      </c>
      <c r="H121" s="86">
        <f t="shared" si="131"/>
        <v>0.67301119440677259</v>
      </c>
      <c r="I121" s="86">
        <f t="shared" si="131"/>
        <v>0.69247433901173483</v>
      </c>
      <c r="J121" s="86">
        <f t="shared" si="131"/>
        <v>0.69763764679938112</v>
      </c>
      <c r="K121" s="86">
        <f t="shared" si="131"/>
        <v>0.70900234179188149</v>
      </c>
      <c r="L121" s="86">
        <f t="shared" si="131"/>
        <v>0.71092849372321365</v>
      </c>
      <c r="M121" s="86">
        <f t="shared" si="131"/>
        <v>0.73794676132923553</v>
      </c>
      <c r="N121" s="86">
        <f t="shared" si="131"/>
        <v>0.74084904387628037</v>
      </c>
      <c r="O121" s="86">
        <f t="shared" si="131"/>
        <v>0.75486941602224245</v>
      </c>
      <c r="P121" s="86">
        <f t="shared" si="131"/>
        <v>0.77949967528311004</v>
      </c>
      <c r="Q121" s="86">
        <f t="shared" si="131"/>
        <v>0.78815950809922186</v>
      </c>
      <c r="R121" s="86">
        <f t="shared" si="131"/>
        <v>0.79969634439824211</v>
      </c>
      <c r="S121" s="86">
        <f t="shared" si="131"/>
        <v>0.81472611170622433</v>
      </c>
      <c r="T121" s="86">
        <f t="shared" si="131"/>
        <v>0.84074656949710891</v>
      </c>
      <c r="U121" s="86">
        <f t="shared" si="131"/>
        <v>0.86469298892532842</v>
      </c>
      <c r="V121" s="86">
        <f t="shared" si="131"/>
        <v>0.89056231752279669</v>
      </c>
      <c r="W121" s="86">
        <f t="shared" si="131"/>
        <v>0.8913942607411901</v>
      </c>
      <c r="X121" s="86">
        <f t="shared" ref="X121:Y121" si="132">IF(X107=0,"",X107/X100)</f>
        <v>0.93192056794461353</v>
      </c>
      <c r="Y121" s="86">
        <f t="shared" si="132"/>
        <v>0.95496907480568582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0.58706217225888513</v>
      </c>
      <c r="C122" s="75">
        <f t="shared" ref="C122:W122" si="134">IF(C108=0,"",C108/C101)</f>
        <v>0.59062017949506418</v>
      </c>
      <c r="D122" s="75">
        <f t="shared" si="134"/>
        <v>0.60530935793859597</v>
      </c>
      <c r="E122" s="75">
        <f t="shared" si="134"/>
        <v>0.60559106128354701</v>
      </c>
      <c r="F122" s="75">
        <f t="shared" si="134"/>
        <v>0.60936772404746908</v>
      </c>
      <c r="G122" s="75">
        <f t="shared" si="134"/>
        <v>0.61445719093550211</v>
      </c>
      <c r="H122" s="75">
        <f t="shared" si="134"/>
        <v>0.62436438092854063</v>
      </c>
      <c r="I122" s="75">
        <f t="shared" si="134"/>
        <v>0.64062016664665389</v>
      </c>
      <c r="J122" s="75">
        <f t="shared" si="134"/>
        <v>0.64320621010785684</v>
      </c>
      <c r="K122" s="75">
        <f t="shared" si="134"/>
        <v>0.65455572401778206</v>
      </c>
      <c r="L122" s="75">
        <f t="shared" si="134"/>
        <v>0.65604776327705572</v>
      </c>
      <c r="M122" s="75">
        <f t="shared" si="134"/>
        <v>0.67627383910191319</v>
      </c>
      <c r="N122" s="75">
        <f t="shared" si="134"/>
        <v>0.6792421326193937</v>
      </c>
      <c r="O122" s="75">
        <f t="shared" si="134"/>
        <v>0.69335816735911637</v>
      </c>
      <c r="P122" s="75">
        <f t="shared" si="134"/>
        <v>0.70677238038778156</v>
      </c>
      <c r="Q122" s="75">
        <f t="shared" si="134"/>
        <v>0.71391005813487474</v>
      </c>
      <c r="R122" s="75">
        <f t="shared" si="134"/>
        <v>0.72624182151153094</v>
      </c>
      <c r="S122" s="75">
        <f t="shared" si="134"/>
        <v>0.74361008145551588</v>
      </c>
      <c r="T122" s="75">
        <f t="shared" si="134"/>
        <v>0.76003588329734162</v>
      </c>
      <c r="U122" s="75">
        <f t="shared" si="134"/>
        <v>0.77923418049081794</v>
      </c>
      <c r="V122" s="75">
        <f t="shared" si="134"/>
        <v>0.80258773526811356</v>
      </c>
      <c r="W122" s="75">
        <f t="shared" si="134"/>
        <v>0.8183773843258737</v>
      </c>
      <c r="X122" s="75">
        <f t="shared" ref="X122:Y122" si="135">IF(X108=0,"",X108/X101)</f>
        <v>0.85604388530528108</v>
      </c>
      <c r="Y122" s="75">
        <f t="shared" si="135"/>
        <v>0.88415702011044739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1.9399140194796776</v>
      </c>
      <c r="C123" s="76">
        <f t="shared" ref="C123:W123" si="137">IF(C109=0,"",C109/C102)</f>
        <v>2.0698922897698075</v>
      </c>
      <c r="D123" s="76">
        <f t="shared" si="137"/>
        <v>2.1995323354684166</v>
      </c>
      <c r="E123" s="76">
        <f t="shared" si="137"/>
        <v>2.3188697376752345</v>
      </c>
      <c r="F123" s="76">
        <f t="shared" si="137"/>
        <v>2.4491369066663307</v>
      </c>
      <c r="G123" s="76">
        <f t="shared" si="137"/>
        <v>2.5993802831584323</v>
      </c>
      <c r="H123" s="76">
        <f t="shared" si="137"/>
        <v>2.7467970204927075</v>
      </c>
      <c r="I123" s="76">
        <f t="shared" si="137"/>
        <v>2.9092710306786826</v>
      </c>
      <c r="J123" s="76">
        <f t="shared" si="137"/>
        <v>3.0599273914686713</v>
      </c>
      <c r="K123" s="76">
        <f t="shared" si="137"/>
        <v>3.1328864139564878</v>
      </c>
      <c r="L123" s="76">
        <f t="shared" si="137"/>
        <v>3.220478514418748</v>
      </c>
      <c r="M123" s="76">
        <f t="shared" si="137"/>
        <v>3.3385441497853954</v>
      </c>
      <c r="N123" s="76">
        <f t="shared" si="137"/>
        <v>3.4516149993767895</v>
      </c>
      <c r="O123" s="76">
        <f t="shared" si="137"/>
        <v>3.5681493826733899</v>
      </c>
      <c r="P123" s="76">
        <f t="shared" si="137"/>
        <v>3.6988992421759521</v>
      </c>
      <c r="Q123" s="76">
        <f t="shared" si="137"/>
        <v>3.8328914712486295</v>
      </c>
      <c r="R123" s="76">
        <f t="shared" si="137"/>
        <v>3.9724651916474034</v>
      </c>
      <c r="S123" s="76">
        <f t="shared" si="137"/>
        <v>4.1093289836274325</v>
      </c>
      <c r="T123" s="76">
        <f t="shared" si="137"/>
        <v>4.2439848753510843</v>
      </c>
      <c r="U123" s="76">
        <f t="shared" si="137"/>
        <v>4.3475780698729372</v>
      </c>
      <c r="V123" s="76">
        <f t="shared" si="137"/>
        <v>4.4324466016396018</v>
      </c>
      <c r="W123" s="76">
        <f t="shared" si="137"/>
        <v>4.4775652635009715</v>
      </c>
      <c r="X123" s="76">
        <f t="shared" ref="X123:Y123" si="138">IF(X109=0,"",X109/X102)</f>
        <v>4.5829371495024356</v>
      </c>
      <c r="Y123" s="76">
        <f t="shared" si="138"/>
        <v>4.6407231223234993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0.68132545576846981</v>
      </c>
      <c r="C124" s="76">
        <f t="shared" ref="C124:W124" si="140">IF(C110=0,"",C110/C103)</f>
        <v>0.68371041513265618</v>
      </c>
      <c r="D124" s="76">
        <f t="shared" si="140"/>
        <v>0.68429722403685989</v>
      </c>
      <c r="E124" s="76">
        <f t="shared" si="140"/>
        <v>0.6887542559565647</v>
      </c>
      <c r="F124" s="76">
        <f t="shared" si="140"/>
        <v>0.69200501782334656</v>
      </c>
      <c r="G124" s="76">
        <f t="shared" si="140"/>
        <v>0.69581090460831885</v>
      </c>
      <c r="H124" s="76">
        <f t="shared" si="140"/>
        <v>0.69994675818570207</v>
      </c>
      <c r="I124" s="76">
        <f t="shared" si="140"/>
        <v>0.70540722666358935</v>
      </c>
      <c r="J124" s="76">
        <f t="shared" si="140"/>
        <v>0.71038027184327757</v>
      </c>
      <c r="K124" s="76">
        <f t="shared" si="140"/>
        <v>0.71513259347613012</v>
      </c>
      <c r="L124" s="76">
        <f t="shared" si="140"/>
        <v>0.72091701005461739</v>
      </c>
      <c r="M124" s="76">
        <f t="shared" si="140"/>
        <v>0.72780890119662811</v>
      </c>
      <c r="N124" s="76">
        <f t="shared" si="140"/>
        <v>0.73328709363481426</v>
      </c>
      <c r="O124" s="76">
        <f t="shared" si="140"/>
        <v>0.74122535457786121</v>
      </c>
      <c r="P124" s="76">
        <f t="shared" si="140"/>
        <v>0.74681975629860131</v>
      </c>
      <c r="Q124" s="76">
        <f t="shared" si="140"/>
        <v>0.75423954204644861</v>
      </c>
      <c r="R124" s="76">
        <f t="shared" si="140"/>
        <v>0.7619319667154768</v>
      </c>
      <c r="S124" s="76">
        <f t="shared" si="140"/>
        <v>0.77188308684135387</v>
      </c>
      <c r="T124" s="76">
        <f t="shared" si="140"/>
        <v>0.78414860941034248</v>
      </c>
      <c r="U124" s="76">
        <f t="shared" si="140"/>
        <v>0.79735683126195822</v>
      </c>
      <c r="V124" s="76">
        <f t="shared" si="140"/>
        <v>0.81483174025051885</v>
      </c>
      <c r="W124" s="76">
        <f t="shared" si="140"/>
        <v>0.82946820296254531</v>
      </c>
      <c r="X124" s="76">
        <f t="shared" ref="X124:Y124" si="141">IF(X110=0,"",X110/X103)</f>
        <v>0.84419823524798698</v>
      </c>
      <c r="Y124" s="76">
        <f t="shared" si="141"/>
        <v>0.85769969009720581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0.70892945133917573</v>
      </c>
      <c r="C125" s="56">
        <f t="shared" ref="C125:W125" si="143">IF(C111=0,"",C111/C104)</f>
        <v>0.70786721976817779</v>
      </c>
      <c r="D125" s="56">
        <f t="shared" si="143"/>
        <v>0.70792378268732348</v>
      </c>
      <c r="E125" s="56">
        <f t="shared" si="143"/>
        <v>0.70838390141746621</v>
      </c>
      <c r="F125" s="56">
        <f t="shared" si="143"/>
        <v>0.70894561301302994</v>
      </c>
      <c r="G125" s="56">
        <f t="shared" si="143"/>
        <v>0.71135200682476807</v>
      </c>
      <c r="H125" s="56">
        <f t="shared" si="143"/>
        <v>0.71252900735643854</v>
      </c>
      <c r="I125" s="56">
        <f t="shared" si="143"/>
        <v>0.71569091928705741</v>
      </c>
      <c r="J125" s="56">
        <f t="shared" si="143"/>
        <v>0.71711788760887485</v>
      </c>
      <c r="K125" s="56">
        <f t="shared" si="143"/>
        <v>0.71938808529513609</v>
      </c>
      <c r="L125" s="56">
        <f t="shared" si="143"/>
        <v>0.72194314892918432</v>
      </c>
      <c r="M125" s="56">
        <f t="shared" si="143"/>
        <v>0.72323660030859327</v>
      </c>
      <c r="N125" s="56">
        <f t="shared" si="143"/>
        <v>0.72479475967495799</v>
      </c>
      <c r="O125" s="56">
        <f t="shared" si="143"/>
        <v>0.72600168039235335</v>
      </c>
      <c r="P125" s="56">
        <f t="shared" si="143"/>
        <v>0.72854566554156719</v>
      </c>
      <c r="Q125" s="56">
        <f t="shared" si="143"/>
        <v>0.73333685810788241</v>
      </c>
      <c r="R125" s="56">
        <f t="shared" si="143"/>
        <v>0.7369894221337655</v>
      </c>
      <c r="S125" s="56">
        <f t="shared" si="143"/>
        <v>0.74302904229145006</v>
      </c>
      <c r="T125" s="56">
        <f t="shared" si="143"/>
        <v>0.75473771793706745</v>
      </c>
      <c r="U125" s="56">
        <f t="shared" si="143"/>
        <v>0.76870009190541322</v>
      </c>
      <c r="V125" s="56">
        <f t="shared" si="143"/>
        <v>0.77024255989942325</v>
      </c>
      <c r="W125" s="56">
        <f t="shared" si="143"/>
        <v>0.77177697257239508</v>
      </c>
      <c r="X125" s="56">
        <f t="shared" ref="X125:Y125" si="144">IF(X111=0,"",X111/X104)</f>
        <v>0.78092326218322161</v>
      </c>
      <c r="Y125" s="56">
        <f t="shared" si="144"/>
        <v>0.78688286096868121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213.20648102765173</v>
      </c>
      <c r="C129" s="82">
        <f t="shared" ref="C129:W129" si="146">IF(C99=0,0,C99/C$26)</f>
        <v>221.87949177592273</v>
      </c>
      <c r="D129" s="82">
        <f t="shared" si="146"/>
        <v>218.3305986033819</v>
      </c>
      <c r="E129" s="82">
        <f t="shared" si="146"/>
        <v>226.91112191371477</v>
      </c>
      <c r="F129" s="82">
        <f t="shared" si="146"/>
        <v>242.77866701553774</v>
      </c>
      <c r="G129" s="82">
        <f t="shared" si="146"/>
        <v>227.53553190408712</v>
      </c>
      <c r="H129" s="82">
        <f t="shared" si="146"/>
        <v>226.16969993509559</v>
      </c>
      <c r="I129" s="82">
        <f t="shared" si="146"/>
        <v>210.59406459330017</v>
      </c>
      <c r="J129" s="82">
        <f t="shared" si="146"/>
        <v>216.06846712450374</v>
      </c>
      <c r="K129" s="82">
        <f t="shared" si="146"/>
        <v>223.23843515656364</v>
      </c>
      <c r="L129" s="82">
        <f t="shared" si="146"/>
        <v>237.33890774106044</v>
      </c>
      <c r="M129" s="82">
        <f t="shared" si="146"/>
        <v>208.52378525669047</v>
      </c>
      <c r="N129" s="82">
        <f t="shared" si="146"/>
        <v>215.91303353243228</v>
      </c>
      <c r="O129" s="82">
        <f t="shared" si="146"/>
        <v>216.54460908786376</v>
      </c>
      <c r="P129" s="82">
        <f t="shared" si="146"/>
        <v>190.35622130885588</v>
      </c>
      <c r="Q129" s="82">
        <f t="shared" si="146"/>
        <v>196.01069735195367</v>
      </c>
      <c r="R129" s="82">
        <f t="shared" si="146"/>
        <v>195.32697977005967</v>
      </c>
      <c r="S129" s="82">
        <f t="shared" si="146"/>
        <v>196.71233815559398</v>
      </c>
      <c r="T129" s="82">
        <f t="shared" si="146"/>
        <v>193.55888013073925</v>
      </c>
      <c r="U129" s="82">
        <f t="shared" si="146"/>
        <v>186.03155693656331</v>
      </c>
      <c r="V129" s="82">
        <f t="shared" si="146"/>
        <v>175.25596096825984</v>
      </c>
      <c r="W129" s="82">
        <f t="shared" si="146"/>
        <v>181.86117720905546</v>
      </c>
      <c r="X129" s="82">
        <f t="shared" ref="X129:Y129" si="147">IF(X99=0,0,X99/X$26)</f>
        <v>170.97423236828269</v>
      </c>
      <c r="Y129" s="82">
        <f t="shared" si="147"/>
        <v>165.21256413675241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172.15093144470248</v>
      </c>
      <c r="C130" s="64">
        <f t="shared" ref="C130:W130" si="149">IF(C100=0,0,C100/C$26)</f>
        <v>179.82388378937139</v>
      </c>
      <c r="D130" s="64">
        <f t="shared" si="149"/>
        <v>175.13852777892626</v>
      </c>
      <c r="E130" s="64">
        <f t="shared" si="149"/>
        <v>182.44253594703613</v>
      </c>
      <c r="F130" s="64">
        <f t="shared" si="149"/>
        <v>196.70868824376137</v>
      </c>
      <c r="G130" s="64">
        <f t="shared" si="149"/>
        <v>180.52717841113079</v>
      </c>
      <c r="H130" s="64">
        <f t="shared" si="149"/>
        <v>178.69234575878997</v>
      </c>
      <c r="I130" s="64">
        <f t="shared" si="149"/>
        <v>162.90701682788338</v>
      </c>
      <c r="J130" s="64">
        <f t="shared" si="149"/>
        <v>167.89445450623992</v>
      </c>
      <c r="K130" s="64">
        <f t="shared" si="149"/>
        <v>174.05533556349857</v>
      </c>
      <c r="L130" s="64">
        <f t="shared" si="149"/>
        <v>187.59538913081286</v>
      </c>
      <c r="M130" s="64">
        <f t="shared" si="149"/>
        <v>158.36780952792915</v>
      </c>
      <c r="N130" s="64">
        <f t="shared" si="149"/>
        <v>165.45457998408935</v>
      </c>
      <c r="O130" s="64">
        <f t="shared" si="149"/>
        <v>165.4023443279311</v>
      </c>
      <c r="P130" s="64">
        <f t="shared" si="149"/>
        <v>138.21847807904555</v>
      </c>
      <c r="Q130" s="64">
        <f t="shared" si="149"/>
        <v>142.93254496824309</v>
      </c>
      <c r="R130" s="64">
        <f t="shared" si="149"/>
        <v>142.16163287225893</v>
      </c>
      <c r="S130" s="64">
        <f t="shared" si="149"/>
        <v>143.34745140344668</v>
      </c>
      <c r="T130" s="64">
        <f t="shared" si="149"/>
        <v>140.95990736596281</v>
      </c>
      <c r="U130" s="64">
        <f t="shared" si="149"/>
        <v>134.09743277326041</v>
      </c>
      <c r="V130" s="64">
        <f t="shared" si="149"/>
        <v>124.31176293986977</v>
      </c>
      <c r="W130" s="64">
        <f t="shared" si="149"/>
        <v>131.27379640802084</v>
      </c>
      <c r="X130" s="64">
        <f t="shared" ref="X130:Y130" si="150">IF(X100=0,0,X100/X$26)</f>
        <v>120.83235340199582</v>
      </c>
      <c r="Y130" s="64">
        <f t="shared" si="150"/>
        <v>115.60602806900991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124.64601006589501</v>
      </c>
      <c r="C131" s="65">
        <f t="shared" ref="C131:W131" si="152">IF(C101=0,0,C101/C$26)</f>
        <v>132.725889114642</v>
      </c>
      <c r="D131" s="65">
        <f t="shared" si="152"/>
        <v>127.98965924720706</v>
      </c>
      <c r="E131" s="65">
        <f t="shared" si="152"/>
        <v>135.21969470341165</v>
      </c>
      <c r="F131" s="65">
        <f t="shared" si="152"/>
        <v>149.22237763292418</v>
      </c>
      <c r="G131" s="65">
        <f t="shared" si="152"/>
        <v>133.39350262520858</v>
      </c>
      <c r="H131" s="65">
        <f t="shared" si="152"/>
        <v>132.2292631636698</v>
      </c>
      <c r="I131" s="65">
        <f t="shared" si="152"/>
        <v>117.67014427983138</v>
      </c>
      <c r="J131" s="65">
        <f t="shared" si="152"/>
        <v>123.1200519498919</v>
      </c>
      <c r="K131" s="65">
        <f t="shared" si="152"/>
        <v>128.78284122013434</v>
      </c>
      <c r="L131" s="65">
        <f t="shared" si="152"/>
        <v>142.49799544047076</v>
      </c>
      <c r="M131" s="65">
        <f t="shared" si="152"/>
        <v>113.95090620428915</v>
      </c>
      <c r="N131" s="65">
        <f t="shared" si="152"/>
        <v>121.16636524640847</v>
      </c>
      <c r="O131" s="65">
        <f t="shared" si="152"/>
        <v>121.27118339170559</v>
      </c>
      <c r="P131" s="65">
        <f t="shared" si="152"/>
        <v>94.247411673878929</v>
      </c>
      <c r="Q131" s="65">
        <f t="shared" si="152"/>
        <v>99.113851090074562</v>
      </c>
      <c r="R131" s="65">
        <f t="shared" si="152"/>
        <v>99.155215233546926</v>
      </c>
      <c r="S131" s="65">
        <f t="shared" si="152"/>
        <v>101.03417524399106</v>
      </c>
      <c r="T131" s="65">
        <f t="shared" si="152"/>
        <v>99.643446344072672</v>
      </c>
      <c r="U131" s="65">
        <f t="shared" si="152"/>
        <v>94.039931901903543</v>
      </c>
      <c r="V131" s="65">
        <f t="shared" si="152"/>
        <v>84.950817978052413</v>
      </c>
      <c r="W131" s="65">
        <f t="shared" si="152"/>
        <v>91.083857619519321</v>
      </c>
      <c r="X131" s="65">
        <f t="shared" ref="X131:Y131" si="153">IF(X101=0,0,X101/X$26)</f>
        <v>80.404108983595663</v>
      </c>
      <c r="Y131" s="65">
        <f t="shared" si="153"/>
        <v>75.367235491559711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1.3829486051987523</v>
      </c>
      <c r="C132" s="65">
        <f t="shared" ref="C132:W132" si="155">IF(C102=0,0,C102/C$26)</f>
        <v>1.539204938813894</v>
      </c>
      <c r="D132" s="65">
        <f t="shared" si="155"/>
        <v>1.6569280448238128</v>
      </c>
      <c r="E132" s="65">
        <f t="shared" si="155"/>
        <v>1.92541840840739</v>
      </c>
      <c r="F132" s="65">
        <f t="shared" si="155"/>
        <v>1.8978394674197483</v>
      </c>
      <c r="G132" s="65">
        <f t="shared" si="155"/>
        <v>2.0464190559228372</v>
      </c>
      <c r="H132" s="65">
        <f t="shared" si="155"/>
        <v>2.4027523219890203</v>
      </c>
      <c r="I132" s="65">
        <f t="shared" si="155"/>
        <v>2.4073305482143272</v>
      </c>
      <c r="J132" s="65">
        <f t="shared" si="155"/>
        <v>2.5508034109210715</v>
      </c>
      <c r="K132" s="65">
        <f t="shared" si="155"/>
        <v>2.7488893710934827</v>
      </c>
      <c r="L132" s="65">
        <f t="shared" si="155"/>
        <v>2.9400233211667031</v>
      </c>
      <c r="M132" s="65">
        <f t="shared" si="155"/>
        <v>2.8999473833437466</v>
      </c>
      <c r="N132" s="65">
        <f t="shared" si="155"/>
        <v>2.9326673099684344</v>
      </c>
      <c r="O132" s="65">
        <f t="shared" si="155"/>
        <v>2.9613324451058625</v>
      </c>
      <c r="P132" s="65">
        <f t="shared" si="155"/>
        <v>2.934770009477262</v>
      </c>
      <c r="Q132" s="65">
        <f t="shared" si="155"/>
        <v>3.0106096045554951</v>
      </c>
      <c r="R132" s="65">
        <f t="shared" si="155"/>
        <v>2.9293494019362485</v>
      </c>
      <c r="S132" s="65">
        <f t="shared" si="155"/>
        <v>2.8650263367515616</v>
      </c>
      <c r="T132" s="65">
        <f t="shared" si="155"/>
        <v>3.1581378933618374</v>
      </c>
      <c r="U132" s="65">
        <f t="shared" si="155"/>
        <v>3.1655014021359622</v>
      </c>
      <c r="V132" s="65">
        <f t="shared" si="155"/>
        <v>3.1098148531688539</v>
      </c>
      <c r="W132" s="65">
        <f t="shared" si="155"/>
        <v>2.8007045827203796</v>
      </c>
      <c r="X132" s="65">
        <f t="shared" ref="X132:Y132" si="156">IF(X102=0,0,X102/X$26)</f>
        <v>2.9008885342426134</v>
      </c>
      <c r="Y132" s="65">
        <f t="shared" si="156"/>
        <v>2.8012188100622661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25.209035952881862</v>
      </c>
      <c r="C133" s="65">
        <f t="shared" ref="C133:W133" si="158">IF(C103=0,0,C103/C$26)</f>
        <v>24.792377997634652</v>
      </c>
      <c r="D133" s="65">
        <f t="shared" si="158"/>
        <v>24.694868076311366</v>
      </c>
      <c r="E133" s="65">
        <f t="shared" si="158"/>
        <v>24.375987132502146</v>
      </c>
      <c r="F133" s="65">
        <f t="shared" si="158"/>
        <v>24.392096444314063</v>
      </c>
      <c r="G133" s="65">
        <f t="shared" si="158"/>
        <v>23.910910859416234</v>
      </c>
      <c r="H133" s="65">
        <f t="shared" si="158"/>
        <v>23.161939787418984</v>
      </c>
      <c r="I133" s="65">
        <f t="shared" si="158"/>
        <v>22.290626500387038</v>
      </c>
      <c r="J133" s="65">
        <f t="shared" si="158"/>
        <v>21.767537570762837</v>
      </c>
      <c r="K133" s="65">
        <f t="shared" si="158"/>
        <v>21.816111741062979</v>
      </c>
      <c r="L133" s="65">
        <f t="shared" si="158"/>
        <v>21.527698781603195</v>
      </c>
      <c r="M133" s="65">
        <f t="shared" si="158"/>
        <v>21.173342180522894</v>
      </c>
      <c r="N133" s="65">
        <f t="shared" si="158"/>
        <v>21.059525088680541</v>
      </c>
      <c r="O133" s="65">
        <f t="shared" si="158"/>
        <v>20.820492859709518</v>
      </c>
      <c r="P133" s="65">
        <f t="shared" si="158"/>
        <v>20.660773696062247</v>
      </c>
      <c r="Q133" s="65">
        <f t="shared" si="158"/>
        <v>20.564677624378419</v>
      </c>
      <c r="R133" s="65">
        <f t="shared" si="158"/>
        <v>20.140691836951817</v>
      </c>
      <c r="S133" s="65">
        <f t="shared" si="158"/>
        <v>19.905333224667903</v>
      </c>
      <c r="T133" s="65">
        <f t="shared" si="158"/>
        <v>19.596435087567471</v>
      </c>
      <c r="U133" s="65">
        <f t="shared" si="158"/>
        <v>19.291546655414134</v>
      </c>
      <c r="V133" s="65">
        <f t="shared" si="158"/>
        <v>18.404365154175743</v>
      </c>
      <c r="W133" s="65">
        <f t="shared" si="158"/>
        <v>18.707384267786587</v>
      </c>
      <c r="X133" s="65">
        <f t="shared" ref="X133:Y133" si="159">IF(X103=0,0,X103/X$26)</f>
        <v>18.587673678323547</v>
      </c>
      <c r="Y133" s="65">
        <f t="shared" si="159"/>
        <v>18.428462281507915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20.912936820726827</v>
      </c>
      <c r="C134" s="67">
        <f t="shared" ref="C134:W134" si="161">IF(C104=0,0,C104/C$26)</f>
        <v>20.766411738280858</v>
      </c>
      <c r="D134" s="67">
        <f t="shared" si="161"/>
        <v>20.797072410584001</v>
      </c>
      <c r="E134" s="67">
        <f t="shared" si="161"/>
        <v>20.921435702714934</v>
      </c>
      <c r="F134" s="67">
        <f t="shared" si="161"/>
        <v>21.196374699103409</v>
      </c>
      <c r="G134" s="67">
        <f t="shared" si="161"/>
        <v>21.176345870583159</v>
      </c>
      <c r="H134" s="67">
        <f t="shared" si="161"/>
        <v>20.898390485712202</v>
      </c>
      <c r="I134" s="67">
        <f t="shared" si="161"/>
        <v>20.538915499450656</v>
      </c>
      <c r="J134" s="67">
        <f t="shared" si="161"/>
        <v>20.456061574664115</v>
      </c>
      <c r="K134" s="67">
        <f t="shared" si="161"/>
        <v>20.707493231207785</v>
      </c>
      <c r="L134" s="67">
        <f t="shared" si="161"/>
        <v>20.629671587572194</v>
      </c>
      <c r="M134" s="67">
        <f t="shared" si="161"/>
        <v>20.343613759773355</v>
      </c>
      <c r="N134" s="67">
        <f t="shared" si="161"/>
        <v>20.296022339031925</v>
      </c>
      <c r="O134" s="67">
        <f t="shared" si="161"/>
        <v>20.349335631410117</v>
      </c>
      <c r="P134" s="67">
        <f t="shared" si="161"/>
        <v>20.375522699627115</v>
      </c>
      <c r="Q134" s="67">
        <f t="shared" si="161"/>
        <v>20.24340664923465</v>
      </c>
      <c r="R134" s="67">
        <f t="shared" si="161"/>
        <v>19.936376399823935</v>
      </c>
      <c r="S134" s="67">
        <f t="shared" si="161"/>
        <v>19.542916598036147</v>
      </c>
      <c r="T134" s="67">
        <f t="shared" si="161"/>
        <v>18.561888040960824</v>
      </c>
      <c r="U134" s="67">
        <f t="shared" si="161"/>
        <v>17.600452813806747</v>
      </c>
      <c r="V134" s="67">
        <f t="shared" si="161"/>
        <v>17.846764954472786</v>
      </c>
      <c r="W134" s="67">
        <f t="shared" si="161"/>
        <v>18.681849937994546</v>
      </c>
      <c r="X134" s="67">
        <f t="shared" ref="X134:Y134" si="162">IF(X104=0,0,X104/X$26)</f>
        <v>18.939682205833964</v>
      </c>
      <c r="Y134" s="67">
        <f t="shared" si="162"/>
        <v>19.009111485880005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41.055549582949233</v>
      </c>
      <c r="C135" s="68">
        <f t="shared" ref="C135:W135" si="164">IF(C105=0,0,C105/C$26)</f>
        <v>42.055607986551337</v>
      </c>
      <c r="D135" s="68">
        <f t="shared" si="164"/>
        <v>43.192070824455698</v>
      </c>
      <c r="E135" s="68">
        <f t="shared" si="164"/>
        <v>44.468585966678667</v>
      </c>
      <c r="F135" s="68">
        <f t="shared" si="164"/>
        <v>46.069978771776341</v>
      </c>
      <c r="G135" s="68">
        <f t="shared" si="164"/>
        <v>47.008353492956317</v>
      </c>
      <c r="H135" s="68">
        <f t="shared" si="164"/>
        <v>47.477354176305624</v>
      </c>
      <c r="I135" s="68">
        <f t="shared" si="164"/>
        <v>47.687047765416814</v>
      </c>
      <c r="J135" s="68">
        <f t="shared" si="164"/>
        <v>48.174012618263795</v>
      </c>
      <c r="K135" s="68">
        <f t="shared" si="164"/>
        <v>49.183099593065037</v>
      </c>
      <c r="L135" s="68">
        <f t="shared" si="164"/>
        <v>49.743518610247563</v>
      </c>
      <c r="M135" s="68">
        <f t="shared" si="164"/>
        <v>50.155975728761327</v>
      </c>
      <c r="N135" s="68">
        <f t="shared" si="164"/>
        <v>50.458453548342952</v>
      </c>
      <c r="O135" s="68">
        <f t="shared" si="164"/>
        <v>51.14226475993263</v>
      </c>
      <c r="P135" s="68">
        <f t="shared" si="164"/>
        <v>52.137743229810312</v>
      </c>
      <c r="Q135" s="68">
        <f t="shared" si="164"/>
        <v>53.078152383710574</v>
      </c>
      <c r="R135" s="68">
        <f t="shared" si="164"/>
        <v>53.16534689780071</v>
      </c>
      <c r="S135" s="68">
        <f t="shared" si="164"/>
        <v>53.364886752147349</v>
      </c>
      <c r="T135" s="68">
        <f t="shared" si="164"/>
        <v>52.598972764776455</v>
      </c>
      <c r="U135" s="68">
        <f t="shared" si="164"/>
        <v>51.934124163302947</v>
      </c>
      <c r="V135" s="68">
        <f t="shared" si="164"/>
        <v>50.944198028390041</v>
      </c>
      <c r="W135" s="68">
        <f t="shared" si="164"/>
        <v>50.587380801034612</v>
      </c>
      <c r="X135" s="68">
        <f t="shared" ref="X135:Y135" si="165">IF(X105=0,0,X105/X$26)</f>
        <v>50.141878966286853</v>
      </c>
      <c r="Y135" s="68">
        <f t="shared" si="165"/>
        <v>49.606536067742503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107.8591135564218</v>
      </c>
      <c r="C137" s="85">
        <f t="shared" ref="C137:W137" si="167">IF(C107=0,0,C107/C$26)</f>
        <v>113.22724608238498</v>
      </c>
      <c r="D137" s="85">
        <f t="shared" si="167"/>
        <v>112.73917711614017</v>
      </c>
      <c r="E137" s="85">
        <f t="shared" si="167"/>
        <v>117.96210602849217</v>
      </c>
      <c r="F137" s="85">
        <f t="shared" si="167"/>
        <v>127.48589930711871</v>
      </c>
      <c r="G137" s="85">
        <f t="shared" si="167"/>
        <v>118.9853269045327</v>
      </c>
      <c r="H137" s="85">
        <f t="shared" si="167"/>
        <v>120.26194905047122</v>
      </c>
      <c r="I137" s="85">
        <f t="shared" si="167"/>
        <v>112.80892879826213</v>
      </c>
      <c r="J137" s="85">
        <f t="shared" si="167"/>
        <v>117.12949215239897</v>
      </c>
      <c r="K137" s="85">
        <f t="shared" si="167"/>
        <v>123.40564051589226</v>
      </c>
      <c r="L137" s="85">
        <f t="shared" si="167"/>
        <v>133.36690742418892</v>
      </c>
      <c r="M137" s="85">
        <f t="shared" si="167"/>
        <v>116.86701213994057</v>
      </c>
      <c r="N137" s="85">
        <f t="shared" si="167"/>
        <v>122.57686738616414</v>
      </c>
      <c r="O137" s="85">
        <f t="shared" si="167"/>
        <v>124.85717107153521</v>
      </c>
      <c r="P137" s="85">
        <f t="shared" si="167"/>
        <v>107.74125878074167</v>
      </c>
      <c r="Q137" s="85">
        <f t="shared" si="167"/>
        <v>112.6536443335404</v>
      </c>
      <c r="R137" s="85">
        <f t="shared" si="167"/>
        <v>113.68613812163044</v>
      </c>
      <c r="S137" s="85">
        <f t="shared" si="167"/>
        <v>116.78891170492707</v>
      </c>
      <c r="T137" s="85">
        <f t="shared" si="167"/>
        <v>118.51155855456349</v>
      </c>
      <c r="U137" s="85">
        <f t="shared" si="167"/>
        <v>115.95310995192384</v>
      </c>
      <c r="V137" s="85">
        <f t="shared" si="167"/>
        <v>110.70737169907493</v>
      </c>
      <c r="W137" s="85">
        <f t="shared" si="167"/>
        <v>117.01670870381723</v>
      </c>
      <c r="X137" s="85">
        <f t="shared" ref="X137:Y137" si="168">IF(X107=0,0,X107/X$26)</f>
        <v>112.60615540847219</v>
      </c>
      <c r="Y137" s="85">
        <f t="shared" si="168"/>
        <v>110.40018166702254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73.174957432687194</v>
      </c>
      <c r="C138" s="65">
        <f t="shared" ref="C138:W138" si="170">IF(C108=0,0,C108/C$26)</f>
        <v>78.390588452531844</v>
      </c>
      <c r="D138" s="65">
        <f t="shared" si="170"/>
        <v>77.473338461706589</v>
      </c>
      <c r="E138" s="65">
        <f t="shared" si="170"/>
        <v>81.887838421876282</v>
      </c>
      <c r="F138" s="65">
        <f t="shared" si="170"/>
        <v>90.931300635126945</v>
      </c>
      <c r="G138" s="65">
        <f t="shared" si="170"/>
        <v>81.964596912133189</v>
      </c>
      <c r="H138" s="65">
        <f t="shared" si="170"/>
        <v>82.559242035821768</v>
      </c>
      <c r="I138" s="65">
        <f t="shared" si="170"/>
        <v>75.381867437881382</v>
      </c>
      <c r="J138" s="65">
        <f t="shared" si="170"/>
        <v>79.19158200297241</v>
      </c>
      <c r="K138" s="65">
        <f t="shared" si="170"/>
        <v>84.295545875912111</v>
      </c>
      <c r="L138" s="65">
        <f t="shared" si="170"/>
        <v>93.485491180184923</v>
      </c>
      <c r="M138" s="65">
        <f t="shared" si="170"/>
        <v>77.062016807916649</v>
      </c>
      <c r="N138" s="65">
        <f t="shared" si="170"/>
        <v>82.301300331710877</v>
      </c>
      <c r="O138" s="65">
        <f t="shared" si="170"/>
        <v>84.084365469944302</v>
      </c>
      <c r="P138" s="65">
        <f t="shared" si="170"/>
        <v>66.611467494134601</v>
      </c>
      <c r="Q138" s="65">
        <f t="shared" si="170"/>
        <v>70.758375193686447</v>
      </c>
      <c r="R138" s="65">
        <f t="shared" si="170"/>
        <v>72.010664123579019</v>
      </c>
      <c r="S138" s="65">
        <f t="shared" si="170"/>
        <v>75.130031282975054</v>
      </c>
      <c r="T138" s="65">
        <f t="shared" si="170"/>
        <v>75.73259475690854</v>
      </c>
      <c r="U138" s="65">
        <f t="shared" si="170"/>
        <v>73.279129268992122</v>
      </c>
      <c r="V138" s="65">
        <f t="shared" si="170"/>
        <v>68.180484610178837</v>
      </c>
      <c r="W138" s="65">
        <f t="shared" si="170"/>
        <v>74.540969152972522</v>
      </c>
      <c r="X138" s="65">
        <f t="shared" ref="X138:Y138" si="171">IF(X108=0,0,X108/X$26)</f>
        <v>68.829445848826495</v>
      </c>
      <c r="Y138" s="65">
        <f t="shared" si="171"/>
        <v>66.636470346179792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2.6828013874449255</v>
      </c>
      <c r="C139" s="65">
        <f t="shared" ref="C139:W139" si="173">IF(C109=0,0,C109/C$26)</f>
        <v>3.1859884352264878</v>
      </c>
      <c r="D139" s="65">
        <f t="shared" si="173"/>
        <v>3.6444668121344379</v>
      </c>
      <c r="E139" s="65">
        <f t="shared" si="173"/>
        <v>4.4647944796187122</v>
      </c>
      <c r="F139" s="65">
        <f t="shared" si="173"/>
        <v>4.648068682585679</v>
      </c>
      <c r="G139" s="65">
        <f t="shared" si="173"/>
        <v>5.3194213450455168</v>
      </c>
      <c r="H139" s="65">
        <f t="shared" si="173"/>
        <v>6.599872919021375</v>
      </c>
      <c r="I139" s="65">
        <f t="shared" si="173"/>
        <v>7.0035770251877745</v>
      </c>
      <c r="J139" s="65">
        <f t="shared" si="173"/>
        <v>7.8052732273291046</v>
      </c>
      <c r="K139" s="65">
        <f t="shared" si="173"/>
        <v>8.6119581641681666</v>
      </c>
      <c r="L139" s="65">
        <f t="shared" si="173"/>
        <v>9.4682819377074168</v>
      </c>
      <c r="M139" s="65">
        <f t="shared" si="173"/>
        <v>9.6816023713477311</v>
      </c>
      <c r="N139" s="65">
        <f t="shared" si="173"/>
        <v>10.122438475269028</v>
      </c>
      <c r="O139" s="65">
        <f t="shared" si="173"/>
        <v>10.566476535895163</v>
      </c>
      <c r="P139" s="65">
        <f t="shared" si="173"/>
        <v>10.855418564016155</v>
      </c>
      <c r="Q139" s="65">
        <f t="shared" si="173"/>
        <v>11.539339876559966</v>
      </c>
      <c r="R139" s="65">
        <f t="shared" si="173"/>
        <v>11.636738533364886</v>
      </c>
      <c r="S139" s="65">
        <f t="shared" si="173"/>
        <v>11.77333576446912</v>
      </c>
      <c r="T139" s="65">
        <f t="shared" si="173"/>
        <v>13.403089453700773</v>
      </c>
      <c r="U139" s="65">
        <f t="shared" si="173"/>
        <v>13.762264476078343</v>
      </c>
      <c r="V139" s="65">
        <f t="shared" si="173"/>
        <v>13.784088277656643</v>
      </c>
      <c r="W139" s="65">
        <f t="shared" si="173"/>
        <v>12.540337552916753</v>
      </c>
      <c r="X139" s="65">
        <f t="shared" ref="X139:Y139" si="174">IF(X109=0,0,X109/X$26)</f>
        <v>13.294589830146142</v>
      </c>
      <c r="Y139" s="65">
        <f t="shared" si="174"/>
        <v>12.999680902543476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17.175557910080975</v>
      </c>
      <c r="C140" s="65">
        <f t="shared" ref="C140:W140" si="176">IF(C110=0,0,C110/C$26)</f>
        <v>16.950807052888521</v>
      </c>
      <c r="D140" s="65">
        <f t="shared" si="176"/>
        <v>16.898629672576337</v>
      </c>
      <c r="E140" s="65">
        <f t="shared" si="176"/>
        <v>16.78906488065331</v>
      </c>
      <c r="F140" s="65">
        <f t="shared" si="176"/>
        <v>16.879453134696341</v>
      </c>
      <c r="G140" s="65">
        <f t="shared" si="176"/>
        <v>16.637472515099283</v>
      </c>
      <c r="H140" s="65">
        <f t="shared" si="176"/>
        <v>16.212124667496347</v>
      </c>
      <c r="I140" s="65">
        <f t="shared" si="176"/>
        <v>15.723969020231932</v>
      </c>
      <c r="J140" s="65">
        <f t="shared" si="176"/>
        <v>15.463229256877263</v>
      </c>
      <c r="K140" s="65">
        <f t="shared" si="176"/>
        <v>15.601412568951423</v>
      </c>
      <c r="L140" s="65">
        <f t="shared" si="176"/>
        <v>15.519684238989806</v>
      </c>
      <c r="M140" s="65">
        <f t="shared" si="176"/>
        <v>15.410146907066586</v>
      </c>
      <c r="N140" s="65">
        <f t="shared" si="176"/>
        <v>15.442677945608008</v>
      </c>
      <c r="O140" s="65">
        <f t="shared" si="176"/>
        <v>15.432677202424014</v>
      </c>
      <c r="P140" s="65">
        <f t="shared" si="176"/>
        <v>15.429873976633759</v>
      </c>
      <c r="Q140" s="65">
        <f t="shared" si="176"/>
        <v>15.510693033744026</v>
      </c>
      <c r="R140" s="65">
        <f t="shared" si="176"/>
        <v>15.345836942339046</v>
      </c>
      <c r="S140" s="65">
        <f t="shared" si="176"/>
        <v>15.364590054062422</v>
      </c>
      <c r="T140" s="65">
        <f t="shared" si="176"/>
        <v>15.366517323316074</v>
      </c>
      <c r="U140" s="65">
        <f t="shared" si="176"/>
        <v>15.382246511303244</v>
      </c>
      <c r="V140" s="65">
        <f t="shared" si="176"/>
        <v>14.996460886783028</v>
      </c>
      <c r="W140" s="65">
        <f t="shared" si="176"/>
        <v>15.517180410730731</v>
      </c>
      <c r="X140" s="65">
        <f t="shared" ref="X140:Y140" si="177">IF(X110=0,0,X110/X$26)</f>
        <v>15.691681316606195</v>
      </c>
      <c r="Y140" s="65">
        <f t="shared" si="177"/>
        <v>15.806086387817388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14.825796826208716</v>
      </c>
      <c r="C141" s="68">
        <f t="shared" ref="C141:W141" si="179">IF(C111=0,0,C111/C$26)</f>
        <v>14.699862141738123</v>
      </c>
      <c r="D141" s="68">
        <f t="shared" si="179"/>
        <v>14.7227421697228</v>
      </c>
      <c r="E141" s="68">
        <f t="shared" si="179"/>
        <v>14.820408246343874</v>
      </c>
      <c r="F141" s="68">
        <f t="shared" si="179"/>
        <v>15.027076854709746</v>
      </c>
      <c r="G141" s="68">
        <f t="shared" si="179"/>
        <v>15.063836132254721</v>
      </c>
      <c r="H141" s="68">
        <f t="shared" si="179"/>
        <v>14.890709428131755</v>
      </c>
      <c r="I141" s="68">
        <f t="shared" si="179"/>
        <v>14.699515314961033</v>
      </c>
      <c r="J141" s="68">
        <f t="shared" si="179"/>
        <v>14.669407665220204</v>
      </c>
      <c r="K141" s="68">
        <f t="shared" si="179"/>
        <v>14.89672390686056</v>
      </c>
      <c r="L141" s="68">
        <f t="shared" si="179"/>
        <v>14.893450067306793</v>
      </c>
      <c r="M141" s="68">
        <f t="shared" si="179"/>
        <v>14.713246053609598</v>
      </c>
      <c r="N141" s="68">
        <f t="shared" si="179"/>
        <v>14.710450633576222</v>
      </c>
      <c r="O141" s="68">
        <f t="shared" si="179"/>
        <v>14.773651863271734</v>
      </c>
      <c r="P141" s="68">
        <f t="shared" si="179"/>
        <v>14.844498745957146</v>
      </c>
      <c r="Q141" s="68">
        <f t="shared" si="179"/>
        <v>14.845236229549952</v>
      </c>
      <c r="R141" s="68">
        <f t="shared" si="179"/>
        <v>14.692898522347482</v>
      </c>
      <c r="S141" s="68">
        <f t="shared" si="179"/>
        <v>14.520954603420483</v>
      </c>
      <c r="T141" s="68">
        <f t="shared" si="179"/>
        <v>14.009357020638115</v>
      </c>
      <c r="U141" s="68">
        <f t="shared" si="179"/>
        <v>13.529469695550135</v>
      </c>
      <c r="V141" s="68">
        <f t="shared" si="179"/>
        <v>13.746337924456432</v>
      </c>
      <c r="W141" s="68">
        <f t="shared" si="179"/>
        <v>14.418221587197216</v>
      </c>
      <c r="X141" s="68">
        <f t="shared" ref="X141:Y141" si="180">IF(X111=0,0,X111/X$26)</f>
        <v>14.790438412893373</v>
      </c>
      <c r="Y141" s="68">
        <f t="shared" si="180"/>
        <v>14.957944030481878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24.620275519053777</v>
      </c>
      <c r="C143" s="82">
        <f t="shared" ref="C143:W143" si="182">IF(C113=0,0,C113/C$26)</f>
        <v>25.934645346424876</v>
      </c>
      <c r="D143" s="82">
        <f t="shared" si="182"/>
        <v>24.433944480504991</v>
      </c>
      <c r="E143" s="82">
        <f t="shared" si="182"/>
        <v>25.915565062407577</v>
      </c>
      <c r="F143" s="82">
        <f t="shared" si="182"/>
        <v>28.363972438620593</v>
      </c>
      <c r="G143" s="82">
        <f t="shared" si="182"/>
        <v>25.798725064793096</v>
      </c>
      <c r="H143" s="82">
        <f t="shared" si="182"/>
        <v>25.274908267907502</v>
      </c>
      <c r="I143" s="82">
        <f t="shared" si="182"/>
        <v>22.053399565662058</v>
      </c>
      <c r="J143" s="82">
        <f t="shared" si="182"/>
        <v>23.378456387639165</v>
      </c>
      <c r="K143" s="82">
        <f t="shared" si="182"/>
        <v>24.132373282204519</v>
      </c>
      <c r="L143" s="82">
        <f t="shared" si="182"/>
        <v>27.273717221013971</v>
      </c>
      <c r="M143" s="82">
        <f t="shared" si="182"/>
        <v>21.753683182970285</v>
      </c>
      <c r="N143" s="82">
        <f t="shared" si="182"/>
        <v>24.073088634052933</v>
      </c>
      <c r="O143" s="82">
        <f t="shared" si="182"/>
        <v>24.205404553353553</v>
      </c>
      <c r="P143" s="82">
        <f t="shared" si="182"/>
        <v>19.39510262353626</v>
      </c>
      <c r="Q143" s="82">
        <f t="shared" si="182"/>
        <v>20.597328660612266</v>
      </c>
      <c r="R143" s="82">
        <f t="shared" si="182"/>
        <v>20.536327854666119</v>
      </c>
      <c r="S143" s="82">
        <f t="shared" si="182"/>
        <v>20.202229420488834</v>
      </c>
      <c r="T143" s="82">
        <f t="shared" si="182"/>
        <v>19.531353561356447</v>
      </c>
      <c r="U143" s="82">
        <f t="shared" si="182"/>
        <v>18.156042086201499</v>
      </c>
      <c r="V143" s="82">
        <f t="shared" si="182"/>
        <v>16.326889696911113</v>
      </c>
      <c r="W143" s="82">
        <f t="shared" si="182"/>
        <v>17.573752333442929</v>
      </c>
      <c r="X143" s="82">
        <f t="shared" ref="X143:Y143" si="183">IF(X113=0,0,X113/X$26)</f>
        <v>15.060984106477553</v>
      </c>
      <c r="Y143" s="82">
        <f t="shared" si="183"/>
        <v>14.06104677827113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24.620275519053777</v>
      </c>
      <c r="C144" s="64">
        <f t="shared" ref="C144:W144" si="185">IF(C114=0,0,C114/C$26)</f>
        <v>25.934645346424876</v>
      </c>
      <c r="D144" s="64">
        <f t="shared" si="185"/>
        <v>24.433944480504991</v>
      </c>
      <c r="E144" s="64">
        <f t="shared" si="185"/>
        <v>25.915565062407577</v>
      </c>
      <c r="F144" s="64">
        <f t="shared" si="185"/>
        <v>28.363972438620593</v>
      </c>
      <c r="G144" s="64">
        <f t="shared" si="185"/>
        <v>25.798725064793096</v>
      </c>
      <c r="H144" s="64">
        <f t="shared" si="185"/>
        <v>25.274908267907502</v>
      </c>
      <c r="I144" s="64">
        <f t="shared" si="185"/>
        <v>22.053399565662058</v>
      </c>
      <c r="J144" s="64">
        <f t="shared" si="185"/>
        <v>23.378456387639165</v>
      </c>
      <c r="K144" s="64">
        <f t="shared" si="185"/>
        <v>24.132373282204519</v>
      </c>
      <c r="L144" s="64">
        <f t="shared" si="185"/>
        <v>27.273717221013971</v>
      </c>
      <c r="M144" s="64">
        <f t="shared" si="185"/>
        <v>21.753683182970285</v>
      </c>
      <c r="N144" s="64">
        <f t="shared" si="185"/>
        <v>24.073088634052933</v>
      </c>
      <c r="O144" s="64">
        <f t="shared" si="185"/>
        <v>24.205404553353553</v>
      </c>
      <c r="P144" s="64">
        <f t="shared" si="185"/>
        <v>19.39510262353626</v>
      </c>
      <c r="Q144" s="64">
        <f t="shared" si="185"/>
        <v>20.597328660612266</v>
      </c>
      <c r="R144" s="64">
        <f t="shared" si="185"/>
        <v>20.536327854666119</v>
      </c>
      <c r="S144" s="64">
        <f t="shared" si="185"/>
        <v>20.202229420488834</v>
      </c>
      <c r="T144" s="64">
        <f t="shared" si="185"/>
        <v>19.531353561356447</v>
      </c>
      <c r="U144" s="64">
        <f t="shared" si="185"/>
        <v>18.156042086201499</v>
      </c>
      <c r="V144" s="64">
        <f t="shared" si="185"/>
        <v>16.326889696911113</v>
      </c>
      <c r="W144" s="64">
        <f t="shared" si="185"/>
        <v>17.573752333442929</v>
      </c>
      <c r="X144" s="64">
        <f t="shared" ref="X144:Y144" si="186">IF(X114=0,0,X114/X$26)</f>
        <v>15.060984106477553</v>
      </c>
      <c r="Y144" s="64">
        <f t="shared" si="186"/>
        <v>14.06104677827113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20.793439236914548</v>
      </c>
      <c r="C145" s="65">
        <f t="shared" ref="C145:W145" si="188">IF(C115=0,0,C115/C$26)</f>
        <v>22.069524336518157</v>
      </c>
      <c r="D145" s="65">
        <f t="shared" si="188"/>
        <v>20.448568363486018</v>
      </c>
      <c r="E145" s="65">
        <f t="shared" si="188"/>
        <v>21.98054315507343</v>
      </c>
      <c r="F145" s="65">
        <f t="shared" si="188"/>
        <v>24.387353866998563</v>
      </c>
      <c r="G145" s="65">
        <f t="shared" si="188"/>
        <v>21.878817455873403</v>
      </c>
      <c r="H145" s="65">
        <f t="shared" si="188"/>
        <v>21.403828383497515</v>
      </c>
      <c r="I145" s="65">
        <f t="shared" si="188"/>
        <v>18.359388335436641</v>
      </c>
      <c r="J145" s="65">
        <f t="shared" si="188"/>
        <v>19.730717477977407</v>
      </c>
      <c r="K145" s="65">
        <f t="shared" si="188"/>
        <v>20.441333442784671</v>
      </c>
      <c r="L145" s="65">
        <f t="shared" si="188"/>
        <v>23.622502416256893</v>
      </c>
      <c r="M145" s="65">
        <f t="shared" si="188"/>
        <v>18.193084091864506</v>
      </c>
      <c r="N145" s="65">
        <f t="shared" si="188"/>
        <v>20.399370061784172</v>
      </c>
      <c r="O145" s="65">
        <f t="shared" si="188"/>
        <v>20.530109670676673</v>
      </c>
      <c r="P145" s="65">
        <f t="shared" si="188"/>
        <v>15.913477619775012</v>
      </c>
      <c r="Q145" s="65">
        <f t="shared" si="188"/>
        <v>17.194690300907357</v>
      </c>
      <c r="R145" s="65">
        <f t="shared" si="188"/>
        <v>17.170171682695152</v>
      </c>
      <c r="S145" s="65">
        <f t="shared" si="188"/>
        <v>16.846210993019731</v>
      </c>
      <c r="T145" s="65">
        <f t="shared" si="188"/>
        <v>16.431421132422944</v>
      </c>
      <c r="U145" s="65">
        <f t="shared" si="188"/>
        <v>15.342920199567665</v>
      </c>
      <c r="V145" s="65">
        <f t="shared" si="188"/>
        <v>13.716528067734824</v>
      </c>
      <c r="W145" s="65">
        <f t="shared" si="188"/>
        <v>14.831207661959732</v>
      </c>
      <c r="X145" s="65">
        <f t="shared" ref="X145:Y145" si="189">IF(X115=0,0,X115/X$26)</f>
        <v>12.393700559900784</v>
      </c>
      <c r="Y145" s="65">
        <f t="shared" si="189"/>
        <v>11.397081355848778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1.3701634407028826E-3</v>
      </c>
      <c r="C146" s="65">
        <f t="shared" ref="C146:W146" si="191">IF(C116=0,0,C116/C$26)</f>
        <v>1.5548367424460833E-3</v>
      </c>
      <c r="D146" s="65">
        <f t="shared" si="191"/>
        <v>1.8871639516640898E-3</v>
      </c>
      <c r="E146" s="65">
        <f t="shared" si="191"/>
        <v>2.2603175118199705E-3</v>
      </c>
      <c r="F146" s="65">
        <f t="shared" si="191"/>
        <v>2.7987404263904972E-3</v>
      </c>
      <c r="G146" s="65">
        <f t="shared" si="191"/>
        <v>3.3046954089861174E-3</v>
      </c>
      <c r="H146" s="65">
        <f t="shared" si="191"/>
        <v>4.4933616690292751E-3</v>
      </c>
      <c r="I146" s="65">
        <f t="shared" si="191"/>
        <v>5.3792317014617549E-3</v>
      </c>
      <c r="J146" s="65">
        <f t="shared" si="191"/>
        <v>6.494780034815943E-3</v>
      </c>
      <c r="K146" s="65">
        <f t="shared" si="191"/>
        <v>7.4459561511403365E-3</v>
      </c>
      <c r="L146" s="65">
        <f t="shared" si="191"/>
        <v>8.4275061054437505E-3</v>
      </c>
      <c r="M146" s="65">
        <f t="shared" si="191"/>
        <v>9.0750134432019038E-3</v>
      </c>
      <c r="N146" s="65">
        <f t="shared" si="191"/>
        <v>1.0353424362058085E-2</v>
      </c>
      <c r="O146" s="65">
        <f t="shared" si="191"/>
        <v>1.2651190146850564E-2</v>
      </c>
      <c r="P146" s="65">
        <f t="shared" si="191"/>
        <v>1.662267366304359E-2</v>
      </c>
      <c r="Q146" s="65">
        <f t="shared" si="191"/>
        <v>2.2579943895493618E-2</v>
      </c>
      <c r="R146" s="65">
        <f t="shared" si="191"/>
        <v>2.8511442936089679E-2</v>
      </c>
      <c r="S146" s="65">
        <f t="shared" si="191"/>
        <v>3.38406678791634E-2</v>
      </c>
      <c r="T146" s="65">
        <f t="shared" si="191"/>
        <v>3.8424945382485358E-2</v>
      </c>
      <c r="U146" s="65">
        <f t="shared" si="191"/>
        <v>4.2132886778853566E-2</v>
      </c>
      <c r="V146" s="65">
        <f t="shared" si="191"/>
        <v>4.5015501564650597E-2</v>
      </c>
      <c r="W146" s="65">
        <f t="shared" si="191"/>
        <v>4.7488453989647607E-2</v>
      </c>
      <c r="X146" s="65">
        <f t="shared" ref="X146:Y146" si="192">IF(X116=0,0,X116/X$26)</f>
        <v>4.223460712352857E-2</v>
      </c>
      <c r="Y146" s="65">
        <f t="shared" si="192"/>
        <v>4.0166001476975528E-2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2.0067478208850753</v>
      </c>
      <c r="C147" s="65">
        <f t="shared" ref="C147:W147" si="194">IF(C117=0,0,C117/C$26)</f>
        <v>2.0031480274151185</v>
      </c>
      <c r="D147" s="65">
        <f t="shared" si="194"/>
        <v>2.0922228458594021</v>
      </c>
      <c r="E147" s="65">
        <f t="shared" si="194"/>
        <v>2.0154098099004063</v>
      </c>
      <c r="F147" s="65">
        <f t="shared" si="194"/>
        <v>2.0126795274961644</v>
      </c>
      <c r="G147" s="65">
        <f t="shared" si="194"/>
        <v>1.9811018057434258</v>
      </c>
      <c r="H147" s="65">
        <f t="shared" si="194"/>
        <v>1.9392009866091111</v>
      </c>
      <c r="I147" s="65">
        <f t="shared" si="194"/>
        <v>1.84889533261494</v>
      </c>
      <c r="J147" s="65">
        <f t="shared" si="194"/>
        <v>1.8082354042165574</v>
      </c>
      <c r="K147" s="65">
        <f t="shared" si="194"/>
        <v>1.8327083494001071</v>
      </c>
      <c r="L147" s="65">
        <f t="shared" si="194"/>
        <v>1.8203096596988972</v>
      </c>
      <c r="M147" s="65">
        <f t="shared" si="194"/>
        <v>1.7894706507480111</v>
      </c>
      <c r="N147" s="65">
        <f t="shared" si="194"/>
        <v>1.9171500340497725</v>
      </c>
      <c r="O147" s="65">
        <f t="shared" si="194"/>
        <v>1.9188182482270142</v>
      </c>
      <c r="P147" s="65">
        <f t="shared" si="194"/>
        <v>1.7734164428034616</v>
      </c>
      <c r="Q147" s="65">
        <f t="shared" si="194"/>
        <v>1.7261100823818964</v>
      </c>
      <c r="R147" s="65">
        <f t="shared" si="194"/>
        <v>1.7318641490013613</v>
      </c>
      <c r="S147" s="65">
        <f t="shared" si="194"/>
        <v>1.795190293368363</v>
      </c>
      <c r="T147" s="65">
        <f t="shared" si="194"/>
        <v>1.7336065186209229</v>
      </c>
      <c r="U147" s="65">
        <f t="shared" si="194"/>
        <v>1.6502839268046778</v>
      </c>
      <c r="V147" s="65">
        <f t="shared" si="194"/>
        <v>1.3745694643707476</v>
      </c>
      <c r="W147" s="65">
        <f t="shared" si="194"/>
        <v>1.3863491527766825</v>
      </c>
      <c r="X147" s="65">
        <f t="shared" ref="X147:Y147" si="195">IF(X117=0,0,X117/X$26)</f>
        <v>1.3700268231868944</v>
      </c>
      <c r="Y147" s="65">
        <f t="shared" si="195"/>
        <v>1.380789419634501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1.8187182978134502</v>
      </c>
      <c r="C148" s="67">
        <f t="shared" ref="C148:W148" si="197">IF(C118=0,0,C118/C$26)</f>
        <v>1.8604181457491547</v>
      </c>
      <c r="D148" s="67">
        <f t="shared" si="197"/>
        <v>1.8912661072079089</v>
      </c>
      <c r="E148" s="67">
        <f t="shared" si="197"/>
        <v>1.9173517799219191</v>
      </c>
      <c r="F148" s="67">
        <f t="shared" si="197"/>
        <v>1.9611403036994772</v>
      </c>
      <c r="G148" s="67">
        <f t="shared" si="197"/>
        <v>1.9355011077672772</v>
      </c>
      <c r="H148" s="67">
        <f t="shared" si="197"/>
        <v>1.9273855361318444</v>
      </c>
      <c r="I148" s="67">
        <f t="shared" si="197"/>
        <v>1.8397366659090173</v>
      </c>
      <c r="J148" s="67">
        <f t="shared" si="197"/>
        <v>1.8330087254103904</v>
      </c>
      <c r="K148" s="67">
        <f t="shared" si="197"/>
        <v>1.8508855338685961</v>
      </c>
      <c r="L148" s="67">
        <f t="shared" si="197"/>
        <v>1.8224776389527395</v>
      </c>
      <c r="M148" s="67">
        <f t="shared" si="197"/>
        <v>1.7620534269145658</v>
      </c>
      <c r="N148" s="67">
        <f t="shared" si="197"/>
        <v>1.7462151138569311</v>
      </c>
      <c r="O148" s="67">
        <f t="shared" si="197"/>
        <v>1.7438254443030192</v>
      </c>
      <c r="P148" s="67">
        <f t="shared" si="197"/>
        <v>1.6915858872947436</v>
      </c>
      <c r="Q148" s="67">
        <f t="shared" si="197"/>
        <v>1.6539483334275167</v>
      </c>
      <c r="R148" s="67">
        <f t="shared" si="197"/>
        <v>1.6057805800335168</v>
      </c>
      <c r="S148" s="67">
        <f t="shared" si="197"/>
        <v>1.5269874662215719</v>
      </c>
      <c r="T148" s="67">
        <f t="shared" si="197"/>
        <v>1.3279009649300926</v>
      </c>
      <c r="U148" s="67">
        <f t="shared" si="197"/>
        <v>1.1207050730503008</v>
      </c>
      <c r="V148" s="67">
        <f t="shared" si="197"/>
        <v>1.1907766632408929</v>
      </c>
      <c r="W148" s="67">
        <f t="shared" si="197"/>
        <v>1.3087070647168657</v>
      </c>
      <c r="X148" s="67">
        <f t="shared" ref="X148:Y148" si="198">IF(X118=0,0,X118/X$26)</f>
        <v>1.2550221162663455</v>
      </c>
      <c r="Y148" s="67">
        <f t="shared" si="198"/>
        <v>1.243010001310874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11290.853772206188</v>
      </c>
      <c r="C153" s="82">
        <f t="shared" ref="C153:W153" si="203">IF(C99=0,0,C99/C$23)</f>
        <v>11663.579509914678</v>
      </c>
      <c r="D153" s="82">
        <f t="shared" si="203"/>
        <v>11427.4269365441</v>
      </c>
      <c r="E153" s="82">
        <f t="shared" si="203"/>
        <v>11899.015925466003</v>
      </c>
      <c r="F153" s="82">
        <f t="shared" si="203"/>
        <v>12767.873597758024</v>
      </c>
      <c r="G153" s="82">
        <f t="shared" si="203"/>
        <v>12020.473143318253</v>
      </c>
      <c r="H153" s="82">
        <f t="shared" si="203"/>
        <v>11932.095937149319</v>
      </c>
      <c r="I153" s="82">
        <f t="shared" si="203"/>
        <v>11092.152334766366</v>
      </c>
      <c r="J153" s="82">
        <f t="shared" si="203"/>
        <v>11376.764793527846</v>
      </c>
      <c r="K153" s="82">
        <f t="shared" si="203"/>
        <v>11770.989622496825</v>
      </c>
      <c r="L153" s="82">
        <f t="shared" si="203"/>
        <v>12665.10506033103</v>
      </c>
      <c r="M153" s="82">
        <f t="shared" si="203"/>
        <v>11151.184392464191</v>
      </c>
      <c r="N153" s="82">
        <f t="shared" si="203"/>
        <v>11583.268472268226</v>
      </c>
      <c r="O153" s="82">
        <f t="shared" si="203"/>
        <v>11692.361296740033</v>
      </c>
      <c r="P153" s="82">
        <f t="shared" si="203"/>
        <v>10272.658754651566</v>
      </c>
      <c r="Q153" s="82">
        <f t="shared" si="203"/>
        <v>10626.374694724323</v>
      </c>
      <c r="R153" s="82">
        <f t="shared" si="203"/>
        <v>10466.007620290286</v>
      </c>
      <c r="S153" s="82">
        <f t="shared" si="203"/>
        <v>10361.802468076388</v>
      </c>
      <c r="T153" s="82">
        <f t="shared" si="203"/>
        <v>9995.6969090154744</v>
      </c>
      <c r="U153" s="82">
        <f t="shared" si="203"/>
        <v>9461.9498441024825</v>
      </c>
      <c r="V153" s="82">
        <f t="shared" si="203"/>
        <v>9040.0897297292158</v>
      </c>
      <c r="W153" s="82">
        <f t="shared" si="203"/>
        <v>9273.242473902641</v>
      </c>
      <c r="X153" s="82">
        <f t="shared" ref="X153:Y153" si="204">IF(X99=0,0,X99/X$23)</f>
        <v>8480.2721243522974</v>
      </c>
      <c r="Y153" s="82">
        <f t="shared" si="204"/>
        <v>8106.392933478759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9116.6599829539737</v>
      </c>
      <c r="C154" s="64">
        <f t="shared" ref="C154:W154" si="206">IF(C100=0,0,C100/C$23)</f>
        <v>9452.834732815938</v>
      </c>
      <c r="D154" s="64">
        <f t="shared" si="206"/>
        <v>9166.7532758579528</v>
      </c>
      <c r="E154" s="64">
        <f t="shared" si="206"/>
        <v>9567.1231203100215</v>
      </c>
      <c r="F154" s="64">
        <f t="shared" si="206"/>
        <v>10345.026183525413</v>
      </c>
      <c r="G154" s="64">
        <f t="shared" si="206"/>
        <v>9537.0691406771075</v>
      </c>
      <c r="H154" s="64">
        <f t="shared" si="206"/>
        <v>9427.3203414958498</v>
      </c>
      <c r="I154" s="64">
        <f t="shared" si="206"/>
        <v>8580.4386298678146</v>
      </c>
      <c r="J154" s="64">
        <f t="shared" si="206"/>
        <v>8840.2335818604697</v>
      </c>
      <c r="K154" s="64">
        <f t="shared" si="206"/>
        <v>9177.6469729384135</v>
      </c>
      <c r="L154" s="64">
        <f t="shared" si="206"/>
        <v>10010.643997601854</v>
      </c>
      <c r="M154" s="64">
        <f t="shared" si="206"/>
        <v>8469.0033978746014</v>
      </c>
      <c r="N154" s="64">
        <f t="shared" si="206"/>
        <v>8876.2812905141527</v>
      </c>
      <c r="O154" s="64">
        <f t="shared" si="206"/>
        <v>8930.9264144519293</v>
      </c>
      <c r="P154" s="64">
        <f t="shared" si="206"/>
        <v>7459.0220857008926</v>
      </c>
      <c r="Q154" s="64">
        <f t="shared" si="206"/>
        <v>7748.8361575279414</v>
      </c>
      <c r="R154" s="64">
        <f t="shared" si="206"/>
        <v>7617.3027131505187</v>
      </c>
      <c r="S154" s="64">
        <f t="shared" si="206"/>
        <v>7550.8124689658916</v>
      </c>
      <c r="T154" s="64">
        <f t="shared" si="206"/>
        <v>7279.3999913688222</v>
      </c>
      <c r="U154" s="64">
        <f t="shared" si="206"/>
        <v>6820.4728488950004</v>
      </c>
      <c r="V154" s="64">
        <f t="shared" si="206"/>
        <v>6412.2754240626164</v>
      </c>
      <c r="W154" s="64">
        <f t="shared" si="206"/>
        <v>6693.7526922634015</v>
      </c>
      <c r="X154" s="64">
        <f t="shared" ref="X154:Y154" si="207">IF(X100=0,0,X100/X$23)</f>
        <v>5993.2495328747591</v>
      </c>
      <c r="Y154" s="64">
        <f t="shared" si="207"/>
        <v>5672.3766373510052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6600.9244473221916</v>
      </c>
      <c r="C155" s="65">
        <f t="shared" ref="C155:W155" si="209">IF(C101=0,0,C101/C$23)</f>
        <v>6977.0258996092307</v>
      </c>
      <c r="D155" s="65">
        <f t="shared" si="209"/>
        <v>6698.9807614532829</v>
      </c>
      <c r="E155" s="65">
        <f t="shared" si="209"/>
        <v>7090.7996361869718</v>
      </c>
      <c r="F155" s="65">
        <f t="shared" si="209"/>
        <v>7847.6930407240216</v>
      </c>
      <c r="G155" s="65">
        <f t="shared" si="209"/>
        <v>7047.044487431418</v>
      </c>
      <c r="H155" s="65">
        <f t="shared" si="209"/>
        <v>6976.0549455574692</v>
      </c>
      <c r="I155" s="65">
        <f t="shared" si="209"/>
        <v>6197.777549554693</v>
      </c>
      <c r="J155" s="65">
        <f t="shared" si="209"/>
        <v>6482.7037977444834</v>
      </c>
      <c r="K155" s="65">
        <f t="shared" si="209"/>
        <v>6790.5040030168266</v>
      </c>
      <c r="L155" s="65">
        <f t="shared" si="209"/>
        <v>7604.1138822006387</v>
      </c>
      <c r="M155" s="65">
        <f t="shared" si="209"/>
        <v>6093.7296203798423</v>
      </c>
      <c r="N155" s="65">
        <f t="shared" si="209"/>
        <v>6500.3141102514301</v>
      </c>
      <c r="O155" s="65">
        <f t="shared" si="209"/>
        <v>6548.057220504179</v>
      </c>
      <c r="P155" s="65">
        <f t="shared" si="209"/>
        <v>5086.1037899257799</v>
      </c>
      <c r="Q155" s="65">
        <f t="shared" si="209"/>
        <v>5373.2828531755922</v>
      </c>
      <c r="R155" s="65">
        <f t="shared" si="209"/>
        <v>5312.9334178385552</v>
      </c>
      <c r="S155" s="65">
        <f t="shared" si="209"/>
        <v>5321.9649373247912</v>
      </c>
      <c r="T155" s="65">
        <f t="shared" si="209"/>
        <v>5145.7504194710418</v>
      </c>
      <c r="U155" s="65">
        <f t="shared" si="209"/>
        <v>4783.0654844330857</v>
      </c>
      <c r="V155" s="65">
        <f t="shared" si="209"/>
        <v>4381.950907076829</v>
      </c>
      <c r="W155" s="65">
        <f t="shared" si="209"/>
        <v>4644.4365428982264</v>
      </c>
      <c r="X155" s="65">
        <f t="shared" ref="X155:Y155" si="210">IF(X101=0,0,X101/X$23)</f>
        <v>3988.0203855996947</v>
      </c>
      <c r="Y155" s="65">
        <f t="shared" si="210"/>
        <v>3698.0021973322714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73.237316241575613</v>
      </c>
      <c r="C156" s="65">
        <f t="shared" ref="C156:W156" si="212">IF(C102=0,0,C102/C$23)</f>
        <v>80.911665346879715</v>
      </c>
      <c r="D156" s="65">
        <f t="shared" si="212"/>
        <v>86.723639711771</v>
      </c>
      <c r="E156" s="65">
        <f t="shared" si="212"/>
        <v>100.96721620166736</v>
      </c>
      <c r="F156" s="65">
        <f t="shared" si="212"/>
        <v>99.808499349331044</v>
      </c>
      <c r="G156" s="65">
        <f t="shared" si="212"/>
        <v>108.11025906962227</v>
      </c>
      <c r="H156" s="65">
        <f t="shared" si="212"/>
        <v>126.76265312023996</v>
      </c>
      <c r="I156" s="65">
        <f t="shared" si="212"/>
        <v>126.79596270910029</v>
      </c>
      <c r="J156" s="65">
        <f t="shared" si="212"/>
        <v>134.30877178323132</v>
      </c>
      <c r="K156" s="65">
        <f t="shared" si="212"/>
        <v>144.94434275101506</v>
      </c>
      <c r="L156" s="65">
        <f t="shared" si="212"/>
        <v>156.88832731557125</v>
      </c>
      <c r="M156" s="65">
        <f t="shared" si="212"/>
        <v>155.07990112639968</v>
      </c>
      <c r="N156" s="65">
        <f t="shared" si="212"/>
        <v>157.3312747055931</v>
      </c>
      <c r="O156" s="65">
        <f t="shared" si="212"/>
        <v>159.89762577689987</v>
      </c>
      <c r="P156" s="65">
        <f t="shared" si="212"/>
        <v>158.37617821710191</v>
      </c>
      <c r="Q156" s="65">
        <f t="shared" si="212"/>
        <v>163.21489668545198</v>
      </c>
      <c r="R156" s="65">
        <f t="shared" si="212"/>
        <v>156.96036051573154</v>
      </c>
      <c r="S156" s="65">
        <f t="shared" si="212"/>
        <v>150.91497180911307</v>
      </c>
      <c r="T156" s="65">
        <f t="shared" si="212"/>
        <v>163.09140225237462</v>
      </c>
      <c r="U156" s="65">
        <f t="shared" si="212"/>
        <v>161.00395003768159</v>
      </c>
      <c r="V156" s="65">
        <f t="shared" si="212"/>
        <v>160.41112188236838</v>
      </c>
      <c r="W156" s="65">
        <f t="shared" si="212"/>
        <v>142.81009884523712</v>
      </c>
      <c r="X156" s="65">
        <f t="shared" ref="X156:Y156" si="213">IF(X102=0,0,X102/X$23)</f>
        <v>143.88322633203072</v>
      </c>
      <c r="Y156" s="65">
        <f t="shared" si="213"/>
        <v>137.44584430165057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1335.0041579897493</v>
      </c>
      <c r="C157" s="65">
        <f t="shared" ref="C157:W157" si="215">IF(C103=0,0,C103/C$23)</f>
        <v>1303.2654334151046</v>
      </c>
      <c r="D157" s="65">
        <f t="shared" si="215"/>
        <v>1292.5297803185349</v>
      </c>
      <c r="E157" s="65">
        <f t="shared" si="215"/>
        <v>1278.2549248462662</v>
      </c>
      <c r="F157" s="65">
        <f t="shared" si="215"/>
        <v>1282.7947694654456</v>
      </c>
      <c r="G157" s="65">
        <f t="shared" si="215"/>
        <v>1263.1893551423245</v>
      </c>
      <c r="H157" s="65">
        <f t="shared" si="215"/>
        <v>1221.9607123026201</v>
      </c>
      <c r="I157" s="65">
        <f t="shared" si="215"/>
        <v>1174.0645457276537</v>
      </c>
      <c r="J157" s="65">
        <f t="shared" si="215"/>
        <v>1146.1374182571069</v>
      </c>
      <c r="K157" s="65">
        <f t="shared" si="215"/>
        <v>1150.3271142676847</v>
      </c>
      <c r="L157" s="65">
        <f t="shared" si="215"/>
        <v>1148.7815856708576</v>
      </c>
      <c r="M157" s="65">
        <f t="shared" si="215"/>
        <v>1132.28254785949</v>
      </c>
      <c r="N157" s="65">
        <f t="shared" si="215"/>
        <v>1129.7980905076445</v>
      </c>
      <c r="O157" s="65">
        <f t="shared" si="215"/>
        <v>1124.2058895732785</v>
      </c>
      <c r="P157" s="65">
        <f t="shared" si="215"/>
        <v>1114.9679076806437</v>
      </c>
      <c r="Q157" s="65">
        <f t="shared" si="215"/>
        <v>1114.8777738414603</v>
      </c>
      <c r="R157" s="65">
        <f t="shared" si="215"/>
        <v>1079.178280909287</v>
      </c>
      <c r="S157" s="65">
        <f t="shared" si="215"/>
        <v>1048.5114094475596</v>
      </c>
      <c r="T157" s="65">
        <f t="shared" si="215"/>
        <v>1011.991934961669</v>
      </c>
      <c r="U157" s="65">
        <f t="shared" si="215"/>
        <v>981.20797285449873</v>
      </c>
      <c r="V157" s="65">
        <f t="shared" si="215"/>
        <v>949.33782276645354</v>
      </c>
      <c r="W157" s="65">
        <f t="shared" si="215"/>
        <v>953.9040328999838</v>
      </c>
      <c r="X157" s="65">
        <f t="shared" ref="X157:Y157" si="216">IF(X103=0,0,X103/X$23)</f>
        <v>921.94320025551212</v>
      </c>
      <c r="Y157" s="65">
        <f t="shared" si="216"/>
        <v>904.21910218669257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1107.4940614004556</v>
      </c>
      <c r="C158" s="67">
        <f t="shared" ref="C158:W158" si="218">IF(C104=0,0,C104/C$23)</f>
        <v>1091.6317344447236</v>
      </c>
      <c r="D158" s="67">
        <f t="shared" si="218"/>
        <v>1088.5190943743623</v>
      </c>
      <c r="E158" s="67">
        <f t="shared" si="218"/>
        <v>1097.1013430751168</v>
      </c>
      <c r="F158" s="67">
        <f t="shared" si="218"/>
        <v>1114.7298739866144</v>
      </c>
      <c r="G158" s="67">
        <f t="shared" si="218"/>
        <v>1118.7250390337429</v>
      </c>
      <c r="H158" s="67">
        <f t="shared" si="218"/>
        <v>1102.5420305155217</v>
      </c>
      <c r="I158" s="67">
        <f t="shared" si="218"/>
        <v>1081.800571876367</v>
      </c>
      <c r="J158" s="67">
        <f t="shared" si="218"/>
        <v>1077.0835940756481</v>
      </c>
      <c r="K158" s="67">
        <f t="shared" si="218"/>
        <v>1091.8715129028867</v>
      </c>
      <c r="L158" s="67">
        <f t="shared" si="218"/>
        <v>1100.8602024147854</v>
      </c>
      <c r="M158" s="67">
        <f t="shared" si="218"/>
        <v>1087.9113285088697</v>
      </c>
      <c r="N158" s="67">
        <f t="shared" si="218"/>
        <v>1088.8378150494868</v>
      </c>
      <c r="O158" s="67">
        <f t="shared" si="218"/>
        <v>1098.7656785975717</v>
      </c>
      <c r="P158" s="67">
        <f t="shared" si="218"/>
        <v>1099.5742098773658</v>
      </c>
      <c r="Q158" s="67">
        <f t="shared" si="218"/>
        <v>1097.460633825438</v>
      </c>
      <c r="R158" s="67">
        <f t="shared" si="218"/>
        <v>1068.2306538869439</v>
      </c>
      <c r="S158" s="67">
        <f t="shared" si="218"/>
        <v>1029.4211503844269</v>
      </c>
      <c r="T158" s="67">
        <f t="shared" si="218"/>
        <v>958.56623468373641</v>
      </c>
      <c r="U158" s="67">
        <f t="shared" si="218"/>
        <v>895.19544156973382</v>
      </c>
      <c r="V158" s="67">
        <f t="shared" si="218"/>
        <v>920.57557233696571</v>
      </c>
      <c r="W158" s="67">
        <f t="shared" si="218"/>
        <v>952.60201761995506</v>
      </c>
      <c r="X158" s="67">
        <f t="shared" ref="X158:Y158" si="219">IF(X104=0,0,X104/X$23)</f>
        <v>939.40272068752006</v>
      </c>
      <c r="Y158" s="67">
        <f t="shared" si="219"/>
        <v>932.70949353039111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2174.1937892522151</v>
      </c>
      <c r="C159" s="68">
        <f t="shared" ref="C159:W159" si="221">IF(C105=0,0,C105/C$23)</f>
        <v>2210.7447770987415</v>
      </c>
      <c r="D159" s="68">
        <f t="shared" si="221"/>
        <v>2260.6736606861487</v>
      </c>
      <c r="E159" s="68">
        <f t="shared" si="221"/>
        <v>2331.8928051559828</v>
      </c>
      <c r="F159" s="68">
        <f t="shared" si="221"/>
        <v>2422.8474142326113</v>
      </c>
      <c r="G159" s="68">
        <f t="shared" si="221"/>
        <v>2483.4040026411467</v>
      </c>
      <c r="H159" s="68">
        <f t="shared" si="221"/>
        <v>2504.7755956534697</v>
      </c>
      <c r="I159" s="68">
        <f t="shared" si="221"/>
        <v>2511.7137048985537</v>
      </c>
      <c r="J159" s="68">
        <f t="shared" si="221"/>
        <v>2536.5312116673745</v>
      </c>
      <c r="K159" s="68">
        <f t="shared" si="221"/>
        <v>2593.3426495584117</v>
      </c>
      <c r="L159" s="68">
        <f t="shared" si="221"/>
        <v>2654.4610627291763</v>
      </c>
      <c r="M159" s="68">
        <f t="shared" si="221"/>
        <v>2682.1809945895898</v>
      </c>
      <c r="N159" s="68">
        <f t="shared" si="221"/>
        <v>2706.9871817540738</v>
      </c>
      <c r="O159" s="68">
        <f t="shared" si="221"/>
        <v>2761.4348822881011</v>
      </c>
      <c r="P159" s="68">
        <f t="shared" si="221"/>
        <v>2813.6366689506722</v>
      </c>
      <c r="Q159" s="68">
        <f t="shared" si="221"/>
        <v>2877.5385371963821</v>
      </c>
      <c r="R159" s="68">
        <f t="shared" si="221"/>
        <v>2848.7049071397655</v>
      </c>
      <c r="S159" s="68">
        <f t="shared" si="221"/>
        <v>2810.989999110499</v>
      </c>
      <c r="T159" s="68">
        <f t="shared" si="221"/>
        <v>2716.2969176466536</v>
      </c>
      <c r="U159" s="68">
        <f t="shared" si="221"/>
        <v>2641.4769952074844</v>
      </c>
      <c r="V159" s="68">
        <f t="shared" si="221"/>
        <v>2627.8143056665981</v>
      </c>
      <c r="W159" s="68">
        <f t="shared" si="221"/>
        <v>2579.4897816392377</v>
      </c>
      <c r="X159" s="68">
        <f t="shared" ref="X159:Y159" si="222">IF(X105=0,0,X105/X$23)</f>
        <v>2487.0225914775383</v>
      </c>
      <c r="Y159" s="68">
        <f t="shared" si="222"/>
        <v>2434.0162961277533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5711.934615193034</v>
      </c>
      <c r="C161" s="85">
        <f t="shared" ref="C161:W161" si="224">IF(C107=0,0,C107/C$23)</f>
        <v>5952.0371928032391</v>
      </c>
      <c r="D161" s="85">
        <f t="shared" si="224"/>
        <v>5900.7702888276708</v>
      </c>
      <c r="E161" s="85">
        <f t="shared" si="224"/>
        <v>6185.8271485180139</v>
      </c>
      <c r="F161" s="85">
        <f t="shared" si="224"/>
        <v>6704.5587977695977</v>
      </c>
      <c r="G161" s="85">
        <f t="shared" si="224"/>
        <v>6285.8750654722999</v>
      </c>
      <c r="H161" s="85">
        <f t="shared" si="224"/>
        <v>6344.692123085385</v>
      </c>
      <c r="I161" s="85">
        <f t="shared" si="224"/>
        <v>5941.7335686484703</v>
      </c>
      <c r="J161" s="85">
        <f t="shared" si="224"/>
        <v>6167.2797532060022</v>
      </c>
      <c r="K161" s="85">
        <f t="shared" si="224"/>
        <v>6506.973195952507</v>
      </c>
      <c r="L161" s="85">
        <f t="shared" si="224"/>
        <v>7116.8520584144162</v>
      </c>
      <c r="M161" s="85">
        <f t="shared" si="224"/>
        <v>6249.6736291478537</v>
      </c>
      <c r="N161" s="85">
        <f t="shared" si="224"/>
        <v>6575.9845072543258</v>
      </c>
      <c r="O161" s="85">
        <f t="shared" si="224"/>
        <v>6741.6832070149467</v>
      </c>
      <c r="P161" s="85">
        <f t="shared" si="224"/>
        <v>5814.3052937333914</v>
      </c>
      <c r="Q161" s="85">
        <f t="shared" si="224"/>
        <v>6107.3188942586876</v>
      </c>
      <c r="R161" s="85">
        <f t="shared" si="224"/>
        <v>6091.5291338812804</v>
      </c>
      <c r="S161" s="85">
        <f t="shared" si="224"/>
        <v>6151.8440830634563</v>
      </c>
      <c r="T161" s="85">
        <f t="shared" si="224"/>
        <v>6120.1305707406218</v>
      </c>
      <c r="U161" s="85">
        <f t="shared" si="224"/>
        <v>5897.6150535950683</v>
      </c>
      <c r="V161" s="85">
        <f t="shared" si="224"/>
        <v>5710.5308622476769</v>
      </c>
      <c r="W161" s="85">
        <f t="shared" si="224"/>
        <v>5966.7727327044859</v>
      </c>
      <c r="X161" s="85">
        <f t="shared" ref="X161:Y161" si="225">IF(X107=0,0,X107/X$23)</f>
        <v>5585.2325085104349</v>
      </c>
      <c r="Y161" s="85">
        <f t="shared" si="225"/>
        <v>5416.9442693204774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3875.1530449617467</v>
      </c>
      <c r="C162" s="65">
        <f t="shared" ref="C162:W162" si="227">IF(C108=0,0,C108/C$23)</f>
        <v>4120.7722891689154</v>
      </c>
      <c r="D162" s="65">
        <f t="shared" si="227"/>
        <v>4054.9557435582933</v>
      </c>
      <c r="E162" s="65">
        <f t="shared" si="227"/>
        <v>4294.1248770274569</v>
      </c>
      <c r="F162" s="65">
        <f t="shared" si="227"/>
        <v>4782.1308472491592</v>
      </c>
      <c r="G162" s="65">
        <f t="shared" si="227"/>
        <v>4330.1071601446247</v>
      </c>
      <c r="H162" s="65">
        <f t="shared" si="227"/>
        <v>4355.6002274064731</v>
      </c>
      <c r="I162" s="65">
        <f t="shared" si="227"/>
        <v>3970.4212866346179</v>
      </c>
      <c r="J162" s="65">
        <f t="shared" si="227"/>
        <v>4169.7153409990397</v>
      </c>
      <c r="K162" s="65">
        <f t="shared" si="227"/>
        <v>4444.763264140327</v>
      </c>
      <c r="L162" s="65">
        <f t="shared" si="227"/>
        <v>4988.6619041217382</v>
      </c>
      <c r="M162" s="65">
        <f t="shared" si="227"/>
        <v>4121.0299248233205</v>
      </c>
      <c r="N162" s="65">
        <f t="shared" si="227"/>
        <v>4415.2872189431182</v>
      </c>
      <c r="O162" s="65">
        <f t="shared" si="227"/>
        <v>4540.1489541714063</v>
      </c>
      <c r="P162" s="65">
        <f t="shared" si="227"/>
        <v>3594.7176825051615</v>
      </c>
      <c r="Q162" s="65">
        <f t="shared" si="227"/>
        <v>3836.0406740857129</v>
      </c>
      <c r="R162" s="65">
        <f t="shared" si="227"/>
        <v>3858.4744429405559</v>
      </c>
      <c r="S162" s="65">
        <f t="shared" si="227"/>
        <v>3957.4667805474869</v>
      </c>
      <c r="T162" s="65">
        <f t="shared" si="227"/>
        <v>3910.9549652903393</v>
      </c>
      <c r="U162" s="65">
        <f t="shared" si="227"/>
        <v>3727.1281129961321</v>
      </c>
      <c r="V162" s="65">
        <f t="shared" si="227"/>
        <v>3516.9000545668487</v>
      </c>
      <c r="W162" s="65">
        <f t="shared" si="227"/>
        <v>3800.9018296445538</v>
      </c>
      <c r="X162" s="65">
        <f t="shared" ref="X162:Y162" si="228">IF(X108=0,0,X108/X$23)</f>
        <v>3413.920465565428</v>
      </c>
      <c r="Y162" s="65">
        <f t="shared" si="228"/>
        <v>3269.6146031551875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142.07409652609923</v>
      </c>
      <c r="C163" s="65">
        <f t="shared" ref="C163:W163" si="230">IF(C109=0,0,C109/C$23)</f>
        <v>167.47843225394126</v>
      </c>
      <c r="D163" s="65">
        <f t="shared" si="230"/>
        <v>190.75144979555319</v>
      </c>
      <c r="E163" s="65">
        <f t="shared" si="230"/>
        <v>234.12982214735908</v>
      </c>
      <c r="F163" s="65">
        <f t="shared" si="230"/>
        <v>244.44467935542909</v>
      </c>
      <c r="G163" s="65">
        <f t="shared" si="230"/>
        <v>281.01967583272625</v>
      </c>
      <c r="H163" s="65">
        <f t="shared" si="230"/>
        <v>348.19127790042569</v>
      </c>
      <c r="I163" s="65">
        <f t="shared" si="230"/>
        <v>368.88382111660002</v>
      </c>
      <c r="J163" s="65">
        <f t="shared" si="230"/>
        <v>410.97508969402406</v>
      </c>
      <c r="K163" s="65">
        <f t="shared" si="230"/>
        <v>454.09416218450764</v>
      </c>
      <c r="L163" s="65">
        <f t="shared" si="230"/>
        <v>505.25548728289311</v>
      </c>
      <c r="M163" s="65">
        <f t="shared" si="230"/>
        <v>517.74109665483923</v>
      </c>
      <c r="N163" s="65">
        <f t="shared" si="230"/>
        <v>543.04698764489524</v>
      </c>
      <c r="O163" s="65">
        <f t="shared" si="230"/>
        <v>570.53861470678601</v>
      </c>
      <c r="P163" s="65">
        <f t="shared" si="230"/>
        <v>585.81752558596179</v>
      </c>
      <c r="Q163" s="65">
        <f t="shared" si="230"/>
        <v>625.58498548639511</v>
      </c>
      <c r="R163" s="65">
        <f t="shared" si="230"/>
        <v>623.51956861717099</v>
      </c>
      <c r="S163" s="65">
        <f t="shared" si="230"/>
        <v>620.15926771850513</v>
      </c>
      <c r="T163" s="65">
        <f t="shared" si="230"/>
        <v>692.15744445887776</v>
      </c>
      <c r="U163" s="65">
        <f t="shared" si="230"/>
        <v>699.97724234674251</v>
      </c>
      <c r="V163" s="65">
        <f t="shared" si="230"/>
        <v>711.01373205269965</v>
      </c>
      <c r="W163" s="65">
        <f t="shared" si="230"/>
        <v>639.44153786657387</v>
      </c>
      <c r="X163" s="65">
        <f t="shared" ref="X163:Y163" si="231">IF(X109=0,0,X109/X$23)</f>
        <v>659.40778314733075</v>
      </c>
      <c r="Y163" s="65">
        <f t="shared" si="231"/>
        <v>637.84810771794537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909.57231639516806</v>
      </c>
      <c r="C164" s="65">
        <f t="shared" ref="C164:W164" si="233">IF(C110=0,0,C110/C$23)</f>
        <v>891.05615050828214</v>
      </c>
      <c r="D164" s="65">
        <f t="shared" si="233"/>
        <v>884.47454065694581</v>
      </c>
      <c r="E164" s="65">
        <f t="shared" si="233"/>
        <v>880.40351968530445</v>
      </c>
      <c r="F164" s="65">
        <f t="shared" si="233"/>
        <v>887.70041730763137</v>
      </c>
      <c r="G164" s="65">
        <f t="shared" si="233"/>
        <v>878.94092789317972</v>
      </c>
      <c r="H164" s="65">
        <f t="shared" si="233"/>
        <v>855.30743920651025</v>
      </c>
      <c r="I164" s="65">
        <f t="shared" si="233"/>
        <v>828.1936151257911</v>
      </c>
      <c r="J164" s="65">
        <f t="shared" si="233"/>
        <v>814.193410751236</v>
      </c>
      <c r="K164" s="65">
        <f t="shared" si="233"/>
        <v>822.63641257216204</v>
      </c>
      <c r="L164" s="65">
        <f t="shared" si="233"/>
        <v>828.17618594763701</v>
      </c>
      <c r="M164" s="65">
        <f t="shared" si="233"/>
        <v>824.08531700173387</v>
      </c>
      <c r="N164" s="65">
        <f t="shared" si="233"/>
        <v>828.46635818251355</v>
      </c>
      <c r="O164" s="65">
        <f t="shared" si="233"/>
        <v>833.28990911747326</v>
      </c>
      <c r="P164" s="65">
        <f t="shared" si="233"/>
        <v>832.68006109481973</v>
      </c>
      <c r="Q164" s="65">
        <f t="shared" si="233"/>
        <v>840.88490157994715</v>
      </c>
      <c r="R164" s="65">
        <f t="shared" si="233"/>
        <v>822.26043000984021</v>
      </c>
      <c r="S164" s="65">
        <f t="shared" si="233"/>
        <v>809.328223312761</v>
      </c>
      <c r="T164" s="65">
        <f t="shared" si="233"/>
        <v>793.5520685346745</v>
      </c>
      <c r="U164" s="65">
        <f t="shared" si="233"/>
        <v>782.37288004423272</v>
      </c>
      <c r="V164" s="65">
        <f t="shared" si="233"/>
        <v>773.55059021042803</v>
      </c>
      <c r="W164" s="65">
        <f t="shared" si="233"/>
        <v>791.23306396827422</v>
      </c>
      <c r="X164" s="65">
        <f t="shared" ref="X164:Y164" si="234">IF(X110=0,0,X110/X$23)</f>
        <v>778.3028226545847</v>
      </c>
      <c r="Y164" s="65">
        <f t="shared" si="234"/>
        <v>775.54844372549985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785.13515731002042</v>
      </c>
      <c r="C165" s="68">
        <f t="shared" ref="C165:W165" si="236">IF(C111=0,0,C111/C$23)</f>
        <v>772.73032087210015</v>
      </c>
      <c r="D165" s="68">
        <f t="shared" si="236"/>
        <v>770.5885548168784</v>
      </c>
      <c r="E165" s="68">
        <f t="shared" si="236"/>
        <v>777.16892965789327</v>
      </c>
      <c r="F165" s="68">
        <f t="shared" si="236"/>
        <v>790.28285385737809</v>
      </c>
      <c r="G165" s="68">
        <f t="shared" si="236"/>
        <v>795.80730160176995</v>
      </c>
      <c r="H165" s="68">
        <f t="shared" si="236"/>
        <v>785.59317857197686</v>
      </c>
      <c r="I165" s="68">
        <f t="shared" si="236"/>
        <v>774.23484577146155</v>
      </c>
      <c r="J165" s="68">
        <f t="shared" si="236"/>
        <v>772.39591176170347</v>
      </c>
      <c r="K165" s="68">
        <f t="shared" si="236"/>
        <v>785.47935705551117</v>
      </c>
      <c r="L165" s="68">
        <f t="shared" si="236"/>
        <v>794.75848106214937</v>
      </c>
      <c r="M165" s="68">
        <f t="shared" si="236"/>
        <v>786.81729066796004</v>
      </c>
      <c r="N165" s="68">
        <f t="shared" si="236"/>
        <v>789.183942483799</v>
      </c>
      <c r="O165" s="68">
        <f t="shared" si="236"/>
        <v>797.70572901928153</v>
      </c>
      <c r="P165" s="68">
        <f t="shared" si="236"/>
        <v>801.09002454744837</v>
      </c>
      <c r="Q165" s="68">
        <f t="shared" si="236"/>
        <v>804.80833310663195</v>
      </c>
      <c r="R165" s="68">
        <f t="shared" si="236"/>
        <v>787.27469231371322</v>
      </c>
      <c r="S165" s="68">
        <f t="shared" si="236"/>
        <v>764.8898114847035</v>
      </c>
      <c r="T165" s="68">
        <f t="shared" si="236"/>
        <v>723.46609245673062</v>
      </c>
      <c r="U165" s="68">
        <f t="shared" si="236"/>
        <v>688.13681820796137</v>
      </c>
      <c r="V165" s="68">
        <f t="shared" si="236"/>
        <v>709.06648541770119</v>
      </c>
      <c r="W165" s="68">
        <f t="shared" si="236"/>
        <v>735.1963012250842</v>
      </c>
      <c r="X165" s="68">
        <f t="shared" ref="X165:Y165" si="237">IF(X111=0,0,X111/X$23)</f>
        <v>733.60143714309186</v>
      </c>
      <c r="Y165" s="68">
        <f t="shared" si="237"/>
        <v>733.93311472184371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1303.8249558699438</v>
      </c>
      <c r="C167" s="82">
        <f t="shared" ref="C167:W167" si="239">IF(C113=0,0,C113/C$23)</f>
        <v>1363.3112084326942</v>
      </c>
      <c r="D167" s="82">
        <f t="shared" si="239"/>
        <v>1278.8730352439966</v>
      </c>
      <c r="E167" s="82">
        <f t="shared" si="239"/>
        <v>1358.9890120604084</v>
      </c>
      <c r="F167" s="82">
        <f t="shared" si="239"/>
        <v>1491.6780756664375</v>
      </c>
      <c r="G167" s="82">
        <f t="shared" si="239"/>
        <v>1362.9206795882699</v>
      </c>
      <c r="H167" s="82">
        <f t="shared" si="239"/>
        <v>1333.435161039992</v>
      </c>
      <c r="I167" s="82">
        <f t="shared" si="239"/>
        <v>1161.5696195151754</v>
      </c>
      <c r="J167" s="82">
        <f t="shared" si="239"/>
        <v>1230.9579602129568</v>
      </c>
      <c r="K167" s="82">
        <f t="shared" si="239"/>
        <v>1272.4597145282269</v>
      </c>
      <c r="L167" s="82">
        <f t="shared" si="239"/>
        <v>1455.4060995627563</v>
      </c>
      <c r="M167" s="82">
        <f t="shared" si="239"/>
        <v>1163.3173265579105</v>
      </c>
      <c r="N167" s="82">
        <f t="shared" si="239"/>
        <v>1291.4692737298724</v>
      </c>
      <c r="O167" s="82">
        <f t="shared" si="239"/>
        <v>1306.97474559032</v>
      </c>
      <c r="P167" s="82">
        <f t="shared" si="239"/>
        <v>1046.6654012834522</v>
      </c>
      <c r="Q167" s="82">
        <f t="shared" si="239"/>
        <v>1116.6478922578492</v>
      </c>
      <c r="R167" s="82">
        <f t="shared" si="239"/>
        <v>1100.3772447243916</v>
      </c>
      <c r="S167" s="82">
        <f t="shared" si="239"/>
        <v>1064.1503864607171</v>
      </c>
      <c r="T167" s="82">
        <f t="shared" si="239"/>
        <v>1008.6310185834478</v>
      </c>
      <c r="U167" s="82">
        <f t="shared" si="239"/>
        <v>923.45386135554008</v>
      </c>
      <c r="V167" s="82">
        <f t="shared" si="239"/>
        <v>842.17704808453698</v>
      </c>
      <c r="W167" s="82">
        <f t="shared" si="239"/>
        <v>896.09926134479031</v>
      </c>
      <c r="X167" s="82">
        <f t="shared" ref="X167:Y167" si="240">IF(X113=0,0,X113/X$23)</f>
        <v>747.0204247407288</v>
      </c>
      <c r="Y167" s="82">
        <f t="shared" si="240"/>
        <v>689.92555642646153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1303.8249558699438</v>
      </c>
      <c r="C168" s="64">
        <f t="shared" ref="C168:W168" si="242">IF(C114=0,0,C114/C$23)</f>
        <v>1363.3112084326942</v>
      </c>
      <c r="D168" s="64">
        <f t="shared" si="242"/>
        <v>1278.8730352439966</v>
      </c>
      <c r="E168" s="64">
        <f t="shared" si="242"/>
        <v>1358.9890120604084</v>
      </c>
      <c r="F168" s="64">
        <f t="shared" si="242"/>
        <v>1491.6780756664375</v>
      </c>
      <c r="G168" s="64">
        <f t="shared" si="242"/>
        <v>1362.9206795882699</v>
      </c>
      <c r="H168" s="64">
        <f t="shared" si="242"/>
        <v>1333.435161039992</v>
      </c>
      <c r="I168" s="64">
        <f t="shared" si="242"/>
        <v>1161.5696195151754</v>
      </c>
      <c r="J168" s="64">
        <f t="shared" si="242"/>
        <v>1230.9579602129568</v>
      </c>
      <c r="K168" s="64">
        <f t="shared" si="242"/>
        <v>1272.4597145282269</v>
      </c>
      <c r="L168" s="64">
        <f t="shared" si="242"/>
        <v>1455.4060995627563</v>
      </c>
      <c r="M168" s="64">
        <f t="shared" si="242"/>
        <v>1163.3173265579105</v>
      </c>
      <c r="N168" s="64">
        <f t="shared" si="242"/>
        <v>1291.4692737298724</v>
      </c>
      <c r="O168" s="64">
        <f t="shared" si="242"/>
        <v>1306.97474559032</v>
      </c>
      <c r="P168" s="64">
        <f t="shared" si="242"/>
        <v>1046.6654012834522</v>
      </c>
      <c r="Q168" s="64">
        <f t="shared" si="242"/>
        <v>1116.6478922578492</v>
      </c>
      <c r="R168" s="64">
        <f t="shared" si="242"/>
        <v>1100.3772447243916</v>
      </c>
      <c r="S168" s="64">
        <f t="shared" si="242"/>
        <v>1064.1503864607171</v>
      </c>
      <c r="T168" s="64">
        <f t="shared" si="242"/>
        <v>1008.6310185834478</v>
      </c>
      <c r="U168" s="64">
        <f t="shared" si="242"/>
        <v>923.45386135554008</v>
      </c>
      <c r="V168" s="64">
        <f t="shared" si="242"/>
        <v>842.17704808453698</v>
      </c>
      <c r="W168" s="64">
        <f t="shared" si="242"/>
        <v>896.09926134479031</v>
      </c>
      <c r="X168" s="64">
        <f t="shared" ref="X168:Y168" si="243">IF(X114=0,0,X114/X$23)</f>
        <v>747.0204247407288</v>
      </c>
      <c r="Y168" s="64">
        <f t="shared" si="243"/>
        <v>689.92555642646153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1101.1657840495368</v>
      </c>
      <c r="C169" s="65">
        <f t="shared" ref="C169:W169" si="245">IF(C115=0,0,C115/C$23)</f>
        <v>1160.1326908794972</v>
      </c>
      <c r="D169" s="65">
        <f t="shared" si="245"/>
        <v>1070.2783871130925</v>
      </c>
      <c r="E169" s="65">
        <f t="shared" si="245"/>
        <v>1152.6399889383445</v>
      </c>
      <c r="F169" s="65">
        <f t="shared" si="245"/>
        <v>1282.545354521224</v>
      </c>
      <c r="G169" s="65">
        <f t="shared" si="245"/>
        <v>1155.835905869631</v>
      </c>
      <c r="H169" s="65">
        <f t="shared" si="245"/>
        <v>1129.207554183706</v>
      </c>
      <c r="I169" s="65">
        <f t="shared" si="245"/>
        <v>967.00318968189322</v>
      </c>
      <c r="J169" s="65">
        <f t="shared" si="245"/>
        <v>1038.8916760591076</v>
      </c>
      <c r="K169" s="65">
        <f t="shared" si="245"/>
        <v>1077.8373520503562</v>
      </c>
      <c r="L169" s="65">
        <f t="shared" si="245"/>
        <v>1260.5664942902145</v>
      </c>
      <c r="M169" s="65">
        <f t="shared" si="245"/>
        <v>972.90788734844739</v>
      </c>
      <c r="N169" s="65">
        <f t="shared" si="245"/>
        <v>1094.3821974290572</v>
      </c>
      <c r="O169" s="65">
        <f t="shared" si="245"/>
        <v>1108.5266021739144</v>
      </c>
      <c r="P169" s="65">
        <f t="shared" si="245"/>
        <v>858.7779483313808</v>
      </c>
      <c r="Q169" s="65">
        <f t="shared" si="245"/>
        <v>932.1798471493604</v>
      </c>
      <c r="R169" s="65">
        <f t="shared" si="245"/>
        <v>920.01190969280208</v>
      </c>
      <c r="S169" s="65">
        <f t="shared" si="245"/>
        <v>887.3724560537612</v>
      </c>
      <c r="T169" s="65">
        <f t="shared" si="245"/>
        <v>848.54544164108302</v>
      </c>
      <c r="U169" s="65">
        <f t="shared" si="245"/>
        <v>780.37266247188563</v>
      </c>
      <c r="V169" s="65">
        <f t="shared" si="245"/>
        <v>707.52882713717906</v>
      </c>
      <c r="W169" s="65">
        <f t="shared" si="245"/>
        <v>756.25478148123977</v>
      </c>
      <c r="X169" s="65">
        <f t="shared" ref="X169:Y169" si="246">IF(X115=0,0,X115/X$23)</f>
        <v>614.72393775281819</v>
      </c>
      <c r="Y169" s="65">
        <f t="shared" si="246"/>
        <v>559.2142477061318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7.2560247598630626E-2</v>
      </c>
      <c r="C170" s="65">
        <f t="shared" ref="C170:W170" si="248">IF(C116=0,0,C116/C$23)</f>
        <v>8.1733385205205081E-2</v>
      </c>
      <c r="D170" s="65">
        <f t="shared" si="248"/>
        <v>9.8774190667139869E-2</v>
      </c>
      <c r="E170" s="65">
        <f t="shared" si="248"/>
        <v>0.1185290251219278</v>
      </c>
      <c r="F170" s="65">
        <f t="shared" si="248"/>
        <v>0.14718741327796442</v>
      </c>
      <c r="G170" s="65">
        <f t="shared" si="248"/>
        <v>0.17458373238738636</v>
      </c>
      <c r="H170" s="65">
        <f t="shared" si="248"/>
        <v>0.23705749501614395</v>
      </c>
      <c r="I170" s="65">
        <f t="shared" si="248"/>
        <v>0.28332829603649007</v>
      </c>
      <c r="J170" s="65">
        <f t="shared" si="248"/>
        <v>0.34197301357825921</v>
      </c>
      <c r="K170" s="65">
        <f t="shared" si="248"/>
        <v>0.39261282459344604</v>
      </c>
      <c r="L170" s="65">
        <f t="shared" si="248"/>
        <v>0.44971661510499455</v>
      </c>
      <c r="M170" s="65">
        <f t="shared" si="248"/>
        <v>0.48530266292961843</v>
      </c>
      <c r="N170" s="65">
        <f t="shared" si="248"/>
        <v>0.5554388821785835</v>
      </c>
      <c r="O170" s="65">
        <f t="shared" si="248"/>
        <v>0.68310306432387047</v>
      </c>
      <c r="P170" s="65">
        <f t="shared" si="248"/>
        <v>0.89705003049688381</v>
      </c>
      <c r="Q170" s="65">
        <f t="shared" si="248"/>
        <v>1.2241318849477416</v>
      </c>
      <c r="R170" s="65">
        <f t="shared" si="248"/>
        <v>1.5276997544623174</v>
      </c>
      <c r="S170" s="65">
        <f t="shared" si="248"/>
        <v>1.7825537494974717</v>
      </c>
      <c r="T170" s="65">
        <f t="shared" si="248"/>
        <v>1.9843269785884685</v>
      </c>
      <c r="U170" s="65">
        <f t="shared" si="248"/>
        <v>2.1429657852334358</v>
      </c>
      <c r="V170" s="65">
        <f t="shared" si="248"/>
        <v>2.3219990414300824</v>
      </c>
      <c r="W170" s="65">
        <f t="shared" si="248"/>
        <v>2.4214731000588947</v>
      </c>
      <c r="X170" s="65">
        <f t="shared" ref="X170:Y170" si="249">IF(X116=0,0,X116/X$23)</f>
        <v>2.094824211294851</v>
      </c>
      <c r="Y170" s="65">
        <f t="shared" si="249"/>
        <v>1.9708028396044974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106.27207997663166</v>
      </c>
      <c r="C171" s="65">
        <f t="shared" ref="C171:W171" si="251">IF(C117=0,0,C117/C$23)</f>
        <v>105.29984587976379</v>
      </c>
      <c r="D171" s="65">
        <f t="shared" si="251"/>
        <v>109.50697638794611</v>
      </c>
      <c r="E171" s="65">
        <f t="shared" si="251"/>
        <v>105.68628466551988</v>
      </c>
      <c r="F171" s="65">
        <f t="shared" si="251"/>
        <v>105.84800598737012</v>
      </c>
      <c r="G171" s="65">
        <f t="shared" si="251"/>
        <v>104.65961448234974</v>
      </c>
      <c r="H171" s="65">
        <f t="shared" si="251"/>
        <v>102.30695013644488</v>
      </c>
      <c r="I171" s="65">
        <f t="shared" si="251"/>
        <v>97.382747799701718</v>
      </c>
      <c r="J171" s="65">
        <f t="shared" si="251"/>
        <v>95.209954320856667</v>
      </c>
      <c r="K171" s="65">
        <f t="shared" si="251"/>
        <v>96.635648546462519</v>
      </c>
      <c r="L171" s="65">
        <f t="shared" si="251"/>
        <v>97.1370994408325</v>
      </c>
      <c r="M171" s="65">
        <f t="shared" si="251"/>
        <v>95.69516094689115</v>
      </c>
      <c r="N171" s="65">
        <f t="shared" si="251"/>
        <v>102.85096356946417</v>
      </c>
      <c r="O171" s="65">
        <f t="shared" si="251"/>
        <v>103.6069025941198</v>
      </c>
      <c r="P171" s="65">
        <f t="shared" si="251"/>
        <v>95.703212753154602</v>
      </c>
      <c r="Q171" s="65">
        <f t="shared" si="251"/>
        <v>93.578017667047916</v>
      </c>
      <c r="R171" s="65">
        <f t="shared" si="251"/>
        <v>92.79672169248461</v>
      </c>
      <c r="S171" s="65">
        <f t="shared" si="251"/>
        <v>94.561466692434323</v>
      </c>
      <c r="T171" s="65">
        <f t="shared" si="251"/>
        <v>89.526273906542741</v>
      </c>
      <c r="U171" s="65">
        <f t="shared" si="251"/>
        <v>83.936854591175788</v>
      </c>
      <c r="V171" s="65">
        <f t="shared" si="251"/>
        <v>70.903330357521284</v>
      </c>
      <c r="W171" s="65">
        <f t="shared" si="251"/>
        <v>70.691018525681969</v>
      </c>
      <c r="X171" s="65">
        <f t="shared" ref="X171:Y171" si="252">IF(X117=0,0,X117/X$23)</f>
        <v>67.95293137073935</v>
      </c>
      <c r="Y171" s="65">
        <f t="shared" si="252"/>
        <v>67.750425958417551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96.314531596176707</v>
      </c>
      <c r="C172" s="67">
        <f t="shared" ref="C172:W172" si="254">IF(C118=0,0,C118/C$23)</f>
        <v>97.796938288227963</v>
      </c>
      <c r="D172" s="67">
        <f t="shared" si="254"/>
        <v>98.988897552291078</v>
      </c>
      <c r="E172" s="67">
        <f t="shared" si="254"/>
        <v>100.54420943142216</v>
      </c>
      <c r="F172" s="67">
        <f t="shared" si="254"/>
        <v>103.13752774456573</v>
      </c>
      <c r="G172" s="67">
        <f t="shared" si="254"/>
        <v>102.25057550390167</v>
      </c>
      <c r="H172" s="67">
        <f t="shared" si="254"/>
        <v>101.6835992248248</v>
      </c>
      <c r="I172" s="67">
        <f t="shared" si="254"/>
        <v>96.900353737544094</v>
      </c>
      <c r="J172" s="67">
        <f t="shared" si="254"/>
        <v>96.514356819414473</v>
      </c>
      <c r="K172" s="67">
        <f t="shared" si="254"/>
        <v>97.594101106814577</v>
      </c>
      <c r="L172" s="67">
        <f t="shared" si="254"/>
        <v>97.252789216604484</v>
      </c>
      <c r="M172" s="67">
        <f t="shared" si="254"/>
        <v>94.228975599642354</v>
      </c>
      <c r="N172" s="67">
        <f t="shared" si="254"/>
        <v>93.680673849172635</v>
      </c>
      <c r="O172" s="67">
        <f t="shared" si="254"/>
        <v>94.158137757962038</v>
      </c>
      <c r="P172" s="67">
        <f t="shared" si="254"/>
        <v>91.287190168420068</v>
      </c>
      <c r="Q172" s="67">
        <f t="shared" si="254"/>
        <v>89.66589555649297</v>
      </c>
      <c r="R172" s="67">
        <f t="shared" si="254"/>
        <v>86.04091358464261</v>
      </c>
      <c r="S172" s="67">
        <f t="shared" si="254"/>
        <v>80.433909965023958</v>
      </c>
      <c r="T172" s="67">
        <f t="shared" si="254"/>
        <v>68.574976057233599</v>
      </c>
      <c r="U172" s="67">
        <f t="shared" si="254"/>
        <v>57.001378507245057</v>
      </c>
      <c r="V172" s="67">
        <f t="shared" si="254"/>
        <v>61.422891548406696</v>
      </c>
      <c r="W172" s="67">
        <f t="shared" si="254"/>
        <v>66.73198823780956</v>
      </c>
      <c r="X172" s="67">
        <f t="shared" ref="X172:Y172" si="255">IF(X118=0,0,X118/X$23)</f>
        <v>62.248731405876349</v>
      </c>
      <c r="Y172" s="67">
        <f t="shared" si="255"/>
        <v>60.990079922307551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388765.91218783642</v>
      </c>
      <c r="C3" s="124">
        <f t="shared" si="0"/>
        <v>394779.53288229241</v>
      </c>
      <c r="D3" s="124">
        <f t="shared" si="0"/>
        <v>398133.05198638485</v>
      </c>
      <c r="E3" s="124">
        <f t="shared" si="0"/>
        <v>399585.97263702797</v>
      </c>
      <c r="F3" s="124">
        <f t="shared" si="0"/>
        <v>397935.47243665403</v>
      </c>
      <c r="G3" s="124">
        <f t="shared" si="0"/>
        <v>403965.70387661096</v>
      </c>
      <c r="H3" s="124">
        <f t="shared" si="0"/>
        <v>414261.80828934541</v>
      </c>
      <c r="I3" s="124">
        <f t="shared" si="0"/>
        <v>427277.02148747328</v>
      </c>
      <c r="J3" s="124">
        <f t="shared" si="0"/>
        <v>434859.54982328723</v>
      </c>
      <c r="K3" s="124">
        <f t="shared" si="0"/>
        <v>433133.92804567562</v>
      </c>
      <c r="L3" s="124">
        <f t="shared" si="0"/>
        <v>437576.21741488855</v>
      </c>
      <c r="M3" s="124">
        <f t="shared" si="0"/>
        <v>443263.2387469188</v>
      </c>
      <c r="N3" s="124">
        <f t="shared" si="0"/>
        <v>444621.39903230278</v>
      </c>
      <c r="O3" s="124">
        <f t="shared" si="0"/>
        <v>443480.2657448086</v>
      </c>
      <c r="P3" s="124">
        <f t="shared" si="0"/>
        <v>443595.98222024285</v>
      </c>
      <c r="Q3" s="124">
        <f t="shared" si="0"/>
        <v>450150.5907953697</v>
      </c>
      <c r="R3" s="124">
        <f t="shared" si="0"/>
        <v>452112.89615237591</v>
      </c>
      <c r="S3" s="124">
        <f t="shared" si="0"/>
        <v>455111.12400772434</v>
      </c>
      <c r="T3" s="124">
        <f t="shared" si="0"/>
        <v>457946.53731876257</v>
      </c>
      <c r="U3" s="124">
        <f t="shared" si="0"/>
        <v>460640.80291483214</v>
      </c>
      <c r="V3" s="124">
        <f t="shared" si="0"/>
        <v>463265.55666666653</v>
      </c>
      <c r="W3" s="124">
        <f t="shared" si="0"/>
        <v>465885.71955534955</v>
      </c>
      <c r="X3" s="124">
        <f t="shared" si="0"/>
        <v>468441.6934810222</v>
      </c>
      <c r="Y3" s="124">
        <f t="shared" si="0"/>
        <v>470928.82046474726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388765.91218783642</v>
      </c>
      <c r="C4" s="139">
        <f t="shared" si="1"/>
        <v>394779.53288229241</v>
      </c>
      <c r="D4" s="139">
        <f t="shared" si="1"/>
        <v>398133.05198638485</v>
      </c>
      <c r="E4" s="139">
        <f t="shared" si="1"/>
        <v>399585.97263702797</v>
      </c>
      <c r="F4" s="139">
        <f t="shared" si="1"/>
        <v>397935.47243665403</v>
      </c>
      <c r="G4" s="139">
        <f t="shared" si="1"/>
        <v>403965.70387661096</v>
      </c>
      <c r="H4" s="139">
        <f t="shared" si="1"/>
        <v>414261.80828934541</v>
      </c>
      <c r="I4" s="139">
        <f t="shared" si="1"/>
        <v>427277.02148747328</v>
      </c>
      <c r="J4" s="139">
        <f t="shared" si="1"/>
        <v>434859.54982328723</v>
      </c>
      <c r="K4" s="139">
        <f t="shared" si="1"/>
        <v>433133.92804567562</v>
      </c>
      <c r="L4" s="139">
        <f t="shared" si="1"/>
        <v>437576.21741488855</v>
      </c>
      <c r="M4" s="139">
        <f t="shared" si="1"/>
        <v>443263.2387469188</v>
      </c>
      <c r="N4" s="139">
        <f t="shared" si="1"/>
        <v>444621.39903230278</v>
      </c>
      <c r="O4" s="139">
        <f t="shared" si="1"/>
        <v>443480.2657448086</v>
      </c>
      <c r="P4" s="139">
        <f t="shared" si="1"/>
        <v>443595.98222024285</v>
      </c>
      <c r="Q4" s="139">
        <f t="shared" si="1"/>
        <v>450150.5907953697</v>
      </c>
      <c r="R4" s="139">
        <f t="shared" ref="R4:W4" si="2">SUM(R5:R14)</f>
        <v>452112.89615237591</v>
      </c>
      <c r="S4" s="139">
        <f t="shared" si="2"/>
        <v>455111.12400772434</v>
      </c>
      <c r="T4" s="139">
        <f t="shared" si="2"/>
        <v>457946.53731876257</v>
      </c>
      <c r="U4" s="139">
        <f t="shared" si="2"/>
        <v>460640.80291483214</v>
      </c>
      <c r="V4" s="139">
        <f t="shared" si="2"/>
        <v>463265.55666666653</v>
      </c>
      <c r="W4" s="139">
        <f t="shared" si="2"/>
        <v>465885.71955534955</v>
      </c>
      <c r="X4" s="139">
        <f t="shared" ref="X4:Y4" si="3">SUM(X5:X14)</f>
        <v>468441.6934810222</v>
      </c>
      <c r="Y4" s="139">
        <f t="shared" si="3"/>
        <v>470928.82046474726</v>
      </c>
      <c r="DA4" s="169" t="s">
        <v>246</v>
      </c>
    </row>
    <row r="5" spans="1:105" ht="12" customHeight="1" x14ac:dyDescent="0.25">
      <c r="A5" s="131" t="s">
        <v>29</v>
      </c>
      <c r="B5" s="140">
        <v>48.893416920981736</v>
      </c>
      <c r="C5" s="140">
        <v>48.140729167748511</v>
      </c>
      <c r="D5" s="140">
        <v>57.245592676561273</v>
      </c>
      <c r="E5" s="140">
        <v>71.05726463804622</v>
      </c>
      <c r="F5" s="140">
        <v>71.13262417691611</v>
      </c>
      <c r="G5" s="140">
        <v>106.33710656189582</v>
      </c>
      <c r="H5" s="140">
        <v>159.22615109177642</v>
      </c>
      <c r="I5" s="140">
        <v>260.54224524880794</v>
      </c>
      <c r="J5" s="140">
        <v>338.505213707211</v>
      </c>
      <c r="K5" s="140">
        <v>388.83843502190155</v>
      </c>
      <c r="L5" s="140">
        <v>402.5859635464812</v>
      </c>
      <c r="M5" s="140">
        <v>408.29130775299359</v>
      </c>
      <c r="N5" s="140">
        <v>413.88045213822807</v>
      </c>
      <c r="O5" s="140">
        <v>424.6065458911969</v>
      </c>
      <c r="P5" s="140">
        <v>447.3027330619351</v>
      </c>
      <c r="Q5" s="140">
        <v>522.33761178783095</v>
      </c>
      <c r="R5" s="140">
        <v>642.34233955045488</v>
      </c>
      <c r="S5" s="140">
        <v>677.04982980520788</v>
      </c>
      <c r="T5" s="140">
        <v>642.80223876264756</v>
      </c>
      <c r="U5" s="140">
        <v>559.78552768901147</v>
      </c>
      <c r="V5" s="140">
        <v>571.64151468529678</v>
      </c>
      <c r="W5" s="140">
        <v>609.05097736363587</v>
      </c>
      <c r="X5" s="140">
        <v>818.15259934844414</v>
      </c>
      <c r="Y5" s="140">
        <v>1055.1947995208311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20829.755492159831</v>
      </c>
      <c r="C7" s="140">
        <v>20139.949128394313</v>
      </c>
      <c r="D7" s="140">
        <v>19710.710493071714</v>
      </c>
      <c r="E7" s="140">
        <v>19145.937612844158</v>
      </c>
      <c r="F7" s="140">
        <v>19009.623077249682</v>
      </c>
      <c r="G7" s="140">
        <v>19127.755410876736</v>
      </c>
      <c r="H7" s="140">
        <v>19620.917114812375</v>
      </c>
      <c r="I7" s="140">
        <v>20517.230544735219</v>
      </c>
      <c r="J7" s="140">
        <v>20348.480076201071</v>
      </c>
      <c r="K7" s="140">
        <v>20285.612247759029</v>
      </c>
      <c r="L7" s="140">
        <v>20869.173400716802</v>
      </c>
      <c r="M7" s="140">
        <v>21992.556023558311</v>
      </c>
      <c r="N7" s="140">
        <v>22762.04050047234</v>
      </c>
      <c r="O7" s="140">
        <v>23665.701366598849</v>
      </c>
      <c r="P7" s="140">
        <v>23959.947355547971</v>
      </c>
      <c r="Q7" s="140">
        <v>24810.181100328005</v>
      </c>
      <c r="R7" s="140">
        <v>24393.424209910532</v>
      </c>
      <c r="S7" s="140">
        <v>24549.634871583767</v>
      </c>
      <c r="T7" s="140">
        <v>24575.551582205419</v>
      </c>
      <c r="U7" s="140">
        <v>25607.168170184406</v>
      </c>
      <c r="V7" s="140">
        <v>26097.748290637148</v>
      </c>
      <c r="W7" s="140">
        <v>27461.027184887822</v>
      </c>
      <c r="X7" s="140">
        <v>29298.418219849817</v>
      </c>
      <c r="Y7" s="140">
        <v>30734.991812862554</v>
      </c>
      <c r="DA7" s="170" t="s">
        <v>249</v>
      </c>
    </row>
    <row r="8" spans="1:105" ht="12" customHeight="1" x14ac:dyDescent="0.25">
      <c r="A8" s="131" t="s">
        <v>73</v>
      </c>
      <c r="B8" s="140">
        <v>150.33029430606803</v>
      </c>
      <c r="C8" s="140">
        <v>154.13365937959557</v>
      </c>
      <c r="D8" s="140">
        <v>163.9879172045701</v>
      </c>
      <c r="E8" s="140">
        <v>176.68612628509194</v>
      </c>
      <c r="F8" s="140">
        <v>184.67858098311228</v>
      </c>
      <c r="G8" s="140">
        <v>201.87014813229581</v>
      </c>
      <c r="H8" s="140">
        <v>225.26613457349492</v>
      </c>
      <c r="I8" s="140">
        <v>263.9354578521623</v>
      </c>
      <c r="J8" s="140">
        <v>291.56269902637803</v>
      </c>
      <c r="K8" s="140">
        <v>326.32776502233321</v>
      </c>
      <c r="L8" s="140">
        <v>363.6491432847688</v>
      </c>
      <c r="M8" s="140">
        <v>427.48745191304744</v>
      </c>
      <c r="N8" s="140">
        <v>506.60873109187389</v>
      </c>
      <c r="O8" s="140">
        <v>647.71199727013288</v>
      </c>
      <c r="P8" s="140">
        <v>890.32564251886731</v>
      </c>
      <c r="Q8" s="140">
        <v>1086.9387176912928</v>
      </c>
      <c r="R8" s="140">
        <v>1207.980833088089</v>
      </c>
      <c r="S8" s="140">
        <v>1258.7235583109803</v>
      </c>
      <c r="T8" s="140">
        <v>1334.4609245965573</v>
      </c>
      <c r="U8" s="140">
        <v>1459.0380690649095</v>
      </c>
      <c r="V8" s="140">
        <v>1657.1531363968363</v>
      </c>
      <c r="W8" s="140">
        <v>1914.968129998728</v>
      </c>
      <c r="X8" s="140">
        <v>2241.8773542742597</v>
      </c>
      <c r="Y8" s="140">
        <v>2542.3505721499041</v>
      </c>
      <c r="DA8" s="170" t="s">
        <v>250</v>
      </c>
    </row>
    <row r="9" spans="1:105" ht="12" customHeight="1" x14ac:dyDescent="0.25">
      <c r="A9" s="131" t="s">
        <v>78</v>
      </c>
      <c r="B9" s="140">
        <v>272051.08600184711</v>
      </c>
      <c r="C9" s="140">
        <v>273236.74636027584</v>
      </c>
      <c r="D9" s="140">
        <v>272859.57458641846</v>
      </c>
      <c r="E9" s="140">
        <v>272301.43316327367</v>
      </c>
      <c r="F9" s="140">
        <v>270511.97724584962</v>
      </c>
      <c r="G9" s="140">
        <v>271299.70016824151</v>
      </c>
      <c r="H9" s="140">
        <v>275347.45137306064</v>
      </c>
      <c r="I9" s="140">
        <v>281674.83710361831</v>
      </c>
      <c r="J9" s="140">
        <v>288063.61018764728</v>
      </c>
      <c r="K9" s="140">
        <v>286951.56390836462</v>
      </c>
      <c r="L9" s="140">
        <v>295448.66139051784</v>
      </c>
      <c r="M9" s="140">
        <v>301182.12120368209</v>
      </c>
      <c r="N9" s="140">
        <v>310151.3175106885</v>
      </c>
      <c r="O9" s="140">
        <v>312422.91776246915</v>
      </c>
      <c r="P9" s="140">
        <v>314851.4945288396</v>
      </c>
      <c r="Q9" s="140">
        <v>322102.7573531263</v>
      </c>
      <c r="R9" s="140">
        <v>321752.57747425418</v>
      </c>
      <c r="S9" s="140">
        <v>317444.60926776915</v>
      </c>
      <c r="T9" s="140">
        <v>312666.3154063907</v>
      </c>
      <c r="U9" s="140">
        <v>308475.6311093588</v>
      </c>
      <c r="V9" s="140">
        <v>304769.41492257564</v>
      </c>
      <c r="W9" s="140">
        <v>296244.61028805363</v>
      </c>
      <c r="X9" s="140">
        <v>280919.91032500408</v>
      </c>
      <c r="Y9" s="140">
        <v>270555.16963491752</v>
      </c>
      <c r="DA9" s="170" t="s">
        <v>251</v>
      </c>
    </row>
    <row r="10" spans="1:105" ht="12" customHeight="1" x14ac:dyDescent="0.25">
      <c r="A10" s="131" t="s">
        <v>128</v>
      </c>
      <c r="B10" s="140">
        <v>7094.7664877850193</v>
      </c>
      <c r="C10" s="140">
        <v>7695.8537397366572</v>
      </c>
      <c r="D10" s="140">
        <v>7684.6411817235803</v>
      </c>
      <c r="E10" s="140">
        <v>7619.7309288746746</v>
      </c>
      <c r="F10" s="140">
        <v>7755.4913627183951</v>
      </c>
      <c r="G10" s="140">
        <v>8389.4182650181046</v>
      </c>
      <c r="H10" s="140">
        <v>9501.9371409977794</v>
      </c>
      <c r="I10" s="140">
        <v>10572.534240168168</v>
      </c>
      <c r="J10" s="140">
        <v>11238.964351125393</v>
      </c>
      <c r="K10" s="140">
        <v>11115.572356325491</v>
      </c>
      <c r="L10" s="140">
        <v>10905.846714626798</v>
      </c>
      <c r="M10" s="140">
        <v>10872.465948388044</v>
      </c>
      <c r="N10" s="140">
        <v>10845.711295291136</v>
      </c>
      <c r="O10" s="140">
        <v>10954.665560724805</v>
      </c>
      <c r="P10" s="140">
        <v>11483.27072764588</v>
      </c>
      <c r="Q10" s="140">
        <v>11576.542470731358</v>
      </c>
      <c r="R10" s="140">
        <v>12102.340949575168</v>
      </c>
      <c r="S10" s="140">
        <v>13437.22075316098</v>
      </c>
      <c r="T10" s="140">
        <v>15009.802703859175</v>
      </c>
      <c r="U10" s="140">
        <v>15939.476928527261</v>
      </c>
      <c r="V10" s="140">
        <v>16199.210740505518</v>
      </c>
      <c r="W10" s="140">
        <v>16468.404699034854</v>
      </c>
      <c r="X10" s="140">
        <v>16236.166437974995</v>
      </c>
      <c r="Y10" s="140">
        <v>16197.354052139801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34796.035038018541</v>
      </c>
      <c r="C12" s="140">
        <v>37651.25897918718</v>
      </c>
      <c r="D12" s="140">
        <v>39329.292711865368</v>
      </c>
      <c r="E12" s="140">
        <v>38555.146757107468</v>
      </c>
      <c r="F12" s="140">
        <v>35607.31977387103</v>
      </c>
      <c r="G12" s="140">
        <v>34560.315514801317</v>
      </c>
      <c r="H12" s="140">
        <v>34861.172956020455</v>
      </c>
      <c r="I12" s="140">
        <v>36185.362856043961</v>
      </c>
      <c r="J12" s="140">
        <v>36363.729985868966</v>
      </c>
      <c r="K12" s="140">
        <v>36329.538134985654</v>
      </c>
      <c r="L12" s="140">
        <v>33760.073687121709</v>
      </c>
      <c r="M12" s="140">
        <v>29963.666334255286</v>
      </c>
      <c r="N12" s="140">
        <v>22506.907211801659</v>
      </c>
      <c r="O12" s="140">
        <v>18983.345082452084</v>
      </c>
      <c r="P12" s="140">
        <v>18085.996522296369</v>
      </c>
      <c r="Q12" s="140">
        <v>18790.73411067019</v>
      </c>
      <c r="R12" s="140">
        <v>20341.300417648115</v>
      </c>
      <c r="S12" s="140">
        <v>23421.057679502072</v>
      </c>
      <c r="T12" s="140">
        <v>25661.411890234056</v>
      </c>
      <c r="U12" s="140">
        <v>28571.014791140173</v>
      </c>
      <c r="V12" s="140">
        <v>29505.413768879484</v>
      </c>
      <c r="W12" s="140">
        <v>30576.570493674233</v>
      </c>
      <c r="X12" s="140">
        <v>32017.833376004779</v>
      </c>
      <c r="Y12" s="140">
        <v>32240.42381414675</v>
      </c>
      <c r="DA12" s="170" t="s">
        <v>254</v>
      </c>
    </row>
    <row r="13" spans="1:105" ht="12" customHeight="1" x14ac:dyDescent="0.25">
      <c r="A13" s="131" t="s">
        <v>77</v>
      </c>
      <c r="B13" s="140">
        <v>1120.4356296654767</v>
      </c>
      <c r="C13" s="140">
        <v>1266.0556390810843</v>
      </c>
      <c r="D13" s="140">
        <v>1558.9309366914267</v>
      </c>
      <c r="E13" s="140">
        <v>1958.7621757472409</v>
      </c>
      <c r="F13" s="140">
        <v>2596.0249005389373</v>
      </c>
      <c r="G13" s="140">
        <v>3605.3102907923681</v>
      </c>
      <c r="H13" s="140">
        <v>4822.5364025641466</v>
      </c>
      <c r="I13" s="140">
        <v>6380.1319332394442</v>
      </c>
      <c r="J13" s="140">
        <v>7835.8417668539832</v>
      </c>
      <c r="K13" s="140">
        <v>9480.5654243928639</v>
      </c>
      <c r="L13" s="140">
        <v>11227.819267690356</v>
      </c>
      <c r="M13" s="140">
        <v>13662.736923462497</v>
      </c>
      <c r="N13" s="140">
        <v>16135.04451884942</v>
      </c>
      <c r="O13" s="140">
        <v>19075.457191370555</v>
      </c>
      <c r="P13" s="140">
        <v>22892.247066921394</v>
      </c>
      <c r="Q13" s="140">
        <v>25639.649654096324</v>
      </c>
      <c r="R13" s="140">
        <v>28214.837069702233</v>
      </c>
      <c r="S13" s="140">
        <v>30645.740574065745</v>
      </c>
      <c r="T13" s="140">
        <v>34126.500982499747</v>
      </c>
      <c r="U13" s="140">
        <v>38074.955493567926</v>
      </c>
      <c r="V13" s="140">
        <v>42877.308803449319</v>
      </c>
      <c r="W13" s="140">
        <v>47392.839716116425</v>
      </c>
      <c r="X13" s="140">
        <v>53619.37527359675</v>
      </c>
      <c r="Y13" s="140">
        <v>59703.781157280981</v>
      </c>
      <c r="DA13" s="170" t="s">
        <v>255</v>
      </c>
    </row>
    <row r="14" spans="1:105" ht="12" customHeight="1" x14ac:dyDescent="0.25">
      <c r="A14" s="60" t="s">
        <v>76</v>
      </c>
      <c r="B14" s="141">
        <v>52674.609827133354</v>
      </c>
      <c r="C14" s="141">
        <v>54587.394647069974</v>
      </c>
      <c r="D14" s="141">
        <v>56768.668566733184</v>
      </c>
      <c r="E14" s="141">
        <v>59757.218608257586</v>
      </c>
      <c r="F14" s="141">
        <v>62199.224871266255</v>
      </c>
      <c r="G14" s="141">
        <v>66674.996972186811</v>
      </c>
      <c r="H14" s="141">
        <v>69723.301016224723</v>
      </c>
      <c r="I14" s="141">
        <v>71422.447106567124</v>
      </c>
      <c r="J14" s="141">
        <v>70378.855542856923</v>
      </c>
      <c r="K14" s="141">
        <v>68255.909773803651</v>
      </c>
      <c r="L14" s="141">
        <v>64598.407847383838</v>
      </c>
      <c r="M14" s="141">
        <v>64753.913553906554</v>
      </c>
      <c r="N14" s="141">
        <v>61299.888811969591</v>
      </c>
      <c r="O14" s="141">
        <v>57305.860238031848</v>
      </c>
      <c r="P14" s="141">
        <v>50985.397643410834</v>
      </c>
      <c r="Q14" s="141">
        <v>45621.449776938425</v>
      </c>
      <c r="R14" s="141">
        <v>43458.092858647105</v>
      </c>
      <c r="S14" s="141">
        <v>43677.087473526437</v>
      </c>
      <c r="T14" s="141">
        <v>43929.69159021433</v>
      </c>
      <c r="U14" s="141">
        <v>41953.732825299703</v>
      </c>
      <c r="V14" s="141">
        <v>41587.665489537234</v>
      </c>
      <c r="W14" s="141">
        <v>45218.2480662202</v>
      </c>
      <c r="X14" s="141">
        <v>53289.959894969055</v>
      </c>
      <c r="Y14" s="141">
        <v>57899.554621728916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334970.86673103756</v>
      </c>
      <c r="C15" s="143">
        <f t="shared" si="4"/>
        <v>338926.08259614132</v>
      </c>
      <c r="D15" s="143">
        <f t="shared" si="4"/>
        <v>339805.45248296025</v>
      </c>
      <c r="E15" s="143">
        <f t="shared" si="4"/>
        <v>337869.99185302312</v>
      </c>
      <c r="F15" s="143">
        <f t="shared" si="4"/>
        <v>333140.22266484878</v>
      </c>
      <c r="G15" s="143">
        <f t="shared" si="4"/>
        <v>333685.3966136318</v>
      </c>
      <c r="H15" s="143">
        <f t="shared" si="4"/>
        <v>339715.97087055654</v>
      </c>
      <c r="I15" s="143">
        <f t="shared" si="4"/>
        <v>349474.44244766666</v>
      </c>
      <c r="J15" s="143">
        <f t="shared" si="4"/>
        <v>356644.85251357633</v>
      </c>
      <c r="K15" s="143">
        <f t="shared" si="4"/>
        <v>355397.45284747909</v>
      </c>
      <c r="L15" s="143">
        <f t="shared" si="4"/>
        <v>361749.99029981438</v>
      </c>
      <c r="M15" s="143">
        <f t="shared" si="4"/>
        <v>364846.58826954977</v>
      </c>
      <c r="N15" s="143">
        <f t="shared" si="4"/>
        <v>367186.46570148377</v>
      </c>
      <c r="O15" s="143">
        <f t="shared" si="4"/>
        <v>367098.94831540622</v>
      </c>
      <c r="P15" s="143">
        <f t="shared" si="4"/>
        <v>369718.33750991063</v>
      </c>
      <c r="Q15" s="143">
        <f t="shared" si="4"/>
        <v>378889.49136433494</v>
      </c>
      <c r="R15" s="143">
        <f t="shared" ref="R15:W15" si="5">SUM(R5:R12)</f>
        <v>380439.96622402658</v>
      </c>
      <c r="S15" s="143">
        <f t="shared" si="5"/>
        <v>380788.29596013215</v>
      </c>
      <c r="T15" s="143">
        <f t="shared" si="5"/>
        <v>379890.3447460485</v>
      </c>
      <c r="U15" s="143">
        <f t="shared" si="5"/>
        <v>380612.11459596449</v>
      </c>
      <c r="V15" s="143">
        <f t="shared" si="5"/>
        <v>378800.58237367996</v>
      </c>
      <c r="W15" s="143">
        <f t="shared" si="5"/>
        <v>373274.63177301292</v>
      </c>
      <c r="X15" s="143">
        <f t="shared" ref="X15:Y15" si="6">SUM(X5:X12)</f>
        <v>361532.3583124564</v>
      </c>
      <c r="Y15" s="143">
        <f t="shared" si="6"/>
        <v>353325.48468573741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37072.584076259955</v>
      </c>
      <c r="C16" s="139">
        <f t="shared" si="7"/>
        <v>43673.054622198724</v>
      </c>
      <c r="D16" s="139">
        <f t="shared" si="7"/>
        <v>50827.686657387043</v>
      </c>
      <c r="E16" s="139">
        <f t="shared" si="7"/>
        <v>56860.781138767765</v>
      </c>
      <c r="F16" s="139">
        <f t="shared" si="7"/>
        <v>64429.002839049936</v>
      </c>
      <c r="G16" s="139">
        <f t="shared" si="7"/>
        <v>75712.632498862324</v>
      </c>
      <c r="H16" s="139">
        <f t="shared" si="7"/>
        <v>87901.631211775355</v>
      </c>
      <c r="I16" s="139">
        <f t="shared" si="7"/>
        <v>104992.42993027282</v>
      </c>
      <c r="J16" s="139">
        <f t="shared" si="7"/>
        <v>118250.40166313862</v>
      </c>
      <c r="K16" s="139">
        <f t="shared" si="7"/>
        <v>128966.3256101023</v>
      </c>
      <c r="L16" s="139">
        <f t="shared" si="7"/>
        <v>138074.77533033508</v>
      </c>
      <c r="M16" s="139">
        <f t="shared" si="7"/>
        <v>147289.5253695951</v>
      </c>
      <c r="N16" s="139">
        <f t="shared" si="7"/>
        <v>153076.16945137738</v>
      </c>
      <c r="O16" s="139">
        <f t="shared" si="7"/>
        <v>157717.41564485434</v>
      </c>
      <c r="P16" s="139">
        <f t="shared" si="7"/>
        <v>163189.54712749983</v>
      </c>
      <c r="Q16" s="139">
        <f t="shared" si="7"/>
        <v>168569.71560727045</v>
      </c>
      <c r="R16" s="139">
        <f t="shared" ref="R16:W16" si="8">SUM(R17:R18)</f>
        <v>174510.17413559547</v>
      </c>
      <c r="S16" s="139">
        <f t="shared" si="8"/>
        <v>180825.18535017263</v>
      </c>
      <c r="T16" s="139">
        <f t="shared" si="8"/>
        <v>186835.57242070403</v>
      </c>
      <c r="U16" s="139">
        <f t="shared" si="8"/>
        <v>194831.81102678968</v>
      </c>
      <c r="V16" s="139">
        <f t="shared" si="8"/>
        <v>200486.99860850116</v>
      </c>
      <c r="W16" s="139">
        <f t="shared" si="8"/>
        <v>200181.50619899461</v>
      </c>
      <c r="X16" s="139">
        <f t="shared" ref="X16:Y16" si="9">SUM(X17:X18)</f>
        <v>201855.86848428883</v>
      </c>
      <c r="Y16" s="139">
        <f t="shared" si="9"/>
        <v>203890.03258918785</v>
      </c>
      <c r="DA16" s="169" t="s">
        <v>257</v>
      </c>
    </row>
    <row r="17" spans="1:105" ht="12.95" customHeight="1" x14ac:dyDescent="0.25">
      <c r="A17" s="131" t="s">
        <v>73</v>
      </c>
      <c r="B17" s="140">
        <v>107.17067684918297</v>
      </c>
      <c r="C17" s="140">
        <v>123.23994422184859</v>
      </c>
      <c r="D17" s="140">
        <v>156.51633859481046</v>
      </c>
      <c r="E17" s="140">
        <v>173.99838269103142</v>
      </c>
      <c r="F17" s="140">
        <v>241.41580600648339</v>
      </c>
      <c r="G17" s="140">
        <v>298.66086350910376</v>
      </c>
      <c r="H17" s="140">
        <v>387.70839597972912</v>
      </c>
      <c r="I17" s="140">
        <v>533.694145604092</v>
      </c>
      <c r="J17" s="140">
        <v>661.05573947297671</v>
      </c>
      <c r="K17" s="140">
        <v>755.97380574736655</v>
      </c>
      <c r="L17" s="140">
        <v>840.61522463947028</v>
      </c>
      <c r="M17" s="140">
        <v>959.75198698052509</v>
      </c>
      <c r="N17" s="140">
        <v>1104.6115338319901</v>
      </c>
      <c r="O17" s="140">
        <v>1360.5449344809531</v>
      </c>
      <c r="P17" s="140">
        <v>1855.1876120395607</v>
      </c>
      <c r="Q17" s="140">
        <v>2533.472030948642</v>
      </c>
      <c r="R17" s="140">
        <v>3284.8119872912571</v>
      </c>
      <c r="S17" s="140">
        <v>3854.5253050977403</v>
      </c>
      <c r="T17" s="140">
        <v>4324.8708583520156</v>
      </c>
      <c r="U17" s="140">
        <v>4776.2151055907489</v>
      </c>
      <c r="V17" s="140">
        <v>5053.5256223382439</v>
      </c>
      <c r="W17" s="140">
        <v>5076.0323087984107</v>
      </c>
      <c r="X17" s="140">
        <v>5257.1727161914614</v>
      </c>
      <c r="Y17" s="140">
        <v>5325.5816694026953</v>
      </c>
      <c r="DA17" s="170" t="s">
        <v>258</v>
      </c>
    </row>
    <row r="18" spans="1:105" ht="12" customHeight="1" x14ac:dyDescent="0.25">
      <c r="A18" s="131" t="s">
        <v>72</v>
      </c>
      <c r="B18" s="140">
        <v>36965.413399410769</v>
      </c>
      <c r="C18" s="140">
        <v>43549.814677976872</v>
      </c>
      <c r="D18" s="140">
        <v>50671.170318792232</v>
      </c>
      <c r="E18" s="140">
        <v>56686.782756076733</v>
      </c>
      <c r="F18" s="140">
        <v>64187.587033043455</v>
      </c>
      <c r="G18" s="140">
        <v>75413.971635353213</v>
      </c>
      <c r="H18" s="140">
        <v>87513.922815795624</v>
      </c>
      <c r="I18" s="140">
        <v>104458.73578466872</v>
      </c>
      <c r="J18" s="140">
        <v>117589.34592366565</v>
      </c>
      <c r="K18" s="140">
        <v>128210.35180435493</v>
      </c>
      <c r="L18" s="140">
        <v>137234.1601056956</v>
      </c>
      <c r="M18" s="140">
        <v>146329.77338261457</v>
      </c>
      <c r="N18" s="140">
        <v>151971.5579175454</v>
      </c>
      <c r="O18" s="140">
        <v>156356.87071037339</v>
      </c>
      <c r="P18" s="140">
        <v>161334.35951546027</v>
      </c>
      <c r="Q18" s="140">
        <v>166036.24357632181</v>
      </c>
      <c r="R18" s="140">
        <v>171225.36214830421</v>
      </c>
      <c r="S18" s="140">
        <v>176970.66004507488</v>
      </c>
      <c r="T18" s="140">
        <v>182510.70156235201</v>
      </c>
      <c r="U18" s="140">
        <v>190055.59592119892</v>
      </c>
      <c r="V18" s="140">
        <v>195433.47298616293</v>
      </c>
      <c r="W18" s="140">
        <v>195105.47389019621</v>
      </c>
      <c r="X18" s="140">
        <v>196598.69576809736</v>
      </c>
      <c r="Y18" s="140">
        <v>198564.45091978516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388765.91218783642</v>
      </c>
      <c r="C19" s="139">
        <f t="shared" si="10"/>
        <v>394779.53288229241</v>
      </c>
      <c r="D19" s="139">
        <f t="shared" si="10"/>
        <v>398133.0519863849</v>
      </c>
      <c r="E19" s="139">
        <f t="shared" si="10"/>
        <v>399585.97263702803</v>
      </c>
      <c r="F19" s="139">
        <f t="shared" si="10"/>
        <v>397935.4724366538</v>
      </c>
      <c r="G19" s="139">
        <f t="shared" si="10"/>
        <v>403965.70387661073</v>
      </c>
      <c r="H19" s="139">
        <f t="shared" si="10"/>
        <v>414261.80828934547</v>
      </c>
      <c r="I19" s="139">
        <f t="shared" si="10"/>
        <v>427277.02148747304</v>
      </c>
      <c r="J19" s="139">
        <f t="shared" si="10"/>
        <v>434859.54982328712</v>
      </c>
      <c r="K19" s="139">
        <f t="shared" si="10"/>
        <v>433133.92804567551</v>
      </c>
      <c r="L19" s="139">
        <f t="shared" si="10"/>
        <v>437576.21741488867</v>
      </c>
      <c r="M19" s="139">
        <f t="shared" si="10"/>
        <v>443263.2387469188</v>
      </c>
      <c r="N19" s="139">
        <f t="shared" si="10"/>
        <v>444621.3990323029</v>
      </c>
      <c r="O19" s="139">
        <f t="shared" si="10"/>
        <v>443480.26574480825</v>
      </c>
      <c r="P19" s="139">
        <f t="shared" si="10"/>
        <v>443595.98222024285</v>
      </c>
      <c r="Q19" s="139">
        <f t="shared" si="10"/>
        <v>450150.59079536959</v>
      </c>
      <c r="R19" s="139">
        <f t="shared" ref="R19:W19" si="11">SUM(R20:R26)</f>
        <v>452112.89615237585</v>
      </c>
      <c r="S19" s="139">
        <f t="shared" si="11"/>
        <v>455111.12400772452</v>
      </c>
      <c r="T19" s="139">
        <f t="shared" si="11"/>
        <v>457946.53731876251</v>
      </c>
      <c r="U19" s="139">
        <f t="shared" si="11"/>
        <v>460640.80291483196</v>
      </c>
      <c r="V19" s="139">
        <f t="shared" si="11"/>
        <v>463265.55666666682</v>
      </c>
      <c r="W19" s="139">
        <f t="shared" si="11"/>
        <v>465885.71955534996</v>
      </c>
      <c r="X19" s="139">
        <f t="shared" ref="X19:Y19" si="12">SUM(X20:X26)</f>
        <v>468441.69348102214</v>
      </c>
      <c r="Y19" s="139">
        <f t="shared" si="12"/>
        <v>470928.82046474743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15274.67877149201</v>
      </c>
      <c r="C22" s="140">
        <v>15142.626449499259</v>
      </c>
      <c r="D22" s="140">
        <v>14939.750847337409</v>
      </c>
      <c r="E22" s="140">
        <v>14800.756927273293</v>
      </c>
      <c r="F22" s="140">
        <v>14759.173983936191</v>
      </c>
      <c r="G22" s="140">
        <v>14891.486254408641</v>
      </c>
      <c r="H22" s="140">
        <v>15162.575575338384</v>
      </c>
      <c r="I22" s="140">
        <v>15513.007013181777</v>
      </c>
      <c r="J22" s="140">
        <v>15819.32200608976</v>
      </c>
      <c r="K22" s="140">
        <v>15965.492301973616</v>
      </c>
      <c r="L22" s="140">
        <v>16101.347155973777</v>
      </c>
      <c r="M22" s="140">
        <v>16329.592554263574</v>
      </c>
      <c r="N22" s="140">
        <v>16673.680699978198</v>
      </c>
      <c r="O22" s="140">
        <v>17099.882474244125</v>
      </c>
      <c r="P22" s="140">
        <v>17620.39993839986</v>
      </c>
      <c r="Q22" s="140">
        <v>18341.030402707805</v>
      </c>
      <c r="R22" s="140">
        <v>18924.847731226932</v>
      </c>
      <c r="S22" s="140">
        <v>19364.278026655371</v>
      </c>
      <c r="T22" s="140">
        <v>19713.701642095537</v>
      </c>
      <c r="U22" s="140">
        <v>20040.217531489809</v>
      </c>
      <c r="V22" s="140">
        <v>20219.27502882831</v>
      </c>
      <c r="W22" s="140">
        <v>20435.829467839496</v>
      </c>
      <c r="X22" s="140">
        <v>20285.774687269641</v>
      </c>
      <c r="Y22" s="140">
        <v>20272.772706465657</v>
      </c>
      <c r="DA22" s="170" t="s">
        <v>263</v>
      </c>
    </row>
    <row r="23" spans="1:105" ht="12" customHeight="1" x14ac:dyDescent="0.25">
      <c r="A23" s="131" t="s">
        <v>149</v>
      </c>
      <c r="B23" s="140">
        <v>114151.09703908263</v>
      </c>
      <c r="C23" s="140">
        <v>118642.73661450738</v>
      </c>
      <c r="D23" s="140">
        <v>122877.36339698166</v>
      </c>
      <c r="E23" s="140">
        <v>124491.34988459153</v>
      </c>
      <c r="F23" s="140">
        <v>126043.31074009457</v>
      </c>
      <c r="G23" s="140">
        <v>128514.38941877271</v>
      </c>
      <c r="H23" s="140">
        <v>132424.32912755199</v>
      </c>
      <c r="I23" s="140">
        <v>136088.23744352761</v>
      </c>
      <c r="J23" s="140">
        <v>139381.61476270849</v>
      </c>
      <c r="K23" s="140">
        <v>142285.58853033962</v>
      </c>
      <c r="L23" s="140">
        <v>146665.66762340235</v>
      </c>
      <c r="M23" s="140">
        <v>152218.39997420411</v>
      </c>
      <c r="N23" s="140">
        <v>158525.59935783007</v>
      </c>
      <c r="O23" s="140">
        <v>159997.43731075508</v>
      </c>
      <c r="P23" s="140">
        <v>156610.48835829305</v>
      </c>
      <c r="Q23" s="140">
        <v>154996.94875304127</v>
      </c>
      <c r="R23" s="140">
        <v>157240.22265438037</v>
      </c>
      <c r="S23" s="140">
        <v>161627.78017392868</v>
      </c>
      <c r="T23" s="140">
        <v>160157.20274750702</v>
      </c>
      <c r="U23" s="140">
        <v>153559.12753830059</v>
      </c>
      <c r="V23" s="140">
        <v>142361.11786278238</v>
      </c>
      <c r="W23" s="140">
        <v>136963.78771249388</v>
      </c>
      <c r="X23" s="140">
        <v>135528.94005523171</v>
      </c>
      <c r="Y23" s="140">
        <v>137778.84114584629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30473.643931866151</v>
      </c>
      <c r="C25" s="140">
        <v>30261.563585422595</v>
      </c>
      <c r="D25" s="140">
        <v>29597.076085314671</v>
      </c>
      <c r="E25" s="140">
        <v>28808.198607266997</v>
      </c>
      <c r="F25" s="140">
        <v>28079.858017480106</v>
      </c>
      <c r="G25" s="140">
        <v>27854.530000088194</v>
      </c>
      <c r="H25" s="140">
        <v>28060.347913530251</v>
      </c>
      <c r="I25" s="140">
        <v>28576.770941094259</v>
      </c>
      <c r="J25" s="140">
        <v>29056.975232393816</v>
      </c>
      <c r="K25" s="140">
        <v>29500.207416264755</v>
      </c>
      <c r="L25" s="140">
        <v>29763.882552147901</v>
      </c>
      <c r="M25" s="140">
        <v>29743.062657030317</v>
      </c>
      <c r="N25" s="140">
        <v>29171.988151164533</v>
      </c>
      <c r="O25" s="140">
        <v>28057.309067428683</v>
      </c>
      <c r="P25" s="140">
        <v>26841.366562151357</v>
      </c>
      <c r="Q25" s="140">
        <v>26183.697843985818</v>
      </c>
      <c r="R25" s="140">
        <v>26092.945866500773</v>
      </c>
      <c r="S25" s="140">
        <v>26195.276152714621</v>
      </c>
      <c r="T25" s="140">
        <v>26337.158621394683</v>
      </c>
      <c r="U25" s="140">
        <v>26150.487875264018</v>
      </c>
      <c r="V25" s="140">
        <v>25985.690275487563</v>
      </c>
      <c r="W25" s="140">
        <v>25615.251244271494</v>
      </c>
      <c r="X25" s="140">
        <v>25459.195455301786</v>
      </c>
      <c r="Y25" s="140">
        <v>25649.329497055005</v>
      </c>
      <c r="DA25" s="170" t="s">
        <v>266</v>
      </c>
    </row>
    <row r="26" spans="1:105" ht="12" customHeight="1" x14ac:dyDescent="0.25">
      <c r="A26" s="131" t="s">
        <v>24</v>
      </c>
      <c r="B26" s="141">
        <v>228866.49244539565</v>
      </c>
      <c r="C26" s="141">
        <v>230732.60623286318</v>
      </c>
      <c r="D26" s="141">
        <v>230718.86165675116</v>
      </c>
      <c r="E26" s="141">
        <v>231485.6672178962</v>
      </c>
      <c r="F26" s="141">
        <v>229053.12969514291</v>
      </c>
      <c r="G26" s="141">
        <v>232705.29820334117</v>
      </c>
      <c r="H26" s="141">
        <v>238614.55567292488</v>
      </c>
      <c r="I26" s="141">
        <v>247099.00608966942</v>
      </c>
      <c r="J26" s="141">
        <v>250601.63782209507</v>
      </c>
      <c r="K26" s="141">
        <v>245382.63979709757</v>
      </c>
      <c r="L26" s="141">
        <v>245045.32008336467</v>
      </c>
      <c r="M26" s="141">
        <v>244972.1835614208</v>
      </c>
      <c r="N26" s="141">
        <v>240250.13082333011</v>
      </c>
      <c r="O26" s="141">
        <v>238325.63689238037</v>
      </c>
      <c r="P26" s="141">
        <v>242523.72736139855</v>
      </c>
      <c r="Q26" s="141">
        <v>250628.91379563473</v>
      </c>
      <c r="R26" s="141">
        <v>249854.87990026776</v>
      </c>
      <c r="S26" s="141">
        <v>247923.78965442584</v>
      </c>
      <c r="T26" s="141">
        <v>251738.47430776522</v>
      </c>
      <c r="U26" s="141">
        <v>260890.96996977754</v>
      </c>
      <c r="V26" s="141">
        <v>274699.47349956859</v>
      </c>
      <c r="W26" s="141">
        <v>282870.85113074508</v>
      </c>
      <c r="X26" s="141">
        <v>287167.78328321903</v>
      </c>
      <c r="Y26" s="141">
        <v>287227.87711538048</v>
      </c>
      <c r="DA26" s="171" t="s">
        <v>267</v>
      </c>
    </row>
    <row r="27" spans="1:105" ht="12" customHeight="1" x14ac:dyDescent="0.25">
      <c r="A27" s="144" t="s">
        <v>26</v>
      </c>
      <c r="B27" s="150">
        <v>3474.0556252772876</v>
      </c>
      <c r="C27" s="150">
        <v>3533.4362556691203</v>
      </c>
      <c r="D27" s="150">
        <v>4180.7473444058387</v>
      </c>
      <c r="E27" s="150">
        <v>4439.1999084766931</v>
      </c>
      <c r="F27" s="150">
        <v>4743.1671853269172</v>
      </c>
      <c r="G27" s="150">
        <v>5168.8261451063972</v>
      </c>
      <c r="H27" s="150">
        <v>5431.6296126290645</v>
      </c>
      <c r="I27" s="150">
        <v>6340.4699862449779</v>
      </c>
      <c r="J27" s="150">
        <v>6128.0114599481285</v>
      </c>
      <c r="K27" s="150">
        <v>6827.1199738861451</v>
      </c>
      <c r="L27" s="150">
        <v>6363.5559588869492</v>
      </c>
      <c r="M27" s="150">
        <v>7215.1674186168775</v>
      </c>
      <c r="N27" s="150">
        <v>7051.6338039716793</v>
      </c>
      <c r="O27" s="150">
        <v>7398.1926135086142</v>
      </c>
      <c r="P27" s="150">
        <v>7903.3698880221718</v>
      </c>
      <c r="Q27" s="150">
        <v>7858.437141814441</v>
      </c>
      <c r="R27" s="150">
        <v>8296.9706521469234</v>
      </c>
      <c r="S27" s="150">
        <v>8336.3808030710734</v>
      </c>
      <c r="T27" s="150">
        <v>8160.846209186403</v>
      </c>
      <c r="U27" s="150">
        <v>8122.2494304539805</v>
      </c>
      <c r="V27" s="150">
        <v>8099.6841555619794</v>
      </c>
      <c r="W27" s="150">
        <v>7036.060612799698</v>
      </c>
      <c r="X27" s="150">
        <v>7331.9213112962334</v>
      </c>
      <c r="Y27" s="150">
        <v>7407.9710279820601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388765.91218783637</v>
      </c>
      <c r="C29" s="139">
        <f t="shared" si="13"/>
        <v>394779.53288229246</v>
      </c>
      <c r="D29" s="139">
        <f t="shared" si="13"/>
        <v>398133.05198638479</v>
      </c>
      <c r="E29" s="139">
        <f t="shared" si="13"/>
        <v>399585.97263702808</v>
      </c>
      <c r="F29" s="139">
        <f t="shared" si="13"/>
        <v>397935.47243665386</v>
      </c>
      <c r="G29" s="139">
        <f t="shared" si="13"/>
        <v>403965.70387661073</v>
      </c>
      <c r="H29" s="139">
        <f t="shared" si="13"/>
        <v>414261.8082893457</v>
      </c>
      <c r="I29" s="139">
        <f t="shared" si="13"/>
        <v>427277.02148747304</v>
      </c>
      <c r="J29" s="139">
        <f t="shared" si="13"/>
        <v>434859.54982328706</v>
      </c>
      <c r="K29" s="139">
        <f t="shared" si="13"/>
        <v>433133.92804567557</v>
      </c>
      <c r="L29" s="139">
        <f t="shared" si="13"/>
        <v>437576.21741488867</v>
      </c>
      <c r="M29" s="139">
        <f t="shared" si="13"/>
        <v>443263.23874691909</v>
      </c>
      <c r="N29" s="139">
        <f t="shared" si="13"/>
        <v>444621.39903230278</v>
      </c>
      <c r="O29" s="139">
        <f t="shared" si="13"/>
        <v>443480.26574480848</v>
      </c>
      <c r="P29" s="139">
        <f t="shared" si="13"/>
        <v>443595.98222024279</v>
      </c>
      <c r="Q29" s="139">
        <f t="shared" si="13"/>
        <v>450150.59079536941</v>
      </c>
      <c r="R29" s="139">
        <f t="shared" ref="R29:W29" si="14">SUM(R30:R33)</f>
        <v>452112.89615237643</v>
      </c>
      <c r="S29" s="139">
        <f t="shared" si="14"/>
        <v>455111.12400772457</v>
      </c>
      <c r="T29" s="139">
        <f t="shared" si="14"/>
        <v>457946.53731876251</v>
      </c>
      <c r="U29" s="139">
        <f t="shared" si="14"/>
        <v>460640.80291483155</v>
      </c>
      <c r="V29" s="139">
        <f t="shared" si="14"/>
        <v>463265.55666666658</v>
      </c>
      <c r="W29" s="139">
        <f t="shared" si="14"/>
        <v>465885.71955534973</v>
      </c>
      <c r="X29" s="139">
        <f t="shared" ref="X29:Y29" si="15">SUM(X30:X33)</f>
        <v>468441.69348102185</v>
      </c>
      <c r="Y29" s="139">
        <f t="shared" si="15"/>
        <v>470928.8204647472</v>
      </c>
      <c r="DA29" s="169" t="s">
        <v>269</v>
      </c>
    </row>
    <row r="30" spans="1:105" ht="12" customHeight="1" x14ac:dyDescent="0.25">
      <c r="A30" s="131" t="s">
        <v>52</v>
      </c>
      <c r="B30" s="140">
        <v>23073.188703044299</v>
      </c>
      <c r="C30" s="140">
        <v>25434.616647130133</v>
      </c>
      <c r="D30" s="140">
        <v>27085.223728838751</v>
      </c>
      <c r="E30" s="140">
        <v>27704.982365665077</v>
      </c>
      <c r="F30" s="140">
        <v>29470.185424820811</v>
      </c>
      <c r="G30" s="140">
        <v>29408.000524458963</v>
      </c>
      <c r="H30" s="140">
        <v>28884.737732668356</v>
      </c>
      <c r="I30" s="140">
        <v>23354.219051837412</v>
      </c>
      <c r="J30" s="140">
        <v>21438.787326034384</v>
      </c>
      <c r="K30" s="140">
        <v>22201.714355680844</v>
      </c>
      <c r="L30" s="140">
        <v>23688.04035680091</v>
      </c>
      <c r="M30" s="140">
        <v>21500.195217419932</v>
      </c>
      <c r="N30" s="140">
        <v>19731.883220922118</v>
      </c>
      <c r="O30" s="140">
        <v>17556.22454778973</v>
      </c>
      <c r="P30" s="140">
        <v>18796.821774940003</v>
      </c>
      <c r="Q30" s="140">
        <v>19037.027447522596</v>
      </c>
      <c r="R30" s="140">
        <v>21201.611341771575</v>
      </c>
      <c r="S30" s="140">
        <v>23069.085227708794</v>
      </c>
      <c r="T30" s="140">
        <v>23163.562649267893</v>
      </c>
      <c r="U30" s="140">
        <v>23620.292966212124</v>
      </c>
      <c r="V30" s="140">
        <v>23758.888617700359</v>
      </c>
      <c r="W30" s="140">
        <v>23953.586246217237</v>
      </c>
      <c r="X30" s="140">
        <v>22547.630901581972</v>
      </c>
      <c r="Y30" s="140">
        <v>20947.058780714968</v>
      </c>
      <c r="DA30" s="170" t="s">
        <v>270</v>
      </c>
    </row>
    <row r="31" spans="1:105" ht="12" customHeight="1" x14ac:dyDescent="0.25">
      <c r="A31" s="131" t="s">
        <v>149</v>
      </c>
      <c r="B31" s="140">
        <v>119857.56477851726</v>
      </c>
      <c r="C31" s="140">
        <v>121009.44054684647</v>
      </c>
      <c r="D31" s="140">
        <v>122457.27054972094</v>
      </c>
      <c r="E31" s="140">
        <v>124064.71967660348</v>
      </c>
      <c r="F31" s="140">
        <v>123660.45338694393</v>
      </c>
      <c r="G31" s="140">
        <v>125200.76142334228</v>
      </c>
      <c r="H31" s="140">
        <v>128330.57326764344</v>
      </c>
      <c r="I31" s="140">
        <v>136157.32279996033</v>
      </c>
      <c r="J31" s="140">
        <v>139640.40202071497</v>
      </c>
      <c r="K31" s="140">
        <v>138521.61004269743</v>
      </c>
      <c r="L31" s="140">
        <v>136226.86445083865</v>
      </c>
      <c r="M31" s="140">
        <v>137765.28168243368</v>
      </c>
      <c r="N31" s="140">
        <v>138452.94090805948</v>
      </c>
      <c r="O31" s="140">
        <v>139116.06787795376</v>
      </c>
      <c r="P31" s="140">
        <v>139545.65195448254</v>
      </c>
      <c r="Q31" s="140">
        <v>132018.58966561125</v>
      </c>
      <c r="R31" s="140">
        <v>125587.79805808436</v>
      </c>
      <c r="S31" s="140">
        <v>116731.86093867155</v>
      </c>
      <c r="T31" s="140">
        <v>107638.04407364396</v>
      </c>
      <c r="U31" s="140">
        <v>99706.349278771871</v>
      </c>
      <c r="V31" s="140">
        <v>98431.883942070504</v>
      </c>
      <c r="W31" s="140">
        <v>99181.499218365061</v>
      </c>
      <c r="X31" s="140">
        <v>100127.85758828369</v>
      </c>
      <c r="Y31" s="140">
        <v>99684.48485773115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245835.15870627484</v>
      </c>
      <c r="C33" s="152">
        <v>248335.47568831587</v>
      </c>
      <c r="D33" s="152">
        <v>248590.55770782509</v>
      </c>
      <c r="E33" s="152">
        <v>247816.27059475952</v>
      </c>
      <c r="F33" s="152">
        <v>244804.83362488911</v>
      </c>
      <c r="G33" s="152">
        <v>249356.94192880948</v>
      </c>
      <c r="H33" s="152">
        <v>257046.49728903387</v>
      </c>
      <c r="I33" s="152">
        <v>267765.47963567532</v>
      </c>
      <c r="J33" s="152">
        <v>273780.36047653767</v>
      </c>
      <c r="K33" s="152">
        <v>272410.60364729731</v>
      </c>
      <c r="L33" s="152">
        <v>277661.31260724913</v>
      </c>
      <c r="M33" s="152">
        <v>283997.76184706547</v>
      </c>
      <c r="N33" s="152">
        <v>286436.57490332116</v>
      </c>
      <c r="O33" s="152">
        <v>286807.973319065</v>
      </c>
      <c r="P33" s="152">
        <v>285253.50849082024</v>
      </c>
      <c r="Q33" s="152">
        <v>299094.97368223558</v>
      </c>
      <c r="R33" s="152">
        <v>305323.48675252049</v>
      </c>
      <c r="S33" s="152">
        <v>315310.17784134427</v>
      </c>
      <c r="T33" s="152">
        <v>327144.93059585063</v>
      </c>
      <c r="U33" s="152">
        <v>337314.16066984757</v>
      </c>
      <c r="V33" s="152">
        <v>341074.78410689574</v>
      </c>
      <c r="W33" s="152">
        <v>342750.63409076742</v>
      </c>
      <c r="X33" s="152">
        <v>345766.20499115618</v>
      </c>
      <c r="Y33" s="152">
        <v>350297.27682630107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5179.1721846411783</v>
      </c>
      <c r="C3" s="125">
        <f t="shared" si="0"/>
        <v>5493.6981908085054</v>
      </c>
      <c r="D3" s="125">
        <f t="shared" si="0"/>
        <v>5396.0097099332361</v>
      </c>
      <c r="E3" s="125">
        <f t="shared" si="0"/>
        <v>5641.5589302739563</v>
      </c>
      <c r="F3" s="125">
        <f t="shared" si="0"/>
        <v>6057.5776706627739</v>
      </c>
      <c r="G3" s="125">
        <f t="shared" si="0"/>
        <v>5643.5176118778891</v>
      </c>
      <c r="H3" s="125">
        <f t="shared" si="0"/>
        <v>5728.5359289209955</v>
      </c>
      <c r="I3" s="125">
        <f t="shared" si="0"/>
        <v>5386.5677073658553</v>
      </c>
      <c r="J3" s="125">
        <f t="shared" si="0"/>
        <v>5649.9962350790083</v>
      </c>
      <c r="K3" s="125">
        <f t="shared" si="0"/>
        <v>5834.0794557982535</v>
      </c>
      <c r="L3" s="125">
        <f t="shared" si="0"/>
        <v>6352.4120982202649</v>
      </c>
      <c r="M3" s="125">
        <f t="shared" si="0"/>
        <v>5432.3959886624698</v>
      </c>
      <c r="N3" s="125">
        <f t="shared" si="0"/>
        <v>5692.8789463409357</v>
      </c>
      <c r="O3" s="125">
        <f t="shared" si="0"/>
        <v>5676.4753272251646</v>
      </c>
      <c r="P3" s="125">
        <f t="shared" si="0"/>
        <v>4744.7846423056926</v>
      </c>
      <c r="Q3" s="125">
        <f t="shared" si="0"/>
        <v>4979.1102841965876</v>
      </c>
      <c r="R3" s="125">
        <f t="shared" ref="R3:W3" si="1">SUM(R4,R16,R19,R29)</f>
        <v>4973.8432333331939</v>
      </c>
      <c r="S3" s="125">
        <f t="shared" si="1"/>
        <v>5048.5913807978304</v>
      </c>
      <c r="T3" s="125">
        <f t="shared" si="1"/>
        <v>4995.4334764500918</v>
      </c>
      <c r="U3" s="125">
        <f t="shared" si="1"/>
        <v>4780.1955452573648</v>
      </c>
      <c r="V3" s="125">
        <f t="shared" si="1"/>
        <v>4456.6141231898655</v>
      </c>
      <c r="W3" s="125">
        <f t="shared" si="1"/>
        <v>4732.8227333174509</v>
      </c>
      <c r="X3" s="125">
        <f t="shared" ref="X3:Y3" si="2">SUM(X4,X16,X19,X29)</f>
        <v>4380.2769586788863</v>
      </c>
      <c r="Y3" s="125">
        <f t="shared" si="2"/>
        <v>4213.0687354632828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3749.9834757917215</v>
      </c>
      <c r="C4" s="130">
        <f t="shared" si="3"/>
        <v>4054.8338826705749</v>
      </c>
      <c r="D4" s="130">
        <f t="shared" si="3"/>
        <v>3943.355313233807</v>
      </c>
      <c r="E4" s="130">
        <f t="shared" si="3"/>
        <v>4181.3158989656267</v>
      </c>
      <c r="F4" s="130">
        <f t="shared" si="3"/>
        <v>4595.2527607334996</v>
      </c>
      <c r="G4" s="130">
        <f t="shared" si="3"/>
        <v>4170.0567637577833</v>
      </c>
      <c r="H4" s="130">
        <f t="shared" si="3"/>
        <v>4239.0180825670368</v>
      </c>
      <c r="I4" s="130">
        <f t="shared" si="3"/>
        <v>3890.7974109457268</v>
      </c>
      <c r="J4" s="130">
        <f t="shared" si="3"/>
        <v>4143.2448261938735</v>
      </c>
      <c r="K4" s="130">
        <f t="shared" si="3"/>
        <v>4316.6118739727781</v>
      </c>
      <c r="L4" s="130">
        <f t="shared" si="3"/>
        <v>4825.3104428753841</v>
      </c>
      <c r="M4" s="130">
        <f t="shared" si="3"/>
        <v>3908.7895931241292</v>
      </c>
      <c r="N4" s="130">
        <f t="shared" si="3"/>
        <v>4169.0320677872251</v>
      </c>
      <c r="O4" s="130">
        <f t="shared" si="3"/>
        <v>4161.9294044683484</v>
      </c>
      <c r="P4" s="130">
        <f t="shared" si="3"/>
        <v>3235.3392809863221</v>
      </c>
      <c r="Q4" s="130">
        <f t="shared" si="3"/>
        <v>3452.6691970577122</v>
      </c>
      <c r="R4" s="130">
        <f t="shared" ref="R4:W4" si="4">SUM(R5:R15)</f>
        <v>3469.1673581312125</v>
      </c>
      <c r="S4" s="130">
        <f t="shared" si="4"/>
        <v>3558.3490414993607</v>
      </c>
      <c r="T4" s="130">
        <f t="shared" si="4"/>
        <v>3531.2325105587606</v>
      </c>
      <c r="U4" s="130">
        <f t="shared" si="4"/>
        <v>3352.2585351344874</v>
      </c>
      <c r="V4" s="130">
        <f t="shared" si="4"/>
        <v>3045.5123974120388</v>
      </c>
      <c r="W4" s="130">
        <f t="shared" si="4"/>
        <v>3283.8522521282994</v>
      </c>
      <c r="X4" s="130">
        <f t="shared" ref="X4:Y4" si="5">SUM(X5:X15)</f>
        <v>2914.7182525879111</v>
      </c>
      <c r="Y4" s="130">
        <f t="shared" si="5"/>
        <v>2746.6331023694024</v>
      </c>
      <c r="DA4" s="155" t="s">
        <v>214</v>
      </c>
    </row>
    <row r="5" spans="1:105" ht="12" customHeight="1" x14ac:dyDescent="0.25">
      <c r="A5" s="131" t="s">
        <v>29</v>
      </c>
      <c r="B5" s="132">
        <v>0.47773000859845233</v>
      </c>
      <c r="C5" s="132">
        <v>0.47773000859845233</v>
      </c>
      <c r="D5" s="132">
        <v>0.47773000859845244</v>
      </c>
      <c r="E5" s="132">
        <v>0.95537403267411891</v>
      </c>
      <c r="F5" s="132">
        <v>0.47773000859845233</v>
      </c>
      <c r="G5" s="132">
        <v>0.95537403267411891</v>
      </c>
      <c r="H5" s="132">
        <v>0.9553740326741188</v>
      </c>
      <c r="I5" s="132">
        <v>2.3884780739466884</v>
      </c>
      <c r="J5" s="132">
        <v>3.3438521066208082</v>
      </c>
      <c r="K5" s="132">
        <v>3.821496130696477</v>
      </c>
      <c r="L5" s="132">
        <v>3.8214961306964748</v>
      </c>
      <c r="M5" s="132">
        <v>3.8214961306964739</v>
      </c>
      <c r="N5" s="132">
        <v>3.8214961306964756</v>
      </c>
      <c r="O5" s="132">
        <v>2.3884780739466898</v>
      </c>
      <c r="P5" s="132">
        <v>0.95537403267411725</v>
      </c>
      <c r="Q5" s="132">
        <v>4.7678417884780737</v>
      </c>
      <c r="R5" s="132">
        <v>5.6080825451418708</v>
      </c>
      <c r="S5" s="132">
        <v>5.6158211521926011</v>
      </c>
      <c r="T5" s="132">
        <v>5.3315563198624263</v>
      </c>
      <c r="U5" s="132">
        <v>3.7436801375752329</v>
      </c>
      <c r="V5" s="132">
        <v>4.3474634565778194</v>
      </c>
      <c r="W5" s="132">
        <v>2.8107480653482373</v>
      </c>
      <c r="X5" s="132">
        <v>6.0619088564058474</v>
      </c>
      <c r="Y5" s="132">
        <v>7.4715391229578714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237.76206561303226</v>
      </c>
      <c r="C7" s="132">
        <v>229.18276383260584</v>
      </c>
      <c r="D7" s="132">
        <v>233.14581073075769</v>
      </c>
      <c r="E7" s="132">
        <v>237.93292768686288</v>
      </c>
      <c r="F7" s="132">
        <v>226.80337506876981</v>
      </c>
      <c r="G7" s="132">
        <v>232.21460182617412</v>
      </c>
      <c r="H7" s="132">
        <v>224.27055480851101</v>
      </c>
      <c r="I7" s="132">
        <v>232.73058420119736</v>
      </c>
      <c r="J7" s="132">
        <v>228.02443402569801</v>
      </c>
      <c r="K7" s="132">
        <v>218.81084139942118</v>
      </c>
      <c r="L7" s="132">
        <v>256.4183286494814</v>
      </c>
      <c r="M7" s="132">
        <v>238.8357234982613</v>
      </c>
      <c r="N7" s="132">
        <v>235.02654575909114</v>
      </c>
      <c r="O7" s="132">
        <v>238.07166014812231</v>
      </c>
      <c r="P7" s="132">
        <v>226.5738767429273</v>
      </c>
      <c r="Q7" s="132">
        <v>218.43665934551112</v>
      </c>
      <c r="R7" s="132">
        <v>212.77725516721878</v>
      </c>
      <c r="S7" s="132">
        <v>211.78845455653612</v>
      </c>
      <c r="T7" s="132">
        <v>214.88214652246185</v>
      </c>
      <c r="U7" s="132">
        <v>225.50680226057526</v>
      </c>
      <c r="V7" s="132">
        <v>210.36445328887078</v>
      </c>
      <c r="W7" s="132">
        <v>215.40695140828657</v>
      </c>
      <c r="X7" s="132">
        <v>229.17355064616794</v>
      </c>
      <c r="Y7" s="132">
        <v>223.69658283772887</v>
      </c>
      <c r="DA7" s="156" t="s">
        <v>277</v>
      </c>
    </row>
    <row r="8" spans="1:105" ht="12" customHeight="1" x14ac:dyDescent="0.25">
      <c r="A8" s="131" t="s">
        <v>73</v>
      </c>
      <c r="B8" s="132">
        <v>0.79884301574130323</v>
      </c>
      <c r="C8" s="132">
        <v>0.87591762355872094</v>
      </c>
      <c r="D8" s="132">
        <v>0.84167507695528221</v>
      </c>
      <c r="E8" s="132">
        <v>0.99632866855622171</v>
      </c>
      <c r="F8" s="132">
        <v>1.0420230208550467</v>
      </c>
      <c r="G8" s="132">
        <v>0.96292860505072997</v>
      </c>
      <c r="H8" s="132">
        <v>0.96869438442400246</v>
      </c>
      <c r="I8" s="132">
        <v>1.1297125682865439</v>
      </c>
      <c r="J8" s="132">
        <v>1.2035864003810741</v>
      </c>
      <c r="K8" s="132">
        <v>1.2915899322001108</v>
      </c>
      <c r="L8" s="132">
        <v>1.4028302686225218</v>
      </c>
      <c r="M8" s="132">
        <v>1.5889640409313952</v>
      </c>
      <c r="N8" s="132">
        <v>1.56457408814316</v>
      </c>
      <c r="O8" s="132">
        <v>1.6122739811472984</v>
      </c>
      <c r="P8" s="132">
        <v>2.3265908533100141</v>
      </c>
      <c r="Q8" s="132">
        <v>2.930507307540676</v>
      </c>
      <c r="R8" s="132">
        <v>3.0868900341734973</v>
      </c>
      <c r="S8" s="132">
        <v>3.0807508026812087</v>
      </c>
      <c r="T8" s="132">
        <v>3.1981203331055097</v>
      </c>
      <c r="U8" s="132">
        <v>3.3120859376014464</v>
      </c>
      <c r="V8" s="132">
        <v>3.465102753035028</v>
      </c>
      <c r="W8" s="132">
        <v>4.082463479189526</v>
      </c>
      <c r="X8" s="132">
        <v>4.4549855890144761</v>
      </c>
      <c r="Y8" s="132">
        <v>5.1407356080882387</v>
      </c>
      <c r="DA8" s="156" t="s">
        <v>278</v>
      </c>
    </row>
    <row r="9" spans="1:105" ht="12" customHeight="1" x14ac:dyDescent="0.25">
      <c r="A9" s="131" t="s">
        <v>78</v>
      </c>
      <c r="B9" s="132">
        <v>2781.083115605958</v>
      </c>
      <c r="C9" s="132">
        <v>3022.0472369048093</v>
      </c>
      <c r="D9" s="132">
        <v>2796.9404260051047</v>
      </c>
      <c r="E9" s="132">
        <v>3034.113580392027</v>
      </c>
      <c r="F9" s="132">
        <v>3395.4215651054892</v>
      </c>
      <c r="G9" s="132">
        <v>3049.7994111897683</v>
      </c>
      <c r="H9" s="132">
        <v>3060.2635267917321</v>
      </c>
      <c r="I9" s="132">
        <v>2652.3276006585261</v>
      </c>
      <c r="J9" s="132">
        <v>2928.939987097594</v>
      </c>
      <c r="K9" s="132">
        <v>3044.4438167903108</v>
      </c>
      <c r="L9" s="132">
        <v>3563.3819784537677</v>
      </c>
      <c r="M9" s="132">
        <v>2728.3676152057956</v>
      </c>
      <c r="N9" s="132">
        <v>3133.5699279315045</v>
      </c>
      <c r="O9" s="132">
        <v>3147.8714702216125</v>
      </c>
      <c r="P9" s="132">
        <v>2383.7516067677548</v>
      </c>
      <c r="Q9" s="132">
        <v>2650.9685591522521</v>
      </c>
      <c r="R9" s="132">
        <v>2669.0776907539021</v>
      </c>
      <c r="S9" s="132">
        <v>2640.0643763205871</v>
      </c>
      <c r="T9" s="132">
        <v>2581.5031007397843</v>
      </c>
      <c r="U9" s="132">
        <v>2399.4891574242702</v>
      </c>
      <c r="V9" s="132">
        <v>2149.9365877303526</v>
      </c>
      <c r="W9" s="132">
        <v>2356.9507796551425</v>
      </c>
      <c r="X9" s="132">
        <v>1903.9986676713793</v>
      </c>
      <c r="Y9" s="132">
        <v>1746.9989293123931</v>
      </c>
      <c r="DA9" s="156" t="s">
        <v>279</v>
      </c>
    </row>
    <row r="10" spans="1:105" ht="12" customHeight="1" x14ac:dyDescent="0.25">
      <c r="A10" s="131" t="s">
        <v>128</v>
      </c>
      <c r="B10" s="132">
        <v>74.73482373172827</v>
      </c>
      <c r="C10" s="132">
        <v>95.968271711091987</v>
      </c>
      <c r="D10" s="132">
        <v>93.149957007738649</v>
      </c>
      <c r="E10" s="132">
        <v>89.208942390369714</v>
      </c>
      <c r="F10" s="132">
        <v>97.903009458297504</v>
      </c>
      <c r="G10" s="132">
        <v>95.299570077386051</v>
      </c>
      <c r="H10" s="132">
        <v>109.74961306964749</v>
      </c>
      <c r="I10" s="132">
        <v>114.26388650042986</v>
      </c>
      <c r="J10" s="132">
        <v>134.37472055030082</v>
      </c>
      <c r="K10" s="132">
        <v>125.56130696474635</v>
      </c>
      <c r="L10" s="132">
        <v>131.96233877901966</v>
      </c>
      <c r="M10" s="132">
        <v>119.11246775580388</v>
      </c>
      <c r="N10" s="132">
        <v>116.17463456577818</v>
      </c>
      <c r="O10" s="132">
        <v>112.63972484952707</v>
      </c>
      <c r="P10" s="132">
        <v>112.16190885640584</v>
      </c>
      <c r="Q10" s="132">
        <v>104.86311263972475</v>
      </c>
      <c r="R10" s="132">
        <v>104.46526225279452</v>
      </c>
      <c r="S10" s="132">
        <v>136.2183147033534</v>
      </c>
      <c r="T10" s="132">
        <v>148.6343078245917</v>
      </c>
      <c r="U10" s="132">
        <v>163.93336199484088</v>
      </c>
      <c r="V10" s="132">
        <v>168.29561478933823</v>
      </c>
      <c r="W10" s="132">
        <v>158.69002579535689</v>
      </c>
      <c r="X10" s="132">
        <v>131.78804815133282</v>
      </c>
      <c r="Y10" s="132">
        <v>149.81461736887346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235.92166315979506</v>
      </c>
      <c r="C12" s="132">
        <v>225.86520369600041</v>
      </c>
      <c r="D12" s="132">
        <v>343.24442677187886</v>
      </c>
      <c r="E12" s="132">
        <v>281.64601385041453</v>
      </c>
      <c r="F12" s="132">
        <v>284.82954800829089</v>
      </c>
      <c r="G12" s="132">
        <v>198.76404768307606</v>
      </c>
      <c r="H12" s="132">
        <v>234.25125887221284</v>
      </c>
      <c r="I12" s="132">
        <v>277.07737237144579</v>
      </c>
      <c r="J12" s="132">
        <v>247.46928297764742</v>
      </c>
      <c r="K12" s="132">
        <v>300.50878512779207</v>
      </c>
      <c r="L12" s="132">
        <v>266.44548067242067</v>
      </c>
      <c r="M12" s="132">
        <v>237.66416612605934</v>
      </c>
      <c r="N12" s="132">
        <v>125.04078663621378</v>
      </c>
      <c r="O12" s="132">
        <v>112.4403466304791</v>
      </c>
      <c r="P12" s="132">
        <v>112.48784745961657</v>
      </c>
      <c r="Q12" s="132">
        <v>107.08070954807701</v>
      </c>
      <c r="R12" s="132">
        <v>112.82148918365399</v>
      </c>
      <c r="S12" s="132">
        <v>163.2904974570298</v>
      </c>
      <c r="T12" s="132">
        <v>149.09959996791247</v>
      </c>
      <c r="U12" s="132">
        <v>183.05981599680862</v>
      </c>
      <c r="V12" s="132">
        <v>187.61410989811603</v>
      </c>
      <c r="W12" s="132">
        <v>167.82666741036962</v>
      </c>
      <c r="X12" s="132">
        <v>198.43898710596324</v>
      </c>
      <c r="Y12" s="132">
        <v>168.70647129877989</v>
      </c>
      <c r="DA12" s="156" t="s">
        <v>282</v>
      </c>
    </row>
    <row r="13" spans="1:105" ht="12" customHeight="1" x14ac:dyDescent="0.25">
      <c r="A13" s="131" t="s">
        <v>77</v>
      </c>
      <c r="B13" s="132">
        <v>3.5994376315142405</v>
      </c>
      <c r="C13" s="132">
        <v>4.2720145474496238</v>
      </c>
      <c r="D13" s="132">
        <v>5.2450337777073344</v>
      </c>
      <c r="E13" s="132">
        <v>6.0098311779803391</v>
      </c>
      <c r="F13" s="132">
        <v>8.5021773014068973</v>
      </c>
      <c r="G13" s="132">
        <v>11.215195412286727</v>
      </c>
      <c r="H13" s="132">
        <v>13.530476950526586</v>
      </c>
      <c r="I13" s="132">
        <v>17.472839279707781</v>
      </c>
      <c r="J13" s="132">
        <v>21.942203650691269</v>
      </c>
      <c r="K13" s="132">
        <v>26.399844540133895</v>
      </c>
      <c r="L13" s="132">
        <v>31.283405887098958</v>
      </c>
      <c r="M13" s="132">
        <v>35.40320846203678</v>
      </c>
      <c r="N13" s="132">
        <v>39.326158776807944</v>
      </c>
      <c r="O13" s="132">
        <v>43.286008586684844</v>
      </c>
      <c r="P13" s="132">
        <v>46.438201986116404</v>
      </c>
      <c r="Q13" s="132">
        <v>50.278685445670298</v>
      </c>
      <c r="R13" s="132">
        <v>53.989990759477728</v>
      </c>
      <c r="S13" s="132">
        <v>58.243901810734165</v>
      </c>
      <c r="T13" s="132">
        <v>62.899251374373627</v>
      </c>
      <c r="U13" s="132">
        <v>66.626501658852433</v>
      </c>
      <c r="V13" s="132">
        <v>70.387810209953528</v>
      </c>
      <c r="W13" s="132">
        <v>74.466882213364485</v>
      </c>
      <c r="X13" s="132">
        <v>81.194965304908123</v>
      </c>
      <c r="Y13" s="132">
        <v>89.430744374280351</v>
      </c>
      <c r="DA13" s="156" t="s">
        <v>283</v>
      </c>
    </row>
    <row r="14" spans="1:105" ht="12" customHeight="1" x14ac:dyDescent="0.25">
      <c r="A14" s="60" t="s">
        <v>76</v>
      </c>
      <c r="B14" s="65">
        <v>381.59986831432479</v>
      </c>
      <c r="C14" s="65">
        <v>440.02616556369969</v>
      </c>
      <c r="D14" s="65">
        <v>436.50432365156149</v>
      </c>
      <c r="E14" s="65">
        <v>494.74688859097353</v>
      </c>
      <c r="F14" s="65">
        <v>541.21180587265769</v>
      </c>
      <c r="G14" s="65">
        <v>545.91936957448922</v>
      </c>
      <c r="H14" s="65">
        <v>560.00478864775221</v>
      </c>
      <c r="I14" s="65">
        <v>562.34512796409854</v>
      </c>
      <c r="J14" s="65">
        <v>544.12246429069671</v>
      </c>
      <c r="K14" s="65">
        <v>560.69725921463191</v>
      </c>
      <c r="L14" s="65">
        <v>529.76090160736214</v>
      </c>
      <c r="M14" s="65">
        <v>511.87018868415618</v>
      </c>
      <c r="N14" s="65">
        <v>478.19182291207557</v>
      </c>
      <c r="O14" s="65">
        <v>466.71238990542702</v>
      </c>
      <c r="P14" s="65">
        <v>321.95852676427324</v>
      </c>
      <c r="Q14" s="65">
        <v>281.66718269860519</v>
      </c>
      <c r="R14" s="65">
        <v>275.2259592077607</v>
      </c>
      <c r="S14" s="65">
        <v>307.53067100182244</v>
      </c>
      <c r="T14" s="65">
        <v>333.32591474029022</v>
      </c>
      <c r="U14" s="65">
        <v>275.44516954972426</v>
      </c>
      <c r="V14" s="65">
        <v>222.35075835811512</v>
      </c>
      <c r="W14" s="65">
        <v>271.878799190557</v>
      </c>
      <c r="X14" s="65">
        <v>332.74559878722869</v>
      </c>
      <c r="Y14" s="65">
        <v>329.92811884669345</v>
      </c>
      <c r="DA14" s="109" t="s">
        <v>284</v>
      </c>
    </row>
    <row r="15" spans="1:105" ht="12" customHeight="1" x14ac:dyDescent="0.25">
      <c r="A15" s="133" t="s">
        <v>80</v>
      </c>
      <c r="B15" s="134">
        <v>34.005928711028943</v>
      </c>
      <c r="C15" s="134">
        <v>36.118578782761197</v>
      </c>
      <c r="D15" s="134">
        <v>33.805930203504737</v>
      </c>
      <c r="E15" s="134">
        <v>35.706012175768933</v>
      </c>
      <c r="F15" s="134">
        <v>39.061526889133944</v>
      </c>
      <c r="G15" s="134">
        <v>34.926265356877614</v>
      </c>
      <c r="H15" s="134">
        <v>35.023795009556508</v>
      </c>
      <c r="I15" s="134">
        <v>31.061809328088877</v>
      </c>
      <c r="J15" s="134">
        <v>33.824295094243951</v>
      </c>
      <c r="K15" s="134">
        <v>35.076933872844947</v>
      </c>
      <c r="L15" s="134">
        <v>40.833682426915018</v>
      </c>
      <c r="M15" s="134">
        <v>32.125763220388706</v>
      </c>
      <c r="N15" s="134">
        <v>36.316120986914868</v>
      </c>
      <c r="O15" s="134">
        <v>36.907052071401552</v>
      </c>
      <c r="P15" s="134">
        <v>28.685347523243724</v>
      </c>
      <c r="Q15" s="134">
        <v>31.675939131852839</v>
      </c>
      <c r="R15" s="134">
        <v>32.114738227088885</v>
      </c>
      <c r="S15" s="134">
        <v>32.516253694423582</v>
      </c>
      <c r="T15" s="134">
        <v>32.358512736378444</v>
      </c>
      <c r="U15" s="134">
        <v>31.141960174238978</v>
      </c>
      <c r="V15" s="134">
        <v>28.750496927679901</v>
      </c>
      <c r="W15" s="134">
        <v>31.73893491068435</v>
      </c>
      <c r="X15" s="134">
        <v>26.861540475510633</v>
      </c>
      <c r="Y15" s="134">
        <v>25.445363599607081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41.606100465012041</v>
      </c>
      <c r="C16" s="130">
        <f t="shared" si="6"/>
        <v>47.023383153874462</v>
      </c>
      <c r="D16" s="130">
        <f t="shared" si="6"/>
        <v>51.049874244779389</v>
      </c>
      <c r="E16" s="130">
        <f t="shared" si="6"/>
        <v>59.5385355727459</v>
      </c>
      <c r="F16" s="130">
        <f t="shared" si="6"/>
        <v>58.443325930261778</v>
      </c>
      <c r="G16" s="130">
        <f t="shared" si="6"/>
        <v>63.973757774474684</v>
      </c>
      <c r="H16" s="130">
        <f t="shared" si="6"/>
        <v>77.027658607114006</v>
      </c>
      <c r="I16" s="130">
        <f t="shared" si="6"/>
        <v>79.59908200680492</v>
      </c>
      <c r="J16" s="130">
        <f t="shared" si="6"/>
        <v>85.839819489661082</v>
      </c>
      <c r="K16" s="130">
        <f t="shared" si="6"/>
        <v>92.13873825952318</v>
      </c>
      <c r="L16" s="130">
        <f t="shared" si="6"/>
        <v>99.555963507215466</v>
      </c>
      <c r="M16" s="130">
        <f t="shared" si="6"/>
        <v>99.475155838602035</v>
      </c>
      <c r="N16" s="130">
        <f t="shared" si="6"/>
        <v>100.90575907386233</v>
      </c>
      <c r="O16" s="130">
        <f t="shared" si="6"/>
        <v>101.63054597960824</v>
      </c>
      <c r="P16" s="130">
        <f t="shared" si="6"/>
        <v>100.74522497421498</v>
      </c>
      <c r="Q16" s="130">
        <f t="shared" si="6"/>
        <v>104.87574573778011</v>
      </c>
      <c r="R16" s="130">
        <f t="shared" ref="R16:W16" si="7">SUM(R17:R18)</f>
        <v>102.48985191371153</v>
      </c>
      <c r="S16" s="130">
        <f t="shared" si="7"/>
        <v>100.90411184760646</v>
      </c>
      <c r="T16" s="130">
        <f t="shared" si="7"/>
        <v>111.92024775375768</v>
      </c>
      <c r="U16" s="130">
        <f t="shared" si="7"/>
        <v>112.84120350448347</v>
      </c>
      <c r="V16" s="130">
        <f t="shared" si="7"/>
        <v>111.48779863931071</v>
      </c>
      <c r="W16" s="130">
        <f t="shared" si="7"/>
        <v>100.97398476391959</v>
      </c>
      <c r="X16" s="130">
        <f t="shared" ref="X16:Y16" si="8">SUM(X17:X18)</f>
        <v>105.15970970096829</v>
      </c>
      <c r="Y16" s="130">
        <f t="shared" si="8"/>
        <v>102.08574403075301</v>
      </c>
      <c r="DA16" s="155" t="s">
        <v>215</v>
      </c>
    </row>
    <row r="17" spans="1:105" ht="12.95" customHeight="1" x14ac:dyDescent="0.25">
      <c r="A17" s="131" t="s">
        <v>73</v>
      </c>
      <c r="B17" s="132">
        <v>0.20648293317932051</v>
      </c>
      <c r="C17" s="132">
        <v>0.23784804202489551</v>
      </c>
      <c r="D17" s="132">
        <v>0.29116633428911659</v>
      </c>
      <c r="E17" s="132">
        <v>0.34953711136939869</v>
      </c>
      <c r="F17" s="132">
        <v>0.43075329572712878</v>
      </c>
      <c r="G17" s="132">
        <v>0.51652831459209825</v>
      </c>
      <c r="H17" s="132">
        <v>0.72003341959614042</v>
      </c>
      <c r="I17" s="132">
        <v>0.88958040716861353</v>
      </c>
      <c r="J17" s="132">
        <v>1.0925342940301537</v>
      </c>
      <c r="K17" s="132">
        <v>1.2478204002879953</v>
      </c>
      <c r="L17" s="132">
        <v>1.4258434232538362</v>
      </c>
      <c r="M17" s="132">
        <v>1.5597409493180567</v>
      </c>
      <c r="N17" s="132">
        <v>1.7837612001951229</v>
      </c>
      <c r="O17" s="132">
        <v>2.1766060030381849</v>
      </c>
      <c r="P17" s="132">
        <v>2.8749521606152575</v>
      </c>
      <c r="Q17" s="132">
        <v>3.9481783942718431</v>
      </c>
      <c r="R17" s="132">
        <v>5.0086579787199215</v>
      </c>
      <c r="S17" s="132">
        <v>5.9870768548354558</v>
      </c>
      <c r="T17" s="132">
        <v>6.8443927978259023</v>
      </c>
      <c r="U17" s="132">
        <v>7.567021971815711</v>
      </c>
      <c r="V17" s="132">
        <v>8.1586358054967274</v>
      </c>
      <c r="W17" s="132">
        <v>8.6325074346239585</v>
      </c>
      <c r="X17" s="132">
        <v>7.745063322044218</v>
      </c>
      <c r="Y17" s="132">
        <v>7.4371866140028047</v>
      </c>
      <c r="DA17" s="156" t="s">
        <v>286</v>
      </c>
    </row>
    <row r="18" spans="1:105" ht="12" customHeight="1" x14ac:dyDescent="0.25">
      <c r="A18" s="131" t="s">
        <v>72</v>
      </c>
      <c r="B18" s="132">
        <v>41.399617531832718</v>
      </c>
      <c r="C18" s="132">
        <v>46.785535111849569</v>
      </c>
      <c r="D18" s="132">
        <v>50.758707910490273</v>
      </c>
      <c r="E18" s="132">
        <v>59.188998461376499</v>
      </c>
      <c r="F18" s="132">
        <v>58.012572634534649</v>
      </c>
      <c r="G18" s="132">
        <v>63.457229459882583</v>
      </c>
      <c r="H18" s="132">
        <v>76.307625187517871</v>
      </c>
      <c r="I18" s="132">
        <v>78.709501599636312</v>
      </c>
      <c r="J18" s="132">
        <v>84.747285195630923</v>
      </c>
      <c r="K18" s="132">
        <v>90.890917859235188</v>
      </c>
      <c r="L18" s="132">
        <v>98.130120083961629</v>
      </c>
      <c r="M18" s="132">
        <v>97.91541488928398</v>
      </c>
      <c r="N18" s="132">
        <v>99.121997873667212</v>
      </c>
      <c r="O18" s="132">
        <v>99.453939976570055</v>
      </c>
      <c r="P18" s="132">
        <v>97.870272813599726</v>
      </c>
      <c r="Q18" s="132">
        <v>100.92756734350826</v>
      </c>
      <c r="R18" s="132">
        <v>97.481193934991609</v>
      </c>
      <c r="S18" s="132">
        <v>94.917034992771008</v>
      </c>
      <c r="T18" s="132">
        <v>105.07585495593177</v>
      </c>
      <c r="U18" s="132">
        <v>105.27418153266777</v>
      </c>
      <c r="V18" s="132">
        <v>103.32916283381398</v>
      </c>
      <c r="W18" s="132">
        <v>92.341477329295628</v>
      </c>
      <c r="X18" s="132">
        <v>97.414646378924076</v>
      </c>
      <c r="Y18" s="132">
        <v>94.648557416750194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758.41551778489031</v>
      </c>
      <c r="C19" s="130">
        <f t="shared" si="9"/>
        <v>757.41797630719611</v>
      </c>
      <c r="D19" s="130">
        <f t="shared" si="9"/>
        <v>760.84771075328388</v>
      </c>
      <c r="E19" s="130">
        <f t="shared" si="9"/>
        <v>753.76373814236376</v>
      </c>
      <c r="F19" s="130">
        <f t="shared" si="9"/>
        <v>751.14637833703205</v>
      </c>
      <c r="G19" s="130">
        <f t="shared" si="9"/>
        <v>747.48659863194121</v>
      </c>
      <c r="H19" s="130">
        <f t="shared" si="9"/>
        <v>742.52763145680285</v>
      </c>
      <c r="I19" s="130">
        <f t="shared" si="9"/>
        <v>737.04602307460016</v>
      </c>
      <c r="J19" s="130">
        <f t="shared" si="9"/>
        <v>732.52273687919785</v>
      </c>
      <c r="K19" s="130">
        <f t="shared" si="9"/>
        <v>731.24405466732503</v>
      </c>
      <c r="L19" s="130">
        <f t="shared" si="9"/>
        <v>728.97748084702755</v>
      </c>
      <c r="M19" s="130">
        <f t="shared" si="9"/>
        <v>726.29645804228653</v>
      </c>
      <c r="N19" s="130">
        <f t="shared" si="9"/>
        <v>724.60567128946866</v>
      </c>
      <c r="O19" s="130">
        <f t="shared" si="9"/>
        <v>714.54255681218183</v>
      </c>
      <c r="P19" s="130">
        <f t="shared" si="9"/>
        <v>709.24613766306129</v>
      </c>
      <c r="Q19" s="130">
        <f t="shared" si="9"/>
        <v>716.37846981231587</v>
      </c>
      <c r="R19" s="130">
        <f t="shared" ref="R19:W19" si="10">SUM(R20:R27)</f>
        <v>704.66722830826518</v>
      </c>
      <c r="S19" s="130">
        <f t="shared" si="10"/>
        <v>701.05113670371657</v>
      </c>
      <c r="T19" s="130">
        <f t="shared" si="10"/>
        <v>694.47185149863105</v>
      </c>
      <c r="U19" s="130">
        <f t="shared" si="10"/>
        <v>687.68926799114547</v>
      </c>
      <c r="V19" s="130">
        <f t="shared" si="10"/>
        <v>659.80203107663317</v>
      </c>
      <c r="W19" s="130">
        <f t="shared" si="10"/>
        <v>674.45854364028935</v>
      </c>
      <c r="X19" s="130">
        <f t="shared" ref="X19:Y19" si="11">SUM(X20:X27)</f>
        <v>673.81919193223143</v>
      </c>
      <c r="Y19" s="130">
        <f t="shared" si="11"/>
        <v>671.59454898440652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35.573188041309969</v>
      </c>
      <c r="C22" s="132">
        <v>34.646470905141392</v>
      </c>
      <c r="D22" s="132">
        <v>33.848084368124574</v>
      </c>
      <c r="E22" s="132">
        <v>33.14050309559638</v>
      </c>
      <c r="F22" s="132">
        <v>32.939187270009192</v>
      </c>
      <c r="G22" s="132">
        <v>32.720393874599708</v>
      </c>
      <c r="H22" s="132">
        <v>32.257046223303249</v>
      </c>
      <c r="I22" s="132">
        <v>32.061075300092369</v>
      </c>
      <c r="J22" s="132">
        <v>32.343837685394028</v>
      </c>
      <c r="K22" s="132">
        <v>32.302142263519634</v>
      </c>
      <c r="L22" s="132">
        <v>31.861464987663915</v>
      </c>
      <c r="M22" s="132">
        <v>31.845875813862556</v>
      </c>
      <c r="N22" s="132">
        <v>32.538114602043663</v>
      </c>
      <c r="O22" s="132">
        <v>32.583713884551898</v>
      </c>
      <c r="P22" s="132">
        <v>32.738676997399551</v>
      </c>
      <c r="Q22" s="132">
        <v>34.876926209089042</v>
      </c>
      <c r="R22" s="132">
        <v>34.931515254105229</v>
      </c>
      <c r="S22" s="132">
        <v>34.668725151116277</v>
      </c>
      <c r="T22" s="132">
        <v>34.879590364898213</v>
      </c>
      <c r="U22" s="132">
        <v>34.724496105718913</v>
      </c>
      <c r="V22" s="132">
        <v>33.227206212419198</v>
      </c>
      <c r="W22" s="132">
        <v>35.084192185866272</v>
      </c>
      <c r="X22" s="132">
        <v>32.940808769137284</v>
      </c>
      <c r="Y22" s="132">
        <v>33.592411143354454</v>
      </c>
      <c r="DA22" s="156" t="s">
        <v>290</v>
      </c>
    </row>
    <row r="23" spans="1:105" ht="12" customHeight="1" x14ac:dyDescent="0.25">
      <c r="A23" s="131" t="s">
        <v>149</v>
      </c>
      <c r="B23" s="132">
        <v>255.30122865007456</v>
      </c>
      <c r="C23" s="132">
        <v>260.4564120889072</v>
      </c>
      <c r="D23" s="132">
        <v>277.92638760445556</v>
      </c>
      <c r="E23" s="132">
        <v>267.75905882380107</v>
      </c>
      <c r="F23" s="132">
        <v>266.14772860300388</v>
      </c>
      <c r="G23" s="132">
        <v>266.31928244355146</v>
      </c>
      <c r="H23" s="132">
        <v>267.95692556665045</v>
      </c>
      <c r="I23" s="132">
        <v>263.21313229846561</v>
      </c>
      <c r="J23" s="132">
        <v>261.31992431643164</v>
      </c>
      <c r="K23" s="132">
        <v>264.3236317137293</v>
      </c>
      <c r="L23" s="132">
        <v>265.7595670485797</v>
      </c>
      <c r="M23" s="132">
        <v>265.22162400745947</v>
      </c>
      <c r="N23" s="132">
        <v>287.05719570116798</v>
      </c>
      <c r="O23" s="132">
        <v>286.77135894291524</v>
      </c>
      <c r="P23" s="132">
        <v>262.95293006709767</v>
      </c>
      <c r="Q23" s="132">
        <v>255.47339725613344</v>
      </c>
      <c r="R23" s="132">
        <v>257.8169899929365</v>
      </c>
      <c r="S23" s="132">
        <v>271.48888512049751</v>
      </c>
      <c r="T23" s="132">
        <v>264.09290379203458</v>
      </c>
      <c r="U23" s="132">
        <v>251.79578519611519</v>
      </c>
      <c r="V23" s="132">
        <v>206.34882431003953</v>
      </c>
      <c r="W23" s="132">
        <v>206.83359689716406</v>
      </c>
      <c r="X23" s="132">
        <v>208.40501184226994</v>
      </c>
      <c r="Y23" s="132">
        <v>211.59787524365791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46.489686797212663</v>
      </c>
      <c r="C25" s="132">
        <v>45.36815829884047</v>
      </c>
      <c r="D25" s="132">
        <v>44.545770992523494</v>
      </c>
      <c r="E25" s="132">
        <v>42.587262159903432</v>
      </c>
      <c r="F25" s="132">
        <v>40.860735740634212</v>
      </c>
      <c r="G25" s="132">
        <v>40.081868052091544</v>
      </c>
      <c r="H25" s="132">
        <v>39.418388591243847</v>
      </c>
      <c r="I25" s="132">
        <v>39.17851756836496</v>
      </c>
      <c r="J25" s="132">
        <v>38.883081596729234</v>
      </c>
      <c r="K25" s="132">
        <v>39.77496379740122</v>
      </c>
      <c r="L25" s="132">
        <v>39.754949250193278</v>
      </c>
      <c r="M25" s="132">
        <v>39.612016161128921</v>
      </c>
      <c r="N25" s="132">
        <v>39.094123080037242</v>
      </c>
      <c r="O25" s="132">
        <v>36.886136602539025</v>
      </c>
      <c r="P25" s="132">
        <v>34.187388997821024</v>
      </c>
      <c r="Q25" s="132">
        <v>33.775696298870606</v>
      </c>
      <c r="R25" s="132">
        <v>33.769568425976324</v>
      </c>
      <c r="S25" s="132">
        <v>33.863758776848044</v>
      </c>
      <c r="T25" s="132">
        <v>34.303581459430447</v>
      </c>
      <c r="U25" s="132">
        <v>33.498653478685547</v>
      </c>
      <c r="V25" s="132">
        <v>32.864737909278475</v>
      </c>
      <c r="W25" s="132">
        <v>32.444527774497089</v>
      </c>
      <c r="X25" s="132">
        <v>32.960926909513937</v>
      </c>
      <c r="Y25" s="132">
        <v>33.45982276828785</v>
      </c>
      <c r="DA25" s="156" t="s">
        <v>293</v>
      </c>
    </row>
    <row r="26" spans="1:105" ht="12" customHeight="1" x14ac:dyDescent="0.25">
      <c r="A26" s="131" t="s">
        <v>24</v>
      </c>
      <c r="B26" s="65">
        <v>418.87789752931121</v>
      </c>
      <c r="C26" s="65">
        <v>414.51073553021416</v>
      </c>
      <c r="D26" s="65">
        <v>401.78077819230742</v>
      </c>
      <c r="E26" s="65">
        <v>407.29135946289091</v>
      </c>
      <c r="F26" s="65">
        <v>407.9743071189136</v>
      </c>
      <c r="G26" s="65">
        <v>404.92567335026257</v>
      </c>
      <c r="H26" s="65">
        <v>399.2887362518735</v>
      </c>
      <c r="I26" s="65">
        <v>398.77180177698079</v>
      </c>
      <c r="J26" s="65">
        <v>395.93943584298182</v>
      </c>
      <c r="K26" s="65">
        <v>390.42465825123043</v>
      </c>
      <c r="L26" s="65">
        <v>386.84844711003177</v>
      </c>
      <c r="M26" s="65">
        <v>384.64892830231196</v>
      </c>
      <c r="N26" s="65">
        <v>360.8049739337348</v>
      </c>
      <c r="O26" s="65">
        <v>353.0228435128721</v>
      </c>
      <c r="P26" s="65">
        <v>373.96920522928991</v>
      </c>
      <c r="Q26" s="65">
        <v>386.83060997943528</v>
      </c>
      <c r="R26" s="65">
        <v>372.67959315631339</v>
      </c>
      <c r="S26" s="65">
        <v>355.58410987365551</v>
      </c>
      <c r="T26" s="65">
        <v>355.67840700866509</v>
      </c>
      <c r="U26" s="65">
        <v>362.03353183487343</v>
      </c>
      <c r="V26" s="65">
        <v>381.74836496647811</v>
      </c>
      <c r="W26" s="65">
        <v>394.53113649901314</v>
      </c>
      <c r="X26" s="65">
        <v>393.92345043022692</v>
      </c>
      <c r="Y26" s="65">
        <v>387.33154215068845</v>
      </c>
      <c r="DA26" s="109" t="s">
        <v>294</v>
      </c>
    </row>
    <row r="27" spans="1:105" ht="12" customHeight="1" x14ac:dyDescent="0.25">
      <c r="A27" s="144" t="s">
        <v>26</v>
      </c>
      <c r="B27" s="145">
        <v>2.1735167669819431</v>
      </c>
      <c r="C27" s="145">
        <v>2.4361994840928638</v>
      </c>
      <c r="D27" s="145">
        <v>2.7466895958727431</v>
      </c>
      <c r="E27" s="145">
        <v>2.9855546001719691</v>
      </c>
      <c r="F27" s="145">
        <v>3.2244196044711955</v>
      </c>
      <c r="G27" s="145">
        <v>3.4393809114359417</v>
      </c>
      <c r="H27" s="145">
        <v>3.6065348237317272</v>
      </c>
      <c r="I27" s="145">
        <v>3.8214961306964756</v>
      </c>
      <c r="J27" s="145">
        <v>4.0364574376612206</v>
      </c>
      <c r="K27" s="145">
        <v>4.418658641444539</v>
      </c>
      <c r="L27" s="145">
        <v>4.7530524505589016</v>
      </c>
      <c r="M27" s="145">
        <v>4.9680137575236447</v>
      </c>
      <c r="N27" s="145">
        <v>5.1112639724849531</v>
      </c>
      <c r="O27" s="145">
        <v>5.2785038693035249</v>
      </c>
      <c r="P27" s="145">
        <v>5.397936371453139</v>
      </c>
      <c r="Q27" s="145">
        <v>5.4218400687876152</v>
      </c>
      <c r="R27" s="145">
        <v>5.4695614789337892</v>
      </c>
      <c r="S27" s="145">
        <v>5.4456577815993157</v>
      </c>
      <c r="T27" s="145">
        <v>5.5173688736027504</v>
      </c>
      <c r="U27" s="145">
        <v>5.6368013757523627</v>
      </c>
      <c r="V27" s="145">
        <v>5.6128976784178866</v>
      </c>
      <c r="W27" s="145">
        <v>5.56509028374892</v>
      </c>
      <c r="X27" s="145">
        <v>5.5889939810834086</v>
      </c>
      <c r="Y27" s="145">
        <v>5.612897678417891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629.16709059955383</v>
      </c>
      <c r="C29" s="130">
        <f t="shared" si="12"/>
        <v>634.42294867686041</v>
      </c>
      <c r="D29" s="130">
        <f t="shared" si="12"/>
        <v>640.7568117013659</v>
      </c>
      <c r="E29" s="130">
        <f t="shared" si="12"/>
        <v>646.94075759322027</v>
      </c>
      <c r="F29" s="130">
        <f t="shared" si="12"/>
        <v>652.73520566198147</v>
      </c>
      <c r="G29" s="130">
        <f t="shared" si="12"/>
        <v>662.00049171369039</v>
      </c>
      <c r="H29" s="130">
        <f t="shared" si="12"/>
        <v>669.96255629004236</v>
      </c>
      <c r="I29" s="130">
        <f t="shared" si="12"/>
        <v>679.12519133872354</v>
      </c>
      <c r="J29" s="130">
        <f t="shared" si="12"/>
        <v>688.38885251627607</v>
      </c>
      <c r="K29" s="130">
        <f t="shared" si="12"/>
        <v>694.08478889862772</v>
      </c>
      <c r="L29" s="130">
        <f t="shared" si="12"/>
        <v>698.56821099063768</v>
      </c>
      <c r="M29" s="130">
        <f t="shared" si="12"/>
        <v>697.83478165745214</v>
      </c>
      <c r="N29" s="130">
        <f t="shared" si="12"/>
        <v>698.33544819038025</v>
      </c>
      <c r="O29" s="130">
        <f t="shared" si="12"/>
        <v>698.37281996502577</v>
      </c>
      <c r="P29" s="130">
        <f t="shared" si="12"/>
        <v>699.45399868209392</v>
      </c>
      <c r="Q29" s="130">
        <f t="shared" si="12"/>
        <v>705.18687158877901</v>
      </c>
      <c r="R29" s="130">
        <f t="shared" ref="R29:W29" si="13">SUM(R30:R33)</f>
        <v>697.51879498000449</v>
      </c>
      <c r="S29" s="130">
        <f t="shared" si="13"/>
        <v>688.28709074714561</v>
      </c>
      <c r="T29" s="130">
        <f t="shared" si="13"/>
        <v>657.80886663894239</v>
      </c>
      <c r="U29" s="130">
        <f t="shared" si="13"/>
        <v>627.40653862724855</v>
      </c>
      <c r="V29" s="130">
        <f t="shared" si="13"/>
        <v>639.81189606188252</v>
      </c>
      <c r="W29" s="130">
        <f t="shared" si="13"/>
        <v>673.53795278494317</v>
      </c>
      <c r="X29" s="130">
        <f t="shared" ref="X29:Y29" si="14">SUM(X30:X33)</f>
        <v>686.57980445777469</v>
      </c>
      <c r="Y29" s="130">
        <f t="shared" si="14"/>
        <v>692.75534007872034</v>
      </c>
      <c r="DA29" s="155" t="s">
        <v>217</v>
      </c>
    </row>
    <row r="30" spans="1:105" ht="12" customHeight="1" x14ac:dyDescent="0.25">
      <c r="A30" s="131" t="s">
        <v>52</v>
      </c>
      <c r="B30" s="132">
        <v>42.099999999999987</v>
      </c>
      <c r="C30" s="132">
        <v>48.576956147893384</v>
      </c>
      <c r="D30" s="132">
        <v>55.053912295786752</v>
      </c>
      <c r="E30" s="132">
        <v>50.735941530524499</v>
      </c>
      <c r="F30" s="132">
        <v>57.21289767841786</v>
      </c>
      <c r="G30" s="132">
        <v>56.133361994840932</v>
      </c>
      <c r="H30" s="132">
        <v>71.246173688735979</v>
      </c>
      <c r="I30" s="132">
        <v>35.623129836629438</v>
      </c>
      <c r="J30" s="132">
        <v>29.146173688736031</v>
      </c>
      <c r="K30" s="132">
        <v>46.417970765262226</v>
      </c>
      <c r="L30" s="132">
        <v>56.133361994840932</v>
      </c>
      <c r="M30" s="132">
        <v>31.305159071367143</v>
      </c>
      <c r="N30" s="132">
        <v>42.099999999999987</v>
      </c>
      <c r="O30" s="132">
        <v>39.941014617368872</v>
      </c>
      <c r="P30" s="132">
        <v>6.4769561478933753</v>
      </c>
      <c r="Q30" s="132">
        <v>44.202063628546881</v>
      </c>
      <c r="R30" s="132">
        <v>44.005846947549458</v>
      </c>
      <c r="S30" s="132">
        <v>42.150214961306972</v>
      </c>
      <c r="T30" s="132">
        <v>41.315477214101499</v>
      </c>
      <c r="U30" s="132">
        <v>40.743164230438488</v>
      </c>
      <c r="V30" s="132">
        <v>40.630094582975062</v>
      </c>
      <c r="W30" s="132">
        <v>48.438435081685313</v>
      </c>
      <c r="X30" s="132">
        <v>40.466723989681903</v>
      </c>
      <c r="Y30" s="132">
        <v>39.171453138435076</v>
      </c>
      <c r="DA30" s="156" t="s">
        <v>296</v>
      </c>
    </row>
    <row r="31" spans="1:105" ht="12" customHeight="1" x14ac:dyDescent="0.25">
      <c r="A31" s="131" t="s">
        <v>149</v>
      </c>
      <c r="B31" s="132">
        <v>226.17559204784075</v>
      </c>
      <c r="C31" s="132">
        <v>229.34028095548905</v>
      </c>
      <c r="D31" s="132">
        <v>229.1724000092909</v>
      </c>
      <c r="E31" s="132">
        <v>238.86404014612094</v>
      </c>
      <c r="F31" s="132">
        <v>236.88295147105444</v>
      </c>
      <c r="G31" s="132">
        <v>238.76728366887858</v>
      </c>
      <c r="H31" s="132">
        <v>227.9537605082771</v>
      </c>
      <c r="I31" s="132">
        <v>263.77084251123256</v>
      </c>
      <c r="J31" s="132">
        <v>275.2480091641329</v>
      </c>
      <c r="K31" s="132">
        <v>257.45943523053933</v>
      </c>
      <c r="L31" s="132">
        <v>244.63339215573558</v>
      </c>
      <c r="M31" s="132">
        <v>267.21665596846253</v>
      </c>
      <c r="N31" s="132">
        <v>252.96375002138217</v>
      </c>
      <c r="O31" s="132">
        <v>254.53647657785373</v>
      </c>
      <c r="P31" s="132">
        <v>285.1531634874226</v>
      </c>
      <c r="Q31" s="132">
        <v>238.7987044074257</v>
      </c>
      <c r="R31" s="132">
        <v>231.89842128325967</v>
      </c>
      <c r="S31" s="132">
        <v>222.0559530338121</v>
      </c>
      <c r="T31" s="132">
        <v>189.35812894086146</v>
      </c>
      <c r="U31" s="132">
        <v>154.64747139625385</v>
      </c>
      <c r="V31" s="132">
        <v>169.15731543718815</v>
      </c>
      <c r="W31" s="132">
        <v>182.41931117532559</v>
      </c>
      <c r="X31" s="132">
        <v>183.6467444901665</v>
      </c>
      <c r="Y31" s="132">
        <v>184.94737124421695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360.89149855171308</v>
      </c>
      <c r="C33" s="68">
        <v>356.50571157347804</v>
      </c>
      <c r="D33" s="68">
        <v>356.53049939628818</v>
      </c>
      <c r="E33" s="68">
        <v>357.34077591657484</v>
      </c>
      <c r="F33" s="68">
        <v>358.63935651250915</v>
      </c>
      <c r="G33" s="68">
        <v>367.09984604997089</v>
      </c>
      <c r="H33" s="68">
        <v>370.76262209302934</v>
      </c>
      <c r="I33" s="68">
        <v>379.73121899086152</v>
      </c>
      <c r="J33" s="68">
        <v>383.99466966340708</v>
      </c>
      <c r="K33" s="68">
        <v>390.20738290282617</v>
      </c>
      <c r="L33" s="68">
        <v>397.80145684006123</v>
      </c>
      <c r="M33" s="68">
        <v>399.31296661762252</v>
      </c>
      <c r="N33" s="68">
        <v>403.27169816899806</v>
      </c>
      <c r="O33" s="68">
        <v>403.89532876980314</v>
      </c>
      <c r="P33" s="68">
        <v>407.82387904677796</v>
      </c>
      <c r="Q33" s="68">
        <v>422.1861035528064</v>
      </c>
      <c r="R33" s="68">
        <v>421.61452674919536</v>
      </c>
      <c r="S33" s="68">
        <v>424.08092275202659</v>
      </c>
      <c r="T33" s="68">
        <v>427.13526048397938</v>
      </c>
      <c r="U33" s="68">
        <v>432.01590300055625</v>
      </c>
      <c r="V33" s="68">
        <v>430.02448604171934</v>
      </c>
      <c r="W33" s="68">
        <v>442.68020652793234</v>
      </c>
      <c r="X33" s="68">
        <v>462.46633597792629</v>
      </c>
      <c r="Y33" s="68">
        <v>468.63651569606827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3244.948581477247</v>
      </c>
      <c r="C3" s="125">
        <f t="shared" si="0"/>
        <v>3459.1418216816051</v>
      </c>
      <c r="D3" s="125">
        <f t="shared" si="0"/>
        <v>3473.4886842058663</v>
      </c>
      <c r="E3" s="125">
        <f t="shared" si="0"/>
        <v>3647.6700416626436</v>
      </c>
      <c r="F3" s="125">
        <f t="shared" si="0"/>
        <v>3925.8852461574338</v>
      </c>
      <c r="G3" s="125">
        <f t="shared" si="0"/>
        <v>3719.6381943749252</v>
      </c>
      <c r="H3" s="125">
        <f t="shared" si="0"/>
        <v>3855.3688077252291</v>
      </c>
      <c r="I3" s="125">
        <f t="shared" si="0"/>
        <v>3730.0599127001283</v>
      </c>
      <c r="J3" s="125">
        <f t="shared" si="0"/>
        <v>3941.6500778658838</v>
      </c>
      <c r="K3" s="125">
        <f t="shared" si="0"/>
        <v>4136.3759963608672</v>
      </c>
      <c r="L3" s="125">
        <f t="shared" si="0"/>
        <v>4516.1107644968524</v>
      </c>
      <c r="M3" s="125">
        <f t="shared" si="0"/>
        <v>4008.8190260913989</v>
      </c>
      <c r="N3" s="125">
        <f t="shared" si="0"/>
        <v>4217.5639243000878</v>
      </c>
      <c r="O3" s="125">
        <f t="shared" si="0"/>
        <v>4284.9976153271291</v>
      </c>
      <c r="P3" s="125">
        <f t="shared" si="0"/>
        <v>3698.5580879655731</v>
      </c>
      <c r="Q3" s="125">
        <f t="shared" si="0"/>
        <v>3924.3331123641601</v>
      </c>
      <c r="R3" s="125">
        <f t="shared" ref="R3:W3" si="1">SUM(R4,R16,R19,R29)</f>
        <v>3977.5642513064854</v>
      </c>
      <c r="S3" s="125">
        <f t="shared" si="1"/>
        <v>4113.2192252709729</v>
      </c>
      <c r="T3" s="125">
        <f t="shared" si="1"/>
        <v>4199.8935584764331</v>
      </c>
      <c r="U3" s="125">
        <f t="shared" si="1"/>
        <v>4133.4015736761312</v>
      </c>
      <c r="V3" s="125">
        <f t="shared" si="1"/>
        <v>3968.8926018527909</v>
      </c>
      <c r="W3" s="125">
        <f t="shared" si="1"/>
        <v>4218.8110215846064</v>
      </c>
      <c r="X3" s="125">
        <f t="shared" ref="X3:Y3" si="2">SUM(X4,X16,X19,X29)</f>
        <v>4082.0701910867319</v>
      </c>
      <c r="Y3" s="125">
        <f t="shared" si="2"/>
        <v>4023.3503523981321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2201.4734452332127</v>
      </c>
      <c r="C4" s="130">
        <f t="shared" si="3"/>
        <v>2394.8667156055612</v>
      </c>
      <c r="D4" s="130">
        <f t="shared" si="3"/>
        <v>2386.9498727773062</v>
      </c>
      <c r="E4" s="130">
        <f t="shared" si="3"/>
        <v>2532.1675328163633</v>
      </c>
      <c r="F4" s="130">
        <f t="shared" si="3"/>
        <v>2800.1987162310206</v>
      </c>
      <c r="G4" s="130">
        <f t="shared" si="3"/>
        <v>2562.3213651001993</v>
      </c>
      <c r="H4" s="130">
        <f t="shared" si="3"/>
        <v>2646.691900866856</v>
      </c>
      <c r="I4" s="130">
        <f t="shared" si="3"/>
        <v>2492.5232857884225</v>
      </c>
      <c r="J4" s="130">
        <f t="shared" si="3"/>
        <v>2664.960802205148</v>
      </c>
      <c r="K4" s="130">
        <f t="shared" si="3"/>
        <v>2825.4630104720063</v>
      </c>
      <c r="L4" s="130">
        <f t="shared" si="3"/>
        <v>3165.6341231658139</v>
      </c>
      <c r="M4" s="130">
        <f t="shared" si="3"/>
        <v>2643.4121443836593</v>
      </c>
      <c r="N4" s="130">
        <f t="shared" si="3"/>
        <v>2831.7822326824353</v>
      </c>
      <c r="O4" s="130">
        <f t="shared" si="3"/>
        <v>2885.7077445601935</v>
      </c>
      <c r="P4" s="130">
        <f t="shared" si="3"/>
        <v>2286.6484449847958</v>
      </c>
      <c r="Q4" s="130">
        <f t="shared" si="3"/>
        <v>2464.8952671919642</v>
      </c>
      <c r="R4" s="130">
        <f t="shared" ref="R4:W4" si="4">SUM(R5:R15)</f>
        <v>2519.4544212975552</v>
      </c>
      <c r="S4" s="130">
        <f t="shared" si="4"/>
        <v>2646.0242205964955</v>
      </c>
      <c r="T4" s="130">
        <f t="shared" si="4"/>
        <v>2683.8634202908179</v>
      </c>
      <c r="U4" s="130">
        <f t="shared" si="4"/>
        <v>2612.1944324188717</v>
      </c>
      <c r="V4" s="130">
        <f t="shared" si="4"/>
        <v>2444.2908977698899</v>
      </c>
      <c r="W4" s="130">
        <f t="shared" si="4"/>
        <v>2687.4304166093848</v>
      </c>
      <c r="X4" s="130">
        <f t="shared" ref="X4:Y4" si="5">SUM(X5:X15)</f>
        <v>2495.1267375155749</v>
      </c>
      <c r="Y4" s="130">
        <f t="shared" si="5"/>
        <v>2428.454939127645</v>
      </c>
      <c r="DA4" s="155" t="s">
        <v>302</v>
      </c>
    </row>
    <row r="5" spans="1:105" ht="12" customHeight="1" x14ac:dyDescent="0.25">
      <c r="A5" s="131" t="s">
        <v>29</v>
      </c>
      <c r="B5" s="132">
        <v>0.27966908955942965</v>
      </c>
      <c r="C5" s="132">
        <v>0.28185883409216367</v>
      </c>
      <c r="D5" s="132">
        <v>0.29007172950685689</v>
      </c>
      <c r="E5" s="132">
        <v>0.59695435212750125</v>
      </c>
      <c r="F5" s="132">
        <v>0.30104993217424975</v>
      </c>
      <c r="G5" s="132">
        <v>0.62390540742959066</v>
      </c>
      <c r="H5" s="132">
        <v>0.64008789650607723</v>
      </c>
      <c r="I5" s="132">
        <v>1.6349723354505077</v>
      </c>
      <c r="J5" s="132">
        <v>2.3133624779253141</v>
      </c>
      <c r="K5" s="132">
        <v>2.6616530663375784</v>
      </c>
      <c r="L5" s="132">
        <v>2.6715417914739463</v>
      </c>
      <c r="M5" s="132">
        <v>2.6805001984671102</v>
      </c>
      <c r="N5" s="132">
        <v>2.6906627042599496</v>
      </c>
      <c r="O5" s="132">
        <v>1.6889931487201564</v>
      </c>
      <c r="P5" s="132">
        <v>0.67839805849099721</v>
      </c>
      <c r="Q5" s="132">
        <v>3.4153680587898609</v>
      </c>
      <c r="R5" s="132">
        <v>4.0657750892498727</v>
      </c>
      <c r="S5" s="132">
        <v>4.0975035453724287</v>
      </c>
      <c r="T5" s="132">
        <v>3.8995845049621263</v>
      </c>
      <c r="U5" s="132">
        <v>2.7455375429616424</v>
      </c>
      <c r="V5" s="132">
        <v>3.2102470073739</v>
      </c>
      <c r="W5" s="132">
        <v>2.1055166217246408</v>
      </c>
      <c r="X5" s="132">
        <v>4.657346019108294</v>
      </c>
      <c r="Y5" s="132">
        <v>5.8432664264185572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119.47826731893906</v>
      </c>
      <c r="C7" s="132">
        <v>115.70867652458909</v>
      </c>
      <c r="D7" s="132">
        <v>118.49806670361356</v>
      </c>
      <c r="E7" s="132">
        <v>121.75404422277687</v>
      </c>
      <c r="F7" s="132">
        <v>117.21145032365555</v>
      </c>
      <c r="G7" s="132">
        <v>121.44332748814361</v>
      </c>
      <c r="H7" s="132">
        <v>118.9692158526988</v>
      </c>
      <c r="I7" s="132">
        <v>125.46932394321493</v>
      </c>
      <c r="J7" s="132">
        <v>124.47472138698436</v>
      </c>
      <c r="K7" s="132">
        <v>121.16010021803162</v>
      </c>
      <c r="L7" s="132">
        <v>144.52242305508238</v>
      </c>
      <c r="M7" s="132">
        <v>137.49525036563193</v>
      </c>
      <c r="N7" s="132">
        <v>138.44638087943784</v>
      </c>
      <c r="O7" s="132">
        <v>143.64357056886854</v>
      </c>
      <c r="P7" s="132">
        <v>137.72062336047821</v>
      </c>
      <c r="Q7" s="132">
        <v>134.50875395671346</v>
      </c>
      <c r="R7" s="132">
        <v>132.1363611184571</v>
      </c>
      <c r="S7" s="132">
        <v>133.48424655302065</v>
      </c>
      <c r="T7" s="132">
        <v>137.49734658962137</v>
      </c>
      <c r="U7" s="132">
        <v>147.23209659979588</v>
      </c>
      <c r="V7" s="132">
        <v>139.84186252250248</v>
      </c>
      <c r="W7" s="132">
        <v>146.13965312854043</v>
      </c>
      <c r="X7" s="132">
        <v>158.55012659790344</v>
      </c>
      <c r="Y7" s="132">
        <v>157.27110382510978</v>
      </c>
      <c r="DA7" s="156" t="s">
        <v>305</v>
      </c>
    </row>
    <row r="8" spans="1:105" ht="12" customHeight="1" x14ac:dyDescent="0.25">
      <c r="A8" s="131" t="s">
        <v>73</v>
      </c>
      <c r="B8" s="132">
        <v>0.83219099370117278</v>
      </c>
      <c r="C8" s="132">
        <v>0.93935041823716325</v>
      </c>
      <c r="D8" s="132">
        <v>0.94056693144009307</v>
      </c>
      <c r="E8" s="132">
        <v>1.1654601265922202</v>
      </c>
      <c r="F8" s="132">
        <v>1.2670164354421813</v>
      </c>
      <c r="G8" s="132">
        <v>1.231946707936509</v>
      </c>
      <c r="H8" s="132">
        <v>1.3092576067149082</v>
      </c>
      <c r="I8" s="132">
        <v>1.6265220116042629</v>
      </c>
      <c r="J8" s="132">
        <v>1.8189958055023594</v>
      </c>
      <c r="K8" s="132">
        <v>2.0536520527057713</v>
      </c>
      <c r="L8" s="132">
        <v>2.3409255349253453</v>
      </c>
      <c r="M8" s="132">
        <v>2.8059126387752396</v>
      </c>
      <c r="N8" s="132">
        <v>2.9261032340299358</v>
      </c>
      <c r="O8" s="132">
        <v>3.216016360998577</v>
      </c>
      <c r="P8" s="132">
        <v>4.9202019801204591</v>
      </c>
      <c r="Q8" s="132">
        <v>6.436746938030744</v>
      </c>
      <c r="R8" s="132">
        <v>6.9688386667197939</v>
      </c>
      <c r="S8" s="132">
        <v>7.0907130912760712</v>
      </c>
      <c r="T8" s="132">
        <v>7.5304779673581779</v>
      </c>
      <c r="U8" s="132">
        <v>8.0111796714674171</v>
      </c>
      <c r="V8" s="132">
        <v>8.6396056605654099</v>
      </c>
      <c r="W8" s="132">
        <v>10.490075492114089</v>
      </c>
      <c r="X8" s="132">
        <v>11.772711750375946</v>
      </c>
      <c r="Y8" s="132">
        <v>13.888672722547206</v>
      </c>
      <c r="DA8" s="156" t="s">
        <v>306</v>
      </c>
    </row>
    <row r="9" spans="1:105" ht="12" customHeight="1" x14ac:dyDescent="0.25">
      <c r="A9" s="131" t="s">
        <v>78</v>
      </c>
      <c r="B9" s="132">
        <v>1510.5795033525173</v>
      </c>
      <c r="C9" s="132">
        <v>1653.9511633664124</v>
      </c>
      <c r="D9" s="132">
        <v>1542.5705012826893</v>
      </c>
      <c r="E9" s="132">
        <v>1687.3631061443971</v>
      </c>
      <c r="F9" s="132">
        <v>1904.7010511768142</v>
      </c>
      <c r="G9" s="132">
        <v>1728.3460945055201</v>
      </c>
      <c r="H9" s="132">
        <v>1755.0000289077095</v>
      </c>
      <c r="I9" s="132">
        <v>1541.1904860333486</v>
      </c>
      <c r="J9" s="132">
        <v>1725.775208783878</v>
      </c>
      <c r="K9" s="132">
        <v>1817.3962759218768</v>
      </c>
      <c r="L9" s="132">
        <v>2163.2279534362142</v>
      </c>
      <c r="M9" s="132">
        <v>1686.8728592357127</v>
      </c>
      <c r="N9" s="132">
        <v>1983.0125530176806</v>
      </c>
      <c r="O9" s="132">
        <v>2037.4467492481099</v>
      </c>
      <c r="P9" s="132">
        <v>1557.4548339239323</v>
      </c>
      <c r="Q9" s="132">
        <v>1758.7627057536936</v>
      </c>
      <c r="R9" s="132">
        <v>1798.259930246875</v>
      </c>
      <c r="S9" s="132">
        <v>1810.8130180017904</v>
      </c>
      <c r="T9" s="132">
        <v>1803.7722503240325</v>
      </c>
      <c r="U9" s="132">
        <v>1710.611808564315</v>
      </c>
      <c r="V9" s="132">
        <v>1566.2483278323257</v>
      </c>
      <c r="W9" s="132">
        <v>1753.3656074677929</v>
      </c>
      <c r="X9" s="132">
        <v>1443.9318795667969</v>
      </c>
      <c r="Y9" s="132">
        <v>1354.7661161786014</v>
      </c>
      <c r="DA9" s="156" t="s">
        <v>307</v>
      </c>
    </row>
    <row r="10" spans="1:105" ht="12" customHeight="1" x14ac:dyDescent="0.25">
      <c r="A10" s="131" t="s">
        <v>128</v>
      </c>
      <c r="B10" s="132">
        <v>37.010331316802784</v>
      </c>
      <c r="C10" s="132">
        <v>48.553460525510658</v>
      </c>
      <c r="D10" s="132">
        <v>47.615152902778512</v>
      </c>
      <c r="E10" s="132">
        <v>46.046360253183721</v>
      </c>
      <c r="F10" s="132">
        <v>51.171994669338709</v>
      </c>
      <c r="G10" s="132">
        <v>50.675675570042905</v>
      </c>
      <c r="H10" s="132">
        <v>59.440138896008058</v>
      </c>
      <c r="I10" s="132">
        <v>62.798824996353595</v>
      </c>
      <c r="J10" s="132">
        <v>74.66524049608816</v>
      </c>
      <c r="K10" s="132">
        <v>70.315006125732239</v>
      </c>
      <c r="L10" s="132">
        <v>74.483517599751124</v>
      </c>
      <c r="M10" s="132">
        <v>67.810761555597082</v>
      </c>
      <c r="N10" s="132">
        <v>66.72472984787305</v>
      </c>
      <c r="O10" s="132">
        <v>65.167071896632322</v>
      </c>
      <c r="P10" s="132">
        <v>64.912240852521137</v>
      </c>
      <c r="Q10" s="132">
        <v>60.704856596311885</v>
      </c>
      <c r="R10" s="132">
        <v>60.502711313325598</v>
      </c>
      <c r="S10" s="132">
        <v>78.949646285312213</v>
      </c>
      <c r="T10" s="132">
        <v>86.202886431032283</v>
      </c>
      <c r="U10" s="132">
        <v>95.12662850988572</v>
      </c>
      <c r="V10" s="132">
        <v>97.701910637668618</v>
      </c>
      <c r="W10" s="132">
        <v>92.169069127987214</v>
      </c>
      <c r="X10" s="132">
        <v>76.611742524294087</v>
      </c>
      <c r="Y10" s="132">
        <v>87.215194615382273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202.97856239422472</v>
      </c>
      <c r="C12" s="132">
        <v>195.23422627835583</v>
      </c>
      <c r="D12" s="132">
        <v>297.74294671664893</v>
      </c>
      <c r="E12" s="132">
        <v>244.78498077313188</v>
      </c>
      <c r="F12" s="132">
        <v>247.73836723276614</v>
      </c>
      <c r="G12" s="132">
        <v>173.23679477781599</v>
      </c>
      <c r="H12" s="132">
        <v>204.86448121643764</v>
      </c>
      <c r="I12" s="132">
        <v>243.3335260159248</v>
      </c>
      <c r="J12" s="132">
        <v>218.10787960544636</v>
      </c>
      <c r="K12" s="132">
        <v>265.83887153122987</v>
      </c>
      <c r="L12" s="132">
        <v>236.33471535872755</v>
      </c>
      <c r="M12" s="132">
        <v>211.37886866923344</v>
      </c>
      <c r="N12" s="132">
        <v>111.59575994428891</v>
      </c>
      <c r="O12" s="132">
        <v>100.69270317875785</v>
      </c>
      <c r="P12" s="132">
        <v>100.75355546681462</v>
      </c>
      <c r="Q12" s="132">
        <v>96.26552716019664</v>
      </c>
      <c r="R12" s="132">
        <v>102.06922593464837</v>
      </c>
      <c r="S12" s="132">
        <v>149.04606828701131</v>
      </c>
      <c r="T12" s="132">
        <v>136.91840044265567</v>
      </c>
      <c r="U12" s="132">
        <v>169.02353643884786</v>
      </c>
      <c r="V12" s="132">
        <v>173.90327537043569</v>
      </c>
      <c r="W12" s="132">
        <v>156.30162258777003</v>
      </c>
      <c r="X12" s="132">
        <v>185.72871563332052</v>
      </c>
      <c r="Y12" s="132">
        <v>158.49026428189148</v>
      </c>
      <c r="DA12" s="156" t="s">
        <v>310</v>
      </c>
    </row>
    <row r="13" spans="1:105" ht="12" customHeight="1" x14ac:dyDescent="0.25">
      <c r="A13" s="131" t="s">
        <v>77</v>
      </c>
      <c r="B13" s="132">
        <v>6.0543097739327028</v>
      </c>
      <c r="C13" s="132">
        <v>7.3342911250841647</v>
      </c>
      <c r="D13" s="132">
        <v>9.3085666867650847</v>
      </c>
      <c r="E13" s="132">
        <v>11.067268937485185</v>
      </c>
      <c r="F13" s="132">
        <v>16.341070387249683</v>
      </c>
      <c r="G13" s="132">
        <v>22.55546363786182</v>
      </c>
      <c r="H13" s="132">
        <v>28.291203496077465</v>
      </c>
      <c r="I13" s="132">
        <v>37.899675580156185</v>
      </c>
      <c r="J13" s="132">
        <v>49.007877650557077</v>
      </c>
      <c r="K13" s="132">
        <v>60.716888180591276</v>
      </c>
      <c r="L13" s="132">
        <v>73.971105977631922</v>
      </c>
      <c r="M13" s="132">
        <v>86.563216012086286</v>
      </c>
      <c r="N13" s="132">
        <v>99.396959811488685</v>
      </c>
      <c r="O13" s="132">
        <v>113.53893000734945</v>
      </c>
      <c r="P13" s="132">
        <v>126.85998208888466</v>
      </c>
      <c r="Q13" s="132">
        <v>141.43014142996947</v>
      </c>
      <c r="R13" s="132">
        <v>156.6094178792959</v>
      </c>
      <c r="S13" s="132">
        <v>174.2278346210216</v>
      </c>
      <c r="T13" s="132">
        <v>195.01332538242545</v>
      </c>
      <c r="U13" s="132">
        <v>213.89576562060122</v>
      </c>
      <c r="V13" s="132">
        <v>233.90436491205352</v>
      </c>
      <c r="W13" s="132">
        <v>254.95239143861676</v>
      </c>
      <c r="X13" s="132">
        <v>286.30819357174994</v>
      </c>
      <c r="Y13" s="132">
        <v>323.23732144726711</v>
      </c>
      <c r="DA13" s="156" t="s">
        <v>311</v>
      </c>
    </row>
    <row r="14" spans="1:105" ht="12" customHeight="1" x14ac:dyDescent="0.25">
      <c r="A14" s="60" t="s">
        <v>76</v>
      </c>
      <c r="B14" s="65">
        <v>290.25468228250645</v>
      </c>
      <c r="C14" s="65">
        <v>336.7451097505184</v>
      </c>
      <c r="D14" s="65">
        <v>336.178069620359</v>
      </c>
      <c r="E14" s="65">
        <v>383.6833458308999</v>
      </c>
      <c r="F14" s="65">
        <v>422.40518918444661</v>
      </c>
      <c r="G14" s="65">
        <v>429.28189164857127</v>
      </c>
      <c r="H14" s="65">
        <v>443.15369198514753</v>
      </c>
      <c r="I14" s="65">
        <v>447.50814554428069</v>
      </c>
      <c r="J14" s="65">
        <v>434.97322090452235</v>
      </c>
      <c r="K14" s="65">
        <v>450.24362950265595</v>
      </c>
      <c r="L14" s="65">
        <v>427.24825798509323</v>
      </c>
      <c r="M14" s="65">
        <v>415.67901248776724</v>
      </c>
      <c r="N14" s="65">
        <v>390.67296225646106</v>
      </c>
      <c r="O14" s="65">
        <v>383.40665807935522</v>
      </c>
      <c r="P14" s="65">
        <v>264.6632617303099</v>
      </c>
      <c r="Q14" s="65">
        <v>231.69522816640574</v>
      </c>
      <c r="R14" s="65">
        <v>226.72742282189481</v>
      </c>
      <c r="S14" s="65">
        <v>255.79893651726744</v>
      </c>
      <c r="T14" s="65">
        <v>280.6706359123512</v>
      </c>
      <c r="U14" s="65">
        <v>234.40591929675782</v>
      </c>
      <c r="V14" s="65">
        <v>192.0908068992851</v>
      </c>
      <c r="W14" s="65">
        <v>240.16754583415411</v>
      </c>
      <c r="X14" s="65">
        <v>300.70448137651505</v>
      </c>
      <c r="Y14" s="65">
        <v>302.29763603082034</v>
      </c>
      <c r="DA14" s="109" t="s">
        <v>312</v>
      </c>
    </row>
    <row r="15" spans="1:105" ht="12" customHeight="1" x14ac:dyDescent="0.25">
      <c r="A15" s="133" t="s">
        <v>80</v>
      </c>
      <c r="B15" s="134">
        <v>34.005928711028943</v>
      </c>
      <c r="C15" s="134">
        <v>36.118578782761197</v>
      </c>
      <c r="D15" s="134">
        <v>33.805930203504737</v>
      </c>
      <c r="E15" s="134">
        <v>35.706012175768933</v>
      </c>
      <c r="F15" s="134">
        <v>39.061526889133944</v>
      </c>
      <c r="G15" s="134">
        <v>34.926265356877614</v>
      </c>
      <c r="H15" s="134">
        <v>35.023795009556508</v>
      </c>
      <c r="I15" s="134">
        <v>31.061809328088877</v>
      </c>
      <c r="J15" s="134">
        <v>33.824295094243951</v>
      </c>
      <c r="K15" s="134">
        <v>35.076933872844947</v>
      </c>
      <c r="L15" s="134">
        <v>40.833682426915018</v>
      </c>
      <c r="M15" s="134">
        <v>32.125763220388706</v>
      </c>
      <c r="N15" s="134">
        <v>36.316120986914868</v>
      </c>
      <c r="O15" s="134">
        <v>36.907052071401552</v>
      </c>
      <c r="P15" s="134">
        <v>28.685347523243724</v>
      </c>
      <c r="Q15" s="134">
        <v>31.675939131852839</v>
      </c>
      <c r="R15" s="134">
        <v>32.114738227088885</v>
      </c>
      <c r="S15" s="134">
        <v>32.516253694423582</v>
      </c>
      <c r="T15" s="134">
        <v>32.358512736378444</v>
      </c>
      <c r="U15" s="134">
        <v>31.141960174238978</v>
      </c>
      <c r="V15" s="134">
        <v>28.750496927679901</v>
      </c>
      <c r="W15" s="134">
        <v>31.73893491068435</v>
      </c>
      <c r="X15" s="134">
        <v>26.861540475510633</v>
      </c>
      <c r="Y15" s="134">
        <v>25.445363599607081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80.712257587956799</v>
      </c>
      <c r="C16" s="130">
        <f t="shared" si="6"/>
        <v>97.333338229096157</v>
      </c>
      <c r="D16" s="130">
        <f t="shared" si="6"/>
        <v>112.28584912298854</v>
      </c>
      <c r="E16" s="130">
        <f t="shared" si="6"/>
        <v>138.06210836514086</v>
      </c>
      <c r="F16" s="130">
        <f t="shared" si="6"/>
        <v>143.13570648413352</v>
      </c>
      <c r="G16" s="130">
        <f t="shared" si="6"/>
        <v>166.29212459852303</v>
      </c>
      <c r="H16" s="130">
        <f t="shared" si="6"/>
        <v>211.57934315755008</v>
      </c>
      <c r="I16" s="130">
        <f t="shared" si="6"/>
        <v>231.57530335101438</v>
      </c>
      <c r="J16" s="130">
        <f t="shared" si="6"/>
        <v>262.66361493514029</v>
      </c>
      <c r="K16" s="130">
        <f t="shared" si="6"/>
        <v>288.66020129235295</v>
      </c>
      <c r="L16" s="130">
        <f t="shared" si="6"/>
        <v>320.61784145724425</v>
      </c>
      <c r="M16" s="130">
        <f t="shared" si="6"/>
        <v>332.10219957395526</v>
      </c>
      <c r="N16" s="130">
        <f t="shared" si="6"/>
        <v>348.28783154284372</v>
      </c>
      <c r="O16" s="130">
        <f t="shared" si="6"/>
        <v>362.63296989789887</v>
      </c>
      <c r="P16" s="130">
        <f t="shared" si="6"/>
        <v>372.64643630996943</v>
      </c>
      <c r="Q16" s="130">
        <f t="shared" si="6"/>
        <v>401.97735137917738</v>
      </c>
      <c r="R16" s="130">
        <f t="shared" ref="R16:W16" si="7">SUM(R17:R18)</f>
        <v>407.13736922431599</v>
      </c>
      <c r="S16" s="130">
        <f t="shared" si="7"/>
        <v>414.64819138255314</v>
      </c>
      <c r="T16" s="130">
        <f t="shared" si="7"/>
        <v>474.98783871249401</v>
      </c>
      <c r="U16" s="130">
        <f t="shared" si="7"/>
        <v>490.58594173416162</v>
      </c>
      <c r="V16" s="130">
        <f t="shared" si="7"/>
        <v>494.16371420309281</v>
      </c>
      <c r="W16" s="130">
        <f t="shared" si="7"/>
        <v>452.11760669620236</v>
      </c>
      <c r="X16" s="130">
        <f t="shared" ref="X16:Y16" si="8">SUM(X17:X18)</f>
        <v>481.94034021945919</v>
      </c>
      <c r="Y16" s="130">
        <f t="shared" si="8"/>
        <v>473.75167278311363</v>
      </c>
      <c r="DA16" s="155" t="s">
        <v>314</v>
      </c>
    </row>
    <row r="17" spans="1:105" ht="12.95" customHeight="1" x14ac:dyDescent="0.25">
      <c r="A17" s="131" t="s">
        <v>73</v>
      </c>
      <c r="B17" s="132">
        <v>0.23332571740706087</v>
      </c>
      <c r="C17" s="132">
        <v>0.27466261011619281</v>
      </c>
      <c r="D17" s="132">
        <v>0.3457676541362521</v>
      </c>
      <c r="E17" s="132">
        <v>0.42248071667945242</v>
      </c>
      <c r="F17" s="132">
        <v>0.53633023058848828</v>
      </c>
      <c r="G17" s="132">
        <v>0.65596648654603129</v>
      </c>
      <c r="H17" s="132">
        <v>0.93321462442970238</v>
      </c>
      <c r="I17" s="132">
        <v>1.1771361396902764</v>
      </c>
      <c r="J17" s="132">
        <v>1.4683695595224338</v>
      </c>
      <c r="K17" s="132">
        <v>1.6920661258377294</v>
      </c>
      <c r="L17" s="132">
        <v>1.9519585541605282</v>
      </c>
      <c r="M17" s="132">
        <v>2.1640082356288293</v>
      </c>
      <c r="N17" s="132">
        <v>2.5132766072895181</v>
      </c>
      <c r="O17" s="132">
        <v>3.1282433094351036</v>
      </c>
      <c r="P17" s="132">
        <v>4.2363562157412602</v>
      </c>
      <c r="Q17" s="132">
        <v>5.9357700348977849</v>
      </c>
      <c r="R17" s="132">
        <v>7.6635629843510307</v>
      </c>
      <c r="S17" s="132">
        <v>9.2871142841800225</v>
      </c>
      <c r="T17" s="132">
        <v>10.746545244811925</v>
      </c>
      <c r="U17" s="132">
        <v>12.026495946124912</v>
      </c>
      <c r="V17" s="132">
        <v>13.109918312485132</v>
      </c>
      <c r="W17" s="132">
        <v>14.002753057010301</v>
      </c>
      <c r="X17" s="132">
        <v>12.724309510857925</v>
      </c>
      <c r="Y17" s="132">
        <v>12.374333322749175</v>
      </c>
      <c r="DA17" s="156" t="s">
        <v>315</v>
      </c>
    </row>
    <row r="18" spans="1:105" ht="12" customHeight="1" x14ac:dyDescent="0.25">
      <c r="A18" s="131" t="s">
        <v>72</v>
      </c>
      <c r="B18" s="132">
        <v>80.478931870549744</v>
      </c>
      <c r="C18" s="132">
        <v>97.058675618979962</v>
      </c>
      <c r="D18" s="132">
        <v>111.94008146885228</v>
      </c>
      <c r="E18" s="132">
        <v>137.63962764846141</v>
      </c>
      <c r="F18" s="132">
        <v>142.59937625354505</v>
      </c>
      <c r="G18" s="132">
        <v>165.63615811197701</v>
      </c>
      <c r="H18" s="132">
        <v>210.64612853312039</v>
      </c>
      <c r="I18" s="132">
        <v>230.39816721132411</v>
      </c>
      <c r="J18" s="132">
        <v>261.19524537561784</v>
      </c>
      <c r="K18" s="132">
        <v>286.9681351665152</v>
      </c>
      <c r="L18" s="132">
        <v>318.66588290308374</v>
      </c>
      <c r="M18" s="132">
        <v>329.93819133832642</v>
      </c>
      <c r="N18" s="132">
        <v>345.77455493555419</v>
      </c>
      <c r="O18" s="132">
        <v>359.50472658846377</v>
      </c>
      <c r="P18" s="132">
        <v>368.41008009422819</v>
      </c>
      <c r="Q18" s="132">
        <v>396.04158134427962</v>
      </c>
      <c r="R18" s="132">
        <v>399.47380623996497</v>
      </c>
      <c r="S18" s="132">
        <v>405.36107709837313</v>
      </c>
      <c r="T18" s="132">
        <v>464.24129346768211</v>
      </c>
      <c r="U18" s="132">
        <v>478.55944578803673</v>
      </c>
      <c r="V18" s="132">
        <v>481.05379589060766</v>
      </c>
      <c r="W18" s="132">
        <v>438.11485363919206</v>
      </c>
      <c r="X18" s="132">
        <v>469.21603070860124</v>
      </c>
      <c r="Y18" s="132">
        <v>461.37733946036445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516.72779831667049</v>
      </c>
      <c r="C19" s="130">
        <f t="shared" si="9"/>
        <v>517.8545590099294</v>
      </c>
      <c r="D19" s="130">
        <f t="shared" si="9"/>
        <v>520.64597638327166</v>
      </c>
      <c r="E19" s="130">
        <f t="shared" si="9"/>
        <v>519.15798263128283</v>
      </c>
      <c r="F19" s="130">
        <f t="shared" si="9"/>
        <v>519.79706292906008</v>
      </c>
      <c r="G19" s="130">
        <f t="shared" si="9"/>
        <v>520.10932637668623</v>
      </c>
      <c r="H19" s="130">
        <f t="shared" si="9"/>
        <v>519.72980850149679</v>
      </c>
      <c r="I19" s="130">
        <f t="shared" si="9"/>
        <v>519.91759106048153</v>
      </c>
      <c r="J19" s="130">
        <f t="shared" si="9"/>
        <v>520.3697009556264</v>
      </c>
      <c r="K19" s="130">
        <f t="shared" si="9"/>
        <v>522.93645727824537</v>
      </c>
      <c r="L19" s="130">
        <f t="shared" si="9"/>
        <v>525.53226588938605</v>
      </c>
      <c r="M19" s="130">
        <f t="shared" si="9"/>
        <v>528.60502707075932</v>
      </c>
      <c r="N19" s="130">
        <f t="shared" si="9"/>
        <v>531.34398673115811</v>
      </c>
      <c r="O19" s="130">
        <f t="shared" si="9"/>
        <v>529.63706003408117</v>
      </c>
      <c r="P19" s="130">
        <f t="shared" si="9"/>
        <v>529.67902768525141</v>
      </c>
      <c r="Q19" s="130">
        <f t="shared" si="9"/>
        <v>540.32096900317697</v>
      </c>
      <c r="R19" s="130">
        <f t="shared" ref="R19:W19" si="10">SUM(R20:R27)</f>
        <v>536.90848714486003</v>
      </c>
      <c r="S19" s="130">
        <f t="shared" si="10"/>
        <v>541.1295154325046</v>
      </c>
      <c r="T19" s="130">
        <f t="shared" si="10"/>
        <v>544.56913662727743</v>
      </c>
      <c r="U19" s="130">
        <f t="shared" si="10"/>
        <v>548.33373561827523</v>
      </c>
      <c r="V19" s="130">
        <f t="shared" si="10"/>
        <v>537.62763720300029</v>
      </c>
      <c r="W19" s="130">
        <f t="shared" si="10"/>
        <v>559.44191616604667</v>
      </c>
      <c r="X19" s="130">
        <f t="shared" ref="X19:Y19" si="11">SUM(X20:X27)</f>
        <v>568.83697270541415</v>
      </c>
      <c r="Y19" s="130">
        <f t="shared" si="11"/>
        <v>576.02643653489838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20.359716155875944</v>
      </c>
      <c r="C22" s="132">
        <v>19.881528941140644</v>
      </c>
      <c r="D22" s="132">
        <v>19.476853205913169</v>
      </c>
      <c r="E22" s="132">
        <v>19.131866632499044</v>
      </c>
      <c r="F22" s="132">
        <v>19.089083797052542</v>
      </c>
      <c r="G22" s="132">
        <v>19.050891438016304</v>
      </c>
      <c r="H22" s="132">
        <v>18.88210473930685</v>
      </c>
      <c r="I22" s="132">
        <v>18.878531360501775</v>
      </c>
      <c r="J22" s="132">
        <v>19.164330107429421</v>
      </c>
      <c r="K22" s="132">
        <v>19.26405696121838</v>
      </c>
      <c r="L22" s="132">
        <v>19.139894653230368</v>
      </c>
      <c r="M22" s="132">
        <v>19.30797099353752</v>
      </c>
      <c r="N22" s="132">
        <v>19.978617263729308</v>
      </c>
      <c r="O22" s="132">
        <v>20.312599366148397</v>
      </c>
      <c r="P22" s="132">
        <v>20.599329791523303</v>
      </c>
      <c r="Q22" s="132">
        <v>22.25648670832943</v>
      </c>
      <c r="R22" s="132">
        <v>22.654138968754062</v>
      </c>
      <c r="S22" s="132">
        <v>22.905433852493637</v>
      </c>
      <c r="T22" s="132">
        <v>23.489231797085449</v>
      </c>
      <c r="U22" s="132">
        <v>23.864295795656453</v>
      </c>
      <c r="V22" s="132">
        <v>23.305779321071267</v>
      </c>
      <c r="W22" s="132">
        <v>25.13910954288637</v>
      </c>
      <c r="X22" s="132">
        <v>24.060527609989681</v>
      </c>
      <c r="Y22" s="132">
        <v>25.020623974685382</v>
      </c>
      <c r="DA22" s="156" t="s">
        <v>320</v>
      </c>
    </row>
    <row r="23" spans="1:105" ht="12" customHeight="1" x14ac:dyDescent="0.25">
      <c r="A23" s="131" t="s">
        <v>149</v>
      </c>
      <c r="B23" s="132">
        <v>149.40023835949307</v>
      </c>
      <c r="C23" s="132">
        <v>154.01158594509707</v>
      </c>
      <c r="D23" s="132">
        <v>166.06463262790552</v>
      </c>
      <c r="E23" s="132">
        <v>161.44373894959389</v>
      </c>
      <c r="F23" s="132">
        <v>162.01282172100096</v>
      </c>
      <c r="G23" s="132">
        <v>163.85902844658116</v>
      </c>
      <c r="H23" s="132">
        <v>166.8627858849552</v>
      </c>
      <c r="I23" s="132">
        <v>165.93592936983106</v>
      </c>
      <c r="J23" s="132">
        <v>166.84177381146199</v>
      </c>
      <c r="K23" s="132">
        <v>171.00404367077101</v>
      </c>
      <c r="L23" s="132">
        <v>174.50073777717228</v>
      </c>
      <c r="M23" s="132">
        <v>177.09969134531693</v>
      </c>
      <c r="N23" s="132">
        <v>195.4604771885854</v>
      </c>
      <c r="O23" s="132">
        <v>198.70322577627635</v>
      </c>
      <c r="P23" s="132">
        <v>183.04117645244048</v>
      </c>
      <c r="Q23" s="132">
        <v>179.43609860313884</v>
      </c>
      <c r="R23" s="132">
        <v>183.99719920275993</v>
      </c>
      <c r="S23" s="132">
        <v>197.98641834028214</v>
      </c>
      <c r="T23" s="132">
        <v>195.78161254996957</v>
      </c>
      <c r="U23" s="132">
        <v>188.98506793862811</v>
      </c>
      <c r="V23" s="132">
        <v>156.36529222540318</v>
      </c>
      <c r="W23" s="132">
        <v>159.28899020269913</v>
      </c>
      <c r="X23" s="132">
        <v>163.75653911874733</v>
      </c>
      <c r="Y23" s="132">
        <v>169.92812022424465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40.597195696264507</v>
      </c>
      <c r="C25" s="132">
        <v>39.706582442077568</v>
      </c>
      <c r="D25" s="132">
        <v>39.062729957489431</v>
      </c>
      <c r="E25" s="132">
        <v>37.420475886113991</v>
      </c>
      <c r="F25" s="132">
        <v>35.985196356634667</v>
      </c>
      <c r="G25" s="132">
        <v>35.404386136610817</v>
      </c>
      <c r="H25" s="132">
        <v>34.94168568714904</v>
      </c>
      <c r="I25" s="132">
        <v>34.864650876334977</v>
      </c>
      <c r="J25" s="132">
        <v>34.738654545707853</v>
      </c>
      <c r="K25" s="132">
        <v>35.678949082319427</v>
      </c>
      <c r="L25" s="132">
        <v>35.806247471638073</v>
      </c>
      <c r="M25" s="132">
        <v>35.827443954763467</v>
      </c>
      <c r="N25" s="132">
        <v>35.515425815637201</v>
      </c>
      <c r="O25" s="132">
        <v>33.641112970171989</v>
      </c>
      <c r="P25" s="132">
        <v>31.188646078248542</v>
      </c>
      <c r="Q25" s="132">
        <v>30.843253611708896</v>
      </c>
      <c r="R25" s="132">
        <v>30.905563619034474</v>
      </c>
      <c r="S25" s="132">
        <v>31.090369180793417</v>
      </c>
      <c r="T25" s="132">
        <v>31.600543511375541</v>
      </c>
      <c r="U25" s="132">
        <v>30.962826276312786</v>
      </c>
      <c r="V25" s="132">
        <v>30.492232020851908</v>
      </c>
      <c r="W25" s="132">
        <v>30.223423749336156</v>
      </c>
      <c r="X25" s="132">
        <v>30.840978703464746</v>
      </c>
      <c r="Y25" s="132">
        <v>31.455456358965925</v>
      </c>
      <c r="DA25" s="156" t="s">
        <v>323</v>
      </c>
    </row>
    <row r="26" spans="1:105" ht="12" customHeight="1" x14ac:dyDescent="0.25">
      <c r="A26" s="131" t="s">
        <v>24</v>
      </c>
      <c r="B26" s="65">
        <v>304.19713133805504</v>
      </c>
      <c r="C26" s="65">
        <v>301.81866219752129</v>
      </c>
      <c r="D26" s="65">
        <v>293.29507099609071</v>
      </c>
      <c r="E26" s="65">
        <v>298.17634656290386</v>
      </c>
      <c r="F26" s="65">
        <v>299.48554144990061</v>
      </c>
      <c r="G26" s="65">
        <v>298.35563944404197</v>
      </c>
      <c r="H26" s="65">
        <v>295.43669736635394</v>
      </c>
      <c r="I26" s="65">
        <v>296.41698332311734</v>
      </c>
      <c r="J26" s="65">
        <v>295.58848505336601</v>
      </c>
      <c r="K26" s="65">
        <v>292.57074892249204</v>
      </c>
      <c r="L26" s="65">
        <v>291.33233353678639</v>
      </c>
      <c r="M26" s="65">
        <v>291.40190701961785</v>
      </c>
      <c r="N26" s="65">
        <v>275.2782024907213</v>
      </c>
      <c r="O26" s="65">
        <v>271.70161805218089</v>
      </c>
      <c r="P26" s="65">
        <v>289.45193899158591</v>
      </c>
      <c r="Q26" s="65">
        <v>302.36329001121231</v>
      </c>
      <c r="R26" s="65">
        <v>293.8820238753778</v>
      </c>
      <c r="S26" s="65">
        <v>283.70163627733615</v>
      </c>
      <c r="T26" s="65">
        <v>288.18037989524413</v>
      </c>
      <c r="U26" s="65">
        <v>298.88474423192548</v>
      </c>
      <c r="V26" s="65">
        <v>321.851435957256</v>
      </c>
      <c r="W26" s="65">
        <v>339.22530238737619</v>
      </c>
      <c r="X26" s="65">
        <v>344.58993329212899</v>
      </c>
      <c r="Y26" s="65">
        <v>344.00933829858451</v>
      </c>
      <c r="DA26" s="109" t="s">
        <v>324</v>
      </c>
    </row>
    <row r="27" spans="1:105" ht="12" customHeight="1" x14ac:dyDescent="0.25">
      <c r="A27" s="144" t="s">
        <v>26</v>
      </c>
      <c r="B27" s="145">
        <v>2.1735167669819431</v>
      </c>
      <c r="C27" s="145">
        <v>2.4361994840928638</v>
      </c>
      <c r="D27" s="145">
        <v>2.7466895958727431</v>
      </c>
      <c r="E27" s="145">
        <v>2.9855546001719691</v>
      </c>
      <c r="F27" s="145">
        <v>3.2244196044711955</v>
      </c>
      <c r="G27" s="145">
        <v>3.4393809114359417</v>
      </c>
      <c r="H27" s="145">
        <v>3.6065348237317272</v>
      </c>
      <c r="I27" s="145">
        <v>3.8214961306964756</v>
      </c>
      <c r="J27" s="145">
        <v>4.0364574376612206</v>
      </c>
      <c r="K27" s="145">
        <v>4.418658641444539</v>
      </c>
      <c r="L27" s="145">
        <v>4.7530524505589016</v>
      </c>
      <c r="M27" s="145">
        <v>4.9680137575236447</v>
      </c>
      <c r="N27" s="145">
        <v>5.1112639724849531</v>
      </c>
      <c r="O27" s="145">
        <v>5.2785038693035249</v>
      </c>
      <c r="P27" s="145">
        <v>5.397936371453139</v>
      </c>
      <c r="Q27" s="145">
        <v>5.4218400687876152</v>
      </c>
      <c r="R27" s="145">
        <v>5.4695614789337892</v>
      </c>
      <c r="S27" s="145">
        <v>5.4456577815993157</v>
      </c>
      <c r="T27" s="145">
        <v>5.5173688736027504</v>
      </c>
      <c r="U27" s="145">
        <v>5.6368013757523627</v>
      </c>
      <c r="V27" s="145">
        <v>5.6128976784178866</v>
      </c>
      <c r="W27" s="145">
        <v>5.56509028374892</v>
      </c>
      <c r="X27" s="145">
        <v>5.5889939810834086</v>
      </c>
      <c r="Y27" s="145">
        <v>5.612897678417891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446.03508033940716</v>
      </c>
      <c r="C29" s="130">
        <f t="shared" si="12"/>
        <v>449.08720883701847</v>
      </c>
      <c r="D29" s="130">
        <f t="shared" si="12"/>
        <v>453.60698592229983</v>
      </c>
      <c r="E29" s="130">
        <f t="shared" si="12"/>
        <v>458.2824178498567</v>
      </c>
      <c r="F29" s="130">
        <f t="shared" si="12"/>
        <v>462.75376051321973</v>
      </c>
      <c r="G29" s="130">
        <f t="shared" si="12"/>
        <v>470.91537829951676</v>
      </c>
      <c r="H29" s="130">
        <f t="shared" si="12"/>
        <v>477.36775519932621</v>
      </c>
      <c r="I29" s="130">
        <f t="shared" si="12"/>
        <v>486.04373250020979</v>
      </c>
      <c r="J29" s="130">
        <f t="shared" si="12"/>
        <v>493.65595976996906</v>
      </c>
      <c r="K29" s="130">
        <f t="shared" si="12"/>
        <v>499.31632731826267</v>
      </c>
      <c r="L29" s="130">
        <f t="shared" si="12"/>
        <v>504.32653398440789</v>
      </c>
      <c r="M29" s="130">
        <f t="shared" si="12"/>
        <v>504.69965506302532</v>
      </c>
      <c r="N29" s="130">
        <f t="shared" si="12"/>
        <v>506.14987334365065</v>
      </c>
      <c r="O29" s="130">
        <f t="shared" si="12"/>
        <v>507.01984083495529</v>
      </c>
      <c r="P29" s="130">
        <f t="shared" si="12"/>
        <v>509.58417898555638</v>
      </c>
      <c r="Q29" s="130">
        <f t="shared" si="12"/>
        <v>517.13952478984174</v>
      </c>
      <c r="R29" s="130">
        <f t="shared" ref="R29:W29" si="13">SUM(R30:R33)</f>
        <v>514.06397363975429</v>
      </c>
      <c r="S29" s="130">
        <f t="shared" si="13"/>
        <v>511.4172978594201</v>
      </c>
      <c r="T29" s="130">
        <f t="shared" si="13"/>
        <v>496.47316284584417</v>
      </c>
      <c r="U29" s="130">
        <f t="shared" si="13"/>
        <v>482.28746390482257</v>
      </c>
      <c r="V29" s="130">
        <f t="shared" si="13"/>
        <v>492.81035267680807</v>
      </c>
      <c r="W29" s="130">
        <f t="shared" si="13"/>
        <v>519.82108211297214</v>
      </c>
      <c r="X29" s="130">
        <f t="shared" ref="X29:Y29" si="14">SUM(X30:X33)</f>
        <v>536.16614064628345</v>
      </c>
      <c r="Y29" s="130">
        <f t="shared" si="14"/>
        <v>545.11730395247503</v>
      </c>
      <c r="DA29" s="155" t="s">
        <v>326</v>
      </c>
    </row>
    <row r="30" spans="1:105" ht="12" customHeight="1" x14ac:dyDescent="0.25">
      <c r="A30" s="131" t="s">
        <v>52</v>
      </c>
      <c r="B30" s="132">
        <v>25.084171860708572</v>
      </c>
      <c r="C30" s="132">
        <v>28.99952679318147</v>
      </c>
      <c r="D30" s="132">
        <v>32.915073711689175</v>
      </c>
      <c r="E30" s="132">
        <v>30.367918512031554</v>
      </c>
      <c r="F30" s="132">
        <v>34.290929251290777</v>
      </c>
      <c r="G30" s="132">
        <v>33.676244928040049</v>
      </c>
      <c r="H30" s="132">
        <v>42.782881762253353</v>
      </c>
      <c r="I30" s="132">
        <v>21.405758054007418</v>
      </c>
      <c r="J30" s="132">
        <v>17.526060874286724</v>
      </c>
      <c r="K30" s="132">
        <v>27.95717081073321</v>
      </c>
      <c r="L30" s="132">
        <v>33.847716455949175</v>
      </c>
      <c r="M30" s="132">
        <v>18.878483750574723</v>
      </c>
      <c r="N30" s="132">
        <v>25.393507223203677</v>
      </c>
      <c r="O30" s="132">
        <v>24.100044461259476</v>
      </c>
      <c r="P30" s="132">
        <v>3.9103722235187655</v>
      </c>
      <c r="Q30" s="132">
        <v>26.699850003627652</v>
      </c>
      <c r="R30" s="132">
        <v>26.610353524358729</v>
      </c>
      <c r="S30" s="132">
        <v>25.520354763034327</v>
      </c>
      <c r="T30" s="132">
        <v>25.037481220264759</v>
      </c>
      <c r="U30" s="132">
        <v>24.720693484443256</v>
      </c>
      <c r="V30" s="132">
        <v>24.690673284791181</v>
      </c>
      <c r="W30" s="132">
        <v>29.498453385518292</v>
      </c>
      <c r="X30" s="132">
        <v>24.670999567473316</v>
      </c>
      <c r="Y30" s="132">
        <v>23.895222277345344</v>
      </c>
      <c r="DA30" s="156" t="s">
        <v>327</v>
      </c>
    </row>
    <row r="31" spans="1:105" ht="12" customHeight="1" x14ac:dyDescent="0.25">
      <c r="A31" s="131" t="s">
        <v>149</v>
      </c>
      <c r="B31" s="132">
        <v>136.42732903768635</v>
      </c>
      <c r="C31" s="132">
        <v>138.50020649632353</v>
      </c>
      <c r="D31" s="132">
        <v>138.57066695240417</v>
      </c>
      <c r="E31" s="132">
        <v>144.61589102768733</v>
      </c>
      <c r="F31" s="132">
        <v>143.5877467288652</v>
      </c>
      <c r="G31" s="132">
        <v>144.92646784560023</v>
      </c>
      <c r="H31" s="132">
        <v>138.56490500817108</v>
      </c>
      <c r="I31" s="132">
        <v>160.59692775326673</v>
      </c>
      <c r="J31" s="132">
        <v>167.82674664169943</v>
      </c>
      <c r="K31" s="132">
        <v>157.19896046513853</v>
      </c>
      <c r="L31" s="132">
        <v>149.5088890545874</v>
      </c>
      <c r="M31" s="132">
        <v>163.35297772894523</v>
      </c>
      <c r="N31" s="132">
        <v>154.69066183741464</v>
      </c>
      <c r="O31" s="132">
        <v>155.71797904959035</v>
      </c>
      <c r="P31" s="132">
        <v>174.52001531993798</v>
      </c>
      <c r="Q31" s="132">
        <v>146.2037563725863</v>
      </c>
      <c r="R31" s="132">
        <v>142.0723842226509</v>
      </c>
      <c r="S31" s="132">
        <v>136.17200592078524</v>
      </c>
      <c r="T31" s="132">
        <v>116.28858515944921</v>
      </c>
      <c r="U31" s="132">
        <v>95.17593078461401</v>
      </c>
      <c r="V31" s="132">
        <v>104.46683922227545</v>
      </c>
      <c r="W31" s="132">
        <v>113.06147118696832</v>
      </c>
      <c r="X31" s="132">
        <v>114.19333787943108</v>
      </c>
      <c r="Y31" s="132">
        <v>115.33908362261539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284.52357944101226</v>
      </c>
      <c r="C33" s="68">
        <v>281.58747554751346</v>
      </c>
      <c r="D33" s="68">
        <v>282.1212452582065</v>
      </c>
      <c r="E33" s="68">
        <v>283.29860831013781</v>
      </c>
      <c r="F33" s="68">
        <v>284.87508453306378</v>
      </c>
      <c r="G33" s="68">
        <v>292.31266552587647</v>
      </c>
      <c r="H33" s="68">
        <v>296.01996842890179</v>
      </c>
      <c r="I33" s="68">
        <v>304.04104669293565</v>
      </c>
      <c r="J33" s="68">
        <v>308.30315225398289</v>
      </c>
      <c r="K33" s="68">
        <v>314.16019604239091</v>
      </c>
      <c r="L33" s="68">
        <v>320.96992847387128</v>
      </c>
      <c r="M33" s="68">
        <v>322.46819358350535</v>
      </c>
      <c r="N33" s="68">
        <v>326.06570428303235</v>
      </c>
      <c r="O33" s="68">
        <v>327.20181732410549</v>
      </c>
      <c r="P33" s="68">
        <v>331.15379144209959</v>
      </c>
      <c r="Q33" s="68">
        <v>344.23591841362781</v>
      </c>
      <c r="R33" s="68">
        <v>345.3812358927446</v>
      </c>
      <c r="S33" s="68">
        <v>349.72493717560053</v>
      </c>
      <c r="T33" s="68">
        <v>355.14709646613022</v>
      </c>
      <c r="U33" s="68">
        <v>362.3908396357653</v>
      </c>
      <c r="V33" s="68">
        <v>363.65284016974147</v>
      </c>
      <c r="W33" s="68">
        <v>377.2611575404855</v>
      </c>
      <c r="X33" s="68">
        <v>397.30180319937904</v>
      </c>
      <c r="Y33" s="68">
        <v>405.88299805251427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0.62653807708887022</v>
      </c>
      <c r="C3" s="126">
        <f>IF(SER_hh_tes!C3=0,"",SER_hh_tes!C3/SER_hh_fec!C3)</f>
        <v>0.62965632649225034</v>
      </c>
      <c r="D3" s="126">
        <f>IF(SER_hh_tes!D3=0,"",SER_hh_tes!D3/SER_hh_fec!D3)</f>
        <v>0.64371431315471872</v>
      </c>
      <c r="E3" s="126">
        <f>IF(SER_hh_tes!E3=0,"",SER_hh_tes!E3/SER_hh_fec!E3)</f>
        <v>0.64657129115294221</v>
      </c>
      <c r="F3" s="126">
        <f>IF(SER_hh_tes!F3=0,"",SER_hh_tes!F3/SER_hh_fec!F3)</f>
        <v>0.64809490849300055</v>
      </c>
      <c r="G3" s="126">
        <f>IF(SER_hh_tes!G3=0,"",SER_hh_tes!G3/SER_hh_fec!G3)</f>
        <v>0.65909924451129864</v>
      </c>
      <c r="H3" s="126">
        <f>IF(SER_hh_tes!H3=0,"",SER_hh_tes!H3/SER_hh_fec!H3)</f>
        <v>0.67301119440677248</v>
      </c>
      <c r="I3" s="126">
        <f>IF(SER_hh_tes!I3=0,"",SER_hh_tes!I3/SER_hh_fec!I3)</f>
        <v>0.69247433901173516</v>
      </c>
      <c r="J3" s="126">
        <f>IF(SER_hh_tes!J3=0,"",SER_hh_tes!J3/SER_hh_fec!J3)</f>
        <v>0.69763764679938134</v>
      </c>
      <c r="K3" s="126">
        <f>IF(SER_hh_tes!K3=0,"",SER_hh_tes!K3/SER_hh_fec!K3)</f>
        <v>0.70900234179188149</v>
      </c>
      <c r="L3" s="126">
        <f>IF(SER_hh_tes!L3=0,"",SER_hh_tes!L3/SER_hh_fec!L3)</f>
        <v>0.71092849372321376</v>
      </c>
      <c r="M3" s="126">
        <f>IF(SER_hh_tes!M3=0,"",SER_hh_tes!M3/SER_hh_fec!M3)</f>
        <v>0.73794676132923531</v>
      </c>
      <c r="N3" s="126">
        <f>IF(SER_hh_tes!N3=0,"",SER_hh_tes!N3/SER_hh_fec!N3)</f>
        <v>0.74084904387628026</v>
      </c>
      <c r="O3" s="126">
        <f>IF(SER_hh_tes!O3=0,"",SER_hh_tes!O3/SER_hh_fec!O3)</f>
        <v>0.75486941602224267</v>
      </c>
      <c r="P3" s="126">
        <f>IF(SER_hh_tes!P3=0,"",SER_hh_tes!P3/SER_hh_fec!P3)</f>
        <v>0.77949967528310971</v>
      </c>
      <c r="Q3" s="126">
        <f>IF(SER_hh_tes!Q3=0,"",SER_hh_tes!Q3/SER_hh_fec!Q3)</f>
        <v>0.78815950809922208</v>
      </c>
      <c r="R3" s="126">
        <f>IF(SER_hh_tes!R3=0,"",SER_hh_tes!R3/SER_hh_fec!R3)</f>
        <v>0.79969634439824155</v>
      </c>
      <c r="S3" s="126">
        <f>IF(SER_hh_tes!S3=0,"",SER_hh_tes!S3/SER_hh_fec!S3)</f>
        <v>0.814726111706224</v>
      </c>
      <c r="T3" s="126">
        <f>IF(SER_hh_tes!T3=0,"",SER_hh_tes!T3/SER_hh_fec!T3)</f>
        <v>0.84074656949710924</v>
      </c>
      <c r="U3" s="126">
        <f>IF(SER_hh_tes!U3=0,"",SER_hh_tes!U3/SER_hh_fec!U3)</f>
        <v>0.86469298892532853</v>
      </c>
      <c r="V3" s="126">
        <f>IF(SER_hh_tes!V3=0,"",SER_hh_tes!V3/SER_hh_fec!V3)</f>
        <v>0.89056231752279613</v>
      </c>
      <c r="W3" s="126">
        <f>IF(SER_hh_tes!W3=0,"",SER_hh_tes!W3/SER_hh_fec!W3)</f>
        <v>0.89139426074118977</v>
      </c>
      <c r="X3" s="126">
        <f>IF(SER_hh_tes!X3=0,"",SER_hh_tes!X3/SER_hh_fec!X3)</f>
        <v>0.93192056794461342</v>
      </c>
      <c r="Y3" s="126">
        <f>IF(SER_hh_tes!Y3=0,"",SER_hh_tes!Y3/SER_hh_fec!Y3)</f>
        <v>0.95496907480568594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0.58706217225888524</v>
      </c>
      <c r="C4" s="135">
        <f>IF(SER_hh_tes!C4=0,"",SER_hh_tes!C4/SER_hh_fec!C4)</f>
        <v>0.59062017949506374</v>
      </c>
      <c r="D4" s="135">
        <f>IF(SER_hh_tes!D4=0,"",SER_hh_tes!D4/SER_hh_fec!D4)</f>
        <v>0.60530935793859586</v>
      </c>
      <c r="E4" s="135">
        <f>IF(SER_hh_tes!E4=0,"",SER_hh_tes!E4/SER_hh_fec!E4)</f>
        <v>0.60559106128354723</v>
      </c>
      <c r="F4" s="135">
        <f>IF(SER_hh_tes!F4=0,"",SER_hh_tes!F4/SER_hh_fec!F4)</f>
        <v>0.60936772404746886</v>
      </c>
      <c r="G4" s="135">
        <f>IF(SER_hh_tes!G4=0,"",SER_hh_tes!G4/SER_hh_fec!G4)</f>
        <v>0.61445719093550233</v>
      </c>
      <c r="H4" s="135">
        <f>IF(SER_hh_tes!H4=0,"",SER_hh_tes!H4/SER_hh_fec!H4)</f>
        <v>0.6243643809285403</v>
      </c>
      <c r="I4" s="135">
        <f>IF(SER_hh_tes!I4=0,"",SER_hh_tes!I4/SER_hh_fec!I4)</f>
        <v>0.64062016664665433</v>
      </c>
      <c r="J4" s="135">
        <f>IF(SER_hh_tes!J4=0,"",SER_hh_tes!J4/SER_hh_fec!J4)</f>
        <v>0.64320621010785695</v>
      </c>
      <c r="K4" s="135">
        <f>IF(SER_hh_tes!K4=0,"",SER_hh_tes!K4/SER_hh_fec!K4)</f>
        <v>0.65455572401778195</v>
      </c>
      <c r="L4" s="135">
        <f>IF(SER_hh_tes!L4=0,"",SER_hh_tes!L4/SER_hh_fec!L4)</f>
        <v>0.6560477632770555</v>
      </c>
      <c r="M4" s="135">
        <f>IF(SER_hh_tes!M4=0,"",SER_hh_tes!M4/SER_hh_fec!M4)</f>
        <v>0.67627383910191297</v>
      </c>
      <c r="N4" s="135">
        <f>IF(SER_hh_tes!N4=0,"",SER_hh_tes!N4/SER_hh_fec!N4)</f>
        <v>0.6792421326193937</v>
      </c>
      <c r="O4" s="135">
        <f>IF(SER_hh_tes!O4=0,"",SER_hh_tes!O4/SER_hh_fec!O4)</f>
        <v>0.6933581673591166</v>
      </c>
      <c r="P4" s="135">
        <f>IF(SER_hh_tes!P4=0,"",SER_hh_tes!P4/SER_hh_fec!P4)</f>
        <v>0.70677238038778134</v>
      </c>
      <c r="Q4" s="135">
        <f>IF(SER_hh_tes!Q4=0,"",SER_hh_tes!Q4/SER_hh_fec!Q4)</f>
        <v>0.71391005813487518</v>
      </c>
      <c r="R4" s="135">
        <f>IF(SER_hh_tes!R4=0,"",SER_hh_tes!R4/SER_hh_fec!R4)</f>
        <v>0.72624182151153027</v>
      </c>
      <c r="S4" s="135">
        <f>IF(SER_hh_tes!S4=0,"",SER_hh_tes!S4/SER_hh_fec!S4)</f>
        <v>0.74361008145551566</v>
      </c>
      <c r="T4" s="135">
        <f>IF(SER_hh_tes!T4=0,"",SER_hh_tes!T4/SER_hh_fec!T4)</f>
        <v>0.76003588329734195</v>
      </c>
      <c r="U4" s="135">
        <f>IF(SER_hh_tes!U4=0,"",SER_hh_tes!U4/SER_hh_fec!U4)</f>
        <v>0.77923418049081783</v>
      </c>
      <c r="V4" s="135">
        <f>IF(SER_hh_tes!V4=0,"",SER_hh_tes!V4/SER_hh_fec!V4)</f>
        <v>0.80258773526811311</v>
      </c>
      <c r="W4" s="135">
        <f>IF(SER_hh_tes!W4=0,"",SER_hh_tes!W4/SER_hh_fec!W4)</f>
        <v>0.81837738432587304</v>
      </c>
      <c r="X4" s="135">
        <f>IF(SER_hh_tes!X4=0,"",SER_hh_tes!X4/SER_hh_fec!X4)</f>
        <v>0.85604388530528097</v>
      </c>
      <c r="Y4" s="135">
        <f>IF(SER_hh_tes!Y4=0,"",SER_hh_tes!Y4/SER_hh_fec!Y4)</f>
        <v>0.88415702011044772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0.58541243908858287</v>
      </c>
      <c r="C5" s="136">
        <f>IF(SER_hh_tes!C5=0,"",SER_hh_tes!C5/SER_hh_fec!C5)</f>
        <v>0.58999608360184719</v>
      </c>
      <c r="D5" s="136">
        <f>IF(SER_hh_tes!D5=0,"",SER_hh_tes!D5/SER_hh_fec!D5)</f>
        <v>0.60718758354297053</v>
      </c>
      <c r="E5" s="136">
        <f>IF(SER_hh_tes!E5=0,"",SER_hh_tes!E5/SER_hh_fec!E5)</f>
        <v>0.62483836875554299</v>
      </c>
      <c r="F5" s="136">
        <f>IF(SER_hh_tes!F5=0,"",SER_hh_tes!F5/SER_hh_fec!F5)</f>
        <v>0.63016751461240539</v>
      </c>
      <c r="G5" s="136">
        <f>IF(SER_hh_tes!G5=0,"",SER_hh_tes!G5/SER_hh_fec!G5)</f>
        <v>0.6530483204397568</v>
      </c>
      <c r="H5" s="136">
        <f>IF(SER_hh_tes!H5=0,"",SER_hh_tes!H5/SER_hh_fec!H5)</f>
        <v>0.66998670113992231</v>
      </c>
      <c r="I5" s="136">
        <f>IF(SER_hh_tes!I5=0,"",SER_hh_tes!I5/SER_hh_fec!I5)</f>
        <v>0.68452474120848927</v>
      </c>
      <c r="J5" s="136">
        <f>IF(SER_hh_tes!J5=0,"",SER_hh_tes!J5/SER_hh_fec!J5)</f>
        <v>0.69182559639670349</v>
      </c>
      <c r="K5" s="136">
        <f>IF(SER_hh_tes!K5=0,"",SER_hh_tes!K5/SER_hh_fec!K5)</f>
        <v>0.69649503108419619</v>
      </c>
      <c r="L5" s="136">
        <f>IF(SER_hh_tes!L5=0,"",SER_hh_tes!L5/SER_hh_fec!L5)</f>
        <v>0.69908268911083604</v>
      </c>
      <c r="M5" s="136">
        <f>IF(SER_hh_tes!M5=0,"",SER_hh_tes!M5/SER_hh_fec!M5)</f>
        <v>0.70142690370291827</v>
      </c>
      <c r="N5" s="136">
        <f>IF(SER_hh_tes!N5=0,"",SER_hh_tes!N5/SER_hh_fec!N5)</f>
        <v>0.70408620399926214</v>
      </c>
      <c r="O5" s="136">
        <f>IF(SER_hh_tes!O5=0,"",SER_hh_tes!O5/SER_hh_fec!O5)</f>
        <v>0.70714199437020009</v>
      </c>
      <c r="P5" s="136">
        <f>IF(SER_hh_tes!P5=0,"",SER_hh_tes!P5/SER_hh_fec!P5)</f>
        <v>0.71008634868601472</v>
      </c>
      <c r="Q5" s="136">
        <f>IF(SER_hh_tes!Q5=0,"",SER_hh_tes!Q5/SER_hh_fec!Q5)</f>
        <v>0.71633418437738661</v>
      </c>
      <c r="R5" s="136">
        <f>IF(SER_hh_tes!R5=0,"",SER_hh_tes!R5/SER_hh_fec!R5)</f>
        <v>0.72498488681696438</v>
      </c>
      <c r="S5" s="136">
        <f>IF(SER_hh_tes!S5=0,"",SER_hh_tes!S5/SER_hh_fec!S5)</f>
        <v>0.72963569072576828</v>
      </c>
      <c r="T5" s="136">
        <f>IF(SER_hh_tes!T5=0,"",SER_hh_tes!T5/SER_hh_fec!T5)</f>
        <v>0.73141579512804433</v>
      </c>
      <c r="U5" s="136">
        <f>IF(SER_hh_tes!U5=0,"",SER_hh_tes!U5/SER_hh_fec!U5)</f>
        <v>0.73337930647566396</v>
      </c>
      <c r="V5" s="136">
        <f>IF(SER_hh_tes!V5=0,"",SER_hh_tes!V5/SER_hh_fec!V5)</f>
        <v>0.73841839947308063</v>
      </c>
      <c r="W5" s="136">
        <f>IF(SER_hh_tes!W5=0,"",SER_hh_tes!W5/SER_hh_fec!W5)</f>
        <v>0.74909475085372978</v>
      </c>
      <c r="X5" s="136">
        <f>IF(SER_hh_tes!X5=0,"",SER_hh_tes!X5/SER_hh_fec!X5)</f>
        <v>0.76829693903871565</v>
      </c>
      <c r="Y5" s="136">
        <f>IF(SER_hh_tes!Y5=0,"",SER_hh_tes!Y5/SER_hh_fec!Y5)</f>
        <v>0.78206997651446342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0.50251189991508127</v>
      </c>
      <c r="C7" s="136">
        <f>IF(SER_hh_tes!C7=0,"",SER_hh_tes!C7/SER_hh_fec!C7)</f>
        <v>0.50487512494221531</v>
      </c>
      <c r="D7" s="136">
        <f>IF(SER_hh_tes!D7=0,"",SER_hh_tes!D7/SER_hh_fec!D7)</f>
        <v>0.50825732760198694</v>
      </c>
      <c r="E7" s="136">
        <f>IF(SER_hh_tes!E7=0,"",SER_hh_tes!E7/SER_hh_fec!E7)</f>
        <v>0.51171582431421214</v>
      </c>
      <c r="F7" s="136">
        <f>IF(SER_hh_tes!F7=0,"",SER_hh_tes!F7/SER_hh_fec!F7)</f>
        <v>0.51679764592619259</v>
      </c>
      <c r="G7" s="136">
        <f>IF(SER_hh_tes!G7=0,"",SER_hh_tes!G7/SER_hh_fec!G7)</f>
        <v>0.52297885892227769</v>
      </c>
      <c r="H7" s="136">
        <f>IF(SER_hh_tes!H7=0,"",SER_hh_tes!H7/SER_hh_fec!H7)</f>
        <v>0.53047184885362375</v>
      </c>
      <c r="I7" s="136">
        <f>IF(SER_hh_tes!I7=0,"",SER_hh_tes!I7/SER_hh_fec!I7)</f>
        <v>0.53911833020943112</v>
      </c>
      <c r="J7" s="136">
        <f>IF(SER_hh_tes!J7=0,"",SER_hh_tes!J7/SER_hh_fec!J7)</f>
        <v>0.54588325991834818</v>
      </c>
      <c r="K7" s="136">
        <f>IF(SER_hh_tes!K7=0,"",SER_hh_tes!K7/SER_hh_fec!K7)</f>
        <v>0.553720736336203</v>
      </c>
      <c r="L7" s="136">
        <f>IF(SER_hh_tes!L7=0,"",SER_hh_tes!L7/SER_hh_fec!L7)</f>
        <v>0.56361970618973023</v>
      </c>
      <c r="M7" s="136">
        <f>IF(SER_hh_tes!M7=0,"",SER_hh_tes!M7/SER_hh_fec!M7)</f>
        <v>0.57568963449738242</v>
      </c>
      <c r="N7" s="136">
        <f>IF(SER_hh_tes!N7=0,"",SER_hh_tes!N7/SER_hh_fec!N7)</f>
        <v>0.58906699425072306</v>
      </c>
      <c r="O7" s="136">
        <f>IF(SER_hh_tes!O7=0,"",SER_hh_tes!O7/SER_hh_fec!O7)</f>
        <v>0.6033627458198807</v>
      </c>
      <c r="P7" s="136">
        <f>IF(SER_hh_tes!P7=0,"",SER_hh_tes!P7/SER_hh_fec!P7)</f>
        <v>0.60783981516429297</v>
      </c>
      <c r="Q7" s="136">
        <f>IF(SER_hh_tes!Q7=0,"",SER_hh_tes!Q7/SER_hh_fec!Q7)</f>
        <v>0.61577921196805574</v>
      </c>
      <c r="R7" s="136">
        <f>IF(SER_hh_tes!R7=0,"",SER_hh_tes!R7/SER_hh_fec!R7)</f>
        <v>0.62100792217952483</v>
      </c>
      <c r="S7" s="136">
        <f>IF(SER_hh_tes!S7=0,"",SER_hh_tes!S7/SER_hh_fec!S7)</f>
        <v>0.63027159262540222</v>
      </c>
      <c r="T7" s="136">
        <f>IF(SER_hh_tes!T7=0,"",SER_hh_tes!T7/SER_hh_fec!T7)</f>
        <v>0.63987329247592295</v>
      </c>
      <c r="U7" s="136">
        <f>IF(SER_hh_tes!U7=0,"",SER_hh_tes!U7/SER_hh_fec!U7)</f>
        <v>0.65289425917036326</v>
      </c>
      <c r="V7" s="136">
        <f>IF(SER_hh_tes!V7=0,"",SER_hh_tes!V7/SER_hh_fec!V7)</f>
        <v>0.66475994559058305</v>
      </c>
      <c r="W7" s="136">
        <f>IF(SER_hh_tes!W7=0,"",SER_hh_tes!W7/SER_hh_fec!W7)</f>
        <v>0.6784351766417438</v>
      </c>
      <c r="X7" s="136">
        <f>IF(SER_hh_tes!X7=0,"",SER_hh_tes!X7/SER_hh_fec!X7)</f>
        <v>0.6918343157439516</v>
      </c>
      <c r="Y7" s="136">
        <f>IF(SER_hh_tes!Y7=0,"",SER_hh_tes!Y7/SER_hh_fec!Y7)</f>
        <v>0.70305545945328718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1.0417453458348429</v>
      </c>
      <c r="C8" s="136">
        <f>IF(SER_hh_tes!C8=0,"",SER_hh_tes!C8/SER_hh_fec!C8)</f>
        <v>1.0724186761087469</v>
      </c>
      <c r="D8" s="136">
        <f>IF(SER_hh_tes!D8=0,"",SER_hh_tes!D8/SER_hh_fec!D8)</f>
        <v>1.1174940986045911</v>
      </c>
      <c r="E8" s="136">
        <f>IF(SER_hh_tes!E8=0,"",SER_hh_tes!E8/SER_hh_fec!E8)</f>
        <v>1.169754683744157</v>
      </c>
      <c r="F8" s="136">
        <f>IF(SER_hh_tes!F8=0,"",SER_hh_tes!F8/SER_hh_fec!F8)</f>
        <v>1.2159198118315209</v>
      </c>
      <c r="G8" s="136">
        <f>IF(SER_hh_tes!G8=0,"",SER_hh_tes!G8/SER_hh_fec!G8)</f>
        <v>1.2793749209180532</v>
      </c>
      <c r="H8" s="136">
        <f>IF(SER_hh_tes!H8=0,"",SER_hh_tes!H8/SER_hh_fec!H8)</f>
        <v>1.3515693161506339</v>
      </c>
      <c r="I8" s="136">
        <f>IF(SER_hh_tes!I8=0,"",SER_hh_tes!I8/SER_hh_fec!I8)</f>
        <v>1.4397662354692922</v>
      </c>
      <c r="J8" s="136">
        <f>IF(SER_hh_tes!J8=0,"",SER_hh_tes!J8/SER_hh_fec!J8)</f>
        <v>1.5113130265732788</v>
      </c>
      <c r="K8" s="136">
        <f>IF(SER_hh_tes!K8=0,"",SER_hh_tes!K8/SER_hh_fec!K8)</f>
        <v>1.5900186285964264</v>
      </c>
      <c r="L8" s="136">
        <f>IF(SER_hh_tes!L8=0,"",SER_hh_tes!L8/SER_hh_fec!L8)</f>
        <v>1.6687161571042841</v>
      </c>
      <c r="M8" s="136">
        <f>IF(SER_hh_tes!M8=0,"",SER_hh_tes!M8/SER_hh_fec!M8)</f>
        <v>1.7658754801842536</v>
      </c>
      <c r="N8" s="136">
        <f>IF(SER_hh_tes!N8=0,"",SER_hh_tes!N8/SER_hh_fec!N8)</f>
        <v>1.8702235044060085</v>
      </c>
      <c r="O8" s="136">
        <f>IF(SER_hh_tes!O8=0,"",SER_hh_tes!O8/SER_hh_fec!O8)</f>
        <v>1.9947083427532903</v>
      </c>
      <c r="P8" s="136">
        <f>IF(SER_hh_tes!P8=0,"",SER_hh_tes!P8/SER_hh_fec!P8)</f>
        <v>2.1147689002217747</v>
      </c>
      <c r="Q8" s="136">
        <f>IF(SER_hh_tes!Q8=0,"",SER_hh_tes!Q8/SER_hh_fec!Q8)</f>
        <v>2.1964616574979829</v>
      </c>
      <c r="R8" s="136">
        <f>IF(SER_hh_tes!R8=0,"",SER_hh_tes!R8/SER_hh_fec!R8)</f>
        <v>2.2575597412188584</v>
      </c>
      <c r="S8" s="136">
        <f>IF(SER_hh_tes!S8=0,"",SER_hh_tes!S8/SER_hh_fec!S8)</f>
        <v>2.3016185162087606</v>
      </c>
      <c r="T8" s="136">
        <f>IF(SER_hh_tes!T8=0,"",SER_hh_tes!T8/SER_hh_fec!T8)</f>
        <v>2.3546574809603134</v>
      </c>
      <c r="U8" s="136">
        <f>IF(SER_hh_tes!U8=0,"",SER_hh_tes!U8/SER_hh_fec!U8)</f>
        <v>2.4187716811686868</v>
      </c>
      <c r="V8" s="136">
        <f>IF(SER_hh_tes!V8=0,"",SER_hh_tes!V8/SER_hh_fec!V8)</f>
        <v>2.493318748772491</v>
      </c>
      <c r="W8" s="136">
        <f>IF(SER_hh_tes!W8=0,"",SER_hh_tes!W8/SER_hh_fec!W8)</f>
        <v>2.5695454584192969</v>
      </c>
      <c r="X8" s="136">
        <f>IF(SER_hh_tes!X8=0,"",SER_hh_tes!X8/SER_hh_fec!X8)</f>
        <v>2.6425925550480365</v>
      </c>
      <c r="Y8" s="136">
        <f>IF(SER_hh_tes!Y8=0,"",SER_hh_tes!Y8/SER_hh_fec!Y8)</f>
        <v>2.7016897544186662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0.54316230064320958</v>
      </c>
      <c r="C9" s="136">
        <f>IF(SER_hh_tes!C9=0,"",SER_hh_tes!C9/SER_hh_fec!C9)</f>
        <v>0.54729494071720552</v>
      </c>
      <c r="D9" s="136">
        <f>IF(SER_hh_tes!D9=0,"",SER_hh_tes!D9/SER_hh_fec!D9)</f>
        <v>0.55152068558212253</v>
      </c>
      <c r="E9" s="136">
        <f>IF(SER_hh_tes!E9=0,"",SER_hh_tes!E9/SER_hh_fec!E9)</f>
        <v>0.55613050119448026</v>
      </c>
      <c r="F9" s="136">
        <f>IF(SER_hh_tes!F9=0,"",SER_hh_tes!F9/SER_hh_fec!F9)</f>
        <v>0.56096158154595421</v>
      </c>
      <c r="G9" s="136">
        <f>IF(SER_hh_tes!G9=0,"",SER_hh_tes!G9/SER_hh_fec!G9)</f>
        <v>0.56670812125026571</v>
      </c>
      <c r="H9" s="136">
        <f>IF(SER_hh_tes!H9=0,"",SER_hh_tes!H9/SER_hh_fec!H9)</f>
        <v>0.57348003318772589</v>
      </c>
      <c r="I9" s="136">
        <f>IF(SER_hh_tes!I9=0,"",SER_hh_tes!I9/SER_hh_fec!I9)</f>
        <v>0.58107093771172846</v>
      </c>
      <c r="J9" s="136">
        <f>IF(SER_hh_tes!J9=0,"",SER_hh_tes!J9/SER_hh_fec!J9)</f>
        <v>0.58921494342190983</v>
      </c>
      <c r="K9" s="136">
        <f>IF(SER_hh_tes!K9=0,"",SER_hh_tes!K9/SER_hh_fec!K9)</f>
        <v>0.59695510421273501</v>
      </c>
      <c r="L9" s="136">
        <f>IF(SER_hh_tes!L9=0,"",SER_hh_tes!L9/SER_hh_fec!L9)</f>
        <v>0.60707158719337961</v>
      </c>
      <c r="M9" s="136">
        <f>IF(SER_hh_tes!M9=0,"",SER_hh_tes!M9/SER_hh_fec!M9)</f>
        <v>0.61827183764914873</v>
      </c>
      <c r="N9" s="136">
        <f>IF(SER_hh_tes!N9=0,"",SER_hh_tes!N9/SER_hh_fec!N9)</f>
        <v>0.63282856251007091</v>
      </c>
      <c r="O9" s="136">
        <f>IF(SER_hh_tes!O9=0,"",SER_hh_tes!O9/SER_hh_fec!O9)</f>
        <v>0.6472458512115401</v>
      </c>
      <c r="P9" s="136">
        <f>IF(SER_hh_tes!P9=0,"",SER_hh_tes!P9/SER_hh_fec!P9)</f>
        <v>0.65336288793770814</v>
      </c>
      <c r="Q9" s="136">
        <f>IF(SER_hh_tes!Q9=0,"",SER_hh_tes!Q9/SER_hh_fec!Q9)</f>
        <v>0.66344155598590904</v>
      </c>
      <c r="R9" s="136">
        <f>IF(SER_hh_tes!R9=0,"",SER_hh_tes!R9/SER_hh_fec!R9)</f>
        <v>0.67373832409462098</v>
      </c>
      <c r="S9" s="136">
        <f>IF(SER_hh_tes!S9=0,"",SER_hh_tes!S9/SER_hh_fec!S9)</f>
        <v>0.68589729638543506</v>
      </c>
      <c r="T9" s="136">
        <f>IF(SER_hh_tes!T9=0,"",SER_hh_tes!T9/SER_hh_fec!T9)</f>
        <v>0.69872945332009229</v>
      </c>
      <c r="U9" s="136">
        <f>IF(SER_hh_tes!U9=0,"",SER_hh_tes!U9/SER_hh_fec!U9)</f>
        <v>0.71290666318349605</v>
      </c>
      <c r="V9" s="136">
        <f>IF(SER_hh_tes!V9=0,"",SER_hh_tes!V9/SER_hh_fec!V9)</f>
        <v>0.7285090810449365</v>
      </c>
      <c r="W9" s="136">
        <f>IF(SER_hh_tes!W9=0,"",SER_hh_tes!W9/SER_hh_fec!W9)</f>
        <v>0.74391269542096117</v>
      </c>
      <c r="X9" s="136">
        <f>IF(SER_hh_tes!X9=0,"",SER_hh_tes!X9/SER_hh_fec!X9)</f>
        <v>0.75836811447601937</v>
      </c>
      <c r="Y9" s="136">
        <f>IF(SER_hh_tes!Y9=0,"",SER_hh_tes!Y9/SER_hh_fec!Y9)</f>
        <v>0.77548193845306368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0.49522203263176018</v>
      </c>
      <c r="C10" s="136">
        <f>IF(SER_hh_tes!C10=0,"",SER_hh_tes!C10/SER_hh_fec!C10)</f>
        <v>0.50593242599677724</v>
      </c>
      <c r="D10" s="136">
        <f>IF(SER_hh_tes!D10=0,"",SER_hh_tes!D10/SER_hh_fec!D10)</f>
        <v>0.51116666536757249</v>
      </c>
      <c r="E10" s="136">
        <f>IF(SER_hh_tes!E10=0,"",SER_hh_tes!E10/SER_hh_fec!E10)</f>
        <v>0.51616305517544747</v>
      </c>
      <c r="F10" s="136">
        <f>IF(SER_hh_tes!F10=0,"",SER_hh_tes!F10/SER_hh_fec!F10)</f>
        <v>0.522680507498963</v>
      </c>
      <c r="G10" s="136">
        <f>IF(SER_hh_tes!G10=0,"",SER_hh_tes!G10/SER_hh_fec!G10)</f>
        <v>0.53175135552965003</v>
      </c>
      <c r="H10" s="136">
        <f>IF(SER_hh_tes!H10=0,"",SER_hh_tes!H10/SER_hh_fec!H10)</f>
        <v>0.54159770803280316</v>
      </c>
      <c r="I10" s="136">
        <f>IF(SER_hh_tes!I10=0,"",SER_hh_tes!I10/SER_hh_fec!I10)</f>
        <v>0.54959468752288021</v>
      </c>
      <c r="J10" s="136">
        <f>IF(SER_hh_tes!J10=0,"",SER_hh_tes!J10/SER_hh_fec!J10)</f>
        <v>0.55564945690911061</v>
      </c>
      <c r="K10" s="136">
        <f>IF(SER_hh_tes!K10=0,"",SER_hh_tes!K10/SER_hh_fec!K10)</f>
        <v>0.56000536969143266</v>
      </c>
      <c r="L10" s="136">
        <f>IF(SER_hh_tes!L10=0,"",SER_hh_tes!L10/SER_hh_fec!L10)</f>
        <v>0.56443011156750622</v>
      </c>
      <c r="M10" s="136">
        <f>IF(SER_hh_tes!M10=0,"",SER_hh_tes!M10/SER_hh_fec!M10)</f>
        <v>0.56930028260868548</v>
      </c>
      <c r="N10" s="136">
        <f>IF(SER_hh_tes!N10=0,"",SER_hh_tes!N10/SER_hh_fec!N10)</f>
        <v>0.57434852364518052</v>
      </c>
      <c r="O10" s="136">
        <f>IF(SER_hh_tes!O10=0,"",SER_hh_tes!O10/SER_hh_fec!O10)</f>
        <v>0.57854431004414808</v>
      </c>
      <c r="P10" s="136">
        <f>IF(SER_hh_tes!P10=0,"",SER_hh_tes!P10/SER_hh_fec!P10)</f>
        <v>0.57873694834869815</v>
      </c>
      <c r="Q10" s="136">
        <f>IF(SER_hh_tes!Q10=0,"",SER_hh_tes!Q10/SER_hh_fec!Q10)</f>
        <v>0.5788961920754141</v>
      </c>
      <c r="R10" s="136">
        <f>IF(SER_hh_tes!R10=0,"",SER_hh_tes!R10/SER_hh_fec!R10)</f>
        <v>0.57916583952008516</v>
      </c>
      <c r="S10" s="136">
        <f>IF(SER_hh_tes!S10=0,"",SER_hh_tes!S10/SER_hh_fec!S10)</f>
        <v>0.57958172847199851</v>
      </c>
      <c r="T10" s="136">
        <f>IF(SER_hh_tes!T10=0,"",SER_hh_tes!T10/SER_hh_fec!T10)</f>
        <v>0.57996627893449193</v>
      </c>
      <c r="U10" s="136">
        <f>IF(SER_hh_tes!U10=0,"",SER_hh_tes!U10/SER_hh_fec!U10)</f>
        <v>0.58027620096560595</v>
      </c>
      <c r="V10" s="136">
        <f>IF(SER_hh_tes!V10=0,"",SER_hh_tes!V10/SER_hh_fec!V10)</f>
        <v>0.58053747128209887</v>
      </c>
      <c r="W10" s="136">
        <f>IF(SER_hh_tes!W10=0,"",SER_hh_tes!W10/SER_hh_fec!W10)</f>
        <v>0.58081198655072619</v>
      </c>
      <c r="X10" s="136">
        <f>IF(SER_hh_tes!X10=0,"",SER_hh_tes!X10/SER_hh_fec!X10)</f>
        <v>0.58132542062024073</v>
      </c>
      <c r="Y10" s="136">
        <f>IF(SER_hh_tes!Y10=0,"",SER_hh_tes!Y10/SER_hh_fec!Y10)</f>
        <v>0.58215410583495386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0.86036423987373623</v>
      </c>
      <c r="C12" s="136">
        <f>IF(SER_hh_tes!C12=0,"",SER_hh_tes!C12/SER_hh_fec!C12)</f>
        <v>0.86438381425555111</v>
      </c>
      <c r="D12" s="136">
        <f>IF(SER_hh_tes!D12=0,"",SER_hh_tes!D12/SER_hh_fec!D12)</f>
        <v>0.86743708999688918</v>
      </c>
      <c r="E12" s="136">
        <f>IF(SER_hh_tes!E12=0,"",SER_hh_tes!E12/SER_hh_fec!E12)</f>
        <v>0.86912283055829087</v>
      </c>
      <c r="F12" s="136">
        <f>IF(SER_hh_tes!F12=0,"",SER_hh_tes!F12/SER_hh_fec!F12)</f>
        <v>0.86977762302089145</v>
      </c>
      <c r="G12" s="136">
        <f>IF(SER_hh_tes!G12=0,"",SER_hh_tes!G12/SER_hh_fec!G12)</f>
        <v>0.87157006912053536</v>
      </c>
      <c r="H12" s="136">
        <f>IF(SER_hh_tes!H12=0,"",SER_hh_tes!H12/SER_hh_fec!H12)</f>
        <v>0.87455018258063633</v>
      </c>
      <c r="I12" s="136">
        <f>IF(SER_hh_tes!I12=0,"",SER_hh_tes!I12/SER_hh_fec!I12)</f>
        <v>0.87821507737454474</v>
      </c>
      <c r="J12" s="136">
        <f>IF(SER_hh_tes!J12=0,"",SER_hh_tes!J12/SER_hh_fec!J12)</f>
        <v>0.88135334204345217</v>
      </c>
      <c r="K12" s="136">
        <f>IF(SER_hh_tes!K12=0,"",SER_hh_tes!K12/SER_hh_fec!K12)</f>
        <v>0.88462928435912869</v>
      </c>
      <c r="L12" s="136">
        <f>IF(SER_hh_tes!L12=0,"",SER_hh_tes!L12/SER_hh_fec!L12)</f>
        <v>0.88699089495643357</v>
      </c>
      <c r="M12" s="136">
        <f>IF(SER_hh_tes!M12=0,"",SER_hh_tes!M12/SER_hh_fec!M12)</f>
        <v>0.88940151186744776</v>
      </c>
      <c r="N12" s="136">
        <f>IF(SER_hh_tes!N12=0,"",SER_hh_tes!N12/SER_hh_fec!N12)</f>
        <v>0.89247487117110813</v>
      </c>
      <c r="O12" s="136">
        <f>IF(SER_hh_tes!O12=0,"",SER_hh_tes!O12/SER_hh_fec!O12)</f>
        <v>0.89552110248887451</v>
      </c>
      <c r="P12" s="136">
        <f>IF(SER_hh_tes!P12=0,"",SER_hh_tes!P12/SER_hh_fec!P12)</f>
        <v>0.89568391379331358</v>
      </c>
      <c r="Q12" s="136">
        <f>IF(SER_hh_tes!Q12=0,"",SER_hh_tes!Q12/SER_hh_fec!Q12)</f>
        <v>0.89899971308067794</v>
      </c>
      <c r="R12" s="136">
        <f>IF(SER_hh_tes!R12=0,"",SER_hh_tes!R12/SER_hh_fec!R12)</f>
        <v>0.9046966732418964</v>
      </c>
      <c r="S12" s="136">
        <f>IF(SER_hh_tes!S12=0,"",SER_hh_tes!S12/SER_hh_fec!S12)</f>
        <v>0.9127663312204255</v>
      </c>
      <c r="T12" s="136">
        <f>IF(SER_hh_tes!T12=0,"",SER_hh_tes!T12/SER_hh_fec!T12)</f>
        <v>0.91830159485418938</v>
      </c>
      <c r="U12" s="136">
        <f>IF(SER_hh_tes!U12=0,"",SER_hh_tes!U12/SER_hh_fec!U12)</f>
        <v>0.92332408135816402</v>
      </c>
      <c r="V12" s="136">
        <f>IF(SER_hh_tes!V12=0,"",SER_hh_tes!V12/SER_hh_fec!V12)</f>
        <v>0.92692002464459622</v>
      </c>
      <c r="W12" s="136">
        <f>IF(SER_hh_tes!W12=0,"",SER_hh_tes!W12/SER_hh_fec!W12)</f>
        <v>0.93132769064395127</v>
      </c>
      <c r="X12" s="136">
        <f>IF(SER_hh_tes!X12=0,"",SER_hh_tes!X12/SER_hh_fec!X12)</f>
        <v>0.9359487182533559</v>
      </c>
      <c r="Y12" s="136">
        <f>IF(SER_hh_tes!Y12=0,"",SER_hh_tes!Y12/SER_hh_fec!Y12)</f>
        <v>0.93944389365600889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1.6820154684513111</v>
      </c>
      <c r="C13" s="136">
        <f>IF(SER_hh_tes!C13=0,"",SER_hh_tes!C13/SER_hh_fec!C13)</f>
        <v>1.716822600583771</v>
      </c>
      <c r="D13" s="136">
        <f>IF(SER_hh_tes!D13=0,"",SER_hh_tes!D13/SER_hh_fec!D13)</f>
        <v>1.7747391306284339</v>
      </c>
      <c r="E13" s="136">
        <f>IF(SER_hh_tes!E13=0,"",SER_hh_tes!E13/SER_hh_fec!E13)</f>
        <v>1.8415274256014036</v>
      </c>
      <c r="F13" s="136">
        <f>IF(SER_hh_tes!F13=0,"",SER_hh_tes!F13/SER_hh_fec!F13)</f>
        <v>1.921986546263349</v>
      </c>
      <c r="G13" s="136">
        <f>IF(SER_hh_tes!G13=0,"",SER_hh_tes!G13/SER_hh_fec!G13)</f>
        <v>2.0111520850676703</v>
      </c>
      <c r="H13" s="136">
        <f>IF(SER_hh_tes!H13=0,"",SER_hh_tes!H13/SER_hh_fec!H13)</f>
        <v>2.0909243332310186</v>
      </c>
      <c r="I13" s="136">
        <f>IF(SER_hh_tes!I13=0,"",SER_hh_tes!I13/SER_hh_fec!I13)</f>
        <v>2.1690622212825632</v>
      </c>
      <c r="J13" s="136">
        <f>IF(SER_hh_tes!J13=0,"",SER_hh_tes!J13/SER_hh_fec!J13)</f>
        <v>2.2334984412111738</v>
      </c>
      <c r="K13" s="136">
        <f>IF(SER_hh_tes!K13=0,"",SER_hh_tes!K13/SER_hh_fec!K13)</f>
        <v>2.2998956712903178</v>
      </c>
      <c r="L13" s="136">
        <f>IF(SER_hh_tes!L13=0,"",SER_hh_tes!L13/SER_hh_fec!L13)</f>
        <v>2.3645477172335974</v>
      </c>
      <c r="M13" s="136">
        <f>IF(SER_hh_tes!M13=0,"",SER_hh_tes!M13/SER_hh_fec!M13)</f>
        <v>2.4450669804379142</v>
      </c>
      <c r="N13" s="136">
        <f>IF(SER_hh_tes!N13=0,"",SER_hh_tes!N13/SER_hh_fec!N13)</f>
        <v>2.5275023776313148</v>
      </c>
      <c r="O13" s="136">
        <f>IF(SER_hh_tes!O13=0,"",SER_hh_tes!O13/SER_hh_fec!O13)</f>
        <v>2.622993750508912</v>
      </c>
      <c r="P13" s="136">
        <f>IF(SER_hh_tes!P13=0,"",SER_hh_tes!P13/SER_hh_fec!P13)</f>
        <v>2.7318021943832345</v>
      </c>
      <c r="Q13" s="136">
        <f>IF(SER_hh_tes!Q13=0,"",SER_hh_tes!Q13/SER_hh_fec!Q13)</f>
        <v>2.8129244067606902</v>
      </c>
      <c r="R13" s="136">
        <f>IF(SER_hh_tes!R13=0,"",SER_hh_tes!R13/SER_hh_fec!R13)</f>
        <v>2.9007120704462013</v>
      </c>
      <c r="S13" s="136">
        <f>IF(SER_hh_tes!S13=0,"",SER_hh_tes!S13/SER_hh_fec!S13)</f>
        <v>2.9913489516410103</v>
      </c>
      <c r="T13" s="136">
        <f>IF(SER_hh_tes!T13=0,"",SER_hh_tes!T13/SER_hh_fec!T13)</f>
        <v>3.1004077333403313</v>
      </c>
      <c r="U13" s="136">
        <f>IF(SER_hh_tes!U13=0,"",SER_hh_tes!U13/SER_hh_fec!U13)</f>
        <v>3.2103706527443294</v>
      </c>
      <c r="V13" s="136">
        <f>IF(SER_hh_tes!V13=0,"",SER_hh_tes!V13/SER_hh_fec!V13)</f>
        <v>3.3230805762299043</v>
      </c>
      <c r="W13" s="136">
        <f>IF(SER_hh_tes!W13=0,"",SER_hh_tes!W13/SER_hh_fec!W13)</f>
        <v>3.4237017028337564</v>
      </c>
      <c r="X13" s="136">
        <f>IF(SER_hh_tes!X13=0,"",SER_hh_tes!X13/SER_hh_fec!X13)</f>
        <v>3.5261816110960638</v>
      </c>
      <c r="Y13" s="136">
        <f>IF(SER_hh_tes!Y13=0,"",SER_hh_tes!Y13/SER_hh_fec!Y13)</f>
        <v>3.6143870176733972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0.76062574016252782</v>
      </c>
      <c r="C14" s="137">
        <f>IF(SER_hh_tes!C14=0,"",SER_hh_tes!C14/SER_hh_fec!C14)</f>
        <v>0.76528428558135375</v>
      </c>
      <c r="D14" s="137">
        <f>IF(SER_hh_tes!D14=0,"",SER_hh_tes!D14/SER_hh_fec!D14)</f>
        <v>0.77015977025856985</v>
      </c>
      <c r="E14" s="137">
        <f>IF(SER_hh_tes!E14=0,"",SER_hh_tes!E14/SER_hh_fec!E14)</f>
        <v>0.77551441894585782</v>
      </c>
      <c r="F14" s="137">
        <f>IF(SER_hh_tes!F14=0,"",SER_hh_tes!F14/SER_hh_fec!F14)</f>
        <v>0.78048036757689421</v>
      </c>
      <c r="G14" s="137">
        <f>IF(SER_hh_tes!G14=0,"",SER_hh_tes!G14/SER_hh_fec!G14)</f>
        <v>0.78634669435372895</v>
      </c>
      <c r="H14" s="137">
        <f>IF(SER_hh_tes!H14=0,"",SER_hh_tes!H14/SER_hh_fec!H14)</f>
        <v>0.79133911168015925</v>
      </c>
      <c r="I14" s="137">
        <f>IF(SER_hh_tes!I14=0,"",SER_hh_tes!I14/SER_hh_fec!I14)</f>
        <v>0.79578913960618625</v>
      </c>
      <c r="J14" s="137">
        <f>IF(SER_hh_tes!J14=0,"",SER_hh_tes!J14/SER_hh_fec!J14)</f>
        <v>0.79940316647566034</v>
      </c>
      <c r="K14" s="137">
        <f>IF(SER_hh_tes!K14=0,"",SER_hh_tes!K14/SER_hh_fec!K14)</f>
        <v>0.80300665306142527</v>
      </c>
      <c r="L14" s="137">
        <f>IF(SER_hh_tes!L14=0,"",SER_hh_tes!L14/SER_hh_fec!L14)</f>
        <v>0.80649262089513873</v>
      </c>
      <c r="M14" s="137">
        <f>IF(SER_hh_tes!M14=0,"",SER_hh_tes!M14/SER_hh_fec!M14)</f>
        <v>0.81207896391922396</v>
      </c>
      <c r="N14" s="137">
        <f>IF(SER_hh_tes!N14=0,"",SER_hh_tes!N14/SER_hh_fec!N14)</f>
        <v>0.81697959592314806</v>
      </c>
      <c r="O14" s="137">
        <f>IF(SER_hh_tes!O14=0,"",SER_hh_tes!O14/SER_hh_fec!O14)</f>
        <v>0.82150520614429678</v>
      </c>
      <c r="P14" s="137">
        <f>IF(SER_hh_tes!P14=0,"",SER_hh_tes!P14/SER_hh_fec!P14)</f>
        <v>0.82204147344756318</v>
      </c>
      <c r="Q14" s="137">
        <f>IF(SER_hh_tes!Q14=0,"",SER_hh_tes!Q14/SER_hh_fec!Q14)</f>
        <v>0.82258510184457168</v>
      </c>
      <c r="R14" s="137">
        <f>IF(SER_hh_tes!R14=0,"",SER_hh_tes!R14/SER_hh_fec!R14)</f>
        <v>0.82378647520942727</v>
      </c>
      <c r="S14" s="137">
        <f>IF(SER_hh_tes!S14=0,"",SER_hh_tes!S14/SER_hh_fec!S14)</f>
        <v>0.8317834955582416</v>
      </c>
      <c r="T14" s="137">
        <f>IF(SER_hh_tes!T14=0,"",SER_hh_tes!T14/SER_hh_fec!T14)</f>
        <v>0.84203064778517089</v>
      </c>
      <c r="U14" s="137">
        <f>IF(SER_hh_tes!U14=0,"",SER_hh_tes!U14/SER_hh_fec!U14)</f>
        <v>0.85100755144824602</v>
      </c>
      <c r="V14" s="137">
        <f>IF(SER_hh_tes!V14=0,"",SER_hh_tes!V14/SER_hh_fec!V14)</f>
        <v>0.86390893522344658</v>
      </c>
      <c r="W14" s="137">
        <f>IF(SER_hh_tes!W14=0,"",SER_hh_tes!W14/SER_hh_fec!W14)</f>
        <v>0.88336253709073942</v>
      </c>
      <c r="X14" s="137">
        <f>IF(SER_hh_tes!X14=0,"",SER_hh_tes!X14/SER_hh_fec!X14)</f>
        <v>0.90370686335898898</v>
      </c>
      <c r="Y14" s="137">
        <f>IF(SER_hh_tes!Y14=0,"",SER_hh_tes!Y14/SER_hh_fec!Y14)</f>
        <v>0.91625302228722105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1.9399140194796778</v>
      </c>
      <c r="C16" s="135">
        <f>IF(SER_hh_tes!C16=0,"",SER_hh_tes!C16/SER_hh_fec!C16)</f>
        <v>2.0698922897698067</v>
      </c>
      <c r="D16" s="135">
        <f>IF(SER_hh_tes!D16=0,"",SER_hh_tes!D16/SER_hh_fec!D16)</f>
        <v>2.1995323354684158</v>
      </c>
      <c r="E16" s="135">
        <f>IF(SER_hh_tes!E16=0,"",SER_hh_tes!E16/SER_hh_fec!E16)</f>
        <v>2.3188697376752336</v>
      </c>
      <c r="F16" s="135">
        <f>IF(SER_hh_tes!F16=0,"",SER_hh_tes!F16/SER_hh_fec!F16)</f>
        <v>2.4491369066663311</v>
      </c>
      <c r="G16" s="135">
        <f>IF(SER_hh_tes!G16=0,"",SER_hh_tes!G16/SER_hh_fec!G16)</f>
        <v>2.5993802831584332</v>
      </c>
      <c r="H16" s="135">
        <f>IF(SER_hh_tes!H16=0,"",SER_hh_tes!H16/SER_hh_fec!H16)</f>
        <v>2.7467970204927057</v>
      </c>
      <c r="I16" s="135">
        <f>IF(SER_hh_tes!I16=0,"",SER_hh_tes!I16/SER_hh_fec!I16)</f>
        <v>2.9092710306786831</v>
      </c>
      <c r="J16" s="135">
        <f>IF(SER_hh_tes!J16=0,"",SER_hh_tes!J16/SER_hh_fec!J16)</f>
        <v>3.0599273914686718</v>
      </c>
      <c r="K16" s="135">
        <f>IF(SER_hh_tes!K16=0,"",SER_hh_tes!K16/SER_hh_fec!K16)</f>
        <v>3.1328864139564869</v>
      </c>
      <c r="L16" s="135">
        <f>IF(SER_hh_tes!L16=0,"",SER_hh_tes!L16/SER_hh_fec!L16)</f>
        <v>3.2204785144187471</v>
      </c>
      <c r="M16" s="135">
        <f>IF(SER_hh_tes!M16=0,"",SER_hh_tes!M16/SER_hh_fec!M16)</f>
        <v>3.3385441497853945</v>
      </c>
      <c r="N16" s="135">
        <f>IF(SER_hh_tes!N16=0,"",SER_hh_tes!N16/SER_hh_fec!N16)</f>
        <v>3.4516149993767886</v>
      </c>
      <c r="O16" s="135">
        <f>IF(SER_hh_tes!O16=0,"",SER_hh_tes!O16/SER_hh_fec!O16)</f>
        <v>3.5681493826733912</v>
      </c>
      <c r="P16" s="135">
        <f>IF(SER_hh_tes!P16=0,"",SER_hh_tes!P16/SER_hh_fec!P16)</f>
        <v>3.6988992421759508</v>
      </c>
      <c r="Q16" s="135">
        <f>IF(SER_hh_tes!Q16=0,"",SER_hh_tes!Q16/SER_hh_fec!Q16)</f>
        <v>3.8328914712486313</v>
      </c>
      <c r="R16" s="135">
        <f>IF(SER_hh_tes!R16=0,"",SER_hh_tes!R16/SER_hh_fec!R16)</f>
        <v>3.9724651916474025</v>
      </c>
      <c r="S16" s="135">
        <f>IF(SER_hh_tes!S16=0,"",SER_hh_tes!S16/SER_hh_fec!S16)</f>
        <v>4.1093289836274298</v>
      </c>
      <c r="T16" s="135">
        <f>IF(SER_hh_tes!T16=0,"",SER_hh_tes!T16/SER_hh_fec!T16)</f>
        <v>4.2439848753510869</v>
      </c>
      <c r="U16" s="135">
        <f>IF(SER_hh_tes!U16=0,"",SER_hh_tes!U16/SER_hh_fec!U16)</f>
        <v>4.3475780698729372</v>
      </c>
      <c r="V16" s="135">
        <f>IF(SER_hh_tes!V16=0,"",SER_hh_tes!V16/SER_hh_fec!V16)</f>
        <v>4.4324466016396</v>
      </c>
      <c r="W16" s="135">
        <f>IF(SER_hh_tes!W16=0,"",SER_hh_tes!W16/SER_hh_fec!W16)</f>
        <v>4.477565263500968</v>
      </c>
      <c r="X16" s="135">
        <f>IF(SER_hh_tes!X16=0,"",SER_hh_tes!X16/SER_hh_fec!X16)</f>
        <v>4.5829371495024347</v>
      </c>
      <c r="Y16" s="135">
        <f>IF(SER_hh_tes!Y16=0,"",SER_hh_tes!Y16/SER_hh_fec!Y16)</f>
        <v>4.6407231223234993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1.1300000141146227</v>
      </c>
      <c r="C17" s="136">
        <f>IF(SER_hh_tes!C17=0,"",SER_hh_tes!C17/SER_hh_fec!C17)</f>
        <v>1.1547818841722646</v>
      </c>
      <c r="D17" s="136">
        <f>IF(SER_hh_tes!D17=0,"",SER_hh_tes!D17/SER_hh_fec!D17)</f>
        <v>1.1875262123983008</v>
      </c>
      <c r="E17" s="136">
        <f>IF(SER_hh_tes!E17=0,"",SER_hh_tes!E17/SER_hh_fec!E17)</f>
        <v>1.2086862966403737</v>
      </c>
      <c r="F17" s="136">
        <f>IF(SER_hh_tes!F17=0,"",SER_hh_tes!F17/SER_hh_fec!F17)</f>
        <v>1.2450983797654791</v>
      </c>
      <c r="G17" s="136">
        <f>IF(SER_hh_tes!G17=0,"",SER_hh_tes!G17/SER_hh_fec!G17)</f>
        <v>1.269952620243185</v>
      </c>
      <c r="H17" s="136">
        <f>IF(SER_hh_tes!H17=0,"",SER_hh_tes!H17/SER_hh_fec!H17)</f>
        <v>1.29607126423817</v>
      </c>
      <c r="I17" s="136">
        <f>IF(SER_hh_tes!I17=0,"",SER_hh_tes!I17/SER_hh_fec!I17)</f>
        <v>1.3232487251342517</v>
      </c>
      <c r="J17" s="136">
        <f>IF(SER_hh_tes!J17=0,"",SER_hh_tes!J17/SER_hh_fec!J17)</f>
        <v>1.3440031745876777</v>
      </c>
      <c r="K17" s="136">
        <f>IF(SER_hh_tes!K17=0,"",SER_hh_tes!K17/SER_hh_fec!K17)</f>
        <v>1.3560173607092838</v>
      </c>
      <c r="L17" s="136">
        <f>IF(SER_hh_tes!L17=0,"",SER_hh_tes!L17/SER_hh_fec!L17)</f>
        <v>1.3689852071597557</v>
      </c>
      <c r="M17" s="136">
        <f>IF(SER_hh_tes!M17=0,"",SER_hh_tes!M17/SER_hh_fec!M17)</f>
        <v>1.387415157994645</v>
      </c>
      <c r="N17" s="136">
        <f>IF(SER_hh_tes!N17=0,"",SER_hh_tes!N17/SER_hh_fec!N17)</f>
        <v>1.4089759363610974</v>
      </c>
      <c r="O17" s="136">
        <f>IF(SER_hh_tes!O17=0,"",SER_hh_tes!O17/SER_hh_fec!O17)</f>
        <v>1.4372115601393129</v>
      </c>
      <c r="P17" s="136">
        <f>IF(SER_hh_tes!P17=0,"",SER_hh_tes!P17/SER_hh_fec!P17)</f>
        <v>1.4735397248609012</v>
      </c>
      <c r="Q17" s="136">
        <f>IF(SER_hh_tes!Q17=0,"",SER_hh_tes!Q17/SER_hh_fec!Q17)</f>
        <v>1.5034199172736495</v>
      </c>
      <c r="R17" s="136">
        <f>IF(SER_hh_tes!R17=0,"",SER_hh_tes!R17/SER_hh_fec!R17)</f>
        <v>1.5300631460384986</v>
      </c>
      <c r="S17" s="136">
        <f>IF(SER_hh_tes!S17=0,"",SER_hh_tes!S17/SER_hh_fec!S17)</f>
        <v>1.5511934303431056</v>
      </c>
      <c r="T17" s="136">
        <f>IF(SER_hh_tes!T17=0,"",SER_hh_tes!T17/SER_hh_fec!T17)</f>
        <v>1.5701239777216656</v>
      </c>
      <c r="U17" s="136">
        <f>IF(SER_hh_tes!U17=0,"",SER_hh_tes!U17/SER_hh_fec!U17)</f>
        <v>1.5893301210065269</v>
      </c>
      <c r="V17" s="136">
        <f>IF(SER_hh_tes!V17=0,"",SER_hh_tes!V17/SER_hh_fec!V17)</f>
        <v>1.606876275032717</v>
      </c>
      <c r="W17" s="136">
        <f>IF(SER_hh_tes!W17=0,"",SER_hh_tes!W17/SER_hh_fec!W17)</f>
        <v>1.6220956846034011</v>
      </c>
      <c r="X17" s="136">
        <f>IF(SER_hh_tes!X17=0,"",SER_hh_tes!X17/SER_hh_fec!X17)</f>
        <v>1.6428928960001703</v>
      </c>
      <c r="Y17" s="136">
        <f>IF(SER_hh_tes!Y17=0,"",SER_hh_tes!Y17/SER_hh_fec!Y17)</f>
        <v>1.6638460166443403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1.9439535113740705</v>
      </c>
      <c r="C18" s="136">
        <f>IF(SER_hh_tes!C18=0,"",SER_hh_tes!C18/SER_hh_fec!C18)</f>
        <v>2.0745445229373365</v>
      </c>
      <c r="D18" s="136">
        <f>IF(SER_hh_tes!D18=0,"",SER_hh_tes!D18/SER_hh_fec!D18)</f>
        <v>2.2053374894067721</v>
      </c>
      <c r="E18" s="136">
        <f>IF(SER_hh_tes!E18=0,"",SER_hh_tes!E18/SER_hh_fec!E18)</f>
        <v>2.3254258599810149</v>
      </c>
      <c r="F18" s="136">
        <f>IF(SER_hh_tes!F18=0,"",SER_hh_tes!F18/SER_hh_fec!F18)</f>
        <v>2.4580770991124123</v>
      </c>
      <c r="G18" s="136">
        <f>IF(SER_hh_tes!G18=0,"",SER_hh_tes!G18/SER_hh_fec!G18)</f>
        <v>2.610201540814062</v>
      </c>
      <c r="H18" s="136">
        <f>IF(SER_hh_tes!H18=0,"",SER_hh_tes!H18/SER_hh_fec!H18)</f>
        <v>2.7604859673653839</v>
      </c>
      <c r="I18" s="136">
        <f>IF(SER_hh_tes!I18=0,"",SER_hh_tes!I18/SER_hh_fec!I18)</f>
        <v>2.9271963680225959</v>
      </c>
      <c r="J18" s="136">
        <f>IF(SER_hh_tes!J18=0,"",SER_hh_tes!J18/SER_hh_fec!J18)</f>
        <v>3.0820485254798884</v>
      </c>
      <c r="K18" s="136">
        <f>IF(SER_hh_tes!K18=0,"",SER_hh_tes!K18/SER_hh_fec!K18)</f>
        <v>3.1572806384346257</v>
      </c>
      <c r="L18" s="136">
        <f>IF(SER_hh_tes!L18=0,"",SER_hh_tes!L18/SER_hh_fec!L18)</f>
        <v>3.2473809532733511</v>
      </c>
      <c r="M18" s="136">
        <f>IF(SER_hh_tes!M18=0,"",SER_hh_tes!M18/SER_hh_fec!M18)</f>
        <v>3.3696246062113699</v>
      </c>
      <c r="N18" s="136">
        <f>IF(SER_hh_tes!N18=0,"",SER_hh_tes!N18/SER_hh_fec!N18)</f>
        <v>3.4883735432396161</v>
      </c>
      <c r="O18" s="136">
        <f>IF(SER_hh_tes!O18=0,"",SER_hh_tes!O18/SER_hh_fec!O18)</f>
        <v>3.6147861680810034</v>
      </c>
      <c r="P18" s="136">
        <f>IF(SER_hh_tes!P18=0,"",SER_hh_tes!P18/SER_hh_fec!P18)</f>
        <v>3.7642694712406599</v>
      </c>
      <c r="Q18" s="136">
        <f>IF(SER_hh_tes!Q18=0,"",SER_hh_tes!Q18/SER_hh_fec!Q18)</f>
        <v>3.9240179048044137</v>
      </c>
      <c r="R18" s="136">
        <f>IF(SER_hh_tes!R18=0,"",SER_hh_tes!R18/SER_hh_fec!R18)</f>
        <v>4.0979576687003503</v>
      </c>
      <c r="S18" s="136">
        <f>IF(SER_hh_tes!S18=0,"",SER_hh_tes!S18/SER_hh_fec!S18)</f>
        <v>4.2706883662057704</v>
      </c>
      <c r="T18" s="136">
        <f>IF(SER_hh_tes!T18=0,"",SER_hh_tes!T18/SER_hh_fec!T18)</f>
        <v>4.4181538533508231</v>
      </c>
      <c r="U18" s="136">
        <f>IF(SER_hh_tes!U18=0,"",SER_hh_tes!U18/SER_hh_fec!U18)</f>
        <v>4.5458386740298176</v>
      </c>
      <c r="V18" s="136">
        <f>IF(SER_hh_tes!V18=0,"",SER_hh_tes!V18/SER_hh_fec!V18)</f>
        <v>4.6555472114324061</v>
      </c>
      <c r="W18" s="136">
        <f>IF(SER_hh_tes!W18=0,"",SER_hh_tes!W18/SER_hh_fec!W18)</f>
        <v>4.7445077370469875</v>
      </c>
      <c r="X18" s="136">
        <f>IF(SER_hh_tes!X18=0,"",SER_hh_tes!X18/SER_hh_fec!X18)</f>
        <v>4.8166887439435122</v>
      </c>
      <c r="Y18" s="136">
        <f>IF(SER_hh_tes!Y18=0,"",SER_hh_tes!Y18/SER_hh_fec!Y18)</f>
        <v>4.8746367831984871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0.68132545576846992</v>
      </c>
      <c r="C19" s="135">
        <f>IF(SER_hh_tes!C19=0,"",SER_hh_tes!C19/SER_hh_fec!C19)</f>
        <v>0.68371041513265618</v>
      </c>
      <c r="D19" s="135">
        <f>IF(SER_hh_tes!D19=0,"",SER_hh_tes!D19/SER_hh_fec!D19)</f>
        <v>0.68429722403685966</v>
      </c>
      <c r="E19" s="135">
        <f>IF(SER_hh_tes!E19=0,"",SER_hh_tes!E19/SER_hh_fec!E19)</f>
        <v>0.68875425595656503</v>
      </c>
      <c r="F19" s="135">
        <f>IF(SER_hh_tes!F19=0,"",SER_hh_tes!F19/SER_hh_fec!F19)</f>
        <v>0.69200501782334656</v>
      </c>
      <c r="G19" s="135">
        <f>IF(SER_hh_tes!G19=0,"",SER_hh_tes!G19/SER_hh_fec!G19)</f>
        <v>0.69581090460831863</v>
      </c>
      <c r="H19" s="135">
        <f>IF(SER_hh_tes!H19=0,"",SER_hh_tes!H19/SER_hh_fec!H19)</f>
        <v>0.69994675818570196</v>
      </c>
      <c r="I19" s="135">
        <f>IF(SER_hh_tes!I19=0,"",SER_hh_tes!I19/SER_hh_fec!I19)</f>
        <v>0.70540722666358924</v>
      </c>
      <c r="J19" s="135">
        <f>IF(SER_hh_tes!J19=0,"",SER_hh_tes!J19/SER_hh_fec!J19)</f>
        <v>0.71038027184327779</v>
      </c>
      <c r="K19" s="135">
        <f>IF(SER_hh_tes!K19=0,"",SER_hh_tes!K19/SER_hh_fec!K19)</f>
        <v>0.71513259347613034</v>
      </c>
      <c r="L19" s="135">
        <f>IF(SER_hh_tes!L19=0,"",SER_hh_tes!L19/SER_hh_fec!L19)</f>
        <v>0.72091701005461717</v>
      </c>
      <c r="M19" s="135">
        <f>IF(SER_hh_tes!M19=0,"",SER_hh_tes!M19/SER_hh_fec!M19)</f>
        <v>0.72780890119662789</v>
      </c>
      <c r="N19" s="135">
        <f>IF(SER_hh_tes!N19=0,"",SER_hh_tes!N19/SER_hh_fec!N19)</f>
        <v>0.73328709363481437</v>
      </c>
      <c r="O19" s="135">
        <f>IF(SER_hh_tes!O19=0,"",SER_hh_tes!O19/SER_hh_fec!O19)</f>
        <v>0.74122535457786143</v>
      </c>
      <c r="P19" s="135">
        <f>IF(SER_hh_tes!P19=0,"",SER_hh_tes!P19/SER_hh_fec!P19)</f>
        <v>0.74681975629860098</v>
      </c>
      <c r="Q19" s="135">
        <f>IF(SER_hh_tes!Q19=0,"",SER_hh_tes!Q19/SER_hh_fec!Q19)</f>
        <v>0.75423954204644894</v>
      </c>
      <c r="R19" s="135">
        <f>IF(SER_hh_tes!R19=0,"",SER_hh_tes!R19/SER_hh_fec!R19)</f>
        <v>0.76193196671547625</v>
      </c>
      <c r="S19" s="135">
        <f>IF(SER_hh_tes!S19=0,"",SER_hh_tes!S19/SER_hh_fec!S19)</f>
        <v>0.77188308684135376</v>
      </c>
      <c r="T19" s="135">
        <f>IF(SER_hh_tes!T19=0,"",SER_hh_tes!T19/SER_hh_fec!T19)</f>
        <v>0.78414860941034248</v>
      </c>
      <c r="U19" s="135">
        <f>IF(SER_hh_tes!U19=0,"",SER_hh_tes!U19/SER_hh_fec!U19)</f>
        <v>0.797356831261958</v>
      </c>
      <c r="V19" s="135">
        <f>IF(SER_hh_tes!V19=0,"",SER_hh_tes!V19/SER_hh_fec!V19)</f>
        <v>0.81483174025051941</v>
      </c>
      <c r="W19" s="135">
        <f>IF(SER_hh_tes!W19=0,"",SER_hh_tes!W19/SER_hh_fec!W19)</f>
        <v>0.82946820296254598</v>
      </c>
      <c r="X19" s="135">
        <f>IF(SER_hh_tes!X19=0,"",SER_hh_tes!X19/SER_hh_fec!X19)</f>
        <v>0.84419823524798665</v>
      </c>
      <c r="Y19" s="135">
        <f>IF(SER_hh_tes!Y19=0,"",SER_hh_tes!Y19/SER_hh_fec!Y19)</f>
        <v>0.85769969009720615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0.5723331890364417</v>
      </c>
      <c r="C22" s="136">
        <f>IF(SER_hh_tes!C22=0,"",SER_hh_tes!C22/SER_hh_fec!C22)</f>
        <v>0.57383994449461539</v>
      </c>
      <c r="D22" s="136">
        <f>IF(SER_hh_tes!D22=0,"",SER_hh_tes!D22/SER_hh_fec!D22)</f>
        <v>0.57541966021140378</v>
      </c>
      <c r="E22" s="136">
        <f>IF(SER_hh_tes!E22=0,"",SER_hh_tes!E22/SER_hh_fec!E22)</f>
        <v>0.5772956004111246</v>
      </c>
      <c r="F22" s="136">
        <f>IF(SER_hh_tes!F22=0,"",SER_hh_tes!F22/SER_hh_fec!F22)</f>
        <v>0.57952503929667276</v>
      </c>
      <c r="G22" s="136">
        <f>IF(SER_hh_tes!G22=0,"",SER_hh_tes!G22/SER_hh_fec!G22)</f>
        <v>0.58223294961021821</v>
      </c>
      <c r="H22" s="136">
        <f>IF(SER_hh_tes!H22=0,"",SER_hh_tes!H22/SER_hh_fec!H22)</f>
        <v>0.58536372514064772</v>
      </c>
      <c r="I22" s="136">
        <f>IF(SER_hh_tes!I22=0,"",SER_hh_tes!I22/SER_hh_fec!I22)</f>
        <v>0.58883026173633624</v>
      </c>
      <c r="J22" s="136">
        <f>IF(SER_hh_tes!J22=0,"",SER_hh_tes!J22/SER_hh_fec!J22)</f>
        <v>0.59251874480200395</v>
      </c>
      <c r="K22" s="136">
        <f>IF(SER_hh_tes!K22=0,"",SER_hh_tes!K22/SER_hh_fec!K22)</f>
        <v>0.59637087856473869</v>
      </c>
      <c r="L22" s="136">
        <f>IF(SER_hh_tes!L22=0,"",SER_hh_tes!L22/SER_hh_fec!L22)</f>
        <v>0.60072236667839751</v>
      </c>
      <c r="M22" s="136">
        <f>IF(SER_hh_tes!M22=0,"",SER_hh_tes!M22/SER_hh_fec!M22)</f>
        <v>0.6062942374827931</v>
      </c>
      <c r="N22" s="136">
        <f>IF(SER_hh_tes!N22=0,"",SER_hh_tes!N22/SER_hh_fec!N22)</f>
        <v>0.61400660450296918</v>
      </c>
      <c r="O22" s="136">
        <f>IF(SER_hh_tes!O22=0,"",SER_hh_tes!O22/SER_hh_fec!O22)</f>
        <v>0.62339730326992293</v>
      </c>
      <c r="P22" s="136">
        <f>IF(SER_hh_tes!P22=0,"",SER_hh_tes!P22/SER_hh_fec!P22)</f>
        <v>0.62920471078167017</v>
      </c>
      <c r="Q22" s="136">
        <f>IF(SER_hh_tes!Q22=0,"",SER_hh_tes!Q22/SER_hh_fec!Q22)</f>
        <v>0.63814358452635989</v>
      </c>
      <c r="R22" s="136">
        <f>IF(SER_hh_tes!R22=0,"",SER_hh_tes!R22/SER_hh_fec!R22)</f>
        <v>0.64853009678965179</v>
      </c>
      <c r="S22" s="136">
        <f>IF(SER_hh_tes!S22=0,"",SER_hh_tes!S22/SER_hh_fec!S22)</f>
        <v>0.66069443720967391</v>
      </c>
      <c r="T22" s="136">
        <f>IF(SER_hh_tes!T22=0,"",SER_hh_tes!T22/SER_hh_fec!T22)</f>
        <v>0.6734377196334369</v>
      </c>
      <c r="U22" s="136">
        <f>IF(SER_hh_tes!U22=0,"",SER_hh_tes!U22/SER_hh_fec!U22)</f>
        <v>0.68724671260891668</v>
      </c>
      <c r="V22" s="136">
        <f>IF(SER_hh_tes!V22=0,"",SER_hh_tes!V22/SER_hh_fec!V22)</f>
        <v>0.70140652729209474</v>
      </c>
      <c r="W22" s="136">
        <f>IF(SER_hh_tes!W22=0,"",SER_hh_tes!W22/SER_hh_fec!W22)</f>
        <v>0.71653665017300028</v>
      </c>
      <c r="X22" s="136">
        <f>IF(SER_hh_tes!X22=0,"",SER_hh_tes!X22/SER_hh_fec!X22)</f>
        <v>0.73041702705649214</v>
      </c>
      <c r="Y22" s="136">
        <f>IF(SER_hh_tes!Y22=0,"",SER_hh_tes!Y22/SER_hh_fec!Y22)</f>
        <v>0.74482965417131664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0.58519200690673778</v>
      </c>
      <c r="C23" s="136">
        <f>IF(SER_hh_tes!C23=0,"",SER_hh_tes!C23/SER_hh_fec!C23)</f>
        <v>0.591314242217715</v>
      </c>
      <c r="D23" s="136">
        <f>IF(SER_hh_tes!D23=0,"",SER_hh_tes!D23/SER_hh_fec!D23)</f>
        <v>0.59751301076257812</v>
      </c>
      <c r="E23" s="136">
        <f>IF(SER_hh_tes!E23=0,"",SER_hh_tes!E23/SER_hh_fec!E23)</f>
        <v>0.60294407837694108</v>
      </c>
      <c r="F23" s="136">
        <f>IF(SER_hh_tes!F23=0,"",SER_hh_tes!F23/SER_hh_fec!F23)</f>
        <v>0.60873268605897246</v>
      </c>
      <c r="G23" s="136">
        <f>IF(SER_hh_tes!G23=0,"",SER_hh_tes!G23/SER_hh_fec!G23)</f>
        <v>0.61527286700058015</v>
      </c>
      <c r="H23" s="136">
        <f>IF(SER_hh_tes!H23=0,"",SER_hh_tes!H23/SER_hh_fec!H23)</f>
        <v>0.62272242276287226</v>
      </c>
      <c r="I23" s="136">
        <f>IF(SER_hh_tes!I23=0,"",SER_hh_tes!I23/SER_hh_fec!I23)</f>
        <v>0.63042420384128517</v>
      </c>
      <c r="J23" s="136">
        <f>IF(SER_hh_tes!J23=0,"",SER_hh_tes!J23/SER_hh_fec!J23)</f>
        <v>0.63845791417509257</v>
      </c>
      <c r="K23" s="136">
        <f>IF(SER_hh_tes!K23=0,"",SER_hh_tes!K23/SER_hh_fec!K23)</f>
        <v>0.64694950868401246</v>
      </c>
      <c r="L23" s="136">
        <f>IF(SER_hh_tes!L23=0,"",SER_hh_tes!L23/SER_hh_fec!L23)</f>
        <v>0.65661131117539151</v>
      </c>
      <c r="M23" s="136">
        <f>IF(SER_hh_tes!M23=0,"",SER_hh_tes!M23/SER_hh_fec!M23)</f>
        <v>0.66774227783303186</v>
      </c>
      <c r="N23" s="136">
        <f>IF(SER_hh_tes!N23=0,"",SER_hh_tes!N23/SER_hh_fec!N23)</f>
        <v>0.68091126129464274</v>
      </c>
      <c r="O23" s="136">
        <f>IF(SER_hh_tes!O23=0,"",SER_hh_tes!O23/SER_hh_fec!O23)</f>
        <v>0.69289773744744942</v>
      </c>
      <c r="P23" s="136">
        <f>IF(SER_hh_tes!P23=0,"",SER_hh_tes!P23/SER_hh_fec!P23)</f>
        <v>0.69609863790349813</v>
      </c>
      <c r="Q23" s="136">
        <f>IF(SER_hh_tes!Q23=0,"",SER_hh_tes!Q23/SER_hh_fec!Q23)</f>
        <v>0.70236705868532823</v>
      </c>
      <c r="R23" s="136">
        <f>IF(SER_hh_tes!R23=0,"",SER_hh_tes!R23/SER_hh_fec!R23)</f>
        <v>0.71367367685039285</v>
      </c>
      <c r="S23" s="136">
        <f>IF(SER_hh_tes!S23=0,"",SER_hh_tes!S23/SER_hh_fec!S23)</f>
        <v>0.72926159850856487</v>
      </c>
      <c r="T23" s="136">
        <f>IF(SER_hh_tes!T23=0,"",SER_hh_tes!T23/SER_hh_fec!T23)</f>
        <v>0.74133613489343075</v>
      </c>
      <c r="U23" s="136">
        <f>IF(SER_hh_tes!U23=0,"",SER_hh_tes!U23/SER_hh_fec!U23)</f>
        <v>0.75054897281713451</v>
      </c>
      <c r="V23" s="136">
        <f>IF(SER_hh_tes!V23=0,"",SER_hh_tes!V23/SER_hh_fec!V23)</f>
        <v>0.757771665277162</v>
      </c>
      <c r="W23" s="136">
        <f>IF(SER_hh_tes!W23=0,"",SER_hh_tes!W23/SER_hh_fec!W23)</f>
        <v>0.77013112275901818</v>
      </c>
      <c r="X23" s="136">
        <f>IF(SER_hh_tes!X23=0,"",SER_hh_tes!X23/SER_hh_fec!X23)</f>
        <v>0.78576104130684465</v>
      </c>
      <c r="Y23" s="136">
        <f>IF(SER_hh_tes!Y23=0,"",SER_hh_tes!Y23/SER_hh_fec!Y23)</f>
        <v>0.80307101396254588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0.87325164984115478</v>
      </c>
      <c r="C25" s="136">
        <f>IF(SER_hh_tes!C25=0,"",SER_hh_tes!C25/SER_hh_fec!C25)</f>
        <v>0.87520816208870433</v>
      </c>
      <c r="D25" s="136">
        <f>IF(SER_hh_tes!D25=0,"",SER_hh_tes!D25/SER_hh_fec!D25)</f>
        <v>0.87691219810845056</v>
      </c>
      <c r="E25" s="136">
        <f>IF(SER_hh_tes!E25=0,"",SER_hh_tes!E25/SER_hh_fec!E25)</f>
        <v>0.87867766060214003</v>
      </c>
      <c r="F25" s="136">
        <f>IF(SER_hh_tes!F25=0,"",SER_hh_tes!F25/SER_hh_fec!F25)</f>
        <v>0.88067910928116167</v>
      </c>
      <c r="G25" s="136">
        <f>IF(SER_hh_tes!G25=0,"",SER_hh_tes!G25/SER_hh_fec!G25)</f>
        <v>0.88330179847401979</v>
      </c>
      <c r="H25" s="136">
        <f>IF(SER_hh_tes!H25=0,"",SER_hh_tes!H25/SER_hh_fec!H25)</f>
        <v>0.88643110324684271</v>
      </c>
      <c r="I25" s="136">
        <f>IF(SER_hh_tes!I25=0,"",SER_hh_tes!I25/SER_hh_fec!I25)</f>
        <v>0.88989203880666345</v>
      </c>
      <c r="J25" s="136">
        <f>IF(SER_hh_tes!J25=0,"",SER_hh_tes!J25/SER_hh_fec!J25)</f>
        <v>0.89341310202712942</v>
      </c>
      <c r="K25" s="136">
        <f>IF(SER_hh_tes!K25=0,"",SER_hh_tes!K25/SER_hh_fec!K25)</f>
        <v>0.89702027798327211</v>
      </c>
      <c r="L25" s="136">
        <f>IF(SER_hh_tes!L25=0,"",SER_hh_tes!L25/SER_hh_fec!L25)</f>
        <v>0.90067395750641022</v>
      </c>
      <c r="M25" s="136">
        <f>IF(SER_hh_tes!M25=0,"",SER_hh_tes!M25/SER_hh_fec!M25)</f>
        <v>0.90445898560247395</v>
      </c>
      <c r="N25" s="136">
        <f>IF(SER_hh_tes!N25=0,"",SER_hh_tes!N25/SER_hh_fec!N25)</f>
        <v>0.90845945675585593</v>
      </c>
      <c r="O25" s="136">
        <f>IF(SER_hh_tes!O25=0,"",SER_hh_tes!O25/SER_hh_fec!O25)</f>
        <v>0.9120259281330193</v>
      </c>
      <c r="P25" s="136">
        <f>IF(SER_hh_tes!P25=0,"",SER_hh_tes!P25/SER_hh_fec!P25)</f>
        <v>0.91228511426351944</v>
      </c>
      <c r="Q25" s="136">
        <f>IF(SER_hh_tes!Q25=0,"",SER_hh_tes!Q25/SER_hh_fec!Q25)</f>
        <v>0.91317891239862414</v>
      </c>
      <c r="R25" s="136">
        <f>IF(SER_hh_tes!R25=0,"",SER_hh_tes!R25/SER_hh_fec!R25)</f>
        <v>0.91518977172539784</v>
      </c>
      <c r="S25" s="136">
        <f>IF(SER_hh_tes!S25=0,"",SER_hh_tes!S25/SER_hh_fec!S25)</f>
        <v>0.91810154288156764</v>
      </c>
      <c r="T25" s="136">
        <f>IF(SER_hh_tes!T25=0,"",SER_hh_tes!T25/SER_hh_fec!T25)</f>
        <v>0.9212024566224466</v>
      </c>
      <c r="U25" s="136">
        <f>IF(SER_hh_tes!U25=0,"",SER_hh_tes!U25/SER_hh_fec!U25)</f>
        <v>0.92430062288962589</v>
      </c>
      <c r="V25" s="136">
        <f>IF(SER_hh_tes!V25=0,"",SER_hh_tes!V25/SER_hh_fec!V25)</f>
        <v>0.92780998604109499</v>
      </c>
      <c r="W25" s="136">
        <f>IF(SER_hh_tes!W25=0,"",SER_hh_tes!W25/SER_hh_fec!W25)</f>
        <v>0.93154149012127629</v>
      </c>
      <c r="X25" s="136">
        <f>IF(SER_hh_tes!X25=0,"",SER_hh_tes!X25/SER_hh_fec!X25)</f>
        <v>0.93568299180817993</v>
      </c>
      <c r="Y25" s="136">
        <f>IF(SER_hh_tes!Y25=0,"",SER_hh_tes!Y25/SER_hh_fec!Y25)</f>
        <v>0.94009632318729441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0.72621910378254961</v>
      </c>
      <c r="C26" s="137">
        <f>IF(SER_hh_tes!C26=0,"",SER_hh_tes!C26/SER_hh_fec!C26)</f>
        <v>0.72813231679381052</v>
      </c>
      <c r="D26" s="137">
        <f>IF(SER_hh_tes!D26=0,"",SER_hh_tes!D26/SER_hh_fec!D26)</f>
        <v>0.72998781155157366</v>
      </c>
      <c r="E26" s="137">
        <f>IF(SER_hh_tes!E26=0,"",SER_hh_tes!E26/SER_hh_fec!E26)</f>
        <v>0.73209592994096229</v>
      </c>
      <c r="F26" s="137">
        <f>IF(SER_hh_tes!F26=0,"",SER_hh_tes!F26/SER_hh_fec!F26)</f>
        <v>0.73407941682613997</v>
      </c>
      <c r="G26" s="137">
        <f>IF(SER_hh_tes!G26=0,"",SER_hh_tes!G26/SER_hh_fec!G26)</f>
        <v>0.73681581356774817</v>
      </c>
      <c r="H26" s="137">
        <f>IF(SER_hh_tes!H26=0,"",SER_hh_tes!H26/SER_hh_fec!H26)</f>
        <v>0.7399074167220957</v>
      </c>
      <c r="I26" s="137">
        <f>IF(SER_hh_tes!I26=0,"",SER_hh_tes!I26/SER_hh_fec!I26)</f>
        <v>0.74332483390812332</v>
      </c>
      <c r="J26" s="137">
        <f>IF(SER_hh_tes!J26=0,"",SER_hh_tes!J26/SER_hh_fec!J26)</f>
        <v>0.74654974547821473</v>
      </c>
      <c r="K26" s="137">
        <f>IF(SER_hh_tes!K26=0,"",SER_hh_tes!K26/SER_hh_fec!K26)</f>
        <v>0.74936544795341442</v>
      </c>
      <c r="L26" s="137">
        <f>IF(SER_hh_tes!L26=0,"",SER_hh_tes!L26/SER_hh_fec!L26)</f>
        <v>0.75309164535413631</v>
      </c>
      <c r="M26" s="137">
        <f>IF(SER_hh_tes!M26=0,"",SER_hh_tes!M26/SER_hh_fec!M26)</f>
        <v>0.75757888707957788</v>
      </c>
      <c r="N26" s="137">
        <f>IF(SER_hh_tes!N26=0,"",SER_hh_tes!N26/SER_hh_fec!N26)</f>
        <v>0.76295567516560547</v>
      </c>
      <c r="O26" s="137">
        <f>IF(SER_hh_tes!O26=0,"",SER_hh_tes!O26/SER_hh_fec!O26)</f>
        <v>0.76964316345232198</v>
      </c>
      <c r="P26" s="137">
        <f>IF(SER_hh_tes!P26=0,"",SER_hh_tes!P26/SER_hh_fec!P26)</f>
        <v>0.77399939605753276</v>
      </c>
      <c r="Q26" s="137">
        <f>IF(SER_hh_tes!Q26=0,"",SER_hh_tes!Q26/SER_hh_fec!Q26)</f>
        <v>0.78164261620166664</v>
      </c>
      <c r="R26" s="137">
        <f>IF(SER_hh_tes!R26=0,"",SER_hh_tes!R26/SER_hh_fec!R26)</f>
        <v>0.78856484034025054</v>
      </c>
      <c r="S26" s="137">
        <f>IF(SER_hh_tes!S26=0,"",SER_hh_tes!S26/SER_hh_fec!S26)</f>
        <v>0.79784677773745205</v>
      </c>
      <c r="T26" s="137">
        <f>IF(SER_hh_tes!T26=0,"",SER_hh_tes!T26/SER_hh_fec!T26)</f>
        <v>0.81022736892831237</v>
      </c>
      <c r="U26" s="137">
        <f>IF(SER_hh_tes!U26=0,"",SER_hh_tes!U26/SER_hh_fec!U26)</f>
        <v>0.82557199250883029</v>
      </c>
      <c r="V26" s="137">
        <f>IF(SER_hh_tes!V26=0,"",SER_hh_tes!V26/SER_hh_fec!V26)</f>
        <v>0.8430984006585549</v>
      </c>
      <c r="W26" s="137">
        <f>IF(SER_hh_tes!W26=0,"",SER_hh_tes!W26/SER_hh_fec!W26)</f>
        <v>0.85981883558694661</v>
      </c>
      <c r="X26" s="137">
        <f>IF(SER_hh_tes!X26=0,"",SER_hh_tes!X26/SER_hh_fec!X26)</f>
        <v>0.87476369562609713</v>
      </c>
      <c r="Y26" s="137">
        <f>IF(SER_hh_tes!Y26=0,"",SER_hh_tes!Y26/SER_hh_fec!Y26)</f>
        <v>0.88815214064015024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0.70892945133917573</v>
      </c>
      <c r="C29" s="135">
        <f>IF(SER_hh_tes!C29=0,"",SER_hh_tes!C29/SER_hh_fec!C29)</f>
        <v>0.70786721976817768</v>
      </c>
      <c r="D29" s="135">
        <f>IF(SER_hh_tes!D29=0,"",SER_hh_tes!D29/SER_hh_fec!D29)</f>
        <v>0.70792378268732314</v>
      </c>
      <c r="E29" s="135">
        <f>IF(SER_hh_tes!E29=0,"",SER_hh_tes!E29/SER_hh_fec!E29)</f>
        <v>0.70838390141746632</v>
      </c>
      <c r="F29" s="135">
        <f>IF(SER_hh_tes!F29=0,"",SER_hh_tes!F29/SER_hh_fec!F29)</f>
        <v>0.70894561301303005</v>
      </c>
      <c r="G29" s="135">
        <f>IF(SER_hh_tes!G29=0,"",SER_hh_tes!G29/SER_hh_fec!G29)</f>
        <v>0.71135200682476785</v>
      </c>
      <c r="H29" s="135">
        <f>IF(SER_hh_tes!H29=0,"",SER_hh_tes!H29/SER_hh_fec!H29)</f>
        <v>0.71252900735643887</v>
      </c>
      <c r="I29" s="135">
        <f>IF(SER_hh_tes!I29=0,"",SER_hh_tes!I29/SER_hh_fec!I29)</f>
        <v>0.71569091928705741</v>
      </c>
      <c r="J29" s="135">
        <f>IF(SER_hh_tes!J29=0,"",SER_hh_tes!J29/SER_hh_fec!J29)</f>
        <v>0.71711788760887463</v>
      </c>
      <c r="K29" s="135">
        <f>IF(SER_hh_tes!K29=0,"",SER_hh_tes!K29/SER_hh_fec!K29)</f>
        <v>0.71938808529513631</v>
      </c>
      <c r="L29" s="135">
        <f>IF(SER_hh_tes!L29=0,"",SER_hh_tes!L29/SER_hh_fec!L29)</f>
        <v>0.72194314892918443</v>
      </c>
      <c r="M29" s="135">
        <f>IF(SER_hh_tes!M29=0,"",SER_hh_tes!M29/SER_hh_fec!M29)</f>
        <v>0.72323660030859349</v>
      </c>
      <c r="N29" s="135">
        <f>IF(SER_hh_tes!N29=0,"",SER_hh_tes!N29/SER_hh_fec!N29)</f>
        <v>0.72479475967495788</v>
      </c>
      <c r="O29" s="135">
        <f>IF(SER_hh_tes!O29=0,"",SER_hh_tes!O29/SER_hh_fec!O29)</f>
        <v>0.72600168039235358</v>
      </c>
      <c r="P29" s="135">
        <f>IF(SER_hh_tes!P29=0,"",SER_hh_tes!P29/SER_hh_fec!P29)</f>
        <v>0.72854566554156686</v>
      </c>
      <c r="Q29" s="135">
        <f>IF(SER_hh_tes!Q29=0,"",SER_hh_tes!Q29/SER_hh_fec!Q29)</f>
        <v>0.73333685810788218</v>
      </c>
      <c r="R29" s="135">
        <f>IF(SER_hh_tes!R29=0,"",SER_hh_tes!R29/SER_hh_fec!R29)</f>
        <v>0.73698942213376595</v>
      </c>
      <c r="S29" s="135">
        <f>IF(SER_hh_tes!S29=0,"",SER_hh_tes!S29/SER_hh_fec!S29)</f>
        <v>0.74302904229145028</v>
      </c>
      <c r="T29" s="135">
        <f>IF(SER_hh_tes!T29=0,"",SER_hh_tes!T29/SER_hh_fec!T29)</f>
        <v>0.75473771793706756</v>
      </c>
      <c r="U29" s="135">
        <f>IF(SER_hh_tes!U29=0,"",SER_hh_tes!U29/SER_hh_fec!U29)</f>
        <v>0.76870009190541233</v>
      </c>
      <c r="V29" s="135">
        <f>IF(SER_hh_tes!V29=0,"",SER_hh_tes!V29/SER_hh_fec!V29)</f>
        <v>0.77024255989942314</v>
      </c>
      <c r="W29" s="135">
        <f>IF(SER_hh_tes!W29=0,"",SER_hh_tes!W29/SER_hh_fec!W29)</f>
        <v>0.77177697257239497</v>
      </c>
      <c r="X29" s="135">
        <f>IF(SER_hh_tes!X29=0,"",SER_hh_tes!X29/SER_hh_fec!X29)</f>
        <v>0.78092326218322106</v>
      </c>
      <c r="Y29" s="135">
        <f>IF(SER_hh_tes!Y29=0,"",SER_hh_tes!Y29/SER_hh_fec!Y29)</f>
        <v>0.78688286096868099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0.59582355963678335</v>
      </c>
      <c r="C30" s="136">
        <f>IF(SER_hh_tes!C30=0,"",SER_hh_tes!C30/SER_hh_fec!C30)</f>
        <v>0.59698114276431624</v>
      </c>
      <c r="D30" s="136">
        <f>IF(SER_hh_tes!D30=0,"",SER_hh_tes!D30/SER_hh_fec!D30)</f>
        <v>0.59786983956466522</v>
      </c>
      <c r="E30" s="136">
        <f>IF(SER_hh_tes!E30=0,"",SER_hh_tes!E30/SER_hh_fec!E30)</f>
        <v>0.5985484371815819</v>
      </c>
      <c r="F30" s="136">
        <f>IF(SER_hh_tes!F30=0,"",SER_hh_tes!F30/SER_hh_fec!F30)</f>
        <v>0.59935662486513375</v>
      </c>
      <c r="G30" s="136">
        <f>IF(SER_hh_tes!G30=0,"",SER_hh_tes!G30/SER_hh_fec!G30)</f>
        <v>0.59993279809492162</v>
      </c>
      <c r="H30" s="136">
        <f>IF(SER_hh_tes!H30=0,"",SER_hh_tes!H30/SER_hh_fec!H30)</f>
        <v>0.60049374650160792</v>
      </c>
      <c r="I30" s="136">
        <f>IF(SER_hh_tes!I30=0,"",SER_hh_tes!I30/SER_hh_fec!I30)</f>
        <v>0.6008949284404812</v>
      </c>
      <c r="J30" s="136">
        <f>IF(SER_hh_tes!J30=0,"",SER_hh_tes!J30/SER_hh_fec!J30)</f>
        <v>0.60131601017185765</v>
      </c>
      <c r="K30" s="136">
        <f>IF(SER_hh_tes!K30=0,"",SER_hh_tes!K30/SER_hh_fec!K30)</f>
        <v>0.60229196472447888</v>
      </c>
      <c r="L30" s="136">
        <f>IF(SER_hh_tes!L30=0,"",SER_hh_tes!L30/SER_hh_fec!L30)</f>
        <v>0.60298751496587766</v>
      </c>
      <c r="M30" s="136">
        <f>IF(SER_hh_tes!M30=0,"",SER_hh_tes!M30/SER_hh_fec!M30)</f>
        <v>0.6030470475341454</v>
      </c>
      <c r="N30" s="136">
        <f>IF(SER_hh_tes!N30=0,"",SER_hh_tes!N30/SER_hh_fec!N30)</f>
        <v>0.60317119295020627</v>
      </c>
      <c r="O30" s="136">
        <f>IF(SER_hh_tes!O30=0,"",SER_hh_tes!O30/SER_hh_fec!O30)</f>
        <v>0.60339089259838818</v>
      </c>
      <c r="P30" s="136">
        <f>IF(SER_hh_tes!P30=0,"",SER_hh_tes!P30/SER_hh_fec!P30)</f>
        <v>0.60373609674516804</v>
      </c>
      <c r="Q30" s="136">
        <f>IF(SER_hh_tes!Q30=0,"",SER_hh_tes!Q30/SER_hh_fec!Q30)</f>
        <v>0.60404080289102546</v>
      </c>
      <c r="R30" s="136">
        <f>IF(SER_hh_tes!R30=0,"",SER_hh_tes!R30/SER_hh_fec!R30)</f>
        <v>0.60470040620001231</v>
      </c>
      <c r="S30" s="136">
        <f>IF(SER_hh_tes!S30=0,"",SER_hh_tes!S30/SER_hh_fec!S30)</f>
        <v>0.60546203112988828</v>
      </c>
      <c r="T30" s="136">
        <f>IF(SER_hh_tes!T30=0,"",SER_hh_tes!T30/SER_hh_fec!T30)</f>
        <v>0.60600731029966537</v>
      </c>
      <c r="U30" s="136">
        <f>IF(SER_hh_tes!U30=0,"",SER_hh_tes!U30/SER_hh_fec!U30)</f>
        <v>0.60674456565587187</v>
      </c>
      <c r="V30" s="136">
        <f>IF(SER_hh_tes!V30=0,"",SER_hh_tes!V30/SER_hh_fec!V30)</f>
        <v>0.60769421135281176</v>
      </c>
      <c r="W30" s="136">
        <f>IF(SER_hh_tes!W30=0,"",SER_hh_tes!W30/SER_hh_fec!W30)</f>
        <v>0.60898857148817609</v>
      </c>
      <c r="X30" s="136">
        <f>IF(SER_hh_tes!X30=0,"",SER_hh_tes!X30/SER_hh_fec!X30)</f>
        <v>0.60966139917241291</v>
      </c>
      <c r="Y30" s="136">
        <f>IF(SER_hh_tes!Y30=0,"",SER_hh_tes!Y30/SER_hh_fec!Y30)</f>
        <v>0.61001623281366912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0.60319209425935394</v>
      </c>
      <c r="C31" s="136">
        <f>IF(SER_hh_tes!C31=0,"",SER_hh_tes!C31/SER_hh_fec!C31)</f>
        <v>0.60390702374348271</v>
      </c>
      <c r="D31" s="136">
        <f>IF(SER_hh_tes!D31=0,"",SER_hh_tes!D31/SER_hh_fec!D31)</f>
        <v>0.60465687380673394</v>
      </c>
      <c r="E31" s="136">
        <f>IF(SER_hh_tes!E31=0,"",SER_hh_tes!E31/SER_hh_fec!E31)</f>
        <v>0.60543182196542045</v>
      </c>
      <c r="F31" s="136">
        <f>IF(SER_hh_tes!F31=0,"",SER_hh_tes!F31/SER_hh_fec!F31)</f>
        <v>0.60615483654344238</v>
      </c>
      <c r="G31" s="136">
        <f>IF(SER_hh_tes!G31=0,"",SER_hh_tes!G31/SER_hh_fec!G31)</f>
        <v>0.60697791430497494</v>
      </c>
      <c r="H31" s="136">
        <f>IF(SER_hh_tes!H31=0,"",SER_hh_tes!H31/SER_hh_fec!H31)</f>
        <v>0.60786408918724433</v>
      </c>
      <c r="I31" s="136">
        <f>IF(SER_hh_tes!I31=0,"",SER_hh_tes!I31/SER_hh_fec!I31)</f>
        <v>0.6088501906590672</v>
      </c>
      <c r="J31" s="136">
        <f>IF(SER_hh_tes!J31=0,"",SER_hh_tes!J31/SER_hh_fec!J31)</f>
        <v>0.60972919350571142</v>
      </c>
      <c r="K31" s="136">
        <f>IF(SER_hh_tes!K31=0,"",SER_hh_tes!K31/SER_hh_fec!K31)</f>
        <v>0.61057758603554912</v>
      </c>
      <c r="L31" s="136">
        <f>IF(SER_hh_tes!L31=0,"",SER_hh_tes!L31/SER_hh_fec!L31)</f>
        <v>0.61115487030245175</v>
      </c>
      <c r="M31" s="136">
        <f>IF(SER_hh_tes!M31=0,"",SER_hh_tes!M31/SER_hh_fec!M31)</f>
        <v>0.61131285823823978</v>
      </c>
      <c r="N31" s="136">
        <f>IF(SER_hh_tes!N31=0,"",SER_hh_tes!N31/SER_hh_fec!N31)</f>
        <v>0.61151315879978518</v>
      </c>
      <c r="O31" s="136">
        <f>IF(SER_hh_tes!O31=0,"",SER_hh_tes!O31/SER_hh_fec!O31)</f>
        <v>0.61177078092365955</v>
      </c>
      <c r="P31" s="136">
        <f>IF(SER_hh_tes!P31=0,"",SER_hh_tes!P31/SER_hh_fec!P31)</f>
        <v>0.61202202067674283</v>
      </c>
      <c r="Q31" s="136">
        <f>IF(SER_hh_tes!Q31=0,"",SER_hh_tes!Q31/SER_hh_fec!Q31)</f>
        <v>0.61224685760079001</v>
      </c>
      <c r="R31" s="136">
        <f>IF(SER_hh_tes!R31=0,"",SER_hh_tes!R31/SER_hh_fec!R31)</f>
        <v>0.61264920837521397</v>
      </c>
      <c r="S31" s="136">
        <f>IF(SER_hh_tes!S31=0,"",SER_hh_tes!S31/SER_hh_fec!S31)</f>
        <v>0.61323285442408537</v>
      </c>
      <c r="T31" s="136">
        <f>IF(SER_hh_tes!T31=0,"",SER_hh_tes!T31/SER_hh_fec!T31)</f>
        <v>0.61411984692649435</v>
      </c>
      <c r="U31" s="136">
        <f>IF(SER_hh_tes!U31=0,"",SER_hh_tes!U31/SER_hh_fec!U31)</f>
        <v>0.61543800183285469</v>
      </c>
      <c r="V31" s="136">
        <f>IF(SER_hh_tes!V31=0,"",SER_hh_tes!V31/SER_hh_fec!V31)</f>
        <v>0.61757210412260477</v>
      </c>
      <c r="W31" s="136">
        <f>IF(SER_hh_tes!W31=0,"",SER_hh_tes!W31/SER_hh_fec!W31)</f>
        <v>0.61978893823529169</v>
      </c>
      <c r="X31" s="136">
        <f>IF(SER_hh_tes!X31=0,"",SER_hh_tes!X31/SER_hh_fec!X31)</f>
        <v>0.62180975871067323</v>
      </c>
      <c r="Y31" s="136">
        <f>IF(SER_hh_tes!Y31=0,"",SER_hh_tes!Y31/SER_hh_fec!Y31)</f>
        <v>0.62363191672680718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0.78839091689005836</v>
      </c>
      <c r="C33" s="149">
        <f>IF(SER_hh_tes!C33=0,"",SER_hh_tes!C33/SER_hh_fec!C33)</f>
        <v>0.78985403713364222</v>
      </c>
      <c r="D33" s="149">
        <f>IF(SER_hh_tes!D33=0,"",SER_hh_tes!D33/SER_hh_fec!D33)</f>
        <v>0.79129624460157377</v>
      </c>
      <c r="E33" s="149">
        <f>IF(SER_hh_tes!E33=0,"",SER_hh_tes!E33/SER_hh_fec!E33)</f>
        <v>0.79279675705488761</v>
      </c>
      <c r="F33" s="149">
        <f>IF(SER_hh_tes!F33=0,"",SER_hh_tes!F33/SER_hh_fec!F33)</f>
        <v>0.79432187059238013</v>
      </c>
      <c r="G33" s="149">
        <f>IF(SER_hh_tes!G33=0,"",SER_hh_tes!G33/SER_hh_fec!G33)</f>
        <v>0.7962756418211242</v>
      </c>
      <c r="H33" s="149">
        <f>IF(SER_hh_tes!H33=0,"",SER_hh_tes!H33/SER_hh_fec!H33)</f>
        <v>0.79840833673526668</v>
      </c>
      <c r="I33" s="149">
        <f>IF(SER_hh_tes!I33=0,"",SER_hh_tes!I33/SER_hh_fec!I33)</f>
        <v>0.80067434934880244</v>
      </c>
      <c r="J33" s="149">
        <f>IF(SER_hh_tes!J33=0,"",SER_hh_tes!J33/SER_hh_fec!J33)</f>
        <v>0.80288393722815976</v>
      </c>
      <c r="K33" s="149">
        <f>IF(SER_hh_tes!K33=0,"",SER_hh_tes!K33/SER_hh_fec!K33)</f>
        <v>0.80511084568747537</v>
      </c>
      <c r="L33" s="149">
        <f>IF(SER_hh_tes!L33=0,"",SER_hh_tes!L33/SER_hh_fec!L33)</f>
        <v>0.80685961037824805</v>
      </c>
      <c r="M33" s="149">
        <f>IF(SER_hh_tes!M33=0,"",SER_hh_tes!M33/SER_hh_fec!M33)</f>
        <v>0.80755753141444353</v>
      </c>
      <c r="N33" s="149">
        <f>IF(SER_hh_tes!N33=0,"",SER_hh_tes!N33/SER_hh_fec!N33)</f>
        <v>0.80855092426146113</v>
      </c>
      <c r="O33" s="149">
        <f>IF(SER_hh_tes!O33=0,"",SER_hh_tes!O33/SER_hh_fec!O33)</f>
        <v>0.81011537895401486</v>
      </c>
      <c r="P33" s="149">
        <f>IF(SER_hh_tes!P33=0,"",SER_hh_tes!P33/SER_hh_fec!P33)</f>
        <v>0.8120019656919496</v>
      </c>
      <c r="Q33" s="149">
        <f>IF(SER_hh_tes!Q33=0,"",SER_hh_tes!Q33/SER_hh_fec!Q33)</f>
        <v>0.81536534603292854</v>
      </c>
      <c r="R33" s="149">
        <f>IF(SER_hh_tes!R33=0,"",SER_hh_tes!R33/SER_hh_fec!R33)</f>
        <v>0.81918722904488672</v>
      </c>
      <c r="S33" s="149">
        <f>IF(SER_hh_tes!S33=0,"",SER_hh_tes!S33/SER_hh_fec!S33)</f>
        <v>0.82466557303756782</v>
      </c>
      <c r="T33" s="149">
        <f>IF(SER_hh_tes!T33=0,"",SER_hh_tes!T33/SER_hh_fec!T33)</f>
        <v>0.83146283934442533</v>
      </c>
      <c r="U33" s="149">
        <f>IF(SER_hh_tes!U33=0,"",SER_hh_tes!U33/SER_hh_fec!U33)</f>
        <v>0.83883680466109767</v>
      </c>
      <c r="V33" s="149">
        <f>IF(SER_hh_tes!V33=0,"",SER_hh_tes!V33/SER_hh_fec!V33)</f>
        <v>0.84565612418280123</v>
      </c>
      <c r="W33" s="149">
        <f>IF(SER_hh_tes!W33=0,"",SER_hh_tes!W33/SER_hh_fec!W33)</f>
        <v>0.8522205239295717</v>
      </c>
      <c r="X33" s="149">
        <f>IF(SER_hh_tes!X33=0,"",SER_hh_tes!X33/SER_hh_fec!X33)</f>
        <v>0.85909345673615134</v>
      </c>
      <c r="Y33" s="149">
        <f>IF(SER_hh_tes!Y33=0,"",SER_hh_tes!Y33/SER_hh_fec!Y33)</f>
        <v>0.86609341026201114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8614.3714834327202</v>
      </c>
      <c r="C3" s="125">
        <f t="shared" si="0"/>
        <v>9214.6204577965782</v>
      </c>
      <c r="D3" s="125">
        <f t="shared" si="0"/>
        <v>8755.164799280401</v>
      </c>
      <c r="E3" s="125">
        <f t="shared" si="0"/>
        <v>9319.9466447102823</v>
      </c>
      <c r="F3" s="125">
        <f t="shared" si="0"/>
        <v>10158.327695288441</v>
      </c>
      <c r="G3" s="125">
        <f t="shared" si="0"/>
        <v>9379.6201169264732</v>
      </c>
      <c r="H3" s="125">
        <f t="shared" si="0"/>
        <v>9423.3862830696235</v>
      </c>
      <c r="I3" s="125">
        <f t="shared" si="0"/>
        <v>8480.619792080297</v>
      </c>
      <c r="J3" s="125">
        <f t="shared" si="0"/>
        <v>9149.7105182629075</v>
      </c>
      <c r="K3" s="125">
        <f t="shared" si="0"/>
        <v>9407.2946695071805</v>
      </c>
      <c r="L3" s="125">
        <f t="shared" si="0"/>
        <v>10740.897014773142</v>
      </c>
      <c r="M3" s="125">
        <f t="shared" si="0"/>
        <v>8678.3472561220133</v>
      </c>
      <c r="N3" s="125">
        <f t="shared" si="0"/>
        <v>9633.0693127511204</v>
      </c>
      <c r="O3" s="125">
        <f t="shared" si="0"/>
        <v>9661.1573194036464</v>
      </c>
      <c r="P3" s="125">
        <f t="shared" si="0"/>
        <v>7743.2306386949804</v>
      </c>
      <c r="Q3" s="125">
        <f t="shared" si="0"/>
        <v>8344.7096988429075</v>
      </c>
      <c r="R3" s="125">
        <f t="shared" ref="R3:W3" si="1">SUM(R4,R16,R19,R29)</f>
        <v>8356.2647964370299</v>
      </c>
      <c r="S3" s="125">
        <f t="shared" si="1"/>
        <v>8274.8334051185357</v>
      </c>
      <c r="T3" s="125">
        <f t="shared" si="1"/>
        <v>8049.884159314498</v>
      </c>
      <c r="U3" s="125">
        <f t="shared" si="1"/>
        <v>7527.0724239090068</v>
      </c>
      <c r="V3" s="125">
        <f t="shared" si="1"/>
        <v>6807.317079667313</v>
      </c>
      <c r="W3" s="125">
        <f t="shared" si="1"/>
        <v>7368.6242260382096</v>
      </c>
      <c r="X3" s="125">
        <f t="shared" ref="X3:Y3" si="2">SUM(X4,X16,X19,X29)</f>
        <v>6349.673610296195</v>
      </c>
      <c r="Y3" s="125">
        <f t="shared" si="2"/>
        <v>5959.5769564117736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7275.4023352152899</v>
      </c>
      <c r="C4" s="130">
        <f t="shared" si="3"/>
        <v>7841.3368576545208</v>
      </c>
      <c r="D4" s="130">
        <f t="shared" si="3"/>
        <v>7327.12583817623</v>
      </c>
      <c r="E4" s="130">
        <f t="shared" si="3"/>
        <v>7904.805044139167</v>
      </c>
      <c r="F4" s="130">
        <f t="shared" si="3"/>
        <v>8734.1338642895353</v>
      </c>
      <c r="G4" s="130">
        <f t="shared" si="3"/>
        <v>7954.4627041948006</v>
      </c>
      <c r="H4" s="130">
        <f t="shared" si="3"/>
        <v>7980.1097854162508</v>
      </c>
      <c r="I4" s="130">
        <f t="shared" si="3"/>
        <v>7060.0902878675024</v>
      </c>
      <c r="J4" s="130">
        <f t="shared" si="3"/>
        <v>7722.0818281473466</v>
      </c>
      <c r="K4" s="130">
        <f t="shared" si="3"/>
        <v>7968.4515437082837</v>
      </c>
      <c r="L4" s="130">
        <f t="shared" si="3"/>
        <v>9302.9807278617827</v>
      </c>
      <c r="M4" s="130">
        <f t="shared" si="3"/>
        <v>7257.8928396194178</v>
      </c>
      <c r="N4" s="130">
        <f t="shared" si="3"/>
        <v>8162.9968106233391</v>
      </c>
      <c r="O4" s="130">
        <f t="shared" si="3"/>
        <v>8194.2286432695764</v>
      </c>
      <c r="P4" s="130">
        <f t="shared" si="3"/>
        <v>6353.2392617555552</v>
      </c>
      <c r="Q4" s="130">
        <f t="shared" si="3"/>
        <v>6966.179997747171</v>
      </c>
      <c r="R4" s="130">
        <f t="shared" ref="R4:W4" si="4">SUM(R5:R15)</f>
        <v>6986.5704422071394</v>
      </c>
      <c r="S4" s="130">
        <f t="shared" si="4"/>
        <v>6900.2082182740469</v>
      </c>
      <c r="T4" s="130">
        <f t="shared" si="4"/>
        <v>6772.2411697374837</v>
      </c>
      <c r="U4" s="130">
        <f t="shared" si="4"/>
        <v>6360.8175718083403</v>
      </c>
      <c r="V4" s="130">
        <f t="shared" si="4"/>
        <v>5718.9555097498178</v>
      </c>
      <c r="W4" s="130">
        <f t="shared" si="4"/>
        <v>6218.6830681202346</v>
      </c>
      <c r="X4" s="130">
        <f t="shared" ref="X4:Y4" si="5">SUM(X5:X15)</f>
        <v>5225.1534708989548</v>
      </c>
      <c r="Y4" s="130">
        <f t="shared" si="5"/>
        <v>4830.4926716855662</v>
      </c>
      <c r="DA4" s="155" t="s">
        <v>234</v>
      </c>
    </row>
    <row r="5" spans="1:105" ht="12" customHeight="1" x14ac:dyDescent="0.25">
      <c r="A5" s="131" t="s">
        <v>29</v>
      </c>
      <c r="B5" s="132">
        <v>1.9501560000000011</v>
      </c>
      <c r="C5" s="132">
        <v>1.9501560000000011</v>
      </c>
      <c r="D5" s="132">
        <v>1.9501560000000016</v>
      </c>
      <c r="E5" s="132">
        <v>3.8999610000000029</v>
      </c>
      <c r="F5" s="132">
        <v>1.9501560000000011</v>
      </c>
      <c r="G5" s="132">
        <v>3.8999610000000029</v>
      </c>
      <c r="H5" s="132">
        <v>3.8999610000000025</v>
      </c>
      <c r="I5" s="132">
        <v>9.7500780000000002</v>
      </c>
      <c r="J5" s="132">
        <v>13.650039000000007</v>
      </c>
      <c r="K5" s="132">
        <v>15.599844000000017</v>
      </c>
      <c r="L5" s="132">
        <v>15.599844000000008</v>
      </c>
      <c r="M5" s="132">
        <v>15.599844000000004</v>
      </c>
      <c r="N5" s="132">
        <v>15.599844000000012</v>
      </c>
      <c r="O5" s="132">
        <v>9.7500780000000056</v>
      </c>
      <c r="P5" s="132">
        <v>3.8999609999999962</v>
      </c>
      <c r="Q5" s="132">
        <v>20.042965800000033</v>
      </c>
      <c r="R5" s="132">
        <v>23.43521340000002</v>
      </c>
      <c r="S5" s="132">
        <v>23.450007600000021</v>
      </c>
      <c r="T5" s="132">
        <v>22.277908800000045</v>
      </c>
      <c r="U5" s="132">
        <v>15.528871800000001</v>
      </c>
      <c r="V5" s="132">
        <v>18.306628200000048</v>
      </c>
      <c r="W5" s="132">
        <v>11.796121800000021</v>
      </c>
      <c r="X5" s="132">
        <v>25.633800000000054</v>
      </c>
      <c r="Y5" s="132">
        <v>31.594658400000082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731.13002153860918</v>
      </c>
      <c r="C7" s="132">
        <v>706.30241653301516</v>
      </c>
      <c r="D7" s="132">
        <v>717.90421358793026</v>
      </c>
      <c r="E7" s="132">
        <v>733.06385199138481</v>
      </c>
      <c r="F7" s="132">
        <v>698.94506269195369</v>
      </c>
      <c r="G7" s="132">
        <v>715.28612122831339</v>
      </c>
      <c r="H7" s="132">
        <v>692.15949876039895</v>
      </c>
      <c r="I7" s="132">
        <v>718.13439181440299</v>
      </c>
      <c r="J7" s="132">
        <v>702.95540751908811</v>
      </c>
      <c r="K7" s="132">
        <v>674.52578737330452</v>
      </c>
      <c r="L7" s="132">
        <v>790.85485410355966</v>
      </c>
      <c r="M7" s="132">
        <v>737.01913951514666</v>
      </c>
      <c r="N7" s="132">
        <v>725.47137547742818</v>
      </c>
      <c r="O7" s="132">
        <v>734.90380344730079</v>
      </c>
      <c r="P7" s="132">
        <v>699.17387458101473</v>
      </c>
      <c r="Q7" s="132">
        <v>672.50431826500937</v>
      </c>
      <c r="R7" s="132">
        <v>654.97731827302994</v>
      </c>
      <c r="S7" s="132">
        <v>652.22096617392424</v>
      </c>
      <c r="T7" s="132">
        <v>637.24415296286099</v>
      </c>
      <c r="U7" s="132">
        <v>668.49174971074137</v>
      </c>
      <c r="V7" s="132">
        <v>623.05402096386854</v>
      </c>
      <c r="W7" s="132">
        <v>639.8142809494301</v>
      </c>
      <c r="X7" s="132">
        <v>685.09634808841793</v>
      </c>
      <c r="Y7" s="132">
        <v>671.76420148311979</v>
      </c>
      <c r="DA7" s="156" t="s">
        <v>360</v>
      </c>
    </row>
    <row r="8" spans="1:105" ht="12" customHeight="1" x14ac:dyDescent="0.25">
      <c r="A8" s="131" t="s">
        <v>73</v>
      </c>
      <c r="B8" s="132">
        <v>1.8547284956139281</v>
      </c>
      <c r="C8" s="132">
        <v>2.0344434240456839</v>
      </c>
      <c r="D8" s="132">
        <v>1.9547160691792611</v>
      </c>
      <c r="E8" s="132">
        <v>2.317029308792347</v>
      </c>
      <c r="F8" s="132">
        <v>2.424747328918559</v>
      </c>
      <c r="G8" s="132">
        <v>2.2398472252439698</v>
      </c>
      <c r="H8" s="132">
        <v>2.2538391066160122</v>
      </c>
      <c r="I8" s="132">
        <v>2.6269696147596968</v>
      </c>
      <c r="J8" s="132">
        <v>2.800258744675169</v>
      </c>
      <c r="K8" s="132">
        <v>3.0044000280938525</v>
      </c>
      <c r="L8" s="132">
        <v>3.26534133710603</v>
      </c>
      <c r="M8" s="132">
        <v>3.688188391813525</v>
      </c>
      <c r="N8" s="132">
        <v>3.6339278947388145</v>
      </c>
      <c r="O8" s="132">
        <v>3.7403066942018683</v>
      </c>
      <c r="P8" s="132">
        <v>5.3705700583479379</v>
      </c>
      <c r="Q8" s="132">
        <v>6.7899915451937511</v>
      </c>
      <c r="R8" s="132">
        <v>7.1500385581204435</v>
      </c>
      <c r="S8" s="132">
        <v>7.1324809952652686</v>
      </c>
      <c r="T8" s="132">
        <v>7.3999779009497786</v>
      </c>
      <c r="U8" s="132">
        <v>7.6454443590741494</v>
      </c>
      <c r="V8" s="132">
        <v>7.9713739938862638</v>
      </c>
      <c r="W8" s="132">
        <v>9.4166252303930325</v>
      </c>
      <c r="X8" s="132">
        <v>10.242072391240177</v>
      </c>
      <c r="Y8" s="132">
        <v>11.767195488812522</v>
      </c>
      <c r="DA8" s="156" t="s">
        <v>361</v>
      </c>
    </row>
    <row r="9" spans="1:105" ht="12" customHeight="1" x14ac:dyDescent="0.25">
      <c r="A9" s="131" t="s">
        <v>78</v>
      </c>
      <c r="B9" s="132">
        <v>6457.0309829879616</v>
      </c>
      <c r="C9" s="132">
        <v>7019.1350909201665</v>
      </c>
      <c r="D9" s="132">
        <v>6495.647245522202</v>
      </c>
      <c r="E9" s="132">
        <v>7056.0351356350729</v>
      </c>
      <c r="F9" s="132">
        <v>7901.0148583725822</v>
      </c>
      <c r="G9" s="132">
        <v>7094.0718895189684</v>
      </c>
      <c r="H9" s="132">
        <v>7120.2452746075196</v>
      </c>
      <c r="I9" s="132">
        <v>6167.5723639034168</v>
      </c>
      <c r="J9" s="132">
        <v>6814.4586951979518</v>
      </c>
      <c r="K9" s="132">
        <v>7081.7578092408276</v>
      </c>
      <c r="L9" s="132">
        <v>8294.4164624913137</v>
      </c>
      <c r="M9" s="132">
        <v>6332.8895480249776</v>
      </c>
      <c r="N9" s="132">
        <v>7278.1258858372803</v>
      </c>
      <c r="O9" s="132">
        <v>7302.731961337342</v>
      </c>
      <c r="P9" s="132">
        <v>5502.5166920227002</v>
      </c>
      <c r="Q9" s="132">
        <v>6142.2996820042599</v>
      </c>
      <c r="R9" s="132">
        <v>6182.2767226041278</v>
      </c>
      <c r="S9" s="132">
        <v>6112.2142608857939</v>
      </c>
      <c r="T9" s="132">
        <v>5973.2167357686167</v>
      </c>
      <c r="U9" s="132">
        <v>5538.8541206072114</v>
      </c>
      <c r="V9" s="132">
        <v>4945.8702455295015</v>
      </c>
      <c r="W9" s="132">
        <v>5436.5513106565077</v>
      </c>
      <c r="X9" s="132">
        <v>4377.3188032756498</v>
      </c>
      <c r="Y9" s="132">
        <v>3998.8981124843413</v>
      </c>
      <c r="DA9" s="156" t="s">
        <v>362</v>
      </c>
    </row>
    <row r="10" spans="1:105" ht="12" customHeight="1" x14ac:dyDescent="0.25">
      <c r="A10" s="131" t="s">
        <v>128</v>
      </c>
      <c r="B10" s="132">
        <v>83.436446193105141</v>
      </c>
      <c r="C10" s="132">
        <v>111.91475077729291</v>
      </c>
      <c r="D10" s="132">
        <v>109.6695069969185</v>
      </c>
      <c r="E10" s="132">
        <v>109.48906620391689</v>
      </c>
      <c r="F10" s="132">
        <v>129.79903989608124</v>
      </c>
      <c r="G10" s="132">
        <v>138.96488522227415</v>
      </c>
      <c r="H10" s="132">
        <v>161.55121194171642</v>
      </c>
      <c r="I10" s="132">
        <v>162.00648453492275</v>
      </c>
      <c r="J10" s="132">
        <v>188.21742768563107</v>
      </c>
      <c r="K10" s="132">
        <v>193.56370306605731</v>
      </c>
      <c r="L10" s="132">
        <v>198.84422592980243</v>
      </c>
      <c r="M10" s="132">
        <v>168.69611968748012</v>
      </c>
      <c r="N10" s="132">
        <v>140.16577741389222</v>
      </c>
      <c r="O10" s="132">
        <v>143.10249379073051</v>
      </c>
      <c r="P10" s="132">
        <v>142.27816409349307</v>
      </c>
      <c r="Q10" s="132">
        <v>124.54304013270803</v>
      </c>
      <c r="R10" s="132">
        <v>118.73114937186108</v>
      </c>
      <c r="S10" s="132">
        <v>105.19050261906372</v>
      </c>
      <c r="T10" s="132">
        <v>132.10239430505621</v>
      </c>
      <c r="U10" s="132">
        <v>130.29738533131325</v>
      </c>
      <c r="V10" s="132">
        <v>123.75324106256218</v>
      </c>
      <c r="W10" s="132">
        <v>121.10472948390381</v>
      </c>
      <c r="X10" s="132">
        <v>126.86244714364719</v>
      </c>
      <c r="Y10" s="132">
        <v>116.46850382929289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0.47940555588415262</v>
      </c>
      <c r="C16" s="130">
        <f t="shared" si="6"/>
        <v>0.55243595060198103</v>
      </c>
      <c r="D16" s="130">
        <f t="shared" si="6"/>
        <v>0.67620810930723951</v>
      </c>
      <c r="E16" s="130">
        <f t="shared" si="6"/>
        <v>0.81287205428618092</v>
      </c>
      <c r="F16" s="130">
        <f t="shared" si="6"/>
        <v>1.0023462844229378</v>
      </c>
      <c r="G16" s="130">
        <f t="shared" si="6"/>
        <v>1.201485246289993</v>
      </c>
      <c r="H16" s="130">
        <f t="shared" si="6"/>
        <v>1.6752853172790896</v>
      </c>
      <c r="I16" s="130">
        <f t="shared" si="6"/>
        <v>2.0685798893624137</v>
      </c>
      <c r="J16" s="130">
        <f t="shared" si="6"/>
        <v>2.5418854099272004</v>
      </c>
      <c r="K16" s="130">
        <f t="shared" si="6"/>
        <v>2.9025866122193467</v>
      </c>
      <c r="L16" s="130">
        <f t="shared" si="6"/>
        <v>3.3189086194748598</v>
      </c>
      <c r="M16" s="130">
        <f t="shared" si="6"/>
        <v>3.6203578654549542</v>
      </c>
      <c r="N16" s="130">
        <f t="shared" si="6"/>
        <v>4.1430186221700547</v>
      </c>
      <c r="O16" s="130">
        <f t="shared" si="6"/>
        <v>5.0494978514820508</v>
      </c>
      <c r="P16" s="130">
        <f t="shared" si="6"/>
        <v>6.6363761256159473</v>
      </c>
      <c r="Q16" s="130">
        <f t="shared" si="6"/>
        <v>9.1479375762144741</v>
      </c>
      <c r="R16" s="130">
        <f t="shared" ref="R16:W16" si="7">SUM(R17:R18)</f>
        <v>11.601351935386838</v>
      </c>
      <c r="S16" s="130">
        <f t="shared" si="7"/>
        <v>13.861137956092339</v>
      </c>
      <c r="T16" s="130">
        <f t="shared" si="7"/>
        <v>15.836913616114566</v>
      </c>
      <c r="U16" s="130">
        <f t="shared" si="7"/>
        <v>17.467314115437738</v>
      </c>
      <c r="V16" s="130">
        <f t="shared" si="7"/>
        <v>18.768718251879353</v>
      </c>
      <c r="W16" s="130">
        <f t="shared" si="7"/>
        <v>19.911773301784287</v>
      </c>
      <c r="X16" s="130">
        <f t="shared" ref="X16:Y16" si="8">SUM(X17:X18)</f>
        <v>17.806005796006232</v>
      </c>
      <c r="Y16" s="130">
        <f t="shared" si="8"/>
        <v>17.023794928503648</v>
      </c>
      <c r="DA16" s="155" t="s">
        <v>235</v>
      </c>
    </row>
    <row r="17" spans="1:105" ht="12.95" customHeight="1" x14ac:dyDescent="0.25">
      <c r="A17" s="131" t="s">
        <v>73</v>
      </c>
      <c r="B17" s="132">
        <v>0.47940555588415262</v>
      </c>
      <c r="C17" s="132">
        <v>0.55243595060198103</v>
      </c>
      <c r="D17" s="132">
        <v>0.67620810930723951</v>
      </c>
      <c r="E17" s="132">
        <v>0.81287205428618092</v>
      </c>
      <c r="F17" s="132">
        <v>1.0023462844229378</v>
      </c>
      <c r="G17" s="132">
        <v>1.201485246289993</v>
      </c>
      <c r="H17" s="132">
        <v>1.6752853172790896</v>
      </c>
      <c r="I17" s="132">
        <v>2.0685798893624137</v>
      </c>
      <c r="J17" s="132">
        <v>2.5418854099272004</v>
      </c>
      <c r="K17" s="132">
        <v>2.9025866122193467</v>
      </c>
      <c r="L17" s="132">
        <v>3.3189086194748598</v>
      </c>
      <c r="M17" s="132">
        <v>3.6203578654549542</v>
      </c>
      <c r="N17" s="132">
        <v>4.1430186221700547</v>
      </c>
      <c r="O17" s="132">
        <v>5.0494978514820508</v>
      </c>
      <c r="P17" s="132">
        <v>6.6363761256159473</v>
      </c>
      <c r="Q17" s="132">
        <v>9.1479375762144741</v>
      </c>
      <c r="R17" s="132">
        <v>11.601351935386838</v>
      </c>
      <c r="S17" s="132">
        <v>13.861137956092339</v>
      </c>
      <c r="T17" s="132">
        <v>15.836913616114566</v>
      </c>
      <c r="U17" s="132">
        <v>17.467314115437738</v>
      </c>
      <c r="V17" s="132">
        <v>18.768718251879353</v>
      </c>
      <c r="W17" s="132">
        <v>19.911773301784287</v>
      </c>
      <c r="X17" s="132">
        <v>17.806005796006232</v>
      </c>
      <c r="Y17" s="132">
        <v>17.023794928503648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702.13963240560543</v>
      </c>
      <c r="C19" s="130">
        <f t="shared" si="9"/>
        <v>711.72165830132326</v>
      </c>
      <c r="D19" s="130">
        <f t="shared" si="9"/>
        <v>749.68476035187916</v>
      </c>
      <c r="E19" s="130">
        <f t="shared" si="9"/>
        <v>724.79654023613534</v>
      </c>
      <c r="F19" s="130">
        <f t="shared" si="9"/>
        <v>720.82492077399047</v>
      </c>
      <c r="G19" s="130">
        <f t="shared" si="9"/>
        <v>720.26746686753074</v>
      </c>
      <c r="H19" s="130">
        <f t="shared" si="9"/>
        <v>723.00321661425596</v>
      </c>
      <c r="I19" s="130">
        <f t="shared" si="9"/>
        <v>710.99144168562225</v>
      </c>
      <c r="J19" s="130">
        <f t="shared" si="9"/>
        <v>707.69559046692757</v>
      </c>
      <c r="K19" s="130">
        <f t="shared" si="9"/>
        <v>714.42734970399738</v>
      </c>
      <c r="L19" s="130">
        <f t="shared" si="9"/>
        <v>716.8717938733439</v>
      </c>
      <c r="M19" s="130">
        <f t="shared" si="9"/>
        <v>713.885900663808</v>
      </c>
      <c r="N19" s="130">
        <f t="shared" si="9"/>
        <v>767.16533726463331</v>
      </c>
      <c r="O19" s="130">
        <f t="shared" si="9"/>
        <v>765.86222397573351</v>
      </c>
      <c r="P19" s="130">
        <f t="shared" si="9"/>
        <v>708.01236794783767</v>
      </c>
      <c r="Q19" s="130">
        <f t="shared" si="9"/>
        <v>699.30852602584923</v>
      </c>
      <c r="R19" s="130">
        <f t="shared" ref="R19:W19" si="10">SUM(R20:R27)</f>
        <v>704.69830453272812</v>
      </c>
      <c r="S19" s="130">
        <f t="shared" si="10"/>
        <v>735.30996500036929</v>
      </c>
      <c r="T19" s="130">
        <f t="shared" si="10"/>
        <v>714.50919204811771</v>
      </c>
      <c r="U19" s="130">
        <f t="shared" si="10"/>
        <v>684.16930177267375</v>
      </c>
      <c r="V19" s="130">
        <f t="shared" si="10"/>
        <v>573.1116192798446</v>
      </c>
      <c r="W19" s="130">
        <f t="shared" si="10"/>
        <v>581.29224533668287</v>
      </c>
      <c r="X19" s="130">
        <f t="shared" ref="X19:Y19" si="11">SUM(X20:X27)</f>
        <v>577.59991665128439</v>
      </c>
      <c r="Y19" s="130">
        <f t="shared" si="11"/>
        <v>585.22817942881068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109.38929922139086</v>
      </c>
      <c r="C22" s="132">
        <v>106.77454846698507</v>
      </c>
      <c r="D22" s="132">
        <v>104.22525849206976</v>
      </c>
      <c r="E22" s="132">
        <v>102.10484564861535</v>
      </c>
      <c r="F22" s="132">
        <v>101.50943434804616</v>
      </c>
      <c r="G22" s="132">
        <v>100.78799281168655</v>
      </c>
      <c r="H22" s="132">
        <v>99.553955999600944</v>
      </c>
      <c r="I22" s="132">
        <v>98.930533305597038</v>
      </c>
      <c r="J22" s="132">
        <v>99.709821440912137</v>
      </c>
      <c r="K22" s="132">
        <v>99.577460626695952</v>
      </c>
      <c r="L22" s="132">
        <v>98.268303896440599</v>
      </c>
      <c r="M22" s="132">
        <v>98.272652204853543</v>
      </c>
      <c r="N22" s="132">
        <v>100.43746624257111</v>
      </c>
      <c r="O22" s="132">
        <v>100.58272055269944</v>
      </c>
      <c r="P22" s="132">
        <v>101.02677313898555</v>
      </c>
      <c r="Q22" s="132">
        <v>107.37613161499058</v>
      </c>
      <c r="R22" s="132">
        <v>107.52723624696965</v>
      </c>
      <c r="S22" s="132">
        <v>106.76535442607515</v>
      </c>
      <c r="T22" s="132">
        <v>103.43723467713841</v>
      </c>
      <c r="U22" s="132">
        <v>102.93720156925899</v>
      </c>
      <c r="V22" s="132">
        <v>98.411799676132176</v>
      </c>
      <c r="W22" s="132">
        <v>104.20911233056943</v>
      </c>
      <c r="X22" s="132">
        <v>98.473963191581973</v>
      </c>
      <c r="Y22" s="132">
        <v>100.87851571687992</v>
      </c>
      <c r="DA22" s="156" t="s">
        <v>373</v>
      </c>
    </row>
    <row r="23" spans="1:105" ht="12" customHeight="1" x14ac:dyDescent="0.25">
      <c r="A23" s="131" t="s">
        <v>149</v>
      </c>
      <c r="B23" s="132">
        <v>592.75033318421458</v>
      </c>
      <c r="C23" s="132">
        <v>604.94710983433822</v>
      </c>
      <c r="D23" s="132">
        <v>645.45950185980939</v>
      </c>
      <c r="E23" s="132">
        <v>622.69169458752003</v>
      </c>
      <c r="F23" s="132">
        <v>619.3154864259443</v>
      </c>
      <c r="G23" s="132">
        <v>619.47947405584421</v>
      </c>
      <c r="H23" s="132">
        <v>623.44926061465503</v>
      </c>
      <c r="I23" s="132">
        <v>612.06090838002524</v>
      </c>
      <c r="J23" s="132">
        <v>607.98576902601542</v>
      </c>
      <c r="K23" s="132">
        <v>614.84988907730144</v>
      </c>
      <c r="L23" s="132">
        <v>618.60348997690335</v>
      </c>
      <c r="M23" s="132">
        <v>615.61324845895444</v>
      </c>
      <c r="N23" s="132">
        <v>666.72787102206223</v>
      </c>
      <c r="O23" s="132">
        <v>665.27950342303404</v>
      </c>
      <c r="P23" s="132">
        <v>606.98559480885217</v>
      </c>
      <c r="Q23" s="132">
        <v>591.93239441085859</v>
      </c>
      <c r="R23" s="132">
        <v>597.17106828575845</v>
      </c>
      <c r="S23" s="132">
        <v>628.5446105742941</v>
      </c>
      <c r="T23" s="132">
        <v>611.07195737097925</v>
      </c>
      <c r="U23" s="132">
        <v>581.2321002034148</v>
      </c>
      <c r="V23" s="132">
        <v>474.6998196037124</v>
      </c>
      <c r="W23" s="132">
        <v>477.08313300611343</v>
      </c>
      <c r="X23" s="132">
        <v>479.12595345970243</v>
      </c>
      <c r="Y23" s="132">
        <v>484.34966371193076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636.35011025593963</v>
      </c>
      <c r="C29" s="130">
        <f t="shared" si="12"/>
        <v>661.0095058901328</v>
      </c>
      <c r="D29" s="130">
        <f t="shared" si="12"/>
        <v>677.67799264298469</v>
      </c>
      <c r="E29" s="130">
        <f t="shared" si="12"/>
        <v>689.53218828069316</v>
      </c>
      <c r="F29" s="130">
        <f t="shared" si="12"/>
        <v>702.3665639404926</v>
      </c>
      <c r="G29" s="130">
        <f t="shared" si="12"/>
        <v>703.68846061785121</v>
      </c>
      <c r="H29" s="130">
        <f t="shared" si="12"/>
        <v>718.59799572183692</v>
      </c>
      <c r="I29" s="130">
        <f t="shared" si="12"/>
        <v>707.46948263780939</v>
      </c>
      <c r="J29" s="130">
        <f t="shared" si="12"/>
        <v>717.39121423870779</v>
      </c>
      <c r="K29" s="130">
        <f t="shared" si="12"/>
        <v>721.51318948268022</v>
      </c>
      <c r="L29" s="130">
        <f t="shared" si="12"/>
        <v>717.72558441854108</v>
      </c>
      <c r="M29" s="130">
        <f t="shared" si="12"/>
        <v>702.94815797333206</v>
      </c>
      <c r="N29" s="130">
        <f t="shared" si="12"/>
        <v>698.76414624097868</v>
      </c>
      <c r="O29" s="130">
        <f t="shared" si="12"/>
        <v>696.01695430685527</v>
      </c>
      <c r="P29" s="130">
        <f t="shared" si="12"/>
        <v>675.34263286597172</v>
      </c>
      <c r="Q29" s="130">
        <f t="shared" si="12"/>
        <v>670.07323749367197</v>
      </c>
      <c r="R29" s="130">
        <f t="shared" ref="R29:W29" si="13">SUM(R30:R33)</f>
        <v>653.394697761776</v>
      </c>
      <c r="S29" s="130">
        <f t="shared" si="13"/>
        <v>625.45408388802628</v>
      </c>
      <c r="T29" s="130">
        <f t="shared" si="13"/>
        <v>547.29688391278137</v>
      </c>
      <c r="U29" s="130">
        <f t="shared" si="13"/>
        <v>464.61823621255451</v>
      </c>
      <c r="V29" s="130">
        <f t="shared" si="13"/>
        <v>496.48123238577131</v>
      </c>
      <c r="W29" s="130">
        <f t="shared" si="13"/>
        <v>548.73713927950803</v>
      </c>
      <c r="X29" s="130">
        <f t="shared" ref="X29:Y29" si="14">SUM(X30:X33)</f>
        <v>529.11421694994897</v>
      </c>
      <c r="Y29" s="130">
        <f t="shared" si="14"/>
        <v>526.83231036889265</v>
      </c>
      <c r="DA29" s="155" t="s">
        <v>237</v>
      </c>
    </row>
    <row r="30" spans="1:105" ht="12" customHeight="1" x14ac:dyDescent="0.25">
      <c r="A30" s="131" t="s">
        <v>52</v>
      </c>
      <c r="B30" s="132">
        <v>111.22276067999998</v>
      </c>
      <c r="C30" s="132">
        <v>128.33404200000004</v>
      </c>
      <c r="D30" s="132">
        <v>145.44532332</v>
      </c>
      <c r="E30" s="132">
        <v>134.03780244000001</v>
      </c>
      <c r="F30" s="132">
        <v>151.14908375999997</v>
      </c>
      <c r="G30" s="132">
        <v>148.29708996000002</v>
      </c>
      <c r="H30" s="132">
        <v>188.2231858799999</v>
      </c>
      <c r="I30" s="132">
        <v>94.111706520000098</v>
      </c>
      <c r="J30" s="132">
        <v>77.000425200000024</v>
      </c>
      <c r="K30" s="132">
        <v>122.63028155999994</v>
      </c>
      <c r="L30" s="132">
        <v>148.29708996000002</v>
      </c>
      <c r="M30" s="132">
        <v>82.704185639999977</v>
      </c>
      <c r="N30" s="132">
        <v>111.22276067999998</v>
      </c>
      <c r="O30" s="132">
        <v>105.51900024000001</v>
      </c>
      <c r="P30" s="132">
        <v>17.111281319999996</v>
      </c>
      <c r="Q30" s="132">
        <v>116.77614120000007</v>
      </c>
      <c r="R30" s="132">
        <v>116.25776208000006</v>
      </c>
      <c r="S30" s="132">
        <v>111.35542212000004</v>
      </c>
      <c r="T30" s="132">
        <v>109.15015284000012</v>
      </c>
      <c r="U30" s="132">
        <v>107.63817587999993</v>
      </c>
      <c r="V30" s="132">
        <v>107.33946048000001</v>
      </c>
      <c r="W30" s="132">
        <v>127.96808724000006</v>
      </c>
      <c r="X30" s="132">
        <v>106.90785648000013</v>
      </c>
      <c r="Y30" s="132">
        <v>103.48591824</v>
      </c>
      <c r="DA30" s="156" t="s">
        <v>379</v>
      </c>
    </row>
    <row r="31" spans="1:105" ht="12" customHeight="1" x14ac:dyDescent="0.25">
      <c r="A31" s="131" t="s">
        <v>149</v>
      </c>
      <c r="B31" s="132">
        <v>525.12734957593966</v>
      </c>
      <c r="C31" s="132">
        <v>532.67546389013273</v>
      </c>
      <c r="D31" s="132">
        <v>532.23266932298463</v>
      </c>
      <c r="E31" s="132">
        <v>555.49438584069321</v>
      </c>
      <c r="F31" s="132">
        <v>551.21748018049266</v>
      </c>
      <c r="G31" s="132">
        <v>555.39137065785121</v>
      </c>
      <c r="H31" s="132">
        <v>530.37480984183696</v>
      </c>
      <c r="I31" s="132">
        <v>613.35777611780929</v>
      </c>
      <c r="J31" s="132">
        <v>640.39078903870779</v>
      </c>
      <c r="K31" s="132">
        <v>598.88290792268026</v>
      </c>
      <c r="L31" s="132">
        <v>569.42849445854108</v>
      </c>
      <c r="M31" s="132">
        <v>620.24397233333207</v>
      </c>
      <c r="N31" s="132">
        <v>587.54138556097871</v>
      </c>
      <c r="O31" s="132">
        <v>590.4979540668553</v>
      </c>
      <c r="P31" s="132">
        <v>658.23135154597173</v>
      </c>
      <c r="Q31" s="132">
        <v>553.29709629367187</v>
      </c>
      <c r="R31" s="132">
        <v>537.13693568177598</v>
      </c>
      <c r="S31" s="132">
        <v>514.0986617680262</v>
      </c>
      <c r="T31" s="132">
        <v>438.14673107278128</v>
      </c>
      <c r="U31" s="132">
        <v>356.98006033255456</v>
      </c>
      <c r="V31" s="132">
        <v>389.14177190577129</v>
      </c>
      <c r="W31" s="132">
        <v>420.76905203950798</v>
      </c>
      <c r="X31" s="132">
        <v>422.20636046994883</v>
      </c>
      <c r="Y31" s="132">
        <v>423.3463921288926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154935.83830023222</v>
      </c>
      <c r="C3" s="125">
        <f>IF(SER_hh_fec!C3=0,0,11630*1000*SER_hh_fec!C3/SER_hh_num!C3)</f>
        <v>161841.49541043429</v>
      </c>
      <c r="D3" s="125">
        <f>IF(SER_hh_fec!D3=0,0,11630*1000*SER_hh_fec!D3/SER_hh_num!D3)</f>
        <v>157624.67500103364</v>
      </c>
      <c r="E3" s="125">
        <f>IF(SER_hh_fec!E3=0,0,11630*1000*SER_hh_fec!E3/SER_hh_num!E3)</f>
        <v>164198.28235233246</v>
      </c>
      <c r="F3" s="125">
        <f>IF(SER_hh_fec!F3=0,0,11630*1000*SER_hh_fec!F3/SER_hh_num!F3)</f>
        <v>177037.81941938511</v>
      </c>
      <c r="G3" s="125">
        <f>IF(SER_hh_fec!G3=0,0,11630*1000*SER_hh_fec!G3/SER_hh_num!G3)</f>
        <v>162474.46057001763</v>
      </c>
      <c r="H3" s="125">
        <f>IF(SER_hh_fec!H3=0,0,11630*1000*SER_hh_fec!H3/SER_hh_num!H3)</f>
        <v>160823.11118291106</v>
      </c>
      <c r="I3" s="125">
        <f>IF(SER_hh_fec!I3=0,0,11630*1000*SER_hh_fec!I3/SER_hh_num!I3)</f>
        <v>146616.31514509497</v>
      </c>
      <c r="J3" s="125">
        <f>IF(SER_hh_fec!J3=0,0,11630*1000*SER_hh_fec!J3/SER_hh_num!J3)</f>
        <v>151105.0090556159</v>
      </c>
      <c r="K3" s="125">
        <f>IF(SER_hh_fec!K3=0,0,11630*1000*SER_hh_fec!K3/SER_hh_num!K3)</f>
        <v>156649.80200714871</v>
      </c>
      <c r="L3" s="125">
        <f>IF(SER_hh_fec!L3=0,0,11630*1000*SER_hh_fec!L3/SER_hh_num!L3)</f>
        <v>168835.85021773161</v>
      </c>
      <c r="M3" s="125">
        <f>IF(SER_hh_fec!M3=0,0,11630*1000*SER_hh_fec!M3/SER_hh_num!M3)</f>
        <v>142531.02857513624</v>
      </c>
      <c r="N3" s="125">
        <f>IF(SER_hh_fec!N3=0,0,11630*1000*SER_hh_fec!N3/SER_hh_num!N3)</f>
        <v>148909.12198568045</v>
      </c>
      <c r="O3" s="125">
        <f>IF(SER_hh_fec!O3=0,0,11630*1000*SER_hh_fec!O3/SER_hh_num!O3)</f>
        <v>148862.10989513792</v>
      </c>
      <c r="P3" s="125">
        <f>IF(SER_hh_fec!P3=0,0,11630*1000*SER_hh_fec!P3/SER_hh_num!P3)</f>
        <v>124396.63027114104</v>
      </c>
      <c r="Q3" s="125">
        <f>IF(SER_hh_fec!Q3=0,0,11630*1000*SER_hh_fec!Q3/SER_hh_num!Q3)</f>
        <v>128639.29047141873</v>
      </c>
      <c r="R3" s="125">
        <f>IF(SER_hh_fec!R3=0,0,11630*1000*SER_hh_fec!R3/SER_hh_num!R3)</f>
        <v>127945.46958503312</v>
      </c>
      <c r="S3" s="125">
        <f>IF(SER_hh_fec!S3=0,0,11630*1000*SER_hh_fec!S3/SER_hh_num!S3)</f>
        <v>129012.70626310208</v>
      </c>
      <c r="T3" s="125">
        <f>IF(SER_hh_fec!T3=0,0,11630*1000*SER_hh_fec!T3/SER_hh_num!T3)</f>
        <v>126863.9166293665</v>
      </c>
      <c r="U3" s="125">
        <f>IF(SER_hh_fec!U3=0,0,11630*1000*SER_hh_fec!U3/SER_hh_num!U3)</f>
        <v>120687.68949593436</v>
      </c>
      <c r="V3" s="125">
        <f>IF(SER_hh_fec!V3=0,0,11630*1000*SER_hh_fec!V3/SER_hh_num!V3)</f>
        <v>111880.58664588285</v>
      </c>
      <c r="W3" s="125">
        <f>IF(SER_hh_fec!W3=0,0,11630*1000*SER_hh_fec!W3/SER_hh_num!W3)</f>
        <v>118146.41676721882</v>
      </c>
      <c r="X3" s="125">
        <f>IF(SER_hh_fec!X3=0,0,11630*1000*SER_hh_fec!X3/SER_hh_num!X3)</f>
        <v>108749.11806179624</v>
      </c>
      <c r="Y3" s="125">
        <f>IF(SER_hh_fec!Y3=0,0,11630*1000*SER_hh_fec!Y3/SER_hh_num!Y3)</f>
        <v>104045.42526210894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112181.4090593055</v>
      </c>
      <c r="C4" s="130">
        <f>IF(SER_hh_fec!C4=0,0,11630*1000*SER_hh_fec!C4/SER_hh_num!C4)</f>
        <v>119453.30020317783</v>
      </c>
      <c r="D4" s="130">
        <f>IF(SER_hh_fec!D4=0,0,11630*1000*SER_hh_fec!D4/SER_hh_num!D4)</f>
        <v>115190.69332248635</v>
      </c>
      <c r="E4" s="130">
        <f>IF(SER_hh_fec!E4=0,0,11630*1000*SER_hh_fec!E4/SER_hh_num!E4)</f>
        <v>121697.72523307045</v>
      </c>
      <c r="F4" s="130">
        <f>IF(SER_hh_fec!F4=0,0,11630*1000*SER_hh_fec!F4/SER_hh_num!F4)</f>
        <v>134300.13986963168</v>
      </c>
      <c r="G4" s="130">
        <f>IF(SER_hh_fec!G4=0,0,11630*1000*SER_hh_fec!G4/SER_hh_num!G4)</f>
        <v>120054.15236268767</v>
      </c>
      <c r="H4" s="130">
        <f>IF(SER_hh_fec!H4=0,0,11630*1000*SER_hh_fec!H4/SER_hh_num!H4)</f>
        <v>119006.33684730285</v>
      </c>
      <c r="I4" s="130">
        <f>IF(SER_hh_fec!I4=0,0,11630*1000*SER_hh_fec!I4/SER_hh_num!I4)</f>
        <v>105903.12985184818</v>
      </c>
      <c r="J4" s="130">
        <f>IF(SER_hh_fec!J4=0,0,11630*1000*SER_hh_fec!J4/SER_hh_num!J4)</f>
        <v>110808.04675490269</v>
      </c>
      <c r="K4" s="130">
        <f>IF(SER_hh_fec!K4=0,0,11630*1000*SER_hh_fec!K4/SER_hh_num!K4)</f>
        <v>115904.55709812092</v>
      </c>
      <c r="L4" s="130">
        <f>IF(SER_hh_fec!L4=0,0,11630*1000*SER_hh_fec!L4/SER_hh_num!L4)</f>
        <v>128248.1958964237</v>
      </c>
      <c r="M4" s="130">
        <f>IF(SER_hh_fec!M4=0,0,11630*1000*SER_hh_fec!M4/SER_hh_num!M4)</f>
        <v>102555.81558386025</v>
      </c>
      <c r="N4" s="130">
        <f>IF(SER_hh_fec!N4=0,0,11630*1000*SER_hh_fec!N4/SER_hh_num!N4)</f>
        <v>109049.72872176765</v>
      </c>
      <c r="O4" s="130">
        <f>IF(SER_hh_fec!O4=0,0,11630*1000*SER_hh_fec!O4/SER_hh_num!O4)</f>
        <v>109144.06505253498</v>
      </c>
      <c r="P4" s="130">
        <f>IF(SER_hh_fec!P4=0,0,11630*1000*SER_hh_fec!P4/SER_hh_num!P4)</f>
        <v>84822.670506491064</v>
      </c>
      <c r="Q4" s="130">
        <f>IF(SER_hh_fec!Q4=0,0,11630*1000*SER_hh_fec!Q4/SER_hh_num!Q4)</f>
        <v>89202.465981067027</v>
      </c>
      <c r="R4" s="130">
        <f>IF(SER_hh_fec!R4=0,0,11630*1000*SER_hh_fec!R4/SER_hh_num!R4)</f>
        <v>89239.693710192296</v>
      </c>
      <c r="S4" s="130">
        <f>IF(SER_hh_fec!S4=0,0,11630*1000*SER_hh_fec!S4/SER_hh_num!S4)</f>
        <v>90930.757719591988</v>
      </c>
      <c r="T4" s="130">
        <f>IF(SER_hh_fec!T4=0,0,11630*1000*SER_hh_fec!T4/SER_hh_num!T4)</f>
        <v>89679.101709665396</v>
      </c>
      <c r="U4" s="130">
        <f>IF(SER_hh_fec!U4=0,0,11630*1000*SER_hh_fec!U4/SER_hh_num!U4)</f>
        <v>84635.938711713199</v>
      </c>
      <c r="V4" s="130">
        <f>IF(SER_hh_fec!V4=0,0,11630*1000*SER_hh_fec!V4/SER_hh_num!V4)</f>
        <v>76455.736180247186</v>
      </c>
      <c r="W4" s="130">
        <f>IF(SER_hh_fec!W4=0,0,11630*1000*SER_hh_fec!W4/SER_hh_num!W4)</f>
        <v>81975.471857567449</v>
      </c>
      <c r="X4" s="130">
        <f>IF(SER_hh_fec!X4=0,0,11630*1000*SER_hh_fec!X4/SER_hh_num!X4)</f>
        <v>72363.698085236116</v>
      </c>
      <c r="Y4" s="130">
        <f>IF(SER_hh_fec!Y4=0,0,11630*1000*SER_hh_fec!Y4/SER_hh_num!Y4)</f>
        <v>67830.51194240374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113634.92981026946</v>
      </c>
      <c r="C5" s="132">
        <f>IF(SER_hh_fec!C5=0,0,11630*1000*SER_hh_fec!C5/SER_hh_num!C5)</f>
        <v>115411.62952974542</v>
      </c>
      <c r="D5" s="132">
        <f>IF(SER_hh_fec!D5=0,0,11630*1000*SER_hh_fec!D5/SER_hh_num!D5)</f>
        <v>97055.506637716404</v>
      </c>
      <c r="E5" s="132">
        <f>IF(SER_hh_fec!E5=0,0,11630*1000*SER_hh_fec!E5/SER_hh_num!E5)</f>
        <v>156366.84097815436</v>
      </c>
      <c r="F5" s="132">
        <f>IF(SER_hh_fec!F5=0,0,11630*1000*SER_hh_fec!F5/SER_hh_num!F5)</f>
        <v>78107.620297846806</v>
      </c>
      <c r="G5" s="132">
        <f>IF(SER_hh_fec!G5=0,0,11630*1000*SER_hh_fec!G5/SER_hh_num!G5)</f>
        <v>104488.45524617133</v>
      </c>
      <c r="H5" s="132">
        <f>IF(SER_hh_fec!H5=0,0,11630*1000*SER_hh_fec!H5/SER_hh_num!H5)</f>
        <v>69781.250905171531</v>
      </c>
      <c r="I5" s="132">
        <f>IF(SER_hh_fec!I5=0,0,11630*1000*SER_hh_fec!I5/SER_hh_num!I5)</f>
        <v>106616.10739353632</v>
      </c>
      <c r="J5" s="132">
        <f>IF(SER_hh_fec!J5=0,0,11630*1000*SER_hh_fec!J5/SER_hh_num!J5)</f>
        <v>114884.49342950716</v>
      </c>
      <c r="K5" s="132">
        <f>IF(SER_hh_fec!K5=0,0,11630*1000*SER_hh_fec!K5/SER_hh_num!K5)</f>
        <v>114299.40046306558</v>
      </c>
      <c r="L5" s="132">
        <f>IF(SER_hh_fec!L5=0,0,11630*1000*SER_hh_fec!L5/SER_hh_num!L5)</f>
        <v>110396.29799430066</v>
      </c>
      <c r="M5" s="132">
        <f>IF(SER_hh_fec!M5=0,0,11630*1000*SER_hh_fec!M5/SER_hh_num!M5)</f>
        <v>108853.65217446056</v>
      </c>
      <c r="N5" s="132">
        <f>IF(SER_hh_fec!N5=0,0,11630*1000*SER_hh_fec!N5/SER_hh_num!N5)</f>
        <v>107383.66542896445</v>
      </c>
      <c r="O5" s="132">
        <f>IF(SER_hh_fec!O5=0,0,11630*1000*SER_hh_fec!O5/SER_hh_num!O5)</f>
        <v>65420.564682292876</v>
      </c>
      <c r="P5" s="132">
        <f>IF(SER_hh_fec!P5=0,0,11630*1000*SER_hh_fec!P5/SER_hh_num!P5)</f>
        <v>24840.000247576208</v>
      </c>
      <c r="Q5" s="132">
        <f>IF(SER_hh_fec!Q5=0,0,11630*1000*SER_hh_fec!Q5/SER_hh_num!Q5)</f>
        <v>106157.39465938232</v>
      </c>
      <c r="R5" s="132">
        <f>IF(SER_hh_fec!R5=0,0,11630*1000*SER_hh_fec!R5/SER_hh_num!R5)</f>
        <v>101537.75640205464</v>
      </c>
      <c r="S5" s="132">
        <f>IF(SER_hh_fec!S5=0,0,11630*1000*SER_hh_fec!S5/SER_hh_num!S5)</f>
        <v>96465.573322410666</v>
      </c>
      <c r="T5" s="132">
        <f>IF(SER_hh_fec!T5=0,0,11630*1000*SER_hh_fec!T5/SER_hh_num!T5)</f>
        <v>96462.016248352724</v>
      </c>
      <c r="U5" s="132">
        <f>IF(SER_hh_fec!U5=0,0,11630*1000*SER_hh_fec!U5/SER_hh_num!U5)</f>
        <v>77778.002192632644</v>
      </c>
      <c r="V5" s="132">
        <f>IF(SER_hh_fec!V5=0,0,11630*1000*SER_hh_fec!V5/SER_hh_num!V5)</f>
        <v>88448.789496744575</v>
      </c>
      <c r="W5" s="132">
        <f>IF(SER_hh_fec!W5=0,0,11630*1000*SER_hh_fec!W5/SER_hh_num!W5)</f>
        <v>53672.026176690502</v>
      </c>
      <c r="X5" s="132">
        <f>IF(SER_hh_fec!X5=0,0,11630*1000*SER_hh_fec!X5/SER_hh_num!X5)</f>
        <v>86169.743952588309</v>
      </c>
      <c r="Y5" s="132">
        <f>IF(SER_hh_fec!Y5=0,0,11630*1000*SER_hh_fec!Y5/SER_hh_num!Y5)</f>
        <v>82348.775827419755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132751.09369960468</v>
      </c>
      <c r="C7" s="132">
        <f>IF(SER_hh_fec!C7=0,0,11630*1000*SER_hh_fec!C7/SER_hh_num!C7)</f>
        <v>132343.70784062197</v>
      </c>
      <c r="D7" s="132">
        <f>IF(SER_hh_fec!D7=0,0,11630*1000*SER_hh_fec!D7/SER_hh_num!D7)</f>
        <v>137564.08120101987</v>
      </c>
      <c r="E7" s="132">
        <f>IF(SER_hh_fec!E7=0,0,11630*1000*SER_hh_fec!E7/SER_hh_num!E7)</f>
        <v>144529.87390608914</v>
      </c>
      <c r="F7" s="132">
        <f>IF(SER_hh_fec!F7=0,0,11630*1000*SER_hh_fec!F7/SER_hh_num!F7)</f>
        <v>138757.26211565785</v>
      </c>
      <c r="G7" s="132">
        <f>IF(SER_hh_fec!G7=0,0,11630*1000*SER_hh_fec!G7/SER_hh_num!G7)</f>
        <v>141190.41995396459</v>
      </c>
      <c r="H7" s="132">
        <f>IF(SER_hh_fec!H7=0,0,11630*1000*SER_hh_fec!H7/SER_hh_num!H7)</f>
        <v>132932.95808552855</v>
      </c>
      <c r="I7" s="132">
        <f>IF(SER_hh_fec!I7=0,0,11630*1000*SER_hh_fec!I7/SER_hh_num!I7)</f>
        <v>131921.15224120545</v>
      </c>
      <c r="J7" s="132">
        <f>IF(SER_hh_fec!J7=0,0,11630*1000*SER_hh_fec!J7/SER_hh_num!J7)</f>
        <v>130325.41780948412</v>
      </c>
      <c r="K7" s="132">
        <f>IF(SER_hh_fec!K7=0,0,11630*1000*SER_hh_fec!K7/SER_hh_num!K7)</f>
        <v>125447.04366792733</v>
      </c>
      <c r="L7" s="132">
        <f>IF(SER_hh_fec!L7=0,0,11630*1000*SER_hh_fec!L7/SER_hh_num!L7)</f>
        <v>142897.13851776419</v>
      </c>
      <c r="M7" s="132">
        <f>IF(SER_hh_fec!M7=0,0,11630*1000*SER_hh_fec!M7/SER_hh_num!M7)</f>
        <v>126299.98356304583</v>
      </c>
      <c r="N7" s="132">
        <f>IF(SER_hh_fec!N7=0,0,11630*1000*SER_hh_fec!N7/SER_hh_num!N7)</f>
        <v>120084.08152693996</v>
      </c>
      <c r="O7" s="132">
        <f>IF(SER_hh_fec!O7=0,0,11630*1000*SER_hh_fec!O7/SER_hh_num!O7)</f>
        <v>116995.19759133093</v>
      </c>
      <c r="P7" s="132">
        <f>IF(SER_hh_fec!P7=0,0,11630*1000*SER_hh_fec!P7/SER_hh_num!P7)</f>
        <v>109977.46144505167</v>
      </c>
      <c r="Q7" s="132">
        <f>IF(SER_hh_fec!Q7=0,0,11630*1000*SER_hh_fec!Q7/SER_hh_num!Q7)</f>
        <v>102394.18801157839</v>
      </c>
      <c r="R7" s="132">
        <f>IF(SER_hh_fec!R7=0,0,11630*1000*SER_hh_fec!R7/SER_hh_num!R7)</f>
        <v>101445.35085768634</v>
      </c>
      <c r="S7" s="132">
        <f>IF(SER_hh_fec!S7=0,0,11630*1000*SER_hh_fec!S7/SER_hh_num!S7)</f>
        <v>100331.41997331928</v>
      </c>
      <c r="T7" s="132">
        <f>IF(SER_hh_fec!T7=0,0,11630*1000*SER_hh_fec!T7/SER_hh_num!T7)</f>
        <v>101689.65509062089</v>
      </c>
      <c r="U7" s="132">
        <f>IF(SER_hh_fec!U7=0,0,11630*1000*SER_hh_fec!U7/SER_hh_num!U7)</f>
        <v>102418.35773719619</v>
      </c>
      <c r="V7" s="132">
        <f>IF(SER_hh_fec!V7=0,0,11630*1000*SER_hh_fec!V7/SER_hh_num!V7)</f>
        <v>93745.198417263047</v>
      </c>
      <c r="W7" s="132">
        <f>IF(SER_hh_fec!W7=0,0,11630*1000*SER_hh_fec!W7/SER_hh_num!W7)</f>
        <v>91226.844065651298</v>
      </c>
      <c r="X7" s="132">
        <f>IF(SER_hh_fec!X7=0,0,11630*1000*SER_hh_fec!X7/SER_hh_num!X7)</f>
        <v>90970.38529572179</v>
      </c>
      <c r="Y7" s="132">
        <f>IF(SER_hh_fec!Y7=0,0,11630*1000*SER_hh_fec!Y7/SER_hh_num!Y7)</f>
        <v>84645.906992369011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61800.878631662112</v>
      </c>
      <c r="C8" s="132">
        <f>IF(SER_hh_fec!C8=0,0,11630*1000*SER_hh_fec!C8/SER_hh_num!C8)</f>
        <v>66091.481918948601</v>
      </c>
      <c r="D8" s="132">
        <f>IF(SER_hh_fec!D8=0,0,11630*1000*SER_hh_fec!D8/SER_hh_num!D8)</f>
        <v>59691.47795674995</v>
      </c>
      <c r="E8" s="132">
        <f>IF(SER_hh_fec!E8=0,0,11630*1000*SER_hh_fec!E8/SER_hh_num!E8)</f>
        <v>65581.280539322965</v>
      </c>
      <c r="F8" s="132">
        <f>IF(SER_hh_fec!F8=0,0,11630*1000*SER_hh_fec!F8/SER_hh_num!F8)</f>
        <v>65620.645707973992</v>
      </c>
      <c r="G8" s="132">
        <f>IF(SER_hh_fec!G8=0,0,11630*1000*SER_hh_fec!G8/SER_hh_num!G8)</f>
        <v>55475.560801594125</v>
      </c>
      <c r="H8" s="132">
        <f>IF(SER_hh_fec!H8=0,0,11630*1000*SER_hh_fec!H8/SER_hh_num!H8)</f>
        <v>50011.581688394224</v>
      </c>
      <c r="I8" s="132">
        <f>IF(SER_hh_fec!I8=0,0,11630*1000*SER_hh_fec!I8/SER_hh_num!I8)</f>
        <v>49779.431972083803</v>
      </c>
      <c r="J8" s="132">
        <f>IF(SER_hh_fec!J8=0,0,11630*1000*SER_hh_fec!J8/SER_hh_num!J8)</f>
        <v>48009.261415039597</v>
      </c>
      <c r="K8" s="132">
        <f>IF(SER_hh_fec!K8=0,0,11630*1000*SER_hh_fec!K8/SER_hh_num!K8)</f>
        <v>46030.992522071385</v>
      </c>
      <c r="L8" s="132">
        <f>IF(SER_hh_fec!L8=0,0,11630*1000*SER_hh_fec!L8/SER_hh_num!L8)</f>
        <v>44864.442348772245</v>
      </c>
      <c r="M8" s="132">
        <f>IF(SER_hh_fec!M8=0,0,11630*1000*SER_hh_fec!M8/SER_hh_num!M8)</f>
        <v>43228.524517699661</v>
      </c>
      <c r="N8" s="132">
        <f>IF(SER_hh_fec!N8=0,0,11630*1000*SER_hh_fec!N8/SER_hh_num!N8)</f>
        <v>35917.258287056829</v>
      </c>
      <c r="O8" s="132">
        <f>IF(SER_hh_fec!O8=0,0,11630*1000*SER_hh_fec!O8/SER_hh_num!O8)</f>
        <v>28949.203472794325</v>
      </c>
      <c r="P8" s="132">
        <f>IF(SER_hh_fec!P8=0,0,11630*1000*SER_hh_fec!P8/SER_hh_num!P8)</f>
        <v>30391.409987298059</v>
      </c>
      <c r="Q8" s="132">
        <f>IF(SER_hh_fec!Q8=0,0,11630*1000*SER_hh_fec!Q8/SER_hh_num!Q8)</f>
        <v>31355.769586614184</v>
      </c>
      <c r="R8" s="132">
        <f>IF(SER_hh_fec!R8=0,0,11630*1000*SER_hh_fec!R8/SER_hh_num!R8)</f>
        <v>29719.454244701432</v>
      </c>
      <c r="S8" s="132">
        <f>IF(SER_hh_fec!S8=0,0,11630*1000*SER_hh_fec!S8/SER_hh_num!S8)</f>
        <v>28464.655005948902</v>
      </c>
      <c r="T8" s="132">
        <f>IF(SER_hh_fec!T8=0,0,11630*1000*SER_hh_fec!T8/SER_hh_num!T8)</f>
        <v>27872.033409492185</v>
      </c>
      <c r="U8" s="132">
        <f>IF(SER_hh_fec!U8=0,0,11630*1000*SER_hh_fec!U8/SER_hh_num!U8)</f>
        <v>26400.654150848732</v>
      </c>
      <c r="V8" s="132">
        <f>IF(SER_hh_fec!V8=0,0,11630*1000*SER_hh_fec!V8/SER_hh_num!V8)</f>
        <v>24318.298733344694</v>
      </c>
      <c r="W8" s="132">
        <f>IF(SER_hh_fec!W8=0,0,11630*1000*SER_hh_fec!W8/SER_hh_num!W8)</f>
        <v>24793.650358560131</v>
      </c>
      <c r="X8" s="132">
        <f>IF(SER_hh_fec!X8=0,0,11630*1000*SER_hh_fec!X8/SER_hh_num!X8)</f>
        <v>23110.756840224549</v>
      </c>
      <c r="Y8" s="132">
        <f>IF(SER_hh_fec!Y8=0,0,11630*1000*SER_hh_fec!Y8/SER_hh_num!Y8)</f>
        <v>23516.330036069085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118889.4229750573</v>
      </c>
      <c r="C9" s="132">
        <f>IF(SER_hh_fec!C9=0,0,11630*1000*SER_hh_fec!C9/SER_hh_num!C9)</f>
        <v>128629.87805769249</v>
      </c>
      <c r="D9" s="132">
        <f>IF(SER_hh_fec!D9=0,0,11630*1000*SER_hh_fec!D9/SER_hh_num!D9)</f>
        <v>119213.03184520344</v>
      </c>
      <c r="E9" s="132">
        <f>IF(SER_hh_fec!E9=0,0,11630*1000*SER_hh_fec!E9/SER_hh_num!E9)</f>
        <v>129587.05552901412</v>
      </c>
      <c r="F9" s="132">
        <f>IF(SER_hh_fec!F9=0,0,11630*1000*SER_hh_fec!F9/SER_hh_num!F9)</f>
        <v>145977.83508228269</v>
      </c>
      <c r="G9" s="132">
        <f>IF(SER_hh_fec!G9=0,0,11630*1000*SER_hh_fec!G9/SER_hh_num!G9)</f>
        <v>130737.95190389616</v>
      </c>
      <c r="H9" s="132">
        <f>IF(SER_hh_fec!H9=0,0,11630*1000*SER_hh_fec!H9/SER_hh_num!H9)</f>
        <v>129258.01433464793</v>
      </c>
      <c r="I9" s="132">
        <f>IF(SER_hh_fec!I9=0,0,11630*1000*SER_hh_fec!I9/SER_hh_num!I9)</f>
        <v>109511.27304392932</v>
      </c>
      <c r="J9" s="132">
        <f>IF(SER_hh_fec!J9=0,0,11630*1000*SER_hh_fec!J9/SER_hh_num!J9)</f>
        <v>118250.17407702311</v>
      </c>
      <c r="K9" s="132">
        <f>IF(SER_hh_fec!K9=0,0,11630*1000*SER_hh_fec!K9/SER_hh_num!K9)</f>
        <v>123389.7494999476</v>
      </c>
      <c r="L9" s="132">
        <f>IF(SER_hh_fec!L9=0,0,11630*1000*SER_hh_fec!L9/SER_hh_num!L9)</f>
        <v>140268.47241199709</v>
      </c>
      <c r="M9" s="132">
        <f>IF(SER_hh_fec!M9=0,0,11630*1000*SER_hh_fec!M9/SER_hh_num!M9)</f>
        <v>105354.57827984604</v>
      </c>
      <c r="N9" s="132">
        <f>IF(SER_hh_fec!N9=0,0,11630*1000*SER_hh_fec!N9/SER_hh_num!N9)</f>
        <v>117502.05852531153</v>
      </c>
      <c r="O9" s="132">
        <f>IF(SER_hh_fec!O9=0,0,11630*1000*SER_hh_fec!O9/SER_hh_num!O9)</f>
        <v>117180.08864673378</v>
      </c>
      <c r="P9" s="132">
        <f>IF(SER_hh_fec!P9=0,0,11630*1000*SER_hh_fec!P9/SER_hh_num!P9)</f>
        <v>88051.134164680392</v>
      </c>
      <c r="Q9" s="132">
        <f>IF(SER_hh_fec!Q9=0,0,11630*1000*SER_hh_fec!Q9/SER_hh_num!Q9)</f>
        <v>95717.169875514111</v>
      </c>
      <c r="R9" s="132">
        <f>IF(SER_hh_fec!R9=0,0,11630*1000*SER_hh_fec!R9/SER_hh_num!R9)</f>
        <v>96475.912600736599</v>
      </c>
      <c r="S9" s="132">
        <f>IF(SER_hh_fec!S9=0,0,11630*1000*SER_hh_fec!S9/SER_hh_num!S9)</f>
        <v>96722.224287983423</v>
      </c>
      <c r="T9" s="132">
        <f>IF(SER_hh_fec!T9=0,0,11630*1000*SER_hh_fec!T9/SER_hh_num!T9)</f>
        <v>96022.115534195604</v>
      </c>
      <c r="U9" s="132">
        <f>IF(SER_hh_fec!U9=0,0,11630*1000*SER_hh_fec!U9/SER_hh_num!U9)</f>
        <v>90464.387091086566</v>
      </c>
      <c r="V9" s="132">
        <f>IF(SER_hh_fec!V9=0,0,11630*1000*SER_hh_fec!V9/SER_hh_num!V9)</f>
        <v>82041.574026238872</v>
      </c>
      <c r="W9" s="132">
        <f>IF(SER_hh_fec!W9=0,0,11630*1000*SER_hh_fec!W9/SER_hh_num!W9)</f>
        <v>92529.405145078839</v>
      </c>
      <c r="X9" s="132">
        <f>IF(SER_hh_fec!X9=0,0,11630*1000*SER_hh_fec!X9/SER_hh_num!X9)</f>
        <v>78824.973564172455</v>
      </c>
      <c r="Y9" s="132">
        <f>IF(SER_hh_fec!Y9=0,0,11630*1000*SER_hh_fec!Y9/SER_hh_num!Y9)</f>
        <v>75095.95020978291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122508.04892542034</v>
      </c>
      <c r="C10" s="132">
        <f>IF(SER_hh_fec!C10=0,0,11630*1000*SER_hh_fec!C10/SER_hh_num!C10)</f>
        <v>145027.57429459563</v>
      </c>
      <c r="D10" s="132">
        <f>IF(SER_hh_fec!D10=0,0,11630*1000*SER_hh_fec!D10/SER_hh_num!D10)</f>
        <v>140973.92114761312</v>
      </c>
      <c r="E10" s="132">
        <f>IF(SER_hh_fec!E10=0,0,11630*1000*SER_hh_fec!E10/SER_hh_num!E10)</f>
        <v>136159.66360025047</v>
      </c>
      <c r="F10" s="132">
        <f>IF(SER_hh_fec!F10=0,0,11630*1000*SER_hh_fec!F10/SER_hh_num!F10)</f>
        <v>146813.65070863834</v>
      </c>
      <c r="G10" s="132">
        <f>IF(SER_hh_fec!G10=0,0,11630*1000*SER_hh_fec!G10/SER_hh_num!G10)</f>
        <v>132110.94798092154</v>
      </c>
      <c r="H10" s="132">
        <f>IF(SER_hh_fec!H10=0,0,11630*1000*SER_hh_fec!H10/SER_hh_num!H10)</f>
        <v>134329.2405600959</v>
      </c>
      <c r="I10" s="132">
        <f>IF(SER_hh_fec!I10=0,0,11630*1000*SER_hh_fec!I10/SER_hh_num!I10)</f>
        <v>125692.56999434998</v>
      </c>
      <c r="J10" s="132">
        <f>IF(SER_hh_fec!J10=0,0,11630*1000*SER_hh_fec!J10/SER_hh_num!J10)</f>
        <v>139050.00062069891</v>
      </c>
      <c r="K10" s="132">
        <f>IF(SER_hh_fec!K10=0,0,11630*1000*SER_hh_fec!K10/SER_hh_num!K10)</f>
        <v>131372.27244704191</v>
      </c>
      <c r="L10" s="132">
        <f>IF(SER_hh_fec!L10=0,0,11630*1000*SER_hh_fec!L10/SER_hh_num!L10)</f>
        <v>140724.69934330243</v>
      </c>
      <c r="M10" s="132">
        <f>IF(SER_hh_fec!M10=0,0,11630*1000*SER_hh_fec!M10/SER_hh_num!M10)</f>
        <v>127411.57402340551</v>
      </c>
      <c r="N10" s="132">
        <f>IF(SER_hh_fec!N10=0,0,11630*1000*SER_hh_fec!N10/SER_hh_num!N10)</f>
        <v>124575.60073414547</v>
      </c>
      <c r="O10" s="132">
        <f>IF(SER_hh_fec!O10=0,0,11630*1000*SER_hh_fec!O10/SER_hh_num!O10)</f>
        <v>119583.75111848918</v>
      </c>
      <c r="P10" s="132">
        <f>IF(SER_hh_fec!P10=0,0,11630*1000*SER_hh_fec!P10/SER_hh_num!P10)</f>
        <v>113595.07503899252</v>
      </c>
      <c r="Q10" s="132">
        <f>IF(SER_hh_fec!Q10=0,0,11630*1000*SER_hh_fec!Q10/SER_hh_num!Q10)</f>
        <v>105347.34382769057</v>
      </c>
      <c r="R10" s="132">
        <f>IF(SER_hh_fec!R10=0,0,11630*1000*SER_hh_fec!R10/SER_hh_num!R10)</f>
        <v>100388.09888616204</v>
      </c>
      <c r="S10" s="132">
        <f>IF(SER_hh_fec!S10=0,0,11630*1000*SER_hh_fec!S10/SER_hh_num!S10)</f>
        <v>117897.81749528283</v>
      </c>
      <c r="T10" s="132">
        <f>IF(SER_hh_fec!T10=0,0,11630*1000*SER_hh_fec!T10/SER_hh_num!T10)</f>
        <v>115165.87087154425</v>
      </c>
      <c r="U10" s="132">
        <f>IF(SER_hh_fec!U10=0,0,11630*1000*SER_hh_fec!U10/SER_hh_num!U10)</f>
        <v>119611.51602081813</v>
      </c>
      <c r="V10" s="132">
        <f>IF(SER_hh_fec!V10=0,0,11630*1000*SER_hh_fec!V10/SER_hh_num!V10)</f>
        <v>120825.51621517606</v>
      </c>
      <c r="W10" s="132">
        <f>IF(SER_hh_fec!W10=0,0,11630*1000*SER_hh_fec!W10/SER_hh_num!W10)</f>
        <v>112067.01764550162</v>
      </c>
      <c r="X10" s="132">
        <f>IF(SER_hh_fec!X10=0,0,11630*1000*SER_hh_fec!X10/SER_hh_num!X10)</f>
        <v>94400.054708429147</v>
      </c>
      <c r="Y10" s="132">
        <f>IF(SER_hh_fec!Y10=0,0,11630*1000*SER_hh_fec!Y10/SER_hh_num!Y10)</f>
        <v>107569.66813167986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78852.919292400518</v>
      </c>
      <c r="C12" s="132">
        <f>IF(SER_hh_fec!C12=0,0,11630*1000*SER_hh_fec!C12/SER_hh_num!C12)</f>
        <v>69766.918562710765</v>
      </c>
      <c r="D12" s="132">
        <f>IF(SER_hh_fec!D12=0,0,11630*1000*SER_hh_fec!D12/SER_hh_num!D12)</f>
        <v>101500.24086633557</v>
      </c>
      <c r="E12" s="132">
        <f>IF(SER_hh_fec!E12=0,0,11630*1000*SER_hh_fec!E12/SER_hh_num!E12)</f>
        <v>84957.351134358978</v>
      </c>
      <c r="F12" s="132">
        <f>IF(SER_hh_fec!F12=0,0,11630*1000*SER_hh_fec!F12/SER_hh_num!F12)</f>
        <v>93030.524745286079</v>
      </c>
      <c r="G12" s="132">
        <f>IF(SER_hh_fec!G12=0,0,11630*1000*SER_hh_fec!G12/SER_hh_num!G12)</f>
        <v>66886.712118243333</v>
      </c>
      <c r="H12" s="132">
        <f>IF(SER_hh_fec!H12=0,0,11630*1000*SER_hh_fec!H12/SER_hh_num!H12)</f>
        <v>78148.32117441266</v>
      </c>
      <c r="I12" s="132">
        <f>IF(SER_hh_fec!I12=0,0,11630*1000*SER_hh_fec!I12/SER_hh_num!I12)</f>
        <v>89052.854147120495</v>
      </c>
      <c r="J12" s="132">
        <f>IF(SER_hh_fec!J12=0,0,11630*1000*SER_hh_fec!J12/SER_hh_num!J12)</f>
        <v>79146.659656434131</v>
      </c>
      <c r="K12" s="132">
        <f>IF(SER_hh_fec!K12=0,0,11630*1000*SER_hh_fec!K12/SER_hh_num!K12)</f>
        <v>96200.429470106217</v>
      </c>
      <c r="L12" s="132">
        <f>IF(SER_hh_fec!L12=0,0,11630*1000*SER_hh_fec!L12/SER_hh_num!L12)</f>
        <v>91787.742199221611</v>
      </c>
      <c r="M12" s="132">
        <f>IF(SER_hh_fec!M12=0,0,11630*1000*SER_hh_fec!M12/SER_hh_num!M12)</f>
        <v>92246.196483844513</v>
      </c>
      <c r="N12" s="132">
        <f>IF(SER_hh_fec!N12=0,0,11630*1000*SER_hh_fec!N12/SER_hh_num!N12)</f>
        <v>64612.358103855033</v>
      </c>
      <c r="O12" s="132">
        <f>IF(SER_hh_fec!O12=0,0,11630*1000*SER_hh_fec!O12/SER_hh_num!O12)</f>
        <v>68885.711429292438</v>
      </c>
      <c r="P12" s="132">
        <f>IF(SER_hh_fec!P12=0,0,11630*1000*SER_hh_fec!P12/SER_hh_num!P12)</f>
        <v>72334.06599092031</v>
      </c>
      <c r="Q12" s="132">
        <f>IF(SER_hh_fec!Q12=0,0,11630*1000*SER_hh_fec!Q12/SER_hh_num!Q12)</f>
        <v>66274.614110843759</v>
      </c>
      <c r="R12" s="132">
        <f>IF(SER_hh_fec!R12=0,0,11630*1000*SER_hh_fec!R12/SER_hh_num!R12)</f>
        <v>64504.918184459122</v>
      </c>
      <c r="S12" s="132">
        <f>IF(SER_hh_fec!S12=0,0,11630*1000*SER_hh_fec!S12/SER_hh_num!S12)</f>
        <v>81083.805497277208</v>
      </c>
      <c r="T12" s="132">
        <f>IF(SER_hh_fec!T12=0,0,11630*1000*SER_hh_fec!T12/SER_hh_num!T12)</f>
        <v>67573.380414299798</v>
      </c>
      <c r="U12" s="132">
        <f>IF(SER_hh_fec!U12=0,0,11630*1000*SER_hh_fec!U12/SER_hh_num!U12)</f>
        <v>74515.577259197657</v>
      </c>
      <c r="V12" s="132">
        <f>IF(SER_hh_fec!V12=0,0,11630*1000*SER_hh_fec!V12/SER_hh_num!V12)</f>
        <v>73950.906610110978</v>
      </c>
      <c r="W12" s="132">
        <f>IF(SER_hh_fec!W12=0,0,11630*1000*SER_hh_fec!W12/SER_hh_num!W12)</f>
        <v>63833.978450473958</v>
      </c>
      <c r="X12" s="132">
        <f>IF(SER_hh_fec!X12=0,0,11630*1000*SER_hh_fec!X12/SER_hh_num!X12)</f>
        <v>72079.999697041581</v>
      </c>
      <c r="Y12" s="132">
        <f>IF(SER_hh_fec!Y12=0,0,11630*1000*SER_hh_fec!Y12/SER_hh_num!Y12)</f>
        <v>60857.024476951228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37361.77121304952</v>
      </c>
      <c r="C13" s="132">
        <f>IF(SER_hh_fec!C13=0,0,11630*1000*SER_hh_fec!C13/SER_hh_num!C13)</f>
        <v>39242.76915894464</v>
      </c>
      <c r="D13" s="132">
        <f>IF(SER_hh_fec!D13=0,0,11630*1000*SER_hh_fec!D13/SER_hh_num!D13)</f>
        <v>39129.214385980544</v>
      </c>
      <c r="E13" s="132">
        <f>IF(SER_hh_fec!E13=0,0,11630*1000*SER_hh_fec!E13/SER_hh_num!E13)</f>
        <v>35682.911108515567</v>
      </c>
      <c r="F13" s="132">
        <f>IF(SER_hh_fec!F13=0,0,11630*1000*SER_hh_fec!F13/SER_hh_num!F13)</f>
        <v>38089.126955151536</v>
      </c>
      <c r="G13" s="132">
        <f>IF(SER_hh_fec!G13=0,0,11630*1000*SER_hh_fec!G13/SER_hh_num!G13)</f>
        <v>36177.946452489217</v>
      </c>
      <c r="H13" s="132">
        <f>IF(SER_hh_fec!H13=0,0,11630*1000*SER_hh_fec!H13/SER_hh_num!H13)</f>
        <v>32630.017442886703</v>
      </c>
      <c r="I13" s="132">
        <f>IF(SER_hh_fec!I13=0,0,11630*1000*SER_hh_fec!I13/SER_hh_num!I13)</f>
        <v>31850.300738189319</v>
      </c>
      <c r="J13" s="132">
        <f>IF(SER_hh_fec!J13=0,0,11630*1000*SER_hh_fec!J13/SER_hh_num!J13)</f>
        <v>32566.740887621952</v>
      </c>
      <c r="K13" s="132">
        <f>IF(SER_hh_fec!K13=0,0,11630*1000*SER_hh_fec!K13/SER_hh_num!K13)</f>
        <v>32385.219473491419</v>
      </c>
      <c r="L13" s="132">
        <f>IF(SER_hh_fec!L13=0,0,11630*1000*SER_hh_fec!L13/SER_hh_num!L13)</f>
        <v>32403.978171782823</v>
      </c>
      <c r="M13" s="132">
        <f>IF(SER_hh_fec!M13=0,0,11630*1000*SER_hh_fec!M13/SER_hh_num!M13)</f>
        <v>30135.932260133293</v>
      </c>
      <c r="N13" s="132">
        <f>IF(SER_hh_fec!N13=0,0,11630*1000*SER_hh_fec!N13/SER_hh_num!N13)</f>
        <v>28345.953805083809</v>
      </c>
      <c r="O13" s="132">
        <f>IF(SER_hh_fec!O13=0,0,11630*1000*SER_hh_fec!O13/SER_hh_num!O13)</f>
        <v>26390.78449406091</v>
      </c>
      <c r="P13" s="132">
        <f>IF(SER_hh_fec!P13=0,0,11630*1000*SER_hh_fec!P13/SER_hh_num!P13)</f>
        <v>23592.104677173771</v>
      </c>
      <c r="Q13" s="132">
        <f>IF(SER_hh_fec!Q13=0,0,11630*1000*SER_hh_fec!Q13/SER_hh_num!Q13)</f>
        <v>22806.127213977914</v>
      </c>
      <c r="R13" s="132">
        <f>IF(SER_hh_fec!R13=0,0,11630*1000*SER_hh_fec!R13/SER_hh_num!R13)</f>
        <v>22254.375985994397</v>
      </c>
      <c r="S13" s="132">
        <f>IF(SER_hh_fec!S13=0,0,11630*1000*SER_hh_fec!S13/SER_hh_num!S13)</f>
        <v>22103.44946377556</v>
      </c>
      <c r="T13" s="132">
        <f>IF(SER_hh_fec!T13=0,0,11630*1000*SER_hh_fec!T13/SER_hh_num!T13)</f>
        <v>21435.490672163894</v>
      </c>
      <c r="U13" s="132">
        <f>IF(SER_hh_fec!U13=0,0,11630*1000*SER_hh_fec!U13/SER_hh_num!U13)</f>
        <v>20351.073408959161</v>
      </c>
      <c r="V13" s="132">
        <f>IF(SER_hh_fec!V13=0,0,11630*1000*SER_hh_fec!V13/SER_hh_num!V13)</f>
        <v>19091.921941609951</v>
      </c>
      <c r="W13" s="132">
        <f>IF(SER_hh_fec!W13=0,0,11630*1000*SER_hh_fec!W13/SER_hh_num!W13)</f>
        <v>18273.854137651932</v>
      </c>
      <c r="X13" s="132">
        <f>IF(SER_hh_fec!X13=0,0,11630*1000*SER_hh_fec!X13/SER_hh_num!X13)</f>
        <v>17611.123622342395</v>
      </c>
      <c r="Y13" s="132">
        <f>IF(SER_hh_fec!Y13=0,0,11630*1000*SER_hh_fec!Y13/SER_hh_num!Y13)</f>
        <v>17420.664770509949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84253.238572818504</v>
      </c>
      <c r="C14" s="65">
        <f>IF(SER_hh_fec!C14=0,0,11630*1000*SER_hh_fec!C14/SER_hh_num!C14)</f>
        <v>93748.82861863263</v>
      </c>
      <c r="D14" s="65">
        <f>IF(SER_hh_fec!D14=0,0,11630*1000*SER_hh_fec!D14/SER_hh_num!D14)</f>
        <v>89425.125024731504</v>
      </c>
      <c r="E14" s="65">
        <f>IF(SER_hh_fec!E14=0,0,11630*1000*SER_hh_fec!E14/SER_hh_num!E14)</f>
        <v>96288.054369349687</v>
      </c>
      <c r="F14" s="65">
        <f>IF(SER_hh_fec!F14=0,0,11630*1000*SER_hh_fec!F14/SER_hh_num!F14)</f>
        <v>101195.68717015862</v>
      </c>
      <c r="G14" s="65">
        <f>IF(SER_hh_fec!G14=0,0,11630*1000*SER_hh_fec!G14/SER_hh_num!G14)</f>
        <v>95223.73538014236</v>
      </c>
      <c r="H14" s="65">
        <f>IF(SER_hh_fec!H14=0,0,11630*1000*SER_hh_fec!H14/SER_hh_num!H14)</f>
        <v>93410.030750807491</v>
      </c>
      <c r="I14" s="65">
        <f>IF(SER_hh_fec!I14=0,0,11630*1000*SER_hh_fec!I14/SER_hh_num!I14)</f>
        <v>91568.884897828175</v>
      </c>
      <c r="J14" s="65">
        <f>IF(SER_hh_fec!J14=0,0,11630*1000*SER_hh_fec!J14/SER_hh_num!J14)</f>
        <v>89915.418642283897</v>
      </c>
      <c r="K14" s="65">
        <f>IF(SER_hh_fec!K14=0,0,11630*1000*SER_hh_fec!K14/SER_hh_num!K14)</f>
        <v>95536.183552107133</v>
      </c>
      <c r="L14" s="65">
        <f>IF(SER_hh_fec!L14=0,0,11630*1000*SER_hh_fec!L14/SER_hh_num!L14)</f>
        <v>95375.714216509747</v>
      </c>
      <c r="M14" s="65">
        <f>IF(SER_hh_fec!M14=0,0,11630*1000*SER_hh_fec!M14/SER_hh_num!M14)</f>
        <v>91933.444137564307</v>
      </c>
      <c r="N14" s="65">
        <f>IF(SER_hh_fec!N14=0,0,11630*1000*SER_hh_fec!N14/SER_hh_num!N14)</f>
        <v>90723.996539803018</v>
      </c>
      <c r="O14" s="65">
        <f>IF(SER_hh_fec!O14=0,0,11630*1000*SER_hh_fec!O14/SER_hh_num!O14)</f>
        <v>94717.452491845426</v>
      </c>
      <c r="P14" s="65">
        <f>IF(SER_hh_fec!P14=0,0,11630*1000*SER_hh_fec!P14/SER_hh_num!P14)</f>
        <v>73440.197376834767</v>
      </c>
      <c r="Q14" s="65">
        <f>IF(SER_hh_fec!Q14=0,0,11630*1000*SER_hh_fec!Q14/SER_hh_num!Q14)</f>
        <v>71803.709676071812</v>
      </c>
      <c r="R14" s="65">
        <f>IF(SER_hh_fec!R14=0,0,11630*1000*SER_hh_fec!R14/SER_hh_num!R14)</f>
        <v>73654.357451844786</v>
      </c>
      <c r="S14" s="65">
        <f>IF(SER_hh_fec!S14=0,0,11630*1000*SER_hh_fec!S14/SER_hh_num!S14)</f>
        <v>81886.909375975069</v>
      </c>
      <c r="T14" s="65">
        <f>IF(SER_hh_fec!T14=0,0,11630*1000*SER_hh_fec!T14/SER_hh_num!T14)</f>
        <v>88245.108219542177</v>
      </c>
      <c r="U14" s="65">
        <f>IF(SER_hh_fec!U14=0,0,11630*1000*SER_hh_fec!U14/SER_hh_num!U14)</f>
        <v>76356.193028228095</v>
      </c>
      <c r="V14" s="65">
        <f>IF(SER_hh_fec!V14=0,0,11630*1000*SER_hh_fec!V14/SER_hh_num!V14)</f>
        <v>62180.439542956752</v>
      </c>
      <c r="W14" s="65">
        <f>IF(SER_hh_fec!W14=0,0,11630*1000*SER_hh_fec!W14/SER_hh_num!W14)</f>
        <v>69926.425056442618</v>
      </c>
      <c r="X14" s="65">
        <f>IF(SER_hh_fec!X14=0,0,11630*1000*SER_hh_fec!X14/SER_hh_num!X14)</f>
        <v>72618.394187622733</v>
      </c>
      <c r="Y14" s="65">
        <f>IF(SER_hh_fec!Y14=0,0,11630*1000*SER_hh_fec!Y14/SER_hh_num!Y14)</f>
        <v>66271.045559080114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1180.6667092240639</v>
      </c>
      <c r="C15" s="134">
        <f>IF(SER_hh_fec!C15=0,0,11630*1000*SER_hh_fec!C15/SER_hh_num!C15)</f>
        <v>1239.3825462646619</v>
      </c>
      <c r="D15" s="134">
        <f>IF(SER_hh_fec!D15=0,0,11630*1000*SER_hh_fec!D15/SER_hh_num!D15)</f>
        <v>1157.0237187011458</v>
      </c>
      <c r="E15" s="134">
        <f>IF(SER_hh_fec!E15=0,0,11630*1000*SER_hh_fec!E15/SER_hh_num!E15)</f>
        <v>1229.0553515176789</v>
      </c>
      <c r="F15" s="134">
        <f>IF(SER_hh_fec!F15=0,0,11630*1000*SER_hh_fec!F15/SER_hh_num!F15)</f>
        <v>1363.6466773261889</v>
      </c>
      <c r="G15" s="134">
        <f>IF(SER_hh_fec!G15=0,0,11630*1000*SER_hh_fec!G15/SER_hh_num!G15)</f>
        <v>1217.291707166944</v>
      </c>
      <c r="H15" s="134">
        <f>IF(SER_hh_fec!H15=0,0,11630*1000*SER_hh_fec!H15/SER_hh_num!H15)</f>
        <v>1199.0214499404494</v>
      </c>
      <c r="I15" s="134">
        <f>IF(SER_hh_fec!I15=0,0,11630*1000*SER_hh_fec!I15/SER_hh_num!I15)</f>
        <v>1033.691734238249</v>
      </c>
      <c r="J15" s="134">
        <f>IF(SER_hh_fec!J15=0,0,11630*1000*SER_hh_fec!J15/SER_hh_num!J15)</f>
        <v>1102.9923723098809</v>
      </c>
      <c r="K15" s="134">
        <f>IF(SER_hh_fec!K15=0,0,11630*1000*SER_hh_fec!K15/SER_hh_num!K15)</f>
        <v>1147.854993536655</v>
      </c>
      <c r="L15" s="134">
        <f>IF(SER_hh_fec!L15=0,0,11630*1000*SER_hh_fec!L15/SER_hh_num!L15)</f>
        <v>1312.7732947039842</v>
      </c>
      <c r="M15" s="134">
        <f>IF(SER_hh_fec!M15=0,0,11630*1000*SER_hh_fec!M15/SER_hh_num!M15)</f>
        <v>1024.0540497451141</v>
      </c>
      <c r="N15" s="134">
        <f>IF(SER_hh_fec!N15=0,0,11630*1000*SER_hh_fec!N15/SER_hh_num!N15)</f>
        <v>1150.2506942104678</v>
      </c>
      <c r="O15" s="134">
        <f>IF(SER_hh_fec!O15=0,0,11630*1000*SER_hh_fec!O15/SER_hh_num!O15)</f>
        <v>1169.2461053351003</v>
      </c>
      <c r="P15" s="134">
        <f>IF(SER_hh_fec!P15=0,0,11630*1000*SER_hh_fec!P15/SER_hh_num!P15)</f>
        <v>902.33715195795992</v>
      </c>
      <c r="Q15" s="134">
        <f>IF(SER_hh_fec!Q15=0,0,11630*1000*SER_hh_fec!Q15/SER_hh_num!Q15)</f>
        <v>972.29187005666677</v>
      </c>
      <c r="R15" s="134">
        <f>IF(SER_hh_fec!R15=0,0,11630*1000*SER_hh_fec!R15/SER_hh_num!R15)</f>
        <v>981.74334649453499</v>
      </c>
      <c r="S15" s="134">
        <f>IF(SER_hh_fec!S15=0,0,11630*1000*SER_hh_fec!S15/SER_hh_num!S15)</f>
        <v>993.10833467880377</v>
      </c>
      <c r="T15" s="134">
        <f>IF(SER_hh_fec!T15=0,0,11630*1000*SER_hh_fec!T15/SER_hh_num!T15)</f>
        <v>990.62665932100072</v>
      </c>
      <c r="U15" s="134">
        <f>IF(SER_hh_fec!U15=0,0,11630*1000*SER_hh_fec!U15/SER_hh_num!U15)</f>
        <v>951.57506274036871</v>
      </c>
      <c r="V15" s="134">
        <f>IF(SER_hh_fec!V15=0,0,11630*1000*SER_hh_fec!V15/SER_hh_num!V15)</f>
        <v>882.70265365925172</v>
      </c>
      <c r="W15" s="134">
        <f>IF(SER_hh_fec!W15=0,0,11630*1000*SER_hh_fec!W15/SER_hh_num!W15)</f>
        <v>988.87998698963804</v>
      </c>
      <c r="X15" s="134">
        <f>IF(SER_hh_fec!X15=0,0,11630*1000*SER_hh_fec!X15/SER_hh_num!X15)</f>
        <v>864.09890718604902</v>
      </c>
      <c r="Y15" s="134">
        <f>IF(SER_hh_fec!Y15=0,0,11630*1000*SER_hh_fec!Y15/SER_hh_num!Y15)</f>
        <v>837.55514812819854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13052.204491942874</v>
      </c>
      <c r="C16" s="130">
        <f>IF(SER_hh_fec!C16=0,0,11630*1000*SER_hh_fec!C16/SER_hh_num!C16)</f>
        <v>12522.182174122156</v>
      </c>
      <c r="D16" s="130">
        <f>IF(SER_hh_fec!D16=0,0,11630*1000*SER_hh_fec!D16/SER_hh_num!D16)</f>
        <v>11680.839253393355</v>
      </c>
      <c r="E16" s="130">
        <f>IF(SER_hh_fec!E16=0,0,11630*1000*SER_hh_fec!E16/SER_hh_num!E16)</f>
        <v>12177.693567402168</v>
      </c>
      <c r="F16" s="130">
        <f>IF(SER_hh_fec!F16=0,0,11630*1000*SER_hh_fec!F16/SER_hh_num!F16)</f>
        <v>10549.532828668673</v>
      </c>
      <c r="G16" s="130">
        <f>IF(SER_hh_fec!G16=0,0,11630*1000*SER_hh_fec!G16/SER_hh_num!G16)</f>
        <v>9826.8251725142472</v>
      </c>
      <c r="H16" s="130">
        <f>IF(SER_hh_fec!H16=0,0,11630*1000*SER_hh_fec!H16/SER_hh_num!H16)</f>
        <v>10191.297445237054</v>
      </c>
      <c r="I16" s="130">
        <f>IF(SER_hh_fec!I16=0,0,11630*1000*SER_hh_fec!I16/SER_hh_num!I16)</f>
        <v>8817.1816230364275</v>
      </c>
      <c r="J16" s="130">
        <f>IF(SER_hh_fec!J16=0,0,11630*1000*SER_hh_fec!J16/SER_hh_num!J16)</f>
        <v>8442.3992360607499</v>
      </c>
      <c r="K16" s="130">
        <f>IF(SER_hh_fec!K16=0,0,11630*1000*SER_hh_fec!K16/SER_hh_num!K16)</f>
        <v>8308.9404996920766</v>
      </c>
      <c r="L16" s="130">
        <f>IF(SER_hh_fec!L16=0,0,11630*1000*SER_hh_fec!L16/SER_hh_num!L16)</f>
        <v>8385.5711719890005</v>
      </c>
      <c r="M16" s="130">
        <f>IF(SER_hh_fec!M16=0,0,11630*1000*SER_hh_fec!M16/SER_hh_num!M16)</f>
        <v>7854.5711889554314</v>
      </c>
      <c r="N16" s="130">
        <f>IF(SER_hh_fec!N16=0,0,11630*1000*SER_hh_fec!N16/SER_hh_num!N16)</f>
        <v>7666.340111821105</v>
      </c>
      <c r="O16" s="130">
        <f>IF(SER_hh_fec!O16=0,0,11630*1000*SER_hh_fec!O16/SER_hh_num!O16)</f>
        <v>7494.1834730818227</v>
      </c>
      <c r="P16" s="130">
        <f>IF(SER_hh_fec!P16=0,0,11630*1000*SER_hh_fec!P16/SER_hh_num!P16)</f>
        <v>7179.791764080931</v>
      </c>
      <c r="Q16" s="130">
        <f>IF(SER_hh_fec!Q16=0,0,11630*1000*SER_hh_fec!Q16/SER_hh_num!Q16)</f>
        <v>7235.6112041620872</v>
      </c>
      <c r="R16" s="130">
        <f>IF(SER_hh_fec!R16=0,0,11630*1000*SER_hh_fec!R16/SER_hh_num!R16)</f>
        <v>6830.3007756459365</v>
      </c>
      <c r="S16" s="130">
        <f>IF(SER_hh_fec!S16=0,0,11630*1000*SER_hh_fec!S16/SER_hh_num!S16)</f>
        <v>6489.7752960414309</v>
      </c>
      <c r="T16" s="130">
        <f>IF(SER_hh_fec!T16=0,0,11630*1000*SER_hh_fec!T16/SER_hh_num!T16)</f>
        <v>6966.7272913386732</v>
      </c>
      <c r="U16" s="130">
        <f>IF(SER_hh_fec!U16=0,0,11630*1000*SER_hh_fec!U16/SER_hh_num!U16)</f>
        <v>6735.7747682009358</v>
      </c>
      <c r="V16" s="130">
        <f>IF(SER_hh_fec!V16=0,0,11630*1000*SER_hh_fec!V16/SER_hh_num!V16)</f>
        <v>6467.2677389276068</v>
      </c>
      <c r="W16" s="130">
        <f>IF(SER_hh_fec!W16=0,0,11630*1000*SER_hh_fec!W16/SER_hh_num!W16)</f>
        <v>5866.3133528280077</v>
      </c>
      <c r="X16" s="130">
        <f>IF(SER_hh_fec!X16=0,0,11630*1000*SER_hh_fec!X16/SER_hh_num!X16)</f>
        <v>6058.8152972993821</v>
      </c>
      <c r="Y16" s="130">
        <f>IF(SER_hh_fec!Y16=0,0,11630*1000*SER_hh_fec!Y16/SER_hh_num!Y16)</f>
        <v>5823.0271877479554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22407.216073244432</v>
      </c>
      <c r="C17" s="132">
        <f>IF(SER_hh_fec!C17=0,0,11630*1000*SER_hh_fec!C17/SER_hh_num!C17)</f>
        <v>22445.423407284648</v>
      </c>
      <c r="D17" s="132">
        <f>IF(SER_hh_fec!D17=0,0,11630*1000*SER_hh_fec!D17/SER_hh_num!D17)</f>
        <v>21635.213921971357</v>
      </c>
      <c r="E17" s="132">
        <f>IF(SER_hh_fec!E17=0,0,11630*1000*SER_hh_fec!E17/SER_hh_num!E17)</f>
        <v>23362.956266349476</v>
      </c>
      <c r="F17" s="132">
        <f>IF(SER_hh_fec!F17=0,0,11630*1000*SER_hh_fec!F17/SER_hh_num!F17)</f>
        <v>20751.171649349129</v>
      </c>
      <c r="G17" s="132">
        <f>IF(SER_hh_fec!G17=0,0,11630*1000*SER_hh_fec!G17/SER_hh_num!G17)</f>
        <v>20113.865031140882</v>
      </c>
      <c r="H17" s="132">
        <f>IF(SER_hh_fec!H17=0,0,11630*1000*SER_hh_fec!H17/SER_hh_num!H17)</f>
        <v>21598.677657578861</v>
      </c>
      <c r="I17" s="132">
        <f>IF(SER_hh_fec!I17=0,0,11630*1000*SER_hh_fec!I17/SER_hh_num!I17)</f>
        <v>19385.29815360907</v>
      </c>
      <c r="J17" s="132">
        <f>IF(SER_hh_fec!J17=0,0,11630*1000*SER_hh_fec!J17/SER_hh_num!J17)</f>
        <v>19221.032480106169</v>
      </c>
      <c r="K17" s="132">
        <f>IF(SER_hh_fec!K17=0,0,11630*1000*SER_hh_fec!K17/SER_hh_num!K17)</f>
        <v>19196.632403159081</v>
      </c>
      <c r="L17" s="132">
        <f>IF(SER_hh_fec!L17=0,0,11630*1000*SER_hh_fec!L17/SER_hh_num!L17)</f>
        <v>19726.693648160101</v>
      </c>
      <c r="M17" s="132">
        <f>IF(SER_hh_fec!M17=0,0,11630*1000*SER_hh_fec!M17/SER_hh_num!M17)</f>
        <v>18900.494593023526</v>
      </c>
      <c r="N17" s="132">
        <f>IF(SER_hh_fec!N17=0,0,11630*1000*SER_hh_fec!N17/SER_hh_num!N17)</f>
        <v>18780.487187475439</v>
      </c>
      <c r="O17" s="132">
        <f>IF(SER_hh_fec!O17=0,0,11630*1000*SER_hh_fec!O17/SER_hh_num!O17)</f>
        <v>18605.727141964137</v>
      </c>
      <c r="P17" s="132">
        <f>IF(SER_hh_fec!P17=0,0,11630*1000*SER_hh_fec!P17/SER_hh_num!P17)</f>
        <v>18022.809882390724</v>
      </c>
      <c r="Q17" s="132">
        <f>IF(SER_hh_fec!Q17=0,0,11630*1000*SER_hh_fec!Q17/SER_hh_num!Q17)</f>
        <v>18124.263526283376</v>
      </c>
      <c r="R17" s="132">
        <f>IF(SER_hh_fec!R17=0,0,11630*1000*SER_hh_fec!R17/SER_hh_num!R17)</f>
        <v>17733.341365618842</v>
      </c>
      <c r="S17" s="132">
        <f>IF(SER_hh_fec!S17=0,0,11630*1000*SER_hh_fec!S17/SER_hh_num!S17)</f>
        <v>18064.404384542166</v>
      </c>
      <c r="T17" s="132">
        <f>IF(SER_hh_fec!T17=0,0,11630*1000*SER_hh_fec!T17/SER_hh_num!T17)</f>
        <v>18405.240490590462</v>
      </c>
      <c r="U17" s="132">
        <f>IF(SER_hh_fec!U17=0,0,11630*1000*SER_hh_fec!U17/SER_hh_num!U17)</f>
        <v>18425.565764239556</v>
      </c>
      <c r="V17" s="132">
        <f>IF(SER_hh_fec!V17=0,0,11630*1000*SER_hh_fec!V17/SER_hh_num!V17)</f>
        <v>18775.987599331515</v>
      </c>
      <c r="W17" s="132">
        <f>IF(SER_hh_fec!W17=0,0,11630*1000*SER_hh_fec!W17/SER_hh_num!W17)</f>
        <v>19778.452018648048</v>
      </c>
      <c r="X17" s="132">
        <f>IF(SER_hh_fec!X17=0,0,11630*1000*SER_hh_fec!X17/SER_hh_num!X17)</f>
        <v>17133.750648509947</v>
      </c>
      <c r="Y17" s="132">
        <f>IF(SER_hh_fec!Y17=0,0,11630*1000*SER_hh_fec!Y17/SER_hh_num!Y17)</f>
        <v>16241.320796523178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13025.082303093877</v>
      </c>
      <c r="C18" s="132">
        <f>IF(SER_hh_fec!C18=0,0,11630*1000*SER_hh_fec!C18/SER_hh_num!C18)</f>
        <v>12494.100775725452</v>
      </c>
      <c r="D18" s="132">
        <f>IF(SER_hh_fec!D18=0,0,11630*1000*SER_hh_fec!D18/SER_hh_num!D18)</f>
        <v>11650.09154683113</v>
      </c>
      <c r="E18" s="132">
        <f>IF(SER_hh_fec!E18=0,0,11630*1000*SER_hh_fec!E18/SER_hh_num!E18)</f>
        <v>12143.360738390411</v>
      </c>
      <c r="F18" s="132">
        <f>IF(SER_hh_fec!F18=0,0,11630*1000*SER_hh_fec!F18/SER_hh_num!F18)</f>
        <v>10511.163465177664</v>
      </c>
      <c r="G18" s="132">
        <f>IF(SER_hh_fec!G18=0,0,11630*1000*SER_hh_fec!G18/SER_hh_num!G18)</f>
        <v>9786.0855570224976</v>
      </c>
      <c r="H18" s="132">
        <f>IF(SER_hh_fec!H18=0,0,11630*1000*SER_hh_fec!H18/SER_hh_num!H18)</f>
        <v>10140.759919982163</v>
      </c>
      <c r="I18" s="132">
        <f>IF(SER_hh_fec!I18=0,0,11630*1000*SER_hh_fec!I18/SER_hh_num!I18)</f>
        <v>8763.1876523066348</v>
      </c>
      <c r="J18" s="132">
        <f>IF(SER_hh_fec!J18=0,0,11630*1000*SER_hh_fec!J18/SER_hh_num!J18)</f>
        <v>8381.8046531614127</v>
      </c>
      <c r="K18" s="132">
        <f>IF(SER_hh_fec!K18=0,0,11630*1000*SER_hh_fec!K18/SER_hh_num!K18)</f>
        <v>8244.7427982722365</v>
      </c>
      <c r="L18" s="132">
        <f>IF(SER_hh_fec!L18=0,0,11630*1000*SER_hh_fec!L18/SER_hh_num!L18)</f>
        <v>8316.1021694416195</v>
      </c>
      <c r="M18" s="132">
        <f>IF(SER_hh_fec!M18=0,0,11630*1000*SER_hh_fec!M18/SER_hh_num!M18)</f>
        <v>7782.1228642568794</v>
      </c>
      <c r="N18" s="132">
        <f>IF(SER_hh_fec!N18=0,0,11630*1000*SER_hh_fec!N18/SER_hh_num!N18)</f>
        <v>7585.5564756150852</v>
      </c>
      <c r="O18" s="132">
        <f>IF(SER_hh_fec!O18=0,0,11630*1000*SER_hh_fec!O18/SER_hh_num!O18)</f>
        <v>7397.4959761763293</v>
      </c>
      <c r="P18" s="132">
        <f>IF(SER_hh_fec!P18=0,0,11630*1000*SER_hh_fec!P18/SER_hh_num!P18)</f>
        <v>7055.1076425421388</v>
      </c>
      <c r="Q18" s="132">
        <f>IF(SER_hh_fec!Q18=0,0,11630*1000*SER_hh_fec!Q18/SER_hh_num!Q18)</f>
        <v>7069.466177518324</v>
      </c>
      <c r="R18" s="132">
        <f>IF(SER_hh_fec!R18=0,0,11630*1000*SER_hh_fec!R18/SER_hh_num!R18)</f>
        <v>6621.1352759879701</v>
      </c>
      <c r="S18" s="132">
        <f>IF(SER_hh_fec!S18=0,0,11630*1000*SER_hh_fec!S18/SER_hh_num!S18)</f>
        <v>6237.6730509156969</v>
      </c>
      <c r="T18" s="132">
        <f>IF(SER_hh_fec!T18=0,0,11630*1000*SER_hh_fec!T18/SER_hh_num!T18)</f>
        <v>6695.6741860969596</v>
      </c>
      <c r="U18" s="132">
        <f>IF(SER_hh_fec!U18=0,0,11630*1000*SER_hh_fec!U18/SER_hh_num!U18)</f>
        <v>6442.0030638432927</v>
      </c>
      <c r="V18" s="132">
        <f>IF(SER_hh_fec!V18=0,0,11630*1000*SER_hh_fec!V18/SER_hh_num!V18)</f>
        <v>6148.9884275982777</v>
      </c>
      <c r="W18" s="132">
        <f>IF(SER_hh_fec!W18=0,0,11630*1000*SER_hh_fec!W18/SER_hh_num!W18)</f>
        <v>5504.3631525382416</v>
      </c>
      <c r="X18" s="132">
        <f>IF(SER_hh_fec!X18=0,0,11630*1000*SER_hh_fec!X18/SER_hh_num!X18)</f>
        <v>5762.6645637734255</v>
      </c>
      <c r="Y18" s="132">
        <f>IF(SER_hh_fec!Y18=0,0,11630*1000*SER_hh_fec!Y18/SER_hh_num!Y18)</f>
        <v>5543.6041932877706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22688.132357593677</v>
      </c>
      <c r="C19" s="130">
        <f>IF(SER_hh_fec!C19=0,0,11630*1000*SER_hh_fec!C19/SER_hh_num!C19)</f>
        <v>22313.140197871191</v>
      </c>
      <c r="D19" s="130">
        <f>IF(SER_hh_fec!D19=0,0,11630*1000*SER_hh_fec!D19/SER_hh_num!D19)</f>
        <v>22225.38126868023</v>
      </c>
      <c r="E19" s="130">
        <f>IF(SER_hh_fec!E19=0,0,11630*1000*SER_hh_fec!E19/SER_hh_num!E19)</f>
        <v>21938.388419251918</v>
      </c>
      <c r="F19" s="130">
        <f>IF(SER_hh_fec!F19=0,0,11630*1000*SER_hh_fec!F19/SER_hh_num!F19)</f>
        <v>21952.88679988265</v>
      </c>
      <c r="G19" s="130">
        <f>IF(SER_hh_fec!G19=0,0,11630*1000*SER_hh_fec!G19/SER_hh_num!G19)</f>
        <v>21519.819773474606</v>
      </c>
      <c r="H19" s="130">
        <f>IF(SER_hh_fec!H19=0,0,11630*1000*SER_hh_fec!H19/SER_hh_num!H19)</f>
        <v>20845.745808677093</v>
      </c>
      <c r="I19" s="130">
        <f>IF(SER_hh_fec!I19=0,0,11630*1000*SER_hh_fec!I19/SER_hh_num!I19)</f>
        <v>20061.563850348339</v>
      </c>
      <c r="J19" s="130">
        <f>IF(SER_hh_fec!J19=0,0,11630*1000*SER_hh_fec!J19/SER_hh_num!J19)</f>
        <v>19590.783813686547</v>
      </c>
      <c r="K19" s="130">
        <f>IF(SER_hh_fec!K19=0,0,11630*1000*SER_hh_fec!K19/SER_hh_num!K19)</f>
        <v>19634.500566956682</v>
      </c>
      <c r="L19" s="130">
        <f>IF(SER_hh_fec!L19=0,0,11630*1000*SER_hh_fec!L19/SER_hh_num!L19)</f>
        <v>19374.928903442877</v>
      </c>
      <c r="M19" s="130">
        <f>IF(SER_hh_fec!M19=0,0,11630*1000*SER_hh_fec!M19/SER_hh_num!M19)</f>
        <v>19056.007962470605</v>
      </c>
      <c r="N19" s="130">
        <f>IF(SER_hh_fec!N19=0,0,11630*1000*SER_hh_fec!N19/SER_hh_num!N19)</f>
        <v>18953.572579812484</v>
      </c>
      <c r="O19" s="130">
        <f>IF(SER_hh_fec!O19=0,0,11630*1000*SER_hh_fec!O19/SER_hh_num!O19)</f>
        <v>18738.443573738568</v>
      </c>
      <c r="P19" s="130">
        <f>IF(SER_hh_fec!P19=0,0,11630*1000*SER_hh_fec!P19/SER_hh_num!P19)</f>
        <v>18594.696326456025</v>
      </c>
      <c r="Q19" s="130">
        <f>IF(SER_hh_fec!Q19=0,0,11630*1000*SER_hh_fec!Q19/SER_hh_num!Q19)</f>
        <v>18508.20986194057</v>
      </c>
      <c r="R19" s="130">
        <f>IF(SER_hh_fec!R19=0,0,11630*1000*SER_hh_fec!R19/SER_hh_num!R19)</f>
        <v>18126.622653256643</v>
      </c>
      <c r="S19" s="130">
        <f>IF(SER_hh_fec!S19=0,0,11630*1000*SER_hh_fec!S19/SER_hh_num!S19)</f>
        <v>17914.799902201117</v>
      </c>
      <c r="T19" s="130">
        <f>IF(SER_hh_fec!T19=0,0,11630*1000*SER_hh_fec!T19/SER_hh_num!T19)</f>
        <v>17636.79157881072</v>
      </c>
      <c r="U19" s="130">
        <f>IF(SER_hh_fec!U19=0,0,11630*1000*SER_hh_fec!U19/SER_hh_num!U19)</f>
        <v>17362.391989872729</v>
      </c>
      <c r="V19" s="130">
        <f>IF(SER_hh_fec!V19=0,0,11630*1000*SER_hh_fec!V19/SER_hh_num!V19)</f>
        <v>16563.92863875816</v>
      </c>
      <c r="W19" s="130">
        <f>IF(SER_hh_fec!W19=0,0,11630*1000*SER_hh_fec!W19/SER_hh_num!W19)</f>
        <v>16836.645841007918</v>
      </c>
      <c r="X19" s="130">
        <f>IF(SER_hh_fec!X19=0,0,11630*1000*SER_hh_fec!X19/SER_hh_num!X19)</f>
        <v>16728.906310491191</v>
      </c>
      <c r="Y19" s="130">
        <f>IF(SER_hh_fec!Y19=0,0,11630*1000*SER_hh_fec!Y19/SER_hh_num!Y19)</f>
        <v>16585.61605335712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27085.098358505362</v>
      </c>
      <c r="C22" s="132">
        <f>IF(SER_hh_fec!C22=0,0,11630*1000*SER_hh_fec!C22/SER_hh_num!C22)</f>
        <v>26609.548744439831</v>
      </c>
      <c r="D22" s="132">
        <f>IF(SER_hh_fec!D22=0,0,11630*1000*SER_hh_fec!D22/SER_hh_num!D22)</f>
        <v>26349.383281143972</v>
      </c>
      <c r="E22" s="132">
        <f>IF(SER_hh_fec!E22=0,0,11630*1000*SER_hh_fec!E22/SER_hh_num!E22)</f>
        <v>26040.833782734895</v>
      </c>
      <c r="F22" s="132">
        <f>IF(SER_hh_fec!F22=0,0,11630*1000*SER_hh_fec!F22/SER_hh_num!F22)</f>
        <v>25955.568270091011</v>
      </c>
      <c r="G22" s="132">
        <f>IF(SER_hh_fec!G22=0,0,11630*1000*SER_hh_fec!G22/SER_hh_num!G22)</f>
        <v>25554.076622065568</v>
      </c>
      <c r="H22" s="132">
        <f>IF(SER_hh_fec!H22=0,0,11630*1000*SER_hh_fec!H22/SER_hh_num!H22)</f>
        <v>24741.802321974217</v>
      </c>
      <c r="I22" s="132">
        <f>IF(SER_hh_fec!I22=0,0,11630*1000*SER_hh_fec!I22/SER_hh_num!I22)</f>
        <v>24035.978674104728</v>
      </c>
      <c r="J22" s="132">
        <f>IF(SER_hh_fec!J22=0,0,11630*1000*SER_hh_fec!J22/SER_hh_num!J22)</f>
        <v>23778.4420935567</v>
      </c>
      <c r="K22" s="132">
        <f>IF(SER_hh_fec!K22=0,0,11630*1000*SER_hh_fec!K22/SER_hh_num!K22)</f>
        <v>23530.368335606756</v>
      </c>
      <c r="L22" s="132">
        <f>IF(SER_hh_fec!L22=0,0,11630*1000*SER_hh_fec!L22/SER_hh_num!L22)</f>
        <v>23013.530123723442</v>
      </c>
      <c r="M22" s="132">
        <f>IF(SER_hh_fec!M22=0,0,11630*1000*SER_hh_fec!M22/SER_hh_num!M22)</f>
        <v>22680.757923658079</v>
      </c>
      <c r="N22" s="132">
        <f>IF(SER_hh_fec!N22=0,0,11630*1000*SER_hh_fec!N22/SER_hh_num!N22)</f>
        <v>22695.545130731847</v>
      </c>
      <c r="O22" s="132">
        <f>IF(SER_hh_fec!O22=0,0,11630*1000*SER_hh_fec!O22/SER_hh_num!O22)</f>
        <v>22160.888710674571</v>
      </c>
      <c r="P22" s="132">
        <f>IF(SER_hh_fec!P22=0,0,11630*1000*SER_hh_fec!P22/SER_hh_num!P22)</f>
        <v>21608.522781029082</v>
      </c>
      <c r="Q22" s="132">
        <f>IF(SER_hh_fec!Q22=0,0,11630*1000*SER_hh_fec!Q22/SER_hh_num!Q22)</f>
        <v>22115.368815474045</v>
      </c>
      <c r="R22" s="132">
        <f>IF(SER_hh_fec!R22=0,0,11630*1000*SER_hh_fec!R22/SER_hh_num!R22)</f>
        <v>21466.673242231984</v>
      </c>
      <c r="S22" s="132">
        <f>IF(SER_hh_fec!S22=0,0,11630*1000*SER_hh_fec!S22/SER_hh_num!S22)</f>
        <v>20821.704426701166</v>
      </c>
      <c r="T22" s="132">
        <f>IF(SER_hh_fec!T22=0,0,11630*1000*SER_hh_fec!T22/SER_hh_num!T22)</f>
        <v>20577.040441637033</v>
      </c>
      <c r="U22" s="132">
        <f>IF(SER_hh_fec!U22=0,0,11630*1000*SER_hh_fec!U22/SER_hh_num!U22)</f>
        <v>20151.771759709471</v>
      </c>
      <c r="V22" s="132">
        <f>IF(SER_hh_fec!V22=0,0,11630*1000*SER_hh_fec!V22/SER_hh_num!V22)</f>
        <v>19112.080314426028</v>
      </c>
      <c r="W22" s="132">
        <f>IF(SER_hh_fec!W22=0,0,11630*1000*SER_hh_fec!W22/SER_hh_num!W22)</f>
        <v>19966.361324542904</v>
      </c>
      <c r="X22" s="132">
        <f>IF(SER_hh_fec!X22=0,0,11630*1000*SER_hh_fec!X22/SER_hh_num!X22)</f>
        <v>18885.234204315719</v>
      </c>
      <c r="Y22" s="132">
        <f>IF(SER_hh_fec!Y22=0,0,11630*1000*SER_hh_fec!Y22/SER_hh_num!Y22)</f>
        <v>19271.154826917762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26010.72934221385</v>
      </c>
      <c r="C23" s="132">
        <f>IF(SER_hh_fec!C23=0,0,11630*1000*SER_hh_fec!C23/SER_hh_num!C23)</f>
        <v>25531.340215424516</v>
      </c>
      <c r="D23" s="132">
        <f>IF(SER_hh_fec!D23=0,0,11630*1000*SER_hh_fec!D23/SER_hh_num!D23)</f>
        <v>26304.958036878055</v>
      </c>
      <c r="E23" s="132">
        <f>IF(SER_hh_fec!E23=0,0,11630*1000*SER_hh_fec!E23/SER_hh_num!E23)</f>
        <v>25014.090191869909</v>
      </c>
      <c r="F23" s="132">
        <f>IF(SER_hh_fec!F23=0,0,11630*1000*SER_hh_fec!F23/SER_hh_num!F23)</f>
        <v>24557.416537840243</v>
      </c>
      <c r="G23" s="132">
        <f>IF(SER_hh_fec!G23=0,0,11630*1000*SER_hh_fec!G23/SER_hh_num!G23)</f>
        <v>24100.750653888001</v>
      </c>
      <c r="H23" s="132">
        <f>IF(SER_hh_fec!H23=0,0,11630*1000*SER_hh_fec!H23/SER_hh_num!H23)</f>
        <v>23532.979663717731</v>
      </c>
      <c r="I23" s="132">
        <f>IF(SER_hh_fec!I23=0,0,11630*1000*SER_hh_fec!I23/SER_hh_num!I23)</f>
        <v>22493.999379641056</v>
      </c>
      <c r="J23" s="132">
        <f>IF(SER_hh_fec!J23=0,0,11630*1000*SER_hh_fec!J23/SER_hh_num!J23)</f>
        <v>21804.530855623463</v>
      </c>
      <c r="K23" s="132">
        <f>IF(SER_hh_fec!K23=0,0,11630*1000*SER_hh_fec!K23/SER_hh_num!K23)</f>
        <v>21605.025980373153</v>
      </c>
      <c r="L23" s="132">
        <f>IF(SER_hh_fec!L23=0,0,11630*1000*SER_hh_fec!L23/SER_hh_num!L23)</f>
        <v>21073.669215560905</v>
      </c>
      <c r="M23" s="132">
        <f>IF(SER_hh_fec!M23=0,0,11630*1000*SER_hh_fec!M23/SER_hh_num!M23)</f>
        <v>20263.828076825648</v>
      </c>
      <c r="N23" s="132">
        <f>IF(SER_hh_fec!N23=0,0,11630*1000*SER_hh_fec!N23/SER_hh_num!N23)</f>
        <v>21059.533599168735</v>
      </c>
      <c r="O23" s="132">
        <f>IF(SER_hh_fec!O23=0,0,11630*1000*SER_hh_fec!O23/SER_hh_num!O23)</f>
        <v>20845.027023954179</v>
      </c>
      <c r="P23" s="132">
        <f>IF(SER_hh_fec!P23=0,0,11630*1000*SER_hh_fec!P23/SER_hh_num!P23)</f>
        <v>19527.061110261886</v>
      </c>
      <c r="Q23" s="132">
        <f>IF(SER_hh_fec!Q23=0,0,11630*1000*SER_hh_fec!Q23/SER_hh_num!Q23)</f>
        <v>19169.123224630792</v>
      </c>
      <c r="R23" s="132">
        <f>IF(SER_hh_fec!R23=0,0,11630*1000*SER_hh_fec!R23/SER_hh_num!R23)</f>
        <v>19068.985931217278</v>
      </c>
      <c r="S23" s="132">
        <f>IF(SER_hh_fec!S23=0,0,11630*1000*SER_hh_fec!S23/SER_hh_num!S23)</f>
        <v>19535.105478486872</v>
      </c>
      <c r="T23" s="132">
        <f>IF(SER_hh_fec!T23=0,0,11630*1000*SER_hh_fec!T23/SER_hh_num!T23)</f>
        <v>19177.410808950775</v>
      </c>
      <c r="U23" s="132">
        <f>IF(SER_hh_fec!U23=0,0,11630*1000*SER_hh_fec!U23/SER_hh_num!U23)</f>
        <v>19070.080878783479</v>
      </c>
      <c r="V23" s="132">
        <f>IF(SER_hh_fec!V23=0,0,11630*1000*SER_hh_fec!V23/SER_hh_num!V23)</f>
        <v>16857.389593125357</v>
      </c>
      <c r="W23" s="132">
        <f>IF(SER_hh_fec!W23=0,0,11630*1000*SER_hh_fec!W23/SER_hh_num!W23)</f>
        <v>17562.851992407261</v>
      </c>
      <c r="X23" s="132">
        <f>IF(SER_hh_fec!X23=0,0,11630*1000*SER_hh_fec!X23/SER_hh_num!X23)</f>
        <v>17883.636415498087</v>
      </c>
      <c r="Y23" s="132">
        <f>IF(SER_hh_fec!Y23=0,0,11630*1000*SER_hh_fec!Y23/SER_hh_num!Y23)</f>
        <v>17861.111826878881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17742.382849272639</v>
      </c>
      <c r="C25" s="132">
        <f>IF(SER_hh_fec!C25=0,0,11630*1000*SER_hh_fec!C25/SER_hh_num!C25)</f>
        <v>17435.704520888736</v>
      </c>
      <c r="D25" s="132">
        <f>IF(SER_hh_fec!D25=0,0,11630*1000*SER_hh_fec!D25/SER_hh_num!D25)</f>
        <v>17504.003272137423</v>
      </c>
      <c r="E25" s="132">
        <f>IF(SER_hh_fec!E25=0,0,11630*1000*SER_hh_fec!E25/SER_hh_num!E25)</f>
        <v>17192.670241961529</v>
      </c>
      <c r="F25" s="132">
        <f>IF(SER_hh_fec!F25=0,0,11630*1000*SER_hh_fec!F25/SER_hh_num!F25)</f>
        <v>16923.531321552651</v>
      </c>
      <c r="G25" s="132">
        <f>IF(SER_hh_fec!G25=0,0,11630*1000*SER_hh_fec!G25/SER_hh_num!G25)</f>
        <v>16735.235720880901</v>
      </c>
      <c r="H25" s="132">
        <f>IF(SER_hh_fec!H25=0,0,11630*1000*SER_hh_fec!H25/SER_hh_num!H25)</f>
        <v>16337.497337127295</v>
      </c>
      <c r="I25" s="132">
        <f>IF(SER_hh_fec!I25=0,0,11630*1000*SER_hh_fec!I25/SER_hh_num!I25)</f>
        <v>15944.634201649829</v>
      </c>
      <c r="J25" s="132">
        <f>IF(SER_hh_fec!J25=0,0,11630*1000*SER_hh_fec!J25/SER_hh_num!J25)</f>
        <v>15562.880697431297</v>
      </c>
      <c r="K25" s="132">
        <f>IF(SER_hh_fec!K25=0,0,11630*1000*SER_hh_fec!K25/SER_hh_num!K25)</f>
        <v>15680.663611494949</v>
      </c>
      <c r="L25" s="132">
        <f>IF(SER_hh_fec!L25=0,0,11630*1000*SER_hh_fec!L25/SER_hh_num!L25)</f>
        <v>15533.929720683651</v>
      </c>
      <c r="M25" s="132">
        <f>IF(SER_hh_fec!M25=0,0,11630*1000*SER_hh_fec!M25/SER_hh_num!M25)</f>
        <v>15488.914281160531</v>
      </c>
      <c r="N25" s="132">
        <f>IF(SER_hh_fec!N25=0,0,11630*1000*SER_hh_fec!N25/SER_hh_num!N25)</f>
        <v>15585.658717014223</v>
      </c>
      <c r="O25" s="132">
        <f>IF(SER_hh_fec!O25=0,0,11630*1000*SER_hh_fec!O25/SER_hh_num!O25)</f>
        <v>15289.626230960692</v>
      </c>
      <c r="P25" s="132">
        <f>IF(SER_hh_fec!P25=0,0,11630*1000*SER_hh_fec!P25/SER_hh_num!P25)</f>
        <v>14812.931864851766</v>
      </c>
      <c r="Q25" s="132">
        <f>IF(SER_hh_fec!Q25=0,0,11630*1000*SER_hh_fec!Q25/SER_hh_num!Q25)</f>
        <v>15002.134163646817</v>
      </c>
      <c r="R25" s="132">
        <f>IF(SER_hh_fec!R25=0,0,11630*1000*SER_hh_fec!R25/SER_hh_num!R25)</f>
        <v>15051.580714706535</v>
      </c>
      <c r="S25" s="132">
        <f>IF(SER_hh_fec!S25=0,0,11630*1000*SER_hh_fec!S25/SER_hh_num!S25)</f>
        <v>15034.600600457097</v>
      </c>
      <c r="T25" s="132">
        <f>IF(SER_hh_fec!T25=0,0,11630*1000*SER_hh_fec!T25/SER_hh_num!T25)</f>
        <v>15147.824338540953</v>
      </c>
      <c r="U25" s="132">
        <f>IF(SER_hh_fec!U25=0,0,11630*1000*SER_hh_fec!U25/SER_hh_num!U25)</f>
        <v>14897.975969527857</v>
      </c>
      <c r="V25" s="132">
        <f>IF(SER_hh_fec!V25=0,0,11630*1000*SER_hh_fec!V25/SER_hh_num!V25)</f>
        <v>14708.745383818257</v>
      </c>
      <c r="W25" s="132">
        <f>IF(SER_hh_fec!W25=0,0,11630*1000*SER_hh_fec!W25/SER_hh_num!W25)</f>
        <v>14730.671755631751</v>
      </c>
      <c r="X25" s="132">
        <f>IF(SER_hh_fec!X25=0,0,11630*1000*SER_hh_fec!X25/SER_hh_num!X25)</f>
        <v>15056.861503367689</v>
      </c>
      <c r="Y25" s="132">
        <f>IF(SER_hh_fec!Y25=0,0,11630*1000*SER_hh_fec!Y25/SER_hh_num!Y25)</f>
        <v>15171.45853032406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21285.553408077736</v>
      </c>
      <c r="C26" s="65">
        <f>IF(SER_hh_fec!C26=0,0,11630*1000*SER_hh_fec!C26/SER_hh_num!C26)</f>
        <v>20893.275263189789</v>
      </c>
      <c r="D26" s="65">
        <f>IF(SER_hh_fec!D26=0,0,11630*1000*SER_hh_fec!D26/SER_hh_num!D26)</f>
        <v>20252.832459481775</v>
      </c>
      <c r="E26" s="65">
        <f>IF(SER_hh_fec!E26=0,0,11630*1000*SER_hh_fec!E26/SER_hh_num!E26)</f>
        <v>20462.599553063035</v>
      </c>
      <c r="F26" s="65">
        <f>IF(SER_hh_fec!F26=0,0,11630*1000*SER_hh_fec!F26/SER_hh_num!F26)</f>
        <v>20714.587912891449</v>
      </c>
      <c r="G26" s="65">
        <f>IF(SER_hh_fec!G26=0,0,11630*1000*SER_hh_fec!G26/SER_hh_num!G26)</f>
        <v>20237.122306293662</v>
      </c>
      <c r="H26" s="65">
        <f>IF(SER_hh_fec!H26=0,0,11630*1000*SER_hh_fec!H26/SER_hh_num!H26)</f>
        <v>19461.210107293566</v>
      </c>
      <c r="I26" s="65">
        <f>IF(SER_hh_fec!I26=0,0,11630*1000*SER_hh_fec!I26/SER_hh_num!I26)</f>
        <v>18768.655236853978</v>
      </c>
      <c r="J26" s="65">
        <f>IF(SER_hh_fec!J26=0,0,11630*1000*SER_hh_fec!J26/SER_hh_num!J26)</f>
        <v>18374.88245836151</v>
      </c>
      <c r="K26" s="65">
        <f>IF(SER_hh_fec!K26=0,0,11630*1000*SER_hh_fec!K26/SER_hh_num!K26)</f>
        <v>18504.31953628171</v>
      </c>
      <c r="L26" s="65">
        <f>IF(SER_hh_fec!L26=0,0,11630*1000*SER_hh_fec!L26/SER_hh_num!L26)</f>
        <v>18360.062695174463</v>
      </c>
      <c r="M26" s="65">
        <f>IF(SER_hh_fec!M26=0,0,11630*1000*SER_hh_fec!M26/SER_hh_num!M26)</f>
        <v>18261.122430801515</v>
      </c>
      <c r="N26" s="65">
        <f>IF(SER_hh_fec!N26=0,0,11630*1000*SER_hh_fec!N26/SER_hh_num!N26)</f>
        <v>17465.804628156551</v>
      </c>
      <c r="O26" s="65">
        <f>IF(SER_hh_fec!O26=0,0,11630*1000*SER_hh_fec!O26/SER_hh_num!O26)</f>
        <v>17227.083597005869</v>
      </c>
      <c r="P26" s="65">
        <f>IF(SER_hh_fec!P26=0,0,11630*1000*SER_hh_fec!P26/SER_hh_num!P26)</f>
        <v>17933.345756044549</v>
      </c>
      <c r="Q26" s="65">
        <f>IF(SER_hh_fec!Q26=0,0,11630*1000*SER_hh_fec!Q26/SER_hh_num!Q26)</f>
        <v>17950.203453896906</v>
      </c>
      <c r="R26" s="65">
        <f>IF(SER_hh_fec!R26=0,0,11630*1000*SER_hh_fec!R26/SER_hh_num!R26)</f>
        <v>17347.124339288439</v>
      </c>
      <c r="S26" s="65">
        <f>IF(SER_hh_fec!S26=0,0,11630*1000*SER_hh_fec!S26/SER_hh_num!S26)</f>
        <v>16680.300037341694</v>
      </c>
      <c r="T26" s="65">
        <f>IF(SER_hh_fec!T26=0,0,11630*1000*SER_hh_fec!T26/SER_hh_num!T26)</f>
        <v>16431.893793292835</v>
      </c>
      <c r="U26" s="65">
        <f>IF(SER_hh_fec!U26=0,0,11630*1000*SER_hh_fec!U26/SER_hh_num!U26)</f>
        <v>16138.734030263025</v>
      </c>
      <c r="V26" s="65">
        <f>IF(SER_hh_fec!V26=0,0,11630*1000*SER_hh_fec!V26/SER_hh_num!V26)</f>
        <v>16162.147775529367</v>
      </c>
      <c r="W26" s="65">
        <f>IF(SER_hh_fec!W26=0,0,11630*1000*SER_hh_fec!W26/SER_hh_num!W26)</f>
        <v>16220.819851681112</v>
      </c>
      <c r="X26" s="65">
        <f>IF(SER_hh_fec!X26=0,0,11630*1000*SER_hh_fec!X26/SER_hh_num!X26)</f>
        <v>15953.494769241595</v>
      </c>
      <c r="Y26" s="65">
        <f>IF(SER_hh_fec!Y26=0,0,11630*1000*SER_hh_fec!Y26/SER_hh_num!Y26)</f>
        <v>15683.247324224611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65.02113278848033</v>
      </c>
      <c r="C27" s="145">
        <f>IF(SER_hh_fec!C27=0,0,11630*1000*SER_hh_fec!C27/SER_hh_num!C19)</f>
        <v>71.769171499698245</v>
      </c>
      <c r="D27" s="145">
        <f>IF(SER_hh_fec!D27=0,0,11630*1000*SER_hh_fec!D27/SER_hh_num!D19)</f>
        <v>80.234484026441507</v>
      </c>
      <c r="E27" s="145">
        <f>IF(SER_hh_fec!E27=0,0,11630*1000*SER_hh_fec!E27/SER_hh_num!E19)</f>
        <v>86.894942209446441</v>
      </c>
      <c r="F27" s="145">
        <f>IF(SER_hh_fec!F27=0,0,11630*1000*SER_hh_fec!F27/SER_hh_num!F19)</f>
        <v>94.236384030753925</v>
      </c>
      <c r="G27" s="145">
        <f>IF(SER_hh_fec!G27=0,0,11630*1000*SER_hh_fec!G27/SER_hh_num!G19)</f>
        <v>99.018306792246392</v>
      </c>
      <c r="H27" s="145">
        <f>IF(SER_hh_fec!H27=0,0,11630*1000*SER_hh_fec!H27/SER_hh_num!H19)</f>
        <v>101.24998047298573</v>
      </c>
      <c r="I27" s="145">
        <f>IF(SER_hh_fec!I27=0,0,11630*1000*SER_hh_fec!I27/SER_hh_num!I19)</f>
        <v>104.01682694116755</v>
      </c>
      <c r="J27" s="145">
        <f>IF(SER_hh_fec!J27=0,0,11630*1000*SER_hh_fec!J27/SER_hh_num!J19)</f>
        <v>107.95209630115406</v>
      </c>
      <c r="K27" s="145">
        <f>IF(SER_hh_fec!K27=0,0,11630*1000*SER_hh_fec!K27/SER_hh_num!K19)</f>
        <v>118.64459621500912</v>
      </c>
      <c r="L27" s="145">
        <f>IF(SER_hh_fec!L27=0,0,11630*1000*SER_hh_fec!L27/SER_hh_num!L19)</f>
        <v>126.32770658005869</v>
      </c>
      <c r="M27" s="145">
        <f>IF(SER_hh_fec!M27=0,0,11630*1000*SER_hh_fec!M27/SER_hh_num!M19)</f>
        <v>130.34692469272946</v>
      </c>
      <c r="N27" s="145">
        <f>IF(SER_hh_fec!N27=0,0,11630*1000*SER_hh_fec!N27/SER_hh_num!N19)</f>
        <v>133.69576932054332</v>
      </c>
      <c r="O27" s="145">
        <f>IF(SER_hh_fec!O27=0,0,11630*1000*SER_hh_fec!O27/SER_hh_num!O19)</f>
        <v>138.42555067675784</v>
      </c>
      <c r="P27" s="145">
        <f>IF(SER_hh_fec!P27=0,0,11630*1000*SER_hh_fec!P27/SER_hh_num!P19)</f>
        <v>141.52066861784851</v>
      </c>
      <c r="Q27" s="145">
        <f>IF(SER_hh_fec!Q27=0,0,11630*1000*SER_hh_fec!Q27/SER_hh_num!Q19)</f>
        <v>140.0775680169308</v>
      </c>
      <c r="R27" s="145">
        <f>IF(SER_hh_fec!R27=0,0,11630*1000*SER_hh_fec!R27/SER_hh_num!R19)</f>
        <v>140.69715892059207</v>
      </c>
      <c r="S27" s="145">
        <f>IF(SER_hh_fec!S27=0,0,11630*1000*SER_hh_fec!S27/SER_hh_num!S19)</f>
        <v>139.15941988472491</v>
      </c>
      <c r="T27" s="145">
        <f>IF(SER_hh_fec!T27=0,0,11630*1000*SER_hh_fec!T27/SER_hh_num!T19)</f>
        <v>140.11897627983441</v>
      </c>
      <c r="U27" s="145">
        <f>IF(SER_hh_fec!U27=0,0,11630*1000*SER_hh_fec!U27/SER_hh_num!U19)</f>
        <v>142.31479188377642</v>
      </c>
      <c r="V27" s="145">
        <f>IF(SER_hh_fec!V27=0,0,11630*1000*SER_hh_fec!V27/SER_hh_num!V19)</f>
        <v>140.9083819433817</v>
      </c>
      <c r="W27" s="145">
        <f>IF(SER_hh_fec!W27=0,0,11630*1000*SER_hh_fec!W27/SER_hh_num!W19)</f>
        <v>138.92248095041811</v>
      </c>
      <c r="X27" s="145">
        <f>IF(SER_hh_fec!X27=0,0,11630*1000*SER_hh_fec!X27/SER_hh_num!X19)</f>
        <v>138.75793061241114</v>
      </c>
      <c r="Y27" s="145">
        <f>IF(SER_hh_fec!Y27=0,0,11630*1000*SER_hh_fec!Y27/SER_hh_num!Y19)</f>
        <v>138.6154279867155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7276.222008673908</v>
      </c>
      <c r="C28" s="146">
        <f>IF(SER_hh_fec!C27=0,0,11630*1000*SER_hh_fec!C27/SER_hh_num!C27)</f>
        <v>8018.5400131506376</v>
      </c>
      <c r="D28" s="146">
        <f>IF(SER_hh_fec!D27=0,0,11630*1000*SER_hh_fec!D27/SER_hh_num!D27)</f>
        <v>7640.7391713693323</v>
      </c>
      <c r="E28" s="146">
        <f>IF(SER_hh_fec!E27=0,0,11630*1000*SER_hh_fec!E27/SER_hh_num!E27)</f>
        <v>7821.6797431667856</v>
      </c>
      <c r="F28" s="146">
        <f>IF(SER_hh_fec!F27=0,0,11630*1000*SER_hh_fec!F27/SER_hh_num!F27)</f>
        <v>7906.1096804698354</v>
      </c>
      <c r="G28" s="146">
        <f>IF(SER_hh_fec!G27=0,0,11630*1000*SER_hh_fec!G27/SER_hh_num!G27)</f>
        <v>7738.7009887864251</v>
      </c>
      <c r="H28" s="146">
        <f>IF(SER_hh_fec!H27=0,0,11630*1000*SER_hh_fec!H27/SER_hh_num!H27)</f>
        <v>7722.1760302794073</v>
      </c>
      <c r="I28" s="146">
        <f>IF(SER_hh_fec!I27=0,0,11630*1000*SER_hh_fec!I27/SER_hh_num!I27)</f>
        <v>7009.5750151671518</v>
      </c>
      <c r="J28" s="146">
        <f>IF(SER_hh_fec!J27=0,0,11630*1000*SER_hh_fec!J27/SER_hh_num!J27)</f>
        <v>7660.5600865500601</v>
      </c>
      <c r="K28" s="146">
        <f>IF(SER_hh_fec!K27=0,0,11630*1000*SER_hh_fec!K27/SER_hh_num!K27)</f>
        <v>7527.1857234915778</v>
      </c>
      <c r="L28" s="146">
        <f>IF(SER_hh_fec!L27=0,0,11630*1000*SER_hh_fec!L27/SER_hh_num!L27)</f>
        <v>8686.6526132770432</v>
      </c>
      <c r="M28" s="146">
        <f>IF(SER_hh_fec!M27=0,0,11630*1000*SER_hh_fec!M27/SER_hh_num!M27)</f>
        <v>8007.8529918680424</v>
      </c>
      <c r="N28" s="146">
        <f>IF(SER_hh_fec!N27=0,0,11630*1000*SER_hh_fec!N27/SER_hh_num!N27)</f>
        <v>8429.8194790715697</v>
      </c>
      <c r="O28" s="146">
        <f>IF(SER_hh_fec!O27=0,0,11630*1000*SER_hh_fec!O27/SER_hh_num!O27)</f>
        <v>8297.8374864027883</v>
      </c>
      <c r="P28" s="146">
        <f>IF(SER_hh_fec!P27=0,0,11630*1000*SER_hh_fec!P27/SER_hh_num!P27)</f>
        <v>7943.1939652909605</v>
      </c>
      <c r="Q28" s="146">
        <f>IF(SER_hh_fec!Q27=0,0,11630*1000*SER_hh_fec!Q27/SER_hh_num!Q27)</f>
        <v>8023.9873224259081</v>
      </c>
      <c r="R28" s="146">
        <f>IF(SER_hh_fec!R27=0,0,11630*1000*SER_hh_fec!R27/SER_hh_num!R27)</f>
        <v>7666.7741356346723</v>
      </c>
      <c r="S28" s="146">
        <f>IF(SER_hh_fec!S27=0,0,11630*1000*SER_hh_fec!S27/SER_hh_num!S27)</f>
        <v>7597.181738227282</v>
      </c>
      <c r="T28" s="146">
        <f>IF(SER_hh_fec!T27=0,0,11630*1000*SER_hh_fec!T27/SER_hh_num!T27)</f>
        <v>7862.7875535467447</v>
      </c>
      <c r="U28" s="146">
        <f>IF(SER_hh_fec!U27=0,0,11630*1000*SER_hh_fec!U27/SER_hh_num!U27)</f>
        <v>8071.1631132874263</v>
      </c>
      <c r="V28" s="146">
        <f>IF(SER_hh_fec!V27=0,0,11630*1000*SER_hh_fec!V27/SER_hh_num!V27)</f>
        <v>8059.3266041335964</v>
      </c>
      <c r="W28" s="146">
        <f>IF(SER_hh_fec!W27=0,0,11630*1000*SER_hh_fec!W27/SER_hh_num!W27)</f>
        <v>9198.6131958926653</v>
      </c>
      <c r="X28" s="146">
        <f>IF(SER_hh_fec!X27=0,0,11630*1000*SER_hh_fec!X27/SER_hh_num!X27)</f>
        <v>8865.3433718464839</v>
      </c>
      <c r="Y28" s="146">
        <f>IF(SER_hh_fec!Y27=0,0,11630*1000*SER_hh_fec!Y27/SER_hh_num!Y27)</f>
        <v>8811.8595163812188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18821.643138654148</v>
      </c>
      <c r="C29" s="130">
        <f>IF(SER_hh_fec!C29=0,0,11630*1000*SER_hh_fec!C29/SER_hh_num!C29)</f>
        <v>18689.770564452778</v>
      </c>
      <c r="D29" s="130">
        <f>IF(SER_hh_fec!D29=0,0,11630*1000*SER_hh_fec!D29/SER_hh_num!D29)</f>
        <v>18717.365169525605</v>
      </c>
      <c r="E29" s="130">
        <f>IF(SER_hh_fec!E29=0,0,11630*1000*SER_hh_fec!E29/SER_hh_num!E29)</f>
        <v>18829.292132443439</v>
      </c>
      <c r="F29" s="130">
        <f>IF(SER_hh_fec!F29=0,0,11630*1000*SER_hh_fec!F29/SER_hh_num!F29)</f>
        <v>19076.737229193062</v>
      </c>
      <c r="G29" s="130">
        <f>IF(SER_hh_fec!G29=0,0,11630*1000*SER_hh_fec!G29/SER_hh_num!G29)</f>
        <v>19058.711283524852</v>
      </c>
      <c r="H29" s="130">
        <f>IF(SER_hh_fec!H29=0,0,11630*1000*SER_hh_fec!H29/SER_hh_num!H29)</f>
        <v>18808.551437140977</v>
      </c>
      <c r="I29" s="130">
        <f>IF(SER_hh_fec!I29=0,0,11630*1000*SER_hh_fec!I29/SER_hh_num!I29)</f>
        <v>18485.023949505594</v>
      </c>
      <c r="J29" s="130">
        <f>IF(SER_hh_fec!J29=0,0,11630*1000*SER_hh_fec!J29/SER_hh_num!J29)</f>
        <v>18410.455417197707</v>
      </c>
      <c r="K29" s="130">
        <f>IF(SER_hh_fec!K29=0,0,11630*1000*SER_hh_fec!K29/SER_hh_num!K29)</f>
        <v>18636.74390808701</v>
      </c>
      <c r="L29" s="130">
        <f>IF(SER_hh_fec!L29=0,0,11630*1000*SER_hh_fec!L29/SER_hh_num!L29)</f>
        <v>18566.70442881497</v>
      </c>
      <c r="M29" s="130">
        <f>IF(SER_hh_fec!M29=0,0,11630*1000*SER_hh_fec!M29/SER_hh_num!M29)</f>
        <v>18309.252383796011</v>
      </c>
      <c r="N29" s="130">
        <f>IF(SER_hh_fec!N29=0,0,11630*1000*SER_hh_fec!N29/SER_hh_num!N29)</f>
        <v>18266.420105128738</v>
      </c>
      <c r="O29" s="130">
        <f>IF(SER_hh_fec!O29=0,0,11630*1000*SER_hh_fec!O29/SER_hh_num!O29)</f>
        <v>18314.402068269097</v>
      </c>
      <c r="P29" s="130">
        <f>IF(SER_hh_fec!P29=0,0,11630*1000*SER_hh_fec!P29/SER_hh_num!P29)</f>
        <v>18337.970429664412</v>
      </c>
      <c r="Q29" s="130">
        <f>IF(SER_hh_fec!Q29=0,0,11630*1000*SER_hh_fec!Q29/SER_hh_num!Q29)</f>
        <v>18219.06598431119</v>
      </c>
      <c r="R29" s="130">
        <f>IF(SER_hh_fec!R29=0,0,11630*1000*SER_hh_fec!R29/SER_hh_num!R29)</f>
        <v>17942.73875984153</v>
      </c>
      <c r="S29" s="130">
        <f>IF(SER_hh_fec!S29=0,0,11630*1000*SER_hh_fec!S29/SER_hh_num!S29)</f>
        <v>17588.624938232533</v>
      </c>
      <c r="T29" s="130">
        <f>IF(SER_hh_fec!T29=0,0,11630*1000*SER_hh_fec!T29/SER_hh_num!T29)</f>
        <v>16705.699236864737</v>
      </c>
      <c r="U29" s="130">
        <f>IF(SER_hh_fec!U29=0,0,11630*1000*SER_hh_fec!U29/SER_hh_num!U29)</f>
        <v>15840.407532426092</v>
      </c>
      <c r="V29" s="130">
        <f>IF(SER_hh_fec!V29=0,0,11630*1000*SER_hh_fec!V29/SER_hh_num!V29)</f>
        <v>16062.08845902551</v>
      </c>
      <c r="W29" s="130">
        <f>IF(SER_hh_fec!W29=0,0,11630*1000*SER_hh_fec!W29/SER_hh_num!W29)</f>
        <v>16813.66494419509</v>
      </c>
      <c r="X29" s="130">
        <f>IF(SER_hh_fec!X29=0,0,11630*1000*SER_hh_fec!X29/SER_hh_num!X29)</f>
        <v>17045.713985250579</v>
      </c>
      <c r="Y29" s="130">
        <f>IF(SER_hh_fec!Y29=0,0,11630*1000*SER_hh_fec!Y29/SER_hh_num!Y29)</f>
        <v>17108.200337292012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21220.430617611102</v>
      </c>
      <c r="C30" s="132">
        <f>IF(SER_hh_fec!C30=0,0,11630*1000*SER_hh_fec!C30/SER_hh_num!C30)</f>
        <v>22211.854333717471</v>
      </c>
      <c r="D30" s="132">
        <f>IF(SER_hh_fec!D30=0,0,11630*1000*SER_hh_fec!D30/SER_hh_num!D30)</f>
        <v>23639.346915132573</v>
      </c>
      <c r="E30" s="132">
        <f>IF(SER_hh_fec!E30=0,0,11630*1000*SER_hh_fec!E30/SER_hh_num!E30)</f>
        <v>21297.938118569709</v>
      </c>
      <c r="F30" s="132">
        <f>IF(SER_hh_fec!F30=0,0,11630*1000*SER_hh_fec!F30/SER_hh_num!F30)</f>
        <v>22578.276668717146</v>
      </c>
      <c r="G30" s="132">
        <f>IF(SER_hh_fec!G30=0,0,11630*1000*SER_hh_fec!G30/SER_hh_num!G30)</f>
        <v>22199.095088325816</v>
      </c>
      <c r="H30" s="132">
        <f>IF(SER_hh_fec!H30=0,0,11630*1000*SER_hh_fec!H30/SER_hh_num!H30)</f>
        <v>28686.187413876665</v>
      </c>
      <c r="I30" s="132">
        <f>IF(SER_hh_fec!I30=0,0,11630*1000*SER_hh_fec!I30/SER_hh_num!I30)</f>
        <v>17739.706863261832</v>
      </c>
      <c r="J30" s="132">
        <f>IF(SER_hh_fec!J30=0,0,11630*1000*SER_hh_fec!J30/SER_hh_num!J30)</f>
        <v>15811.062204454483</v>
      </c>
      <c r="K30" s="132">
        <f>IF(SER_hh_fec!K30=0,0,11630*1000*SER_hh_fec!K30/SER_hh_num!K30)</f>
        <v>24315.284457385529</v>
      </c>
      <c r="L30" s="132">
        <f>IF(SER_hh_fec!L30=0,0,11630*1000*SER_hh_fec!L30/SER_hh_num!L30)</f>
        <v>27559.519072356285</v>
      </c>
      <c r="M30" s="132">
        <f>IF(SER_hh_fec!M30=0,0,11630*1000*SER_hh_fec!M30/SER_hh_num!M30)</f>
        <v>16933.753220297043</v>
      </c>
      <c r="N30" s="132">
        <f>IF(SER_hh_fec!N30=0,0,11630*1000*SER_hh_fec!N30/SER_hh_num!N30)</f>
        <v>24813.799804006678</v>
      </c>
      <c r="O30" s="132">
        <f>IF(SER_hh_fec!O30=0,0,11630*1000*SER_hh_fec!O30/SER_hh_num!O30)</f>
        <v>26458.649964036871</v>
      </c>
      <c r="P30" s="132">
        <f>IF(SER_hh_fec!P30=0,0,11630*1000*SER_hh_fec!P30/SER_hh_num!P30)</f>
        <v>4007.4327937942257</v>
      </c>
      <c r="Q30" s="132">
        <f>IF(SER_hh_fec!Q30=0,0,11630*1000*SER_hh_fec!Q30/SER_hh_num!Q30)</f>
        <v>27003.690645353316</v>
      </c>
      <c r="R30" s="132">
        <f>IF(SER_hh_fec!R30=0,0,11630*1000*SER_hh_fec!R30/SER_hh_num!R30)</f>
        <v>24139.108662541679</v>
      </c>
      <c r="S30" s="132">
        <f>IF(SER_hh_fec!S30=0,0,11630*1000*SER_hh_fec!S30/SER_hh_num!S30)</f>
        <v>21249.520523301959</v>
      </c>
      <c r="T30" s="132">
        <f>IF(SER_hh_fec!T30=0,0,11630*1000*SER_hh_fec!T30/SER_hh_num!T30)</f>
        <v>20743.74340750157</v>
      </c>
      <c r="U30" s="132">
        <f>IF(SER_hh_fec!U30=0,0,11630*1000*SER_hh_fec!U30/SER_hh_num!U30)</f>
        <v>20060.843473779641</v>
      </c>
      <c r="V30" s="132">
        <f>IF(SER_hh_fec!V30=0,0,11630*1000*SER_hh_fec!V30/SER_hh_num!V30)</f>
        <v>19888.472377784827</v>
      </c>
      <c r="W30" s="132">
        <f>IF(SER_hh_fec!W30=0,0,11630*1000*SER_hh_fec!W30/SER_hh_num!W30)</f>
        <v>23517.939827860348</v>
      </c>
      <c r="X30" s="132">
        <f>IF(SER_hh_fec!X30=0,0,11630*1000*SER_hh_fec!X30/SER_hh_num!X30)</f>
        <v>20872.614158633431</v>
      </c>
      <c r="Y30" s="132">
        <f>IF(SER_hh_fec!Y30=0,0,11630*1000*SER_hh_fec!Y30/SER_hh_num!Y30)</f>
        <v>21748.351631085199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21946.233768198945</v>
      </c>
      <c r="C31" s="132">
        <f>IF(SER_hh_fec!C31=0,0,11630*1000*SER_hh_fec!C31/SER_hh_num!C31)</f>
        <v>22041.482511273756</v>
      </c>
      <c r="D31" s="132">
        <f>IF(SER_hh_fec!D31=0,0,11630*1000*SER_hh_fec!D31/SER_hh_num!D31)</f>
        <v>21764.938905982555</v>
      </c>
      <c r="E31" s="132">
        <f>IF(SER_hh_fec!E31=0,0,11630*1000*SER_hh_fec!E31/SER_hh_num!E31)</f>
        <v>22391.44854508762</v>
      </c>
      <c r="F31" s="132">
        <f>IF(SER_hh_fec!F31=0,0,11630*1000*SER_hh_fec!F31/SER_hh_num!F31)</f>
        <v>22278.332726048622</v>
      </c>
      <c r="G31" s="132">
        <f>IF(SER_hh_fec!G31=0,0,11630*1000*SER_hh_fec!G31/SER_hh_num!G31)</f>
        <v>22179.286112163714</v>
      </c>
      <c r="H31" s="132">
        <f>IF(SER_hh_fec!H31=0,0,11630*1000*SER_hh_fec!H31/SER_hh_num!H31)</f>
        <v>20658.383791227847</v>
      </c>
      <c r="I31" s="132">
        <f>IF(SER_hh_fec!I31=0,0,11630*1000*SER_hh_fec!I31/SER_hh_num!I31)</f>
        <v>22530.22338660825</v>
      </c>
      <c r="J31" s="132">
        <f>IF(SER_hh_fec!J31=0,0,11630*1000*SER_hh_fec!J31/SER_hh_num!J31)</f>
        <v>22924.127260132012</v>
      </c>
      <c r="K31" s="132">
        <f>IF(SER_hh_fec!K31=0,0,11630*1000*SER_hh_fec!K31/SER_hh_num!K31)</f>
        <v>21615.784214522442</v>
      </c>
      <c r="L31" s="132">
        <f>IF(SER_hh_fec!L31=0,0,11630*1000*SER_hh_fec!L31/SER_hh_num!L31)</f>
        <v>20884.914016338793</v>
      </c>
      <c r="M31" s="132">
        <f>IF(SER_hh_fec!M31=0,0,11630*1000*SER_hh_fec!M31/SER_hh_num!M31)</f>
        <v>22558.148692911818</v>
      </c>
      <c r="N31" s="132">
        <f>IF(SER_hh_fec!N31=0,0,11630*1000*SER_hh_fec!N31/SER_hh_num!N31)</f>
        <v>21248.869063043639</v>
      </c>
      <c r="O31" s="132">
        <f>IF(SER_hh_fec!O31=0,0,11630*1000*SER_hh_fec!O31/SER_hh_num!O31)</f>
        <v>21279.060483491157</v>
      </c>
      <c r="P31" s="132">
        <f>IF(SER_hh_fec!P31=0,0,11630*1000*SER_hh_fec!P31/SER_hh_num!P31)</f>
        <v>23765.206904765881</v>
      </c>
      <c r="Q31" s="132">
        <f>IF(SER_hh_fec!Q31=0,0,11630*1000*SER_hh_fec!Q31/SER_hh_num!Q31)</f>
        <v>21036.650514846282</v>
      </c>
      <c r="R31" s="132">
        <f>IF(SER_hh_fec!R31=0,0,11630*1000*SER_hh_fec!R31/SER_hh_num!R31)</f>
        <v>21474.846133355706</v>
      </c>
      <c r="S31" s="132">
        <f>IF(SER_hh_fec!S31=0,0,11630*1000*SER_hh_fec!S31/SER_hh_num!S31)</f>
        <v>22123.443531325443</v>
      </c>
      <c r="T31" s="132">
        <f>IF(SER_hh_fec!T31=0,0,11630*1000*SER_hh_fec!T31/SER_hh_num!T31)</f>
        <v>20459.634495731734</v>
      </c>
      <c r="U31" s="132">
        <f>IF(SER_hh_fec!U31=0,0,11630*1000*SER_hh_fec!U31/SER_hh_num!U31)</f>
        <v>18038.471023643779</v>
      </c>
      <c r="V31" s="132">
        <f>IF(SER_hh_fec!V31=0,0,11630*1000*SER_hh_fec!V31/SER_hh_num!V31)</f>
        <v>19986.405824481633</v>
      </c>
      <c r="W31" s="132">
        <f>IF(SER_hh_fec!W31=0,0,11630*1000*SER_hh_fec!W31/SER_hh_num!W31)</f>
        <v>21390.446864471269</v>
      </c>
      <c r="X31" s="132">
        <f>IF(SER_hh_fec!X31=0,0,11630*1000*SER_hh_fec!X31/SER_hh_num!X31)</f>
        <v>21330.843282424881</v>
      </c>
      <c r="Y31" s="132">
        <f>IF(SER_hh_fec!Y31=0,0,11630*1000*SER_hh_fec!Y31/SER_hh_num!Y31)</f>
        <v>21577.459427513157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17073.099512064593</v>
      </c>
      <c r="C33" s="68">
        <f>IF(SER_hh_fec!C33=0,0,11630*1000*SER_hh_fec!C33/SER_hh_num!C33)</f>
        <v>16695.808015780105</v>
      </c>
      <c r="D33" s="68">
        <f>IF(SER_hh_fec!D33=0,0,11630*1000*SER_hh_fec!D33/SER_hh_num!D33)</f>
        <v>16679.835896471421</v>
      </c>
      <c r="E33" s="68">
        <f>IF(SER_hh_fec!E33=0,0,11630*1000*SER_hh_fec!E33/SER_hh_num!E33)</f>
        <v>16769.977265559122</v>
      </c>
      <c r="F33" s="68">
        <f>IF(SER_hh_fec!F33=0,0,11630*1000*SER_hh_fec!F33/SER_hh_num!F33)</f>
        <v>17037.963076462805</v>
      </c>
      <c r="G33" s="68">
        <f>IF(SER_hh_fec!G33=0,0,11630*1000*SER_hh_fec!G33/SER_hh_num!G33)</f>
        <v>17121.525378587823</v>
      </c>
      <c r="H33" s="68">
        <f>IF(SER_hh_fec!H33=0,0,11630*1000*SER_hh_fec!H33/SER_hh_num!H33)</f>
        <v>16775.055643311767</v>
      </c>
      <c r="I33" s="68">
        <f>IF(SER_hh_fec!I33=0,0,11630*1000*SER_hh_fec!I33/SER_hh_num!I33)</f>
        <v>16493.067302299576</v>
      </c>
      <c r="J33" s="68">
        <f>IF(SER_hh_fec!J33=0,0,11630*1000*SER_hh_fec!J33/SER_hh_num!J33)</f>
        <v>16311.827482483493</v>
      </c>
      <c r="K33" s="68">
        <f>IF(SER_hh_fec!K33=0,0,11630*1000*SER_hh_fec!K33/SER_hh_num!K33)</f>
        <v>16659.086696329829</v>
      </c>
      <c r="L33" s="68">
        <f>IF(SER_hh_fec!L33=0,0,11630*1000*SER_hh_fec!L33/SER_hh_num!L33)</f>
        <v>16662.137406207472</v>
      </c>
      <c r="M33" s="68">
        <f>IF(SER_hh_fec!M33=0,0,11630*1000*SER_hh_fec!M33/SER_hh_num!M33)</f>
        <v>16352.27605865351</v>
      </c>
      <c r="N33" s="68">
        <f>IF(SER_hh_fec!N33=0,0,11630*1000*SER_hh_fec!N33/SER_hh_num!N33)</f>
        <v>16373.781355570411</v>
      </c>
      <c r="O33" s="68">
        <f>IF(SER_hh_fec!O33=0,0,11630*1000*SER_hh_fec!O33/SER_hh_num!O33)</f>
        <v>16377.866414359432</v>
      </c>
      <c r="P33" s="68">
        <f>IF(SER_hh_fec!P33=0,0,11630*1000*SER_hh_fec!P33/SER_hh_num!P33)</f>
        <v>16627.286158223229</v>
      </c>
      <c r="Q33" s="68">
        <f>IF(SER_hh_fec!Q33=0,0,11630*1000*SER_hh_fec!Q33/SER_hh_num!Q33)</f>
        <v>16416.271807815952</v>
      </c>
      <c r="R33" s="68">
        <f>IF(SER_hh_fec!R33=0,0,11630*1000*SER_hh_fec!R33/SER_hh_num!R33)</f>
        <v>16059.612702076756</v>
      </c>
      <c r="S33" s="68">
        <f>IF(SER_hh_fec!S33=0,0,11630*1000*SER_hh_fec!S33/SER_hh_num!S33)</f>
        <v>15641.934444906348</v>
      </c>
      <c r="T33" s="68">
        <f>IF(SER_hh_fec!T33=0,0,11630*1000*SER_hh_fec!T33/SER_hh_num!T33)</f>
        <v>15184.655529831667</v>
      </c>
      <c r="U33" s="68">
        <f>IF(SER_hh_fec!U33=0,0,11630*1000*SER_hh_fec!U33/SER_hh_num!U33)</f>
        <v>14895.149797206821</v>
      </c>
      <c r="V33" s="68">
        <f>IF(SER_hh_fec!V33=0,0,11630*1000*SER_hh_fec!V33/SER_hh_num!V33)</f>
        <v>14663.015284934645</v>
      </c>
      <c r="W33" s="68">
        <f>IF(SER_hh_fec!W33=0,0,11630*1000*SER_hh_fec!W33/SER_hh_num!W33)</f>
        <v>15020.747709416224</v>
      </c>
      <c r="X33" s="68">
        <f>IF(SER_hh_fec!X33=0,0,11630*1000*SER_hh_fec!X33/SER_hh_num!X33)</f>
        <v>15555.260779638225</v>
      </c>
      <c r="Y33" s="68">
        <f>IF(SER_hh_fec!Y33=0,0,11630*1000*SER_hh_fec!Y33/SER_hh_num!Y33)</f>
        <v>15558.906786043442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97073.202200779633</v>
      </c>
      <c r="C3" s="125">
        <f>IF(SER_hh_tes!C3=0,0,11630*1000*SER_hh_tes!C3/SER_hh_num!C3)</f>
        <v>101904.52147414644</v>
      </c>
      <c r="D3" s="125">
        <f>IF(SER_hh_tes!D3=0,0,11630*1000*SER_hh_tes!D3/SER_hh_num!D3)</f>
        <v>101465.25940452612</v>
      </c>
      <c r="E3" s="125">
        <f>IF(SER_hh_tes!E3=0,0,11630*1000*SER_hh_tes!E3/SER_hh_num!E3)</f>
        <v>106165.89542564297</v>
      </c>
      <c r="F3" s="125">
        <f>IF(SER_hh_tes!F3=0,0,11630*1000*SER_hh_tes!F3/SER_hh_num!F3)</f>
        <v>114737.30937640676</v>
      </c>
      <c r="G3" s="125">
        <f>IF(SER_hh_tes!G3=0,0,11630*1000*SER_hh_tes!G3/SER_hh_num!G3)</f>
        <v>107086.79421407942</v>
      </c>
      <c r="H3" s="125">
        <f>IF(SER_hh_tes!H3=0,0,11630*1000*SER_hh_tes!H3/SER_hh_num!H3)</f>
        <v>108235.75414542413</v>
      </c>
      <c r="I3" s="125">
        <f>IF(SER_hh_tes!I3=0,0,11630*1000*SER_hh_tes!I3/SER_hh_num!I3)</f>
        <v>101528.0359184359</v>
      </c>
      <c r="J3" s="125">
        <f>IF(SER_hh_tes!J3=0,0,11630*1000*SER_hh_tes!J3/SER_hh_num!J3)</f>
        <v>105416.54293715909</v>
      </c>
      <c r="K3" s="125">
        <f>IF(SER_hh_tes!K3=0,0,11630*1000*SER_hh_tes!K3/SER_hh_num!K3)</f>
        <v>111065.07646430303</v>
      </c>
      <c r="L3" s="125">
        <f>IF(SER_hh_tes!L3=0,0,11630*1000*SER_hh_tes!L3/SER_hh_num!L3)</f>
        <v>120030.21668177005</v>
      </c>
      <c r="M3" s="125">
        <f>IF(SER_hh_tes!M3=0,0,11630*1000*SER_hh_tes!M3/SER_hh_num!M3)</f>
        <v>105180.31092594648</v>
      </c>
      <c r="N3" s="125">
        <f>IF(SER_hh_tes!N3=0,0,11630*1000*SER_hh_tes!N3/SER_hh_num!N3)</f>
        <v>110319.18064754775</v>
      </c>
      <c r="O3" s="125">
        <f>IF(SER_hh_tes!O3=0,0,11630*1000*SER_hh_tes!O3/SER_hh_num!O3)</f>
        <v>112371.45396438167</v>
      </c>
      <c r="P3" s="125">
        <f>IF(SER_hh_tes!P3=0,0,11630*1000*SER_hh_tes!P3/SER_hh_num!P3)</f>
        <v>96967.132902667494</v>
      </c>
      <c r="Q3" s="125">
        <f>IF(SER_hh_tes!Q3=0,0,11630*1000*SER_hh_tes!Q3/SER_hh_num!Q3)</f>
        <v>101388.27990018633</v>
      </c>
      <c r="R3" s="125">
        <f>IF(SER_hh_tes!R3=0,0,11630*1000*SER_hh_tes!R3/SER_hh_num!R3)</f>
        <v>102317.52430946739</v>
      </c>
      <c r="S3" s="125">
        <f>IF(SER_hh_tes!S3=0,0,11630*1000*SER_hh_tes!S3/SER_hh_num!S3)</f>
        <v>105110.02053443437</v>
      </c>
      <c r="T3" s="125">
        <f>IF(SER_hh_tes!T3=0,0,11630*1000*SER_hh_tes!T3/SER_hh_num!T3)</f>
        <v>106660.40269910716</v>
      </c>
      <c r="U3" s="125">
        <f>IF(SER_hh_tes!U3=0,0,11630*1000*SER_hh_tes!U3/SER_hh_num!U3)</f>
        <v>104357.79895673145</v>
      </c>
      <c r="V3" s="125">
        <f>IF(SER_hh_tes!V3=0,0,11630*1000*SER_hh_tes!V3/SER_hh_num!V3)</f>
        <v>99636.634529167437</v>
      </c>
      <c r="W3" s="125">
        <f>IF(SER_hh_tes!W3=0,0,11630*1000*SER_hh_tes!W3/SER_hh_num!W3)</f>
        <v>105315.03783343552</v>
      </c>
      <c r="X3" s="125">
        <f>IF(SER_hh_tes!X3=0,0,11630*1000*SER_hh_tes!X3/SER_hh_num!X3)</f>
        <v>101345.53986762498</v>
      </c>
      <c r="Y3" s="125">
        <f>IF(SER_hh_tes!Y3=0,0,11630*1000*SER_hh_tes!Y3/SER_hh_num!Y3)</f>
        <v>99360.163500320297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65857.461689418473</v>
      </c>
      <c r="C4" s="130">
        <f>IF(SER_hh_tes!C4=0,0,11630*1000*SER_hh_tes!C4/SER_hh_num!C4)</f>
        <v>70551.529607278615</v>
      </c>
      <c r="D4" s="130">
        <f>IF(SER_hh_tes!D4=0,0,11630*1000*SER_hh_tes!D4/SER_hh_num!D4)</f>
        <v>69726.004615535916</v>
      </c>
      <c r="E4" s="130">
        <f>IF(SER_hh_tes!E4=0,0,11630*1000*SER_hh_tes!E4/SER_hh_num!E4)</f>
        <v>73699.054579688658</v>
      </c>
      <c r="F4" s="130">
        <f>IF(SER_hh_tes!F4=0,0,11630*1000*SER_hh_tes!F4/SER_hh_num!F4)</f>
        <v>81838.170571614188</v>
      </c>
      <c r="G4" s="130">
        <f>IF(SER_hh_tes!G4=0,0,11630*1000*SER_hh_tes!G4/SER_hh_num!G4)</f>
        <v>73768.137220919874</v>
      </c>
      <c r="H4" s="130">
        <f>IF(SER_hh_tes!H4=0,0,11630*1000*SER_hh_tes!H4/SER_hh_num!H4)</f>
        <v>74303.317832239583</v>
      </c>
      <c r="I4" s="130">
        <f>IF(SER_hh_tes!I4=0,0,11630*1000*SER_hh_tes!I4/SER_hh_num!I4)</f>
        <v>67843.680694093244</v>
      </c>
      <c r="J4" s="130">
        <f>IF(SER_hh_tes!J4=0,0,11630*1000*SER_hh_tes!J4/SER_hh_num!J4)</f>
        <v>71272.423802675185</v>
      </c>
      <c r="K4" s="130">
        <f>IF(SER_hh_tes!K4=0,0,11630*1000*SER_hh_tes!K4/SER_hh_num!K4)</f>
        <v>75865.991288320889</v>
      </c>
      <c r="L4" s="130">
        <f>IF(SER_hh_tes!L4=0,0,11630*1000*SER_hh_tes!L4/SER_hh_num!L4)</f>
        <v>84136.942062166432</v>
      </c>
      <c r="M4" s="130">
        <f>IF(SER_hh_tes!M4=0,0,11630*1000*SER_hh_tes!M4/SER_hh_num!M4)</f>
        <v>69355.815127124966</v>
      </c>
      <c r="N4" s="130">
        <f>IF(SER_hh_tes!N4=0,0,11630*1000*SER_hh_tes!N4/SER_hh_num!N4)</f>
        <v>74071.170298539801</v>
      </c>
      <c r="O4" s="130">
        <f>IF(SER_hh_tes!O4=0,0,11630*1000*SER_hh_tes!O4/SER_hh_num!O4)</f>
        <v>75675.928922949854</v>
      </c>
      <c r="P4" s="130">
        <f>IF(SER_hh_tes!P4=0,0,11630*1000*SER_hh_tes!P4/SER_hh_num!P4)</f>
        <v>59950.320744721139</v>
      </c>
      <c r="Q4" s="130">
        <f>IF(SER_hh_tes!Q4=0,0,11630*1000*SER_hh_tes!Q4/SER_hh_num!Q4)</f>
        <v>63682.537674317791</v>
      </c>
      <c r="R4" s="130">
        <f>IF(SER_hh_tes!R4=0,0,11630*1000*SER_hh_tes!R4/SER_hh_num!R4)</f>
        <v>64809.597711221104</v>
      </c>
      <c r="S4" s="130">
        <f>IF(SER_hh_tes!S4=0,0,11630*1000*SER_hh_tes!S4/SER_hh_num!S4)</f>
        <v>67617.028154677551</v>
      </c>
      <c r="T4" s="130">
        <f>IF(SER_hh_tes!T4=0,0,11630*1000*SER_hh_tes!T4/SER_hh_num!T4)</f>
        <v>68159.335281217704</v>
      </c>
      <c r="U4" s="130">
        <f>IF(SER_hh_tes!U4=0,0,11630*1000*SER_hh_tes!U4/SER_hh_num!U4)</f>
        <v>65951.216342092914</v>
      </c>
      <c r="V4" s="130">
        <f>IF(SER_hh_tes!V4=0,0,11630*1000*SER_hh_tes!V4/SER_hh_num!V4)</f>
        <v>61362.436149160931</v>
      </c>
      <c r="W4" s="130">
        <f>IF(SER_hh_tes!W4=0,0,11630*1000*SER_hh_tes!W4/SER_hh_num!W4)</f>
        <v>67086.87223767527</v>
      </c>
      <c r="X4" s="130">
        <f>IF(SER_hh_tes!X4=0,0,11630*1000*SER_hh_tes!X4/SER_hh_num!X4)</f>
        <v>61946.501263943843</v>
      </c>
      <c r="Y4" s="130">
        <f>IF(SER_hh_tes!Y4=0,0,11630*1000*SER_hh_tes!Y4/SER_hh_num!Y4)</f>
        <v>59972.823311561835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66523.30142588976</v>
      </c>
      <c r="C5" s="132">
        <f>IF(SER_hh_tes!C5=0,0,11630*1000*SER_hh_tes!C5/SER_hh_num!C5)</f>
        <v>68092.409424657089</v>
      </c>
      <c r="D5" s="132">
        <f>IF(SER_hh_tes!D5=0,0,11630*1000*SER_hh_tes!D5/SER_hh_num!D5)</f>
        <v>58930.89854489376</v>
      </c>
      <c r="E5" s="132">
        <f>IF(SER_hh_tes!E5=0,0,11630*1000*SER_hh_tes!E5/SER_hh_num!E5)</f>
        <v>97704.001844247352</v>
      </c>
      <c r="F5" s="132">
        <f>IF(SER_hh_tes!F5=0,0,11630*1000*SER_hh_tes!F5/SER_hh_num!F5)</f>
        <v>49220.884955383583</v>
      </c>
      <c r="G5" s="132">
        <f>IF(SER_hh_tes!G5=0,0,11630*1000*SER_hh_tes!G5/SER_hh_num!G5)</f>
        <v>68236.010203856888</v>
      </c>
      <c r="H5" s="132">
        <f>IF(SER_hh_tes!H5=0,0,11630*1000*SER_hh_tes!H5/SER_hh_num!H5)</f>
        <v>46752.510095373087</v>
      </c>
      <c r="I5" s="132">
        <f>IF(SER_hh_tes!I5=0,0,11630*1000*SER_hh_tes!I5/SER_hh_num!I5)</f>
        <v>72981.363322216945</v>
      </c>
      <c r="J5" s="132">
        <f>IF(SER_hh_tes!J5=0,0,11630*1000*SER_hh_tes!J5/SER_hh_num!J5)</f>
        <v>79480.033183601961</v>
      </c>
      <c r="K5" s="132">
        <f>IF(SER_hh_tes!K5=0,0,11630*1000*SER_hh_tes!K5/SER_hh_num!K5)</f>
        <v>79608.96447842785</v>
      </c>
      <c r="L5" s="132">
        <f>IF(SER_hh_tes!L5=0,0,11630*1000*SER_hh_tes!L5/SER_hh_num!L5)</f>
        <v>77176.14086973689</v>
      </c>
      <c r="M5" s="132">
        <f>IF(SER_hh_tes!M5=0,0,11630*1000*SER_hh_tes!M5/SER_hh_num!M5)</f>
        <v>76352.880201486289</v>
      </c>
      <c r="N5" s="132">
        <f>IF(SER_hh_tes!N5=0,0,11630*1000*SER_hh_tes!N5/SER_hh_num!N5)</f>
        <v>75607.357363406365</v>
      </c>
      <c r="O5" s="132">
        <f>IF(SER_hh_tes!O5=0,0,11630*1000*SER_hh_tes!O5/SER_hh_num!O5)</f>
        <v>46261.628582261255</v>
      </c>
      <c r="P5" s="132">
        <f>IF(SER_hh_tes!P5=0,0,11630*1000*SER_hh_tes!P5/SER_hh_num!P5)</f>
        <v>17638.545077161092</v>
      </c>
      <c r="Q5" s="132">
        <f>IF(SER_hh_tes!Q5=0,0,11630*1000*SER_hh_tes!Q5/SER_hh_num!Q5)</f>
        <v>76044.170718956957</v>
      </c>
      <c r="R5" s="132">
        <f>IF(SER_hh_tes!R5=0,0,11630*1000*SER_hh_tes!R5/SER_hh_num!R5)</f>
        <v>73613.338832792084</v>
      </c>
      <c r="S5" s="132">
        <f>IF(SER_hh_tes!S5=0,0,11630*1000*SER_hh_tes!S5/SER_hh_num!S5)</f>
        <v>70384.725222354376</v>
      </c>
      <c r="T5" s="132">
        <f>IF(SER_hh_tes!T5=0,0,11630*1000*SER_hh_tes!T5/SER_hh_num!T5)</f>
        <v>70553.842313943242</v>
      </c>
      <c r="U5" s="132">
        <f>IF(SER_hh_tes!U5=0,0,11630*1000*SER_hh_tes!U5/SER_hh_num!U5)</f>
        <v>57040.777307095603</v>
      </c>
      <c r="V5" s="132">
        <f>IF(SER_hh_tes!V5=0,0,11630*1000*SER_hh_tes!V5/SER_hh_num!V5)</f>
        <v>65312.213575517548</v>
      </c>
      <c r="W5" s="132">
        <f>IF(SER_hh_tes!W5=0,0,11630*1000*SER_hh_tes!W5/SER_hh_num!W5)</f>
        <v>40205.433076642832</v>
      </c>
      <c r="X5" s="132">
        <f>IF(SER_hh_tes!X5=0,0,11630*1000*SER_hh_tes!X5/SER_hh_num!X5)</f>
        <v>66203.950516523488</v>
      </c>
      <c r="Y5" s="132">
        <f>IF(SER_hh_tes!Y5=0,0,11630*1000*SER_hh_tes!Y5/SER_hh_num!Y5)</f>
        <v>64402.505177344981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66709.004310793331</v>
      </c>
      <c r="C7" s="132">
        <f>IF(SER_hh_tes!C7=0,0,11630*1000*SER_hh_tes!C7/SER_hh_num!C7)</f>
        <v>66817.046031350052</v>
      </c>
      <c r="D7" s="132">
        <f>IF(SER_hh_tes!D7=0,0,11630*1000*SER_hh_tes!D7/SER_hh_num!D7)</f>
        <v>69917.952285253108</v>
      </c>
      <c r="E7" s="132">
        <f>IF(SER_hh_tes!E7=0,0,11630*1000*SER_hh_tes!E7/SER_hh_num!E7)</f>
        <v>73958.223563883541</v>
      </c>
      <c r="F7" s="132">
        <f>IF(SER_hh_tes!F7=0,0,11630*1000*SER_hh_tes!F7/SER_hh_num!F7)</f>
        <v>71709.426416535658</v>
      </c>
      <c r="G7" s="132">
        <f>IF(SER_hh_tes!G7=0,0,11630*1000*SER_hh_tes!G7/SER_hh_num!G7)</f>
        <v>73839.604718281596</v>
      </c>
      <c r="H7" s="132">
        <f>IF(SER_hh_tes!H7=0,0,11630*1000*SER_hh_tes!H7/SER_hh_num!H7)</f>
        <v>70517.192049211604</v>
      </c>
      <c r="I7" s="132">
        <f>IF(SER_hh_tes!I7=0,0,11630*1000*SER_hh_tes!I7/SER_hh_num!I7)</f>
        <v>71121.111315582835</v>
      </c>
      <c r="J7" s="132">
        <f>IF(SER_hh_tes!J7=0,0,11630*1000*SER_hh_tes!J7/SER_hh_num!J7)</f>
        <v>71142.463924061944</v>
      </c>
      <c r="K7" s="132">
        <f>IF(SER_hh_tes!K7=0,0,11630*1000*SER_hh_tes!K7/SER_hh_num!K7)</f>
        <v>69462.629391004521</v>
      </c>
      <c r="L7" s="132">
        <f>IF(SER_hh_tes!L7=0,0,11630*1000*SER_hh_tes!L7/SER_hh_num!L7)</f>
        <v>80539.643226735425</v>
      </c>
      <c r="M7" s="132">
        <f>IF(SER_hh_tes!M7=0,0,11630*1000*SER_hh_tes!M7/SER_hh_num!M7)</f>
        <v>72709.591374435244</v>
      </c>
      <c r="N7" s="132">
        <f>IF(SER_hh_tes!N7=0,0,11630*1000*SER_hh_tes!N7/SER_hh_num!N7)</f>
        <v>70737.568962433303</v>
      </c>
      <c r="O7" s="132">
        <f>IF(SER_hh_tes!O7=0,0,11630*1000*SER_hh_tes!O7/SER_hh_num!O7)</f>
        <v>70590.543666444923</v>
      </c>
      <c r="P7" s="132">
        <f>IF(SER_hh_tes!P7=0,0,11630*1000*SER_hh_tes!P7/SER_hh_num!P7)</f>
        <v>66848.679836998344</v>
      </c>
      <c r="Q7" s="132">
        <f>IF(SER_hh_tes!Q7=0,0,11630*1000*SER_hh_tes!Q7/SER_hh_num!Q7)</f>
        <v>63052.212403878664</v>
      </c>
      <c r="R7" s="132">
        <f>IF(SER_hh_tes!R7=0,0,11630*1000*SER_hh_tes!R7/SER_hh_num!R7)</f>
        <v>62998.366550904677</v>
      </c>
      <c r="S7" s="132">
        <f>IF(SER_hh_tes!S7=0,0,11630*1000*SER_hh_tes!S7/SER_hh_num!S7)</f>
        <v>63236.043856952034</v>
      </c>
      <c r="T7" s="132">
        <f>IF(SER_hh_tes!T7=0,0,11630*1000*SER_hh_tes!T7/SER_hh_num!T7)</f>
        <v>65068.494413576584</v>
      </c>
      <c r="U7" s="132">
        <f>IF(SER_hh_tes!U7=0,0,11630*1000*SER_hh_tes!U7/SER_hh_num!U7)</f>
        <v>66868.357800271944</v>
      </c>
      <c r="V7" s="132">
        <f>IF(SER_hh_tes!V7=0,0,11630*1000*SER_hh_tes!V7/SER_hh_num!V7)</f>
        <v>62318.0529992382</v>
      </c>
      <c r="W7" s="132">
        <f>IF(SER_hh_tes!W7=0,0,11630*1000*SER_hh_tes!W7/SER_hh_num!W7)</f>
        <v>61891.500068148962</v>
      </c>
      <c r="X7" s="132">
        <f>IF(SER_hh_tes!X7=0,0,11630*1000*SER_hh_tes!X7/SER_hh_num!X7)</f>
        <v>62936.434264029325</v>
      </c>
      <c r="Y7" s="132">
        <f>IF(SER_hh_tes!Y7=0,0,11630*1000*SER_hh_tes!Y7/SER_hh_num!Y7)</f>
        <v>59510.767031360207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64380.77768303801</v>
      </c>
      <c r="C8" s="132">
        <f>IF(SER_hh_tes!C8=0,0,11630*1000*SER_hh_tes!C8/SER_hh_num!C8)</f>
        <v>70877.739541584044</v>
      </c>
      <c r="D8" s="132">
        <f>IF(SER_hh_tes!D8=0,0,11630*1000*SER_hh_tes!D8/SER_hh_num!D8)</f>
        <v>66704.874353654115</v>
      </c>
      <c r="E8" s="132">
        <f>IF(SER_hh_tes!E8=0,0,11630*1000*SER_hh_tes!E8/SER_hh_num!E8)</f>
        <v>76714.010076812556</v>
      </c>
      <c r="F8" s="132">
        <f>IF(SER_hh_tes!F8=0,0,11630*1000*SER_hh_tes!F8/SER_hh_num!F8)</f>
        <v>79789.443181502633</v>
      </c>
      <c r="G8" s="132">
        <f>IF(SER_hh_tes!G8=0,0,11630*1000*SER_hh_tes!G8/SER_hh_num!G8)</f>
        <v>70974.041213424134</v>
      </c>
      <c r="H8" s="132">
        <f>IF(SER_hh_tes!H8=0,0,11630*1000*SER_hh_tes!H8/SER_hh_num!H8)</f>
        <v>67594.119262194552</v>
      </c>
      <c r="I8" s="132">
        <f>IF(SER_hh_tes!I8=0,0,11630*1000*SER_hh_tes!I8/SER_hh_num!I8)</f>
        <v>71670.745374246821</v>
      </c>
      <c r="J8" s="132">
        <f>IF(SER_hh_tes!J8=0,0,11630*1000*SER_hh_tes!J8/SER_hh_num!J8)</f>
        <v>72557.022172711222</v>
      </c>
      <c r="K8" s="132">
        <f>IF(SER_hh_tes!K8=0,0,11630*1000*SER_hh_tes!K8/SER_hh_num!K8)</f>
        <v>73190.135602876297</v>
      </c>
      <c r="L8" s="132">
        <f>IF(SER_hh_tes!L8=0,0,11630*1000*SER_hh_tes!L8/SER_hh_num!L8)</f>
        <v>74866.019826869931</v>
      </c>
      <c r="M8" s="132">
        <f>IF(SER_hh_tes!M8=0,0,11630*1000*SER_hh_tes!M8/SER_hh_num!M8)</f>
        <v>76336.191490349665</v>
      </c>
      <c r="N8" s="132">
        <f>IF(SER_hh_tes!N8=0,0,11630*1000*SER_hh_tes!N8/SER_hh_num!N8)</f>
        <v>67173.300662275171</v>
      </c>
      <c r="O8" s="132">
        <f>IF(SER_hh_tes!O8=0,0,11630*1000*SER_hh_tes!O8/SER_hh_num!O8)</f>
        <v>57745.21768324537</v>
      </c>
      <c r="P8" s="132">
        <f>IF(SER_hh_tes!P8=0,0,11630*1000*SER_hh_tes!P8/SER_hh_num!P8)</f>
        <v>64270.80867502738</v>
      </c>
      <c r="Q8" s="132">
        <f>IF(SER_hh_tes!Q8=0,0,11630*1000*SER_hh_tes!Q8/SER_hh_num!Q8)</f>
        <v>68871.745638339446</v>
      </c>
      <c r="R8" s="132">
        <f>IF(SER_hh_tes!R8=0,0,11630*1000*SER_hh_tes!R8/SER_hh_num!R8)</f>
        <v>67093.443433833861</v>
      </c>
      <c r="S8" s="132">
        <f>IF(SER_hh_tes!S8=0,0,11630*1000*SER_hh_tes!S8/SER_hh_num!S8)</f>
        <v>65514.777019186375</v>
      </c>
      <c r="T8" s="132">
        <f>IF(SER_hh_tes!T8=0,0,11630*1000*SER_hh_tes!T8/SER_hh_num!T8)</f>
        <v>65629.09197723656</v>
      </c>
      <c r="U8" s="132">
        <f>IF(SER_hh_tes!U8=0,0,11630*1000*SER_hh_tes!U8/SER_hh_num!U8)</f>
        <v>63857.154624401453</v>
      </c>
      <c r="V8" s="132">
        <f>IF(SER_hh_tes!V8=0,0,11630*1000*SER_hh_tes!V8/SER_hh_num!V8)</f>
        <v>60633.270170098651</v>
      </c>
      <c r="W8" s="132">
        <f>IF(SER_hh_tes!W8=0,0,11630*1000*SER_hh_tes!W8/SER_hh_num!W8)</f>
        <v>63708.411676474163</v>
      </c>
      <c r="X8" s="132">
        <f>IF(SER_hh_tes!X8=0,0,11630*1000*SER_hh_tes!X8/SER_hh_num!X8)</f>
        <v>61072.313967502865</v>
      </c>
      <c r="Y8" s="132">
        <f>IF(SER_hh_tes!Y8=0,0,11630*1000*SER_hh_tes!Y8/SER_hh_num!Y8)</f>
        <v>63533.827919975789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64576.252505275777</v>
      </c>
      <c r="C9" s="132">
        <f>IF(SER_hh_tes!C9=0,0,11630*1000*SER_hh_tes!C9/SER_hh_num!C9)</f>
        <v>70398.481486046192</v>
      </c>
      <c r="D9" s="132">
        <f>IF(SER_hh_tes!D9=0,0,11630*1000*SER_hh_tes!D9/SER_hh_num!D9)</f>
        <v>65748.453053590012</v>
      </c>
      <c r="E9" s="132">
        <f>IF(SER_hh_tes!E9=0,0,11630*1000*SER_hh_tes!E9/SER_hh_num!E9)</f>
        <v>72067.314139667578</v>
      </c>
      <c r="F9" s="132">
        <f>IF(SER_hh_tes!F9=0,0,11630*1000*SER_hh_tes!F9/SER_hh_num!F9)</f>
        <v>81887.957238411764</v>
      </c>
      <c r="G9" s="132">
        <f>IF(SER_hh_tes!G9=0,0,11630*1000*SER_hh_tes!G9/SER_hh_num!G9)</f>
        <v>74090.259099564573</v>
      </c>
      <c r="H9" s="132">
        <f>IF(SER_hh_tes!H9=0,0,11630*1000*SER_hh_tes!H9/SER_hh_num!H9)</f>
        <v>74126.890350413436</v>
      </c>
      <c r="I9" s="132">
        <f>IF(SER_hh_tes!I9=0,0,11630*1000*SER_hh_tes!I9/SER_hh_num!I9)</f>
        <v>63633.818117641145</v>
      </c>
      <c r="J9" s="132">
        <f>IF(SER_hh_tes!J9=0,0,11630*1000*SER_hh_tes!J9/SER_hh_num!J9)</f>
        <v>69674.769628424154</v>
      </c>
      <c r="K9" s="132">
        <f>IF(SER_hh_tes!K9=0,0,11630*1000*SER_hh_tes!K9/SER_hh_num!K9)</f>
        <v>73658.140771524486</v>
      </c>
      <c r="L9" s="132">
        <f>IF(SER_hh_tes!L9=0,0,11630*1000*SER_hh_tes!L9/SER_hh_num!L9)</f>
        <v>85153.004180341857</v>
      </c>
      <c r="M9" s="132">
        <f>IF(SER_hh_tes!M9=0,0,11630*1000*SER_hh_tes!M9/SER_hh_num!M9)</f>
        <v>65137.768717831503</v>
      </c>
      <c r="N9" s="132">
        <f>IF(SER_hh_tes!N9=0,0,11630*1000*SER_hh_tes!N9/SER_hh_num!N9)</f>
        <v>74358.658788547124</v>
      </c>
      <c r="O9" s="132">
        <f>IF(SER_hh_tes!O9=0,0,11630*1000*SER_hh_tes!O9/SER_hh_num!O9)</f>
        <v>75844.326221198935</v>
      </c>
      <c r="P9" s="132">
        <f>IF(SER_hh_tes!P9=0,0,11630*1000*SER_hh_tes!P9/SER_hh_num!P9)</f>
        <v>57529.343304026173</v>
      </c>
      <c r="Q9" s="132">
        <f>IF(SER_hh_tes!Q9=0,0,11630*1000*SER_hh_tes!Q9/SER_hh_num!Q9)</f>
        <v>63502.748116778661</v>
      </c>
      <c r="R9" s="132">
        <f>IF(SER_hh_tes!R9=0,0,11630*1000*SER_hh_tes!R9/SER_hh_num!R9)</f>
        <v>64999.519671119408</v>
      </c>
      <c r="S9" s="132">
        <f>IF(SER_hh_tes!S9=0,0,11630*1000*SER_hh_tes!S9/SER_hh_num!S9)</f>
        <v>66341.512139513477</v>
      </c>
      <c r="T9" s="132">
        <f>IF(SER_hh_tes!T9=0,0,11630*1000*SER_hh_tes!T9/SER_hh_num!T9)</f>
        <v>67093.480293847228</v>
      </c>
      <c r="U9" s="132">
        <f>IF(SER_hh_tes!U9=0,0,11630*1000*SER_hh_tes!U9/SER_hh_num!U9)</f>
        <v>64492.664338046663</v>
      </c>
      <c r="V9" s="132">
        <f>IF(SER_hh_tes!V9=0,0,11630*1000*SER_hh_tes!V9/SER_hh_num!V9)</f>
        <v>59768.031701335422</v>
      </c>
      <c r="W9" s="132">
        <f>IF(SER_hh_tes!W9=0,0,11630*1000*SER_hh_tes!W9/SER_hh_num!W9)</f>
        <v>68833.799187173747</v>
      </c>
      <c r="X9" s="132">
        <f>IF(SER_hh_tes!X9=0,0,11630*1000*SER_hh_tes!X9/SER_hh_num!X9)</f>
        <v>59778.346575483527</v>
      </c>
      <c r="Y9" s="132">
        <f>IF(SER_hh_tes!Y9=0,0,11630*1000*SER_hh_tes!Y9/SER_hh_num!Y9)</f>
        <v>58235.553038657192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60668.685002597791</v>
      </c>
      <c r="C10" s="132">
        <f>IF(SER_hh_tes!C10=0,0,11630*1000*SER_hh_tes!C10/SER_hh_num!C10)</f>
        <v>73374.152499292628</v>
      </c>
      <c r="D10" s="132">
        <f>IF(SER_hh_tes!D10=0,0,11630*1000*SER_hh_tes!D10/SER_hh_num!D10)</f>
        <v>72061.169176816504</v>
      </c>
      <c r="E10" s="132">
        <f>IF(SER_hh_tes!E10=0,0,11630*1000*SER_hh_tes!E10/SER_hh_num!E10)</f>
        <v>70280.587955566458</v>
      </c>
      <c r="F10" s="132">
        <f>IF(SER_hh_tes!F10=0,0,11630*1000*SER_hh_tes!F10/SER_hh_num!F10)</f>
        <v>76736.633460166573</v>
      </c>
      <c r="G10" s="132">
        <f>IF(SER_hh_tes!G10=0,0,11630*1000*SER_hh_tes!G10/SER_hh_num!G10)</f>
        <v>70250.175669162098</v>
      </c>
      <c r="H10" s="132">
        <f>IF(SER_hh_tes!H10=0,0,11630*1000*SER_hh_tes!H10/SER_hh_num!H10)</f>
        <v>72752.408809134984</v>
      </c>
      <c r="I10" s="132">
        <f>IF(SER_hh_tes!I10=0,0,11630*1000*SER_hh_tes!I10/SER_hh_num!I10)</f>
        <v>69079.968729992528</v>
      </c>
      <c r="J10" s="132">
        <f>IF(SER_hh_tes!J10=0,0,11630*1000*SER_hh_tes!J10/SER_hh_num!J10)</f>
        <v>77263.057328102834</v>
      </c>
      <c r="K10" s="132">
        <f>IF(SER_hh_tes!K10=0,0,11630*1000*SER_hh_tes!K10/SER_hh_num!K10)</f>
        <v>73569.177998909319</v>
      </c>
      <c r="L10" s="132">
        <f>IF(SER_hh_tes!L10=0,0,11630*1000*SER_hh_tes!L10/SER_hh_num!L10)</f>
        <v>79429.257750643956</v>
      </c>
      <c r="M10" s="132">
        <f>IF(SER_hh_tes!M10=0,0,11630*1000*SER_hh_tes!M10/SER_hh_num!M10)</f>
        <v>72535.445099142205</v>
      </c>
      <c r="N10" s="132">
        <f>IF(SER_hh_tes!N10=0,0,11630*1000*SER_hh_tes!N10/SER_hh_num!N10)</f>
        <v>71549.81236386791</v>
      </c>
      <c r="O10" s="132">
        <f>IF(SER_hh_tes!O10=0,0,11630*1000*SER_hh_tes!O10/SER_hh_num!O10)</f>
        <v>69184.498783337447</v>
      </c>
      <c r="P10" s="132">
        <f>IF(SER_hh_tes!P10=0,0,11630*1000*SER_hh_tes!P10/SER_hh_num!P10)</f>
        <v>65741.667075507896</v>
      </c>
      <c r="Q10" s="132">
        <f>IF(SER_hh_tes!Q10=0,0,11630*1000*SER_hh_tes!Q10/SER_hh_num!Q10)</f>
        <v>60985.17618710945</v>
      </c>
      <c r="R10" s="132">
        <f>IF(SER_hh_tes!R10=0,0,11630*1000*SER_hh_tes!R10/SER_hh_num!R10)</f>
        <v>58141.357569229374</v>
      </c>
      <c r="S10" s="132">
        <f>IF(SER_hh_tes!S10=0,0,11630*1000*SER_hh_tes!S10/SER_hh_num!S10)</f>
        <v>68331.420846992245</v>
      </c>
      <c r="T10" s="132">
        <f>IF(SER_hh_tes!T10=0,0,11630*1000*SER_hh_tes!T10/SER_hh_num!T10)</f>
        <v>66792.321589619707</v>
      </c>
      <c r="U10" s="132">
        <f>IF(SER_hh_tes!U10=0,0,11630*1000*SER_hh_tes!U10/SER_hh_num!U10)</f>
        <v>69407.716108297056</v>
      </c>
      <c r="V10" s="132">
        <f>IF(SER_hh_tes!V10=0,0,11630*1000*SER_hh_tes!V10/SER_hh_num!V10)</f>
        <v>70143.739649912532</v>
      </c>
      <c r="W10" s="132">
        <f>IF(SER_hh_tes!W10=0,0,11630*1000*SER_hh_tes!W10/SER_hh_num!W10)</f>
        <v>65089.867145499076</v>
      </c>
      <c r="X10" s="132">
        <f>IF(SER_hh_tes!X10=0,0,11630*1000*SER_hh_tes!X10/SER_hh_num!X10)</f>
        <v>54877.151509951305</v>
      </c>
      <c r="Y10" s="132">
        <f>IF(SER_hh_tes!Y10=0,0,11630*1000*SER_hh_tes!Y10/SER_hh_num!Y10)</f>
        <v>62622.123966160812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67842.231968831242</v>
      </c>
      <c r="C12" s="132">
        <f>IF(SER_hh_tes!C12=0,0,11630*1000*SER_hh_tes!C12/SER_hh_num!C12)</f>
        <v>60305.395176092359</v>
      </c>
      <c r="D12" s="132">
        <f>IF(SER_hh_tes!D12=0,0,11630*1000*SER_hh_tes!D12/SER_hh_num!D12)</f>
        <v>88045.073571077461</v>
      </c>
      <c r="E12" s="132">
        <f>IF(SER_hh_tes!E12=0,0,11630*1000*SER_hh_tes!E12/SER_hh_num!E12)</f>
        <v>73838.3734946287</v>
      </c>
      <c r="F12" s="132">
        <f>IF(SER_hh_tes!F12=0,0,11630*1000*SER_hh_tes!F12/SER_hh_num!F12)</f>
        <v>80915.868681341148</v>
      </c>
      <c r="G12" s="132">
        <f>IF(SER_hh_tes!G12=0,0,11630*1000*SER_hh_tes!G12/SER_hh_num!G12)</f>
        <v>58296.456304142703</v>
      </c>
      <c r="H12" s="132">
        <f>IF(SER_hh_tes!H12=0,0,11630*1000*SER_hh_tes!H12/SER_hh_num!H12)</f>
        <v>68344.628551452799</v>
      </c>
      <c r="I12" s="132">
        <f>IF(SER_hh_tes!I12=0,0,11630*1000*SER_hh_tes!I12/SER_hh_num!I12)</f>
        <v>78207.559195237482</v>
      </c>
      <c r="J12" s="132">
        <f>IF(SER_hh_tes!J12=0,0,11630*1000*SER_hh_tes!J12/SER_hh_num!J12)</f>
        <v>69756.172999773902</v>
      </c>
      <c r="K12" s="132">
        <f>IF(SER_hh_tes!K12=0,0,11630*1000*SER_hh_tes!K12/SER_hh_num!K12)</f>
        <v>85101.717077180903</v>
      </c>
      <c r="L12" s="132">
        <f>IF(SER_hh_tes!L12=0,0,11630*1000*SER_hh_tes!L12/SER_hh_num!L12)</f>
        <v>81414.891599317983</v>
      </c>
      <c r="M12" s="132">
        <f>IF(SER_hh_tes!M12=0,0,11630*1000*SER_hh_tes!M12/SER_hh_num!M12)</f>
        <v>82043.906616752938</v>
      </c>
      <c r="N12" s="132">
        <f>IF(SER_hh_tes!N12=0,0,11630*1000*SER_hh_tes!N12/SER_hh_num!N12)</f>
        <v>57664.905974799527</v>
      </c>
      <c r="O12" s="132">
        <f>IF(SER_hh_tes!O12=0,0,11630*1000*SER_hh_tes!O12/SER_hh_num!O12)</f>
        <v>61688.608244890427</v>
      </c>
      <c r="P12" s="132">
        <f>IF(SER_hh_tes!P12=0,0,11630*1000*SER_hh_tes!P12/SER_hh_num!P12)</f>
        <v>64788.459327331322</v>
      </c>
      <c r="Q12" s="132">
        <f>IF(SER_hh_tes!Q12=0,0,11630*1000*SER_hh_tes!Q12/SER_hh_num!Q12)</f>
        <v>59580.859070181185</v>
      </c>
      <c r="R12" s="132">
        <f>IF(SER_hh_tes!R12=0,0,11630*1000*SER_hh_tes!R12/SER_hh_num!R12)</f>
        <v>58357.384889220884</v>
      </c>
      <c r="S12" s="132">
        <f>IF(SER_hh_tes!S12=0,0,11630*1000*SER_hh_tes!S12/SER_hh_num!S12)</f>
        <v>74010.56766514029</v>
      </c>
      <c r="T12" s="132">
        <f>IF(SER_hh_tes!T12=0,0,11630*1000*SER_hh_tes!T12/SER_hh_num!T12)</f>
        <v>62052.74300414035</v>
      </c>
      <c r="U12" s="132">
        <f>IF(SER_hh_tes!U12=0,0,11630*1000*SER_hh_tes!U12/SER_hh_num!U12)</f>
        <v>68802.02691972196</v>
      </c>
      <c r="V12" s="132">
        <f>IF(SER_hh_tes!V12=0,0,11630*1000*SER_hh_tes!V12/SER_hh_num!V12)</f>
        <v>68546.576177534313</v>
      </c>
      <c r="W12" s="132">
        <f>IF(SER_hh_tes!W12=0,0,11630*1000*SER_hh_tes!W12/SER_hh_num!W12)</f>
        <v>59450.351734895667</v>
      </c>
      <c r="X12" s="132">
        <f>IF(SER_hh_tes!X12=0,0,11630*1000*SER_hh_tes!X12/SER_hh_num!X12)</f>
        <v>67463.183328148356</v>
      </c>
      <c r="Y12" s="132">
        <f>IF(SER_hh_tes!Y12=0,0,11630*1000*SER_hh_tes!Y12/SER_hh_num!Y12)</f>
        <v>57171.760030946098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62843.07710908819</v>
      </c>
      <c r="C13" s="132">
        <f>IF(SER_hh_tes!C13=0,0,11630*1000*SER_hh_tes!C13/SER_hh_num!C13)</f>
        <v>67372.873001567947</v>
      </c>
      <c r="D13" s="132">
        <f>IF(SER_hh_tes!D13=0,0,11630*1000*SER_hh_tes!D13/SER_hh_num!D13)</f>
        <v>69444.14792154872</v>
      </c>
      <c r="E13" s="132">
        <f>IF(SER_hh_tes!E13=0,0,11630*1000*SER_hh_tes!E13/SER_hh_num!E13)</f>
        <v>65711.059431628397</v>
      </c>
      <c r="F13" s="132">
        <f>IF(SER_hh_tes!F13=0,0,11630*1000*SER_hh_tes!F13/SER_hh_num!F13)</f>
        <v>73206.789566717925</v>
      </c>
      <c r="G13" s="132">
        <f>IF(SER_hh_tes!G13=0,0,11630*1000*SER_hh_tes!G13/SER_hh_num!G13)</f>
        <v>72759.35244139022</v>
      </c>
      <c r="H13" s="132">
        <f>IF(SER_hh_tes!H13=0,0,11630*1000*SER_hh_tes!H13/SER_hh_num!H13)</f>
        <v>68226.897465084374</v>
      </c>
      <c r="I13" s="132">
        <f>IF(SER_hh_tes!I13=0,0,11630*1000*SER_hh_tes!I13/SER_hh_num!I13)</f>
        <v>69085.284067694578</v>
      </c>
      <c r="J13" s="132">
        <f>IF(SER_hh_tes!J13=0,0,11630*1000*SER_hh_tes!J13/SER_hh_num!J13)</f>
        <v>72737.765007831826</v>
      </c>
      <c r="K13" s="132">
        <f>IF(SER_hh_tes!K13=0,0,11630*1000*SER_hh_tes!K13/SER_hh_num!K13)</f>
        <v>74482.626080869813</v>
      </c>
      <c r="L13" s="132">
        <f>IF(SER_hh_tes!L13=0,0,11630*1000*SER_hh_tes!L13/SER_hh_num!L13)</f>
        <v>76620.752615376376</v>
      </c>
      <c r="M13" s="132">
        <f>IF(SER_hh_tes!M13=0,0,11630*1000*SER_hh_tes!M13/SER_hh_num!M13)</f>
        <v>73684.372893965643</v>
      </c>
      <c r="N13" s="132">
        <f>IF(SER_hh_tes!N13=0,0,11630*1000*SER_hh_tes!N13/SER_hh_num!N13)</f>
        <v>71644.465638576745</v>
      </c>
      <c r="O13" s="132">
        <f>IF(SER_hh_tes!O13=0,0,11630*1000*SER_hh_tes!O13/SER_hh_num!O13)</f>
        <v>69222.862798949267</v>
      </c>
      <c r="P13" s="132">
        <f>IF(SER_hh_tes!P13=0,0,11630*1000*SER_hh_tes!P13/SER_hh_num!P13)</f>
        <v>64448.963327222278</v>
      </c>
      <c r="Q13" s="132">
        <f>IF(SER_hh_tes!Q13=0,0,11630*1000*SER_hh_tes!Q13/SER_hh_num!Q13)</f>
        <v>64151.911863887653</v>
      </c>
      <c r="R13" s="132">
        <f>IF(SER_hh_tes!R13=0,0,11630*1000*SER_hh_tes!R13/SER_hh_num!R13)</f>
        <v>64553.537042822034</v>
      </c>
      <c r="S13" s="132">
        <f>IF(SER_hh_tes!S13=0,0,11630*1000*SER_hh_tes!S13/SER_hh_num!S13)</f>
        <v>66119.130381115072</v>
      </c>
      <c r="T13" s="132">
        <f>IF(SER_hh_tes!T13=0,0,11630*1000*SER_hh_tes!T13/SER_hh_num!T13)</f>
        <v>66458.761047921478</v>
      </c>
      <c r="U13" s="132">
        <f>IF(SER_hh_tes!U13=0,0,11630*1000*SER_hh_tes!U13/SER_hh_num!U13)</f>
        <v>65334.488823967986</v>
      </c>
      <c r="V13" s="132">
        <f>IF(SER_hh_tes!V13=0,0,11630*1000*SER_hh_tes!V13/SER_hh_num!V13)</f>
        <v>63443.994967061553</v>
      </c>
      <c r="W13" s="132">
        <f>IF(SER_hh_tes!W13=0,0,11630*1000*SER_hh_tes!W13/SER_hh_num!W13)</f>
        <v>62564.225528414601</v>
      </c>
      <c r="X13" s="132">
        <f>IF(SER_hh_tes!X13=0,0,11630*1000*SER_hh_tes!X13/SER_hh_num!X13)</f>
        <v>62100.020267843262</v>
      </c>
      <c r="Y13" s="132">
        <f>IF(SER_hh_tes!Y13=0,0,11630*1000*SER_hh_tes!Y13/SER_hh_num!Y13)</f>
        <v>62965.024585771469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64085.181950540129</v>
      </c>
      <c r="C14" s="65">
        <f>IF(SER_hh_tes!C14=0,0,11630*1000*SER_hh_tes!C14/SER_hh_num!C14)</f>
        <v>71744.505333499052</v>
      </c>
      <c r="D14" s="65">
        <f>IF(SER_hh_tes!D14=0,0,11630*1000*SER_hh_tes!D14/SER_hh_num!D14)</f>
        <v>68871.633744391103</v>
      </c>
      <c r="E14" s="65">
        <f>IF(SER_hh_tes!E14=0,0,11630*1000*SER_hh_tes!E14/SER_hh_num!E14)</f>
        <v>74672.774535673394</v>
      </c>
      <c r="F14" s="65">
        <f>IF(SER_hh_tes!F14=0,0,11630*1000*SER_hh_tes!F14/SER_hh_num!F14)</f>
        <v>78981.247119761785</v>
      </c>
      <c r="G14" s="65">
        <f>IF(SER_hh_tes!G14=0,0,11630*1000*SER_hh_tes!G14/SER_hh_num!G14)</f>
        <v>74878.86954018916</v>
      </c>
      <c r="H14" s="65">
        <f>IF(SER_hh_tes!H14=0,0,11630*1000*SER_hh_tes!H14/SER_hh_num!H14)</f>
        <v>73919.010756360352</v>
      </c>
      <c r="I14" s="65">
        <f>IF(SER_hh_tes!I14=0,0,11630*1000*SER_hh_tes!I14/SER_hh_num!I14)</f>
        <v>72869.524127540586</v>
      </c>
      <c r="J14" s="65">
        <f>IF(SER_hh_tes!J14=0,0,11630*1000*SER_hh_tes!J14/SER_hh_num!J14)</f>
        <v>71878.67037762636</v>
      </c>
      <c r="K14" s="65">
        <f>IF(SER_hh_tes!K14=0,0,11630*1000*SER_hh_tes!K14/SER_hh_num!K14)</f>
        <v>76716.191000439532</v>
      </c>
      <c r="L14" s="65">
        <f>IF(SER_hh_tes!L14=0,0,11630*1000*SER_hh_tes!L14/SER_hh_num!L14)</f>
        <v>76919.809728218694</v>
      </c>
      <c r="M14" s="65">
        <f>IF(SER_hh_tes!M14=0,0,11630*1000*SER_hh_tes!M14/SER_hh_num!M14)</f>
        <v>74657.216064759079</v>
      </c>
      <c r="N14" s="65">
        <f>IF(SER_hh_tes!N14=0,0,11630*1000*SER_hh_tes!N14/SER_hh_num!N14)</f>
        <v>74119.654033621351</v>
      </c>
      <c r="O14" s="65">
        <f>IF(SER_hh_tes!O14=0,0,11630*1000*SER_hh_tes!O14/SER_hh_num!O14)</f>
        <v>77810.880334776113</v>
      </c>
      <c r="P14" s="65">
        <f>IF(SER_hh_tes!P14=0,0,11630*1000*SER_hh_tes!P14/SER_hh_num!P14)</f>
        <v>60370.888061933125</v>
      </c>
      <c r="Q14" s="65">
        <f>IF(SER_hh_tes!Q14=0,0,11630*1000*SER_hh_tes!Q14/SER_hh_num!Q14)</f>
        <v>59064.661836709602</v>
      </c>
      <c r="R14" s="65">
        <f>IF(SER_hh_tes!R14=0,0,11630*1000*SER_hh_tes!R14/SER_hh_num!R14)</f>
        <v>60675.463509070432</v>
      </c>
      <c r="S14" s="65">
        <f>IF(SER_hh_tes!S14=0,0,11630*1000*SER_hh_tes!S14/SER_hh_num!S14)</f>
        <v>68112.179721209483</v>
      </c>
      <c r="T14" s="65">
        <f>IF(SER_hh_tes!T14=0,0,11630*1000*SER_hh_tes!T14/SER_hh_num!T14)</f>
        <v>74305.085637973607</v>
      </c>
      <c r="U14" s="65">
        <f>IF(SER_hh_tes!U14=0,0,11630*1000*SER_hh_tes!U14/SER_hh_num!U14)</f>
        <v>64979.696866862017</v>
      </c>
      <c r="V14" s="65">
        <f>IF(SER_hh_tes!V14=0,0,11630*1000*SER_hh_tes!V14/SER_hh_num!V14)</f>
        <v>53718.237317281659</v>
      </c>
      <c r="W14" s="65">
        <f>IF(SER_hh_tes!W14=0,0,11630*1000*SER_hh_tes!W14/SER_hh_num!W14)</f>
        <v>61770.3842475446</v>
      </c>
      <c r="X14" s="65">
        <f>IF(SER_hh_tes!X14=0,0,11630*1000*SER_hh_tes!X14/SER_hh_num!X14)</f>
        <v>65625.741233463181</v>
      </c>
      <c r="Y14" s="65">
        <f>IF(SER_hh_tes!Y14=0,0,11630*1000*SER_hh_tes!Y14/SER_hh_num!Y14)</f>
        <v>60721.045783641282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1180.6667092240639</v>
      </c>
      <c r="C15" s="134">
        <f>IF(SER_hh_tes!C15=0,0,11630*1000*SER_hh_tes!C15/SER_hh_num!C15)</f>
        <v>1239.3825462646619</v>
      </c>
      <c r="D15" s="134">
        <f>IF(SER_hh_tes!D15=0,0,11630*1000*SER_hh_tes!D15/SER_hh_num!D15)</f>
        <v>1157.0237187011458</v>
      </c>
      <c r="E15" s="134">
        <f>IF(SER_hh_tes!E15=0,0,11630*1000*SER_hh_tes!E15/SER_hh_num!E15)</f>
        <v>1229.0553515176789</v>
      </c>
      <c r="F15" s="134">
        <f>IF(SER_hh_tes!F15=0,0,11630*1000*SER_hh_tes!F15/SER_hh_num!F15)</f>
        <v>1363.6466773261889</v>
      </c>
      <c r="G15" s="134">
        <f>IF(SER_hh_tes!G15=0,0,11630*1000*SER_hh_tes!G15/SER_hh_num!G15)</f>
        <v>1217.291707166944</v>
      </c>
      <c r="H15" s="134">
        <f>IF(SER_hh_tes!H15=0,0,11630*1000*SER_hh_tes!H15/SER_hh_num!H15)</f>
        <v>1199.0214499404494</v>
      </c>
      <c r="I15" s="134">
        <f>IF(SER_hh_tes!I15=0,0,11630*1000*SER_hh_tes!I15/SER_hh_num!I15)</f>
        <v>1033.691734238249</v>
      </c>
      <c r="J15" s="134">
        <f>IF(SER_hh_tes!J15=0,0,11630*1000*SER_hh_tes!J15/SER_hh_num!J15)</f>
        <v>1102.9923723098809</v>
      </c>
      <c r="K15" s="134">
        <f>IF(SER_hh_tes!K15=0,0,11630*1000*SER_hh_tes!K15/SER_hh_num!K15)</f>
        <v>1147.854993536655</v>
      </c>
      <c r="L15" s="134">
        <f>IF(SER_hh_tes!L15=0,0,11630*1000*SER_hh_tes!L15/SER_hh_num!L15)</f>
        <v>1312.7732947039842</v>
      </c>
      <c r="M15" s="134">
        <f>IF(SER_hh_tes!M15=0,0,11630*1000*SER_hh_tes!M15/SER_hh_num!M15)</f>
        <v>1024.0540497451141</v>
      </c>
      <c r="N15" s="134">
        <f>IF(SER_hh_tes!N15=0,0,11630*1000*SER_hh_tes!N15/SER_hh_num!N15)</f>
        <v>1150.2506942104678</v>
      </c>
      <c r="O15" s="134">
        <f>IF(SER_hh_tes!O15=0,0,11630*1000*SER_hh_tes!O15/SER_hh_num!O15)</f>
        <v>1169.2461053351003</v>
      </c>
      <c r="P15" s="134">
        <f>IF(SER_hh_tes!P15=0,0,11630*1000*SER_hh_tes!P15/SER_hh_num!P15)</f>
        <v>902.33715195795992</v>
      </c>
      <c r="Q15" s="134">
        <f>IF(SER_hh_tes!Q15=0,0,11630*1000*SER_hh_tes!Q15/SER_hh_num!Q15)</f>
        <v>972.29187005666677</v>
      </c>
      <c r="R15" s="134">
        <f>IF(SER_hh_tes!R15=0,0,11630*1000*SER_hh_tes!R15/SER_hh_num!R15)</f>
        <v>981.74334649453499</v>
      </c>
      <c r="S15" s="134">
        <f>IF(SER_hh_tes!S15=0,0,11630*1000*SER_hh_tes!S15/SER_hh_num!S15)</f>
        <v>993.10833467880377</v>
      </c>
      <c r="T15" s="134">
        <f>IF(SER_hh_tes!T15=0,0,11630*1000*SER_hh_tes!T15/SER_hh_num!T15)</f>
        <v>990.62665932100072</v>
      </c>
      <c r="U15" s="134">
        <f>IF(SER_hh_tes!U15=0,0,11630*1000*SER_hh_tes!U15/SER_hh_num!U15)</f>
        <v>951.57506274036871</v>
      </c>
      <c r="V15" s="134">
        <f>IF(SER_hh_tes!V15=0,0,11630*1000*SER_hh_tes!V15/SER_hh_num!V15)</f>
        <v>882.70265365925172</v>
      </c>
      <c r="W15" s="134">
        <f>IF(SER_hh_tes!W15=0,0,11630*1000*SER_hh_tes!W15/SER_hh_num!W15)</f>
        <v>988.87998698963804</v>
      </c>
      <c r="X15" s="134">
        <f>IF(SER_hh_tes!X15=0,0,11630*1000*SER_hh_tes!X15/SER_hh_num!X15)</f>
        <v>864.09890718604902</v>
      </c>
      <c r="Y15" s="134">
        <f>IF(SER_hh_tes!Y15=0,0,11630*1000*SER_hh_tes!Y15/SER_hh_num!Y15)</f>
        <v>837.55514812819854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25320.154479035606</v>
      </c>
      <c r="C16" s="130">
        <f>IF(SER_hh_tes!C16=0,0,11630*1000*SER_hh_tes!C16/SER_hh_num!C16)</f>
        <v>25919.568333308358</v>
      </c>
      <c r="D16" s="130">
        <f>IF(SER_hh_tes!D16=0,0,11630*1000*SER_hh_tes!D16/SER_hh_num!D16)</f>
        <v>25692.383643247431</v>
      </c>
      <c r="E16" s="130">
        <f>IF(SER_hh_tes!E16=0,0,11630*1000*SER_hh_tes!E16/SER_hh_num!E16)</f>
        <v>28238.485088131252</v>
      </c>
      <c r="F16" s="130">
        <f>IF(SER_hh_tes!F16=0,0,11630*1000*SER_hh_tes!F16/SER_hh_num!F16)</f>
        <v>25837.250198780508</v>
      </c>
      <c r="G16" s="130">
        <f>IF(SER_hh_tes!G16=0,0,11630*1000*SER_hh_tes!G16/SER_hh_num!G16)</f>
        <v>25543.655599478505</v>
      </c>
      <c r="H16" s="130">
        <f>IF(SER_hh_tes!H16=0,0,11630*1000*SER_hh_tes!H16/SER_hh_num!H16)</f>
        <v>27993.425457532067</v>
      </c>
      <c r="I16" s="130">
        <f>IF(SER_hh_tes!I16=0,0,11630*1000*SER_hh_tes!I16/SER_hh_num!I16)</f>
        <v>25651.571068132329</v>
      </c>
      <c r="J16" s="130">
        <f>IF(SER_hh_tes!J16=0,0,11630*1000*SER_hh_tes!J16/SER_hh_num!J16)</f>
        <v>25833.128672136481</v>
      </c>
      <c r="K16" s="130">
        <f>IF(SER_hh_tes!K16=0,0,11630*1000*SER_hh_tes!K16/SER_hh_num!K16)</f>
        <v>26030.966805858137</v>
      </c>
      <c r="L16" s="130">
        <f>IF(SER_hh_tes!L16=0,0,11630*1000*SER_hh_tes!L16/SER_hh_num!L16)</f>
        <v>27005.55179051981</v>
      </c>
      <c r="M16" s="130">
        <f>IF(SER_hh_tes!M16=0,0,11630*1000*SER_hh_tes!M16/SER_hh_num!M16)</f>
        <v>26222.832691960066</v>
      </c>
      <c r="N16" s="130">
        <f>IF(SER_hh_tes!N16=0,0,11630*1000*SER_hh_tes!N16/SER_hh_num!N16)</f>
        <v>26461.254520285656</v>
      </c>
      <c r="O16" s="130">
        <f>IF(SER_hh_tes!O16=0,0,11630*1000*SER_hh_tes!O16/SER_hh_num!O16)</f>
        <v>26740.366133118037</v>
      </c>
      <c r="P16" s="130">
        <f>IF(SER_hh_tes!P16=0,0,11630*1000*SER_hh_tes!P16/SER_hh_num!P16)</f>
        <v>26557.326315140086</v>
      </c>
      <c r="Q16" s="130">
        <f>IF(SER_hh_tes!Q16=0,0,11630*1000*SER_hh_tes!Q16/SER_hh_num!Q16)</f>
        <v>27733.312473703903</v>
      </c>
      <c r="R16" s="130">
        <f>IF(SER_hh_tes!R16=0,0,11630*1000*SER_hh_tes!R16/SER_hh_num!R16)</f>
        <v>27133.132079735737</v>
      </c>
      <c r="S16" s="130">
        <f>IF(SER_hh_tes!S16=0,0,11630*1000*SER_hh_tes!S16/SER_hh_num!S16)</f>
        <v>26668.621721252333</v>
      </c>
      <c r="T16" s="130">
        <f>IF(SER_hh_tes!T16=0,0,11630*1000*SER_hh_tes!T16/SER_hh_num!T16)</f>
        <v>29566.685255136967</v>
      </c>
      <c r="U16" s="130">
        <f>IF(SER_hh_tes!U16=0,0,11630*1000*SER_hh_tes!U16/SER_hh_num!U16)</f>
        <v>29284.306665833858</v>
      </c>
      <c r="V16" s="130">
        <f>IF(SER_hh_tes!V16=0,0,11630*1000*SER_hh_tes!V16/SER_hh_num!V16)</f>
        <v>28665.818911303093</v>
      </c>
      <c r="W16" s="130">
        <f>IF(SER_hh_tes!W16=0,0,11630*1000*SER_hh_tes!W16/SER_hh_num!W16)</f>
        <v>26266.800893434585</v>
      </c>
      <c r="X16" s="130">
        <f>IF(SER_hh_tes!X16=0,0,11630*1000*SER_hh_tes!X16/SER_hh_num!X16)</f>
        <v>27767.169707966976</v>
      </c>
      <c r="Y16" s="130">
        <f>IF(SER_hh_tes!Y16=0,0,11630*1000*SER_hh_tes!Y16/SER_hh_num!Y16)</f>
        <v>27023.056912100317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25320.154479035609</v>
      </c>
      <c r="C17" s="132">
        <f>IF(SER_hh_tes!C17=0,0,11630*1000*SER_hh_tes!C17/SER_hh_num!C17)</f>
        <v>25919.56833330842</v>
      </c>
      <c r="D17" s="132">
        <f>IF(SER_hh_tes!D17=0,0,11630*1000*SER_hh_tes!D17/SER_hh_num!D17)</f>
        <v>25692.383643185629</v>
      </c>
      <c r="E17" s="132">
        <f>IF(SER_hh_tes!E17=0,0,11630*1000*SER_hh_tes!E17/SER_hh_num!E17)</f>
        <v>28238.485088144964</v>
      </c>
      <c r="F17" s="132">
        <f>IF(SER_hh_tes!F17=0,0,11630*1000*SER_hh_tes!F17/SER_hh_num!F17)</f>
        <v>25837.250198839945</v>
      </c>
      <c r="G17" s="132">
        <f>IF(SER_hh_tes!G17=0,0,11630*1000*SER_hh_tes!G17/SER_hh_num!G17)</f>
        <v>25543.655599515136</v>
      </c>
      <c r="H17" s="132">
        <f>IF(SER_hh_tes!H17=0,0,11630*1000*SER_hh_tes!H17/SER_hh_num!H17)</f>
        <v>27993.425457530946</v>
      </c>
      <c r="I17" s="132">
        <f>IF(SER_hh_tes!I17=0,0,11630*1000*SER_hh_tes!I17/SER_hh_num!I17)</f>
        <v>25651.571068110567</v>
      </c>
      <c r="J17" s="132">
        <f>IF(SER_hh_tes!J17=0,0,11630*1000*SER_hh_tes!J17/SER_hh_num!J17)</f>
        <v>25833.128672115556</v>
      </c>
      <c r="K17" s="132">
        <f>IF(SER_hh_tes!K17=0,0,11630*1000*SER_hh_tes!K17/SER_hh_num!K17)</f>
        <v>26030.966805838092</v>
      </c>
      <c r="L17" s="132">
        <f>IF(SER_hh_tes!L17=0,0,11630*1000*SER_hh_tes!L17/SER_hh_num!L17)</f>
        <v>27005.551790503494</v>
      </c>
      <c r="M17" s="132">
        <f>IF(SER_hh_tes!M17=0,0,11630*1000*SER_hh_tes!M17/SER_hh_num!M17)</f>
        <v>26222.832691956668</v>
      </c>
      <c r="N17" s="132">
        <f>IF(SER_hh_tes!N17=0,0,11630*1000*SER_hh_tes!N17/SER_hh_num!N17)</f>
        <v>26461.254520290793</v>
      </c>
      <c r="O17" s="132">
        <f>IF(SER_hh_tes!O17=0,0,11630*1000*SER_hh_tes!O17/SER_hh_num!O17)</f>
        <v>26740.366133228639</v>
      </c>
      <c r="P17" s="132">
        <f>IF(SER_hh_tes!P17=0,0,11630*1000*SER_hh_tes!P17/SER_hh_num!P17)</f>
        <v>26557.326315318362</v>
      </c>
      <c r="Q17" s="132">
        <f>IF(SER_hh_tes!Q17=0,0,11630*1000*SER_hh_tes!Q17/SER_hh_num!Q17)</f>
        <v>27248.378771330776</v>
      </c>
      <c r="R17" s="132">
        <f>IF(SER_hh_tes!R17=0,0,11630*1000*SER_hh_tes!R17/SER_hh_num!R17)</f>
        <v>27133.132079653413</v>
      </c>
      <c r="S17" s="132">
        <f>IF(SER_hh_tes!S17=0,0,11630*1000*SER_hh_tes!S17/SER_hh_num!S17)</f>
        <v>28021.385404363002</v>
      </c>
      <c r="T17" s="132">
        <f>IF(SER_hh_tes!T17=0,0,11630*1000*SER_hh_tes!T17/SER_hh_num!T17)</f>
        <v>28898.509410009756</v>
      </c>
      <c r="U17" s="132">
        <f>IF(SER_hh_tes!U17=0,0,11630*1000*SER_hh_tes!U17/SER_hh_num!U17)</f>
        <v>29284.306665692577</v>
      </c>
      <c r="V17" s="132">
        <f>IF(SER_hh_tes!V17=0,0,11630*1000*SER_hh_tes!V17/SER_hh_num!V17)</f>
        <v>30170.689013674306</v>
      </c>
      <c r="W17" s="132">
        <f>IF(SER_hh_tes!W17=0,0,11630*1000*SER_hh_tes!W17/SER_hh_num!W17)</f>
        <v>32082.541667584428</v>
      </c>
      <c r="X17" s="132">
        <f>IF(SER_hh_tes!X17=0,0,11630*1000*SER_hh_tes!X17/SER_hh_num!X17)</f>
        <v>28148.917222275304</v>
      </c>
      <c r="Y17" s="132">
        <f>IF(SER_hh_tes!Y17=0,0,11630*1000*SER_hh_tes!Y17/SER_hh_num!Y17)</f>
        <v>27023.056912337972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25320.154479035609</v>
      </c>
      <c r="C18" s="132">
        <f>IF(SER_hh_tes!C18=0,0,11630*1000*SER_hh_tes!C18/SER_hh_num!C18)</f>
        <v>25919.568333308358</v>
      </c>
      <c r="D18" s="132">
        <f>IF(SER_hh_tes!D18=0,0,11630*1000*SER_hh_tes!D18/SER_hh_num!D18)</f>
        <v>25692.383643247624</v>
      </c>
      <c r="E18" s="132">
        <f>IF(SER_hh_tes!E18=0,0,11630*1000*SER_hh_tes!E18/SER_hh_num!E18)</f>
        <v>28238.485088131209</v>
      </c>
      <c r="F18" s="132">
        <f>IF(SER_hh_tes!F18=0,0,11630*1000*SER_hh_tes!F18/SER_hh_num!F18)</f>
        <v>25837.250198780286</v>
      </c>
      <c r="G18" s="132">
        <f>IF(SER_hh_tes!G18=0,0,11630*1000*SER_hh_tes!G18/SER_hh_num!G18)</f>
        <v>25543.655599478363</v>
      </c>
      <c r="H18" s="132">
        <f>IF(SER_hh_tes!H18=0,0,11630*1000*SER_hh_tes!H18/SER_hh_num!H18)</f>
        <v>27993.42545753207</v>
      </c>
      <c r="I18" s="132">
        <f>IF(SER_hh_tes!I18=0,0,11630*1000*SER_hh_tes!I18/SER_hh_num!I18)</f>
        <v>25651.571068132442</v>
      </c>
      <c r="J18" s="132">
        <f>IF(SER_hh_tes!J18=0,0,11630*1000*SER_hh_tes!J18/SER_hh_num!J18)</f>
        <v>25833.128672136598</v>
      </c>
      <c r="K18" s="132">
        <f>IF(SER_hh_tes!K18=0,0,11630*1000*SER_hh_tes!K18/SER_hh_num!K18)</f>
        <v>26030.966805858254</v>
      </c>
      <c r="L18" s="132">
        <f>IF(SER_hh_tes!L18=0,0,11630*1000*SER_hh_tes!L18/SER_hh_num!L18)</f>
        <v>27005.551790519909</v>
      </c>
      <c r="M18" s="132">
        <f>IF(SER_hh_tes!M18=0,0,11630*1000*SER_hh_tes!M18/SER_hh_num!M18)</f>
        <v>26222.832691960088</v>
      </c>
      <c r="N18" s="132">
        <f>IF(SER_hh_tes!N18=0,0,11630*1000*SER_hh_tes!N18/SER_hh_num!N18)</f>
        <v>26461.254520285613</v>
      </c>
      <c r="O18" s="132">
        <f>IF(SER_hh_tes!O18=0,0,11630*1000*SER_hh_tes!O18/SER_hh_num!O18)</f>
        <v>26740.366133117073</v>
      </c>
      <c r="P18" s="132">
        <f>IF(SER_hh_tes!P18=0,0,11630*1000*SER_hh_tes!P18/SER_hh_num!P18)</f>
        <v>26557.326315138038</v>
      </c>
      <c r="Q18" s="132">
        <f>IF(SER_hh_tes!Q18=0,0,11630*1000*SER_hh_tes!Q18/SER_hh_num!Q18)</f>
        <v>27740.711857991118</v>
      </c>
      <c r="R18" s="132">
        <f>IF(SER_hh_tes!R18=0,0,11630*1000*SER_hh_tes!R18/SER_hh_num!R18)</f>
        <v>27133.132079737316</v>
      </c>
      <c r="S18" s="132">
        <f>IF(SER_hh_tes!S18=0,0,11630*1000*SER_hh_tes!S18/SER_hh_num!S18)</f>
        <v>26639.157730740917</v>
      </c>
      <c r="T18" s="132">
        <f>IF(SER_hh_tes!T18=0,0,11630*1000*SER_hh_tes!T18/SER_hh_num!T18)</f>
        <v>29582.518706085921</v>
      </c>
      <c r="U18" s="132">
        <f>IF(SER_hh_tes!U18=0,0,11630*1000*SER_hh_tes!U18/SER_hh_num!U18)</f>
        <v>29284.306665837408</v>
      </c>
      <c r="V18" s="132">
        <f>IF(SER_hh_tes!V18=0,0,11630*1000*SER_hh_tes!V18/SER_hh_num!V18)</f>
        <v>28626.905927235301</v>
      </c>
      <c r="W18" s="132">
        <f>IF(SER_hh_tes!W18=0,0,11630*1000*SER_hh_tes!W18/SER_hh_num!W18)</f>
        <v>26115.493564734039</v>
      </c>
      <c r="X18" s="132">
        <f>IF(SER_hh_tes!X18=0,0,11630*1000*SER_hh_tes!X18/SER_hh_num!X18)</f>
        <v>27756.961539449607</v>
      </c>
      <c r="Y18" s="132">
        <f>IF(SER_hh_tes!Y18=0,0,11630*1000*SER_hh_tes!Y18/SER_hh_num!Y18)</f>
        <v>27023.056912093944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15458.002119072882</v>
      </c>
      <c r="C19" s="130">
        <f>IF(SER_hh_tes!C19=0,0,11630*1000*SER_hh_tes!C19/SER_hh_num!C19)</f>
        <v>15255.72634759967</v>
      </c>
      <c r="D19" s="130">
        <f>IF(SER_hh_tes!D19=0,0,11630*1000*SER_hh_tes!D19/SER_hh_num!D19)</f>
        <v>15208.766705318698</v>
      </c>
      <c r="E19" s="130">
        <f>IF(SER_hh_tes!E19=0,0,11630*1000*SER_hh_tes!E19/SER_hh_num!E19)</f>
        <v>15110.158392587979</v>
      </c>
      <c r="F19" s="130">
        <f>IF(SER_hh_tes!F19=0,0,11630*1000*SER_hh_tes!F19/SER_hh_num!F19)</f>
        <v>15191.5078212267</v>
      </c>
      <c r="G19" s="130">
        <f>IF(SER_hh_tes!G19=0,0,11630*1000*SER_hh_tes!G19/SER_hh_num!G19)</f>
        <v>14973.725263589351</v>
      </c>
      <c r="H19" s="130">
        <f>IF(SER_hh_tes!H19=0,0,11630*1000*SER_hh_tes!H19/SER_hh_num!H19)</f>
        <v>14590.912200746716</v>
      </c>
      <c r="I19" s="130">
        <f>IF(SER_hh_tes!I19=0,0,11630*1000*SER_hh_tes!I19/SER_hh_num!I19)</f>
        <v>14151.57211820874</v>
      </c>
      <c r="J19" s="130">
        <f>IF(SER_hh_tes!J19=0,0,11630*1000*SER_hh_tes!J19/SER_hh_num!J19)</f>
        <v>13916.906331189535</v>
      </c>
      <c r="K19" s="130">
        <f>IF(SER_hh_tes!K19=0,0,11630*1000*SER_hh_tes!K19/SER_hh_num!K19)</f>
        <v>14041.271312056282</v>
      </c>
      <c r="L19" s="130">
        <f>IF(SER_hh_tes!L19=0,0,11630*1000*SER_hh_tes!L19/SER_hh_num!L19)</f>
        <v>13967.715815090822</v>
      </c>
      <c r="M19" s="130">
        <f>IF(SER_hh_tes!M19=0,0,11630*1000*SER_hh_tes!M19/SER_hh_num!M19)</f>
        <v>13869.132216359922</v>
      </c>
      <c r="N19" s="130">
        <f>IF(SER_hh_tes!N19=0,0,11630*1000*SER_hh_tes!N19/SER_hh_num!N19)</f>
        <v>13898.410151047205</v>
      </c>
      <c r="O19" s="130">
        <f>IF(SER_hh_tes!O19=0,0,11630*1000*SER_hh_tes!O19/SER_hh_num!O19)</f>
        <v>13889.40948218162</v>
      </c>
      <c r="P19" s="130">
        <f>IF(SER_hh_tes!P19=0,0,11630*1000*SER_hh_tes!P19/SER_hh_num!P19)</f>
        <v>13886.886578970381</v>
      </c>
      <c r="Q19" s="130">
        <f>IF(SER_hh_tes!Q19=0,0,11630*1000*SER_hh_tes!Q19/SER_hh_num!Q19)</f>
        <v>13959.623730369627</v>
      </c>
      <c r="R19" s="130">
        <f>IF(SER_hh_tes!R19=0,0,11630*1000*SER_hh_tes!R19/SER_hh_num!R19)</f>
        <v>13811.253248105138</v>
      </c>
      <c r="S19" s="130">
        <f>IF(SER_hh_tes!S19=0,0,11630*1000*SER_hh_tes!S19/SER_hh_num!S19)</f>
        <v>13828.13104865618</v>
      </c>
      <c r="T19" s="130">
        <f>IF(SER_hh_tes!T19=0,0,11630*1000*SER_hh_tes!T19/SER_hh_num!T19)</f>
        <v>13829.865590984466</v>
      </c>
      <c r="U19" s="130">
        <f>IF(SER_hh_tes!U19=0,0,11630*1000*SER_hh_tes!U19/SER_hh_num!U19)</f>
        <v>13844.021860172923</v>
      </c>
      <c r="V19" s="130">
        <f>IF(SER_hh_tes!V19=0,0,11630*1000*SER_hh_tes!V19/SER_hh_num!V19)</f>
        <v>13496.81479810473</v>
      </c>
      <c r="W19" s="130">
        <f>IF(SER_hh_tes!W19=0,0,11630*1000*SER_hh_tes!W19/SER_hh_num!W19)</f>
        <v>13965.462369657662</v>
      </c>
      <c r="X19" s="130">
        <f>IF(SER_hh_tes!X19=0,0,11630*1000*SER_hh_tes!X19/SER_hh_num!X19)</f>
        <v>14122.51318494557</v>
      </c>
      <c r="Y19" s="130">
        <f>IF(SER_hh_tes!Y19=0,0,11630*1000*SER_hh_tes!Y19/SER_hh_num!Y19)</f>
        <v>14225.477749035648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15501.700718889064</v>
      </c>
      <c r="C22" s="132">
        <f>IF(SER_hh_tes!C22=0,0,11630*1000*SER_hh_tes!C22/SER_hh_num!C22)</f>
        <v>15269.621974536116</v>
      </c>
      <c r="D22" s="132">
        <f>IF(SER_hh_tes!D22=0,0,11630*1000*SER_hh_tes!D22/SER_hh_num!D22)</f>
        <v>15161.953174415907</v>
      </c>
      <c r="E22" s="132">
        <f>IF(SER_hh_tes!E22=0,0,11630*1000*SER_hh_tes!E22/SER_hh_num!E22)</f>
        <v>15033.258773810237</v>
      </c>
      <c r="F22" s="132">
        <f>IF(SER_hh_tes!F22=0,0,11630*1000*SER_hh_tes!F22/SER_hh_num!F22)</f>
        <v>15041.901721691966</v>
      </c>
      <c r="G22" s="132">
        <f>IF(SER_hh_tes!G22=0,0,11630*1000*SER_hh_tes!G22/SER_hh_num!G22)</f>
        <v>14878.425406230755</v>
      </c>
      <c r="H22" s="132">
        <f>IF(SER_hh_tes!H22=0,0,11630*1000*SER_hh_tes!H22/SER_hh_num!H22)</f>
        <v>14482.953573884355</v>
      </c>
      <c r="I22" s="132">
        <f>IF(SER_hh_tes!I22=0,0,11630*1000*SER_hh_tes!I22/SER_hh_num!I22)</f>
        <v>14153.111613762081</v>
      </c>
      <c r="J22" s="132">
        <f>IF(SER_hh_tes!J22=0,0,11630*1000*SER_hh_tes!J22/SER_hh_num!J22)</f>
        <v>14089.172662621349</v>
      </c>
      <c r="K22" s="132">
        <f>IF(SER_hh_tes!K22=0,0,11630*1000*SER_hh_tes!K22/SER_hh_num!K22)</f>
        <v>14032.826437257705</v>
      </c>
      <c r="L22" s="132">
        <f>IF(SER_hh_tes!L22=0,0,11630*1000*SER_hh_tes!L22/SER_hh_num!L22)</f>
        <v>13824.742281547742</v>
      </c>
      <c r="M22" s="132">
        <f>IF(SER_hh_tes!M22=0,0,11630*1000*SER_hh_tes!M22/SER_hh_num!M22)</f>
        <v>13751.212830856091</v>
      </c>
      <c r="N22" s="132">
        <f>IF(SER_hh_tes!N22=0,0,11630*1000*SER_hh_tes!N22/SER_hh_num!N22)</f>
        <v>13935.214603064556</v>
      </c>
      <c r="O22" s="132">
        <f>IF(SER_hh_tes!O22=0,0,11630*1000*SER_hh_tes!O22/SER_hh_num!O22)</f>
        <v>13815.038260299405</v>
      </c>
      <c r="P22" s="132">
        <f>IF(SER_hh_tes!P22=0,0,11630*1000*SER_hh_tes!P22/SER_hh_num!P22)</f>
        <v>13596.184326856534</v>
      </c>
      <c r="Q22" s="132">
        <f>IF(SER_hh_tes!Q22=0,0,11630*1000*SER_hh_tes!Q22/SER_hh_num!Q22)</f>
        <v>14112.780729029084</v>
      </c>
      <c r="R22" s="132">
        <f>IF(SER_hh_tes!R22=0,0,11630*1000*SER_hh_tes!R22/SER_hh_num!R22)</f>
        <v>13921.783675536535</v>
      </c>
      <c r="S22" s="132">
        <f>IF(SER_hh_tes!S22=0,0,11630*1000*SER_hh_tes!S22/SER_hh_num!S22)</f>
        <v>13756.784287945506</v>
      </c>
      <c r="T22" s="132">
        <f>IF(SER_hh_tes!T22=0,0,11630*1000*SER_hh_tes!T22/SER_hh_num!T22)</f>
        <v>13857.355191821052</v>
      </c>
      <c r="U22" s="132">
        <f>IF(SER_hh_tes!U22=0,0,11630*1000*SER_hh_tes!U22/SER_hh_num!U22)</f>
        <v>13849.23889510554</v>
      </c>
      <c r="V22" s="132">
        <f>IF(SER_hh_tes!V22=0,0,11630*1000*SER_hh_tes!V22/SER_hh_num!V22)</f>
        <v>13405.337882669166</v>
      </c>
      <c r="W22" s="132">
        <f>IF(SER_hh_tes!W22=0,0,11630*1000*SER_hh_tes!W22/SER_hh_num!W22)</f>
        <v>14306.629659631721</v>
      </c>
      <c r="X22" s="132">
        <f>IF(SER_hh_tes!X22=0,0,11630*1000*SER_hh_tes!X22/SER_hh_num!X22)</f>
        <v>13794.096622781864</v>
      </c>
      <c r="Y22" s="132">
        <f>IF(SER_hh_tes!Y22=0,0,11630*1000*SER_hh_tes!Y22/SER_hh_num!Y22)</f>
        <v>14353.727585215054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15221.270904878094</v>
      </c>
      <c r="C23" s="132">
        <f>IF(SER_hh_tes!C23=0,0,11630*1000*SER_hh_tes!C23/SER_hh_num!C23)</f>
        <v>15097.04509228642</v>
      </c>
      <c r="D23" s="132">
        <f>IF(SER_hh_tes!D23=0,0,11630*1000*SER_hh_tes!D23/SER_hh_num!D23)</f>
        <v>15717.554674598287</v>
      </c>
      <c r="E23" s="132">
        <f>IF(SER_hh_tes!E23=0,0,11630*1000*SER_hh_tes!E23/SER_hh_num!E23)</f>
        <v>15082.097557174686</v>
      </c>
      <c r="F23" s="132">
        <f>IF(SER_hh_tes!F23=0,0,11630*1000*SER_hh_tes!F23/SER_hh_num!F23)</f>
        <v>14948.902131748524</v>
      </c>
      <c r="G23" s="132">
        <f>IF(SER_hh_tes!G23=0,0,11630*1000*SER_hh_tes!G23/SER_hh_num!G23)</f>
        <v>14828.537951683777</v>
      </c>
      <c r="H23" s="132">
        <f>IF(SER_hh_tes!H23=0,0,11630*1000*SER_hh_tes!H23/SER_hh_num!H23)</f>
        <v>14654.514111019711</v>
      </c>
      <c r="I23" s="132">
        <f>IF(SER_hh_tes!I23=0,0,11630*1000*SER_hh_tes!I23/SER_hh_num!I23)</f>
        <v>14180.761650116578</v>
      </c>
      <c r="J23" s="132">
        <f>IF(SER_hh_tes!J23=0,0,11630*1000*SER_hh_tes!J23/SER_hh_num!J23)</f>
        <v>13921.275289647801</v>
      </c>
      <c r="K23" s="132">
        <f>IF(SER_hh_tes!K23=0,0,11630*1000*SER_hh_tes!K23/SER_hh_num!K23)</f>
        <v>13977.360943107735</v>
      </c>
      <c r="L23" s="132">
        <f>IF(SER_hh_tes!L23=0,0,11630*1000*SER_hh_tes!L23/SER_hh_num!L23)</f>
        <v>13837.20957490593</v>
      </c>
      <c r="M23" s="132">
        <f>IF(SER_hh_tes!M23=0,0,11630*1000*SER_hh_tes!M23/SER_hh_num!M23)</f>
        <v>13531.014717636504</v>
      </c>
      <c r="N23" s="132">
        <f>IF(SER_hh_tes!N23=0,0,11630*1000*SER_hh_tes!N23/SER_hh_num!N23)</f>
        <v>14339.67358528689</v>
      </c>
      <c r="O23" s="132">
        <f>IF(SER_hh_tes!O23=0,0,11630*1000*SER_hh_tes!O23/SER_hh_num!O23)</f>
        <v>14443.472061928789</v>
      </c>
      <c r="P23" s="132">
        <f>IF(SER_hh_tes!P23=0,0,11630*1000*SER_hh_tes!P23/SER_hh_num!P23)</f>
        <v>13592.760641111669</v>
      </c>
      <c r="Q23" s="132">
        <f>IF(SER_hh_tes!Q23=0,0,11630*1000*SER_hh_tes!Q23/SER_hh_num!Q23)</f>
        <v>13463.760696860541</v>
      </c>
      <c r="R23" s="132">
        <f>IF(SER_hh_tes!R23=0,0,11630*1000*SER_hh_tes!R23/SER_hh_num!R23)</f>
        <v>13609.033303340246</v>
      </c>
      <c r="S23" s="132">
        <f>IF(SER_hh_tes!S23=0,0,11630*1000*SER_hh_tes!S23/SER_hh_num!S23)</f>
        <v>14246.20224827476</v>
      </c>
      <c r="T23" s="132">
        <f>IF(SER_hh_tes!T23=0,0,11630*1000*SER_hh_tes!T23/SER_hh_num!T23)</f>
        <v>14216.907606371071</v>
      </c>
      <c r="U23" s="132">
        <f>IF(SER_hh_tes!U23=0,0,11630*1000*SER_hh_tes!U23/SER_hh_num!U23)</f>
        <v>14313.029615110619</v>
      </c>
      <c r="V23" s="132">
        <f>IF(SER_hh_tes!V23=0,0,11630*1000*SER_hh_tes!V23/SER_hh_num!V23)</f>
        <v>12774.0521842085</v>
      </c>
      <c r="W23" s="132">
        <f>IF(SER_hh_tes!W23=0,0,11630*1000*SER_hh_tes!W23/SER_hh_num!W23)</f>
        <v>13525.698923763062</v>
      </c>
      <c r="X23" s="132">
        <f>IF(SER_hh_tes!X23=0,0,11630*1000*SER_hh_tes!X23/SER_hh_num!X23)</f>
        <v>14052.264772194787</v>
      </c>
      <c r="Y23" s="132">
        <f>IF(SER_hh_tes!Y23=0,0,11630*1000*SER_hh_tes!Y23/SER_hh_num!Y23)</f>
        <v>14343.741185310042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15493.565095240741</v>
      </c>
      <c r="C25" s="132">
        <f>IF(SER_hh_tes!C25=0,0,11630*1000*SER_hh_tes!C25/SER_hh_num!C25)</f>
        <v>15259.870908448744</v>
      </c>
      <c r="D25" s="132">
        <f>IF(SER_hh_tes!D25=0,0,11630*1000*SER_hh_tes!D25/SER_hh_num!D25)</f>
        <v>15349.473985067538</v>
      </c>
      <c r="E25" s="132">
        <f>IF(SER_hh_tes!E25=0,0,11630*1000*SER_hh_tes!E25/SER_hh_num!E25)</f>
        <v>15106.815267710786</v>
      </c>
      <c r="F25" s="132">
        <f>IF(SER_hh_tes!F25=0,0,11630*1000*SER_hh_tes!F25/SER_hh_num!F25)</f>
        <v>14904.200490156829</v>
      </c>
      <c r="G25" s="132">
        <f>IF(SER_hh_tes!G25=0,0,11630*1000*SER_hh_tes!G25/SER_hh_num!G25)</f>
        <v>14782.263810140759</v>
      </c>
      <c r="H25" s="132">
        <f>IF(SER_hh_tes!H25=0,0,11630*1000*SER_hh_tes!H25/SER_hh_num!H25)</f>
        <v>14482.065788842101</v>
      </c>
      <c r="I25" s="132">
        <f>IF(SER_hh_tes!I25=0,0,11630*1000*SER_hh_tes!I25/SER_hh_num!I25)</f>
        <v>14189.003037732624</v>
      </c>
      <c r="J25" s="132">
        <f>IF(SER_hh_tes!J25=0,0,11630*1000*SER_hh_tes!J25/SER_hh_num!J25)</f>
        <v>13904.081520370231</v>
      </c>
      <c r="K25" s="132">
        <f>IF(SER_hh_tes!K25=0,0,11630*1000*SER_hh_tes!K25/SER_hh_num!K25)</f>
        <v>14065.87323174538</v>
      </c>
      <c r="L25" s="132">
        <f>IF(SER_hh_tes!L25=0,0,11630*1000*SER_hh_tes!L25/SER_hh_num!L25)</f>
        <v>13991.005957154588</v>
      </c>
      <c r="M25" s="132">
        <f>IF(SER_hh_tes!M25=0,0,11630*1000*SER_hh_tes!M25/SER_hh_num!M25)</f>
        <v>14009.087698822124</v>
      </c>
      <c r="N25" s="132">
        <f>IF(SER_hh_tes!N25=0,0,11630*1000*SER_hh_tes!N25/SER_hh_num!N25)</f>
        <v>14158.939051240912</v>
      </c>
      <c r="O25" s="132">
        <f>IF(SER_hh_tes!O25=0,0,11630*1000*SER_hh_tes!O25/SER_hh_num!O25)</f>
        <v>13944.535554098884</v>
      </c>
      <c r="P25" s="132">
        <f>IF(SER_hh_tes!P25=0,0,11630*1000*SER_hh_tes!P25/SER_hh_num!P25)</f>
        <v>13513.617238904022</v>
      </c>
      <c r="Q25" s="132">
        <f>IF(SER_hh_tes!Q25=0,0,11630*1000*SER_hh_tes!Q25/SER_hh_num!Q25)</f>
        <v>13699.632559217245</v>
      </c>
      <c r="R25" s="132">
        <f>IF(SER_hh_tes!R25=0,0,11630*1000*SER_hh_tes!R25/SER_hh_num!R25)</f>
        <v>13775.052718398674</v>
      </c>
      <c r="S25" s="132">
        <f>IF(SER_hh_tes!S25=0,0,11630*1000*SER_hh_tes!S25/SER_hh_num!S25)</f>
        <v>13803.290007887805</v>
      </c>
      <c r="T25" s="132">
        <f>IF(SER_hh_tes!T25=0,0,11630*1000*SER_hh_tes!T25/SER_hh_num!T25)</f>
        <v>13954.212993149215</v>
      </c>
      <c r="U25" s="132">
        <f>IF(SER_hh_tes!U25=0,0,11630*1000*SER_hh_tes!U25/SER_hh_num!U25)</f>
        <v>13770.208468429277</v>
      </c>
      <c r="V25" s="132">
        <f>IF(SER_hh_tes!V25=0,0,11630*1000*SER_hh_tes!V25/SER_hh_num!V25)</f>
        <v>13646.920849242437</v>
      </c>
      <c r="W25" s="132">
        <f>IF(SER_hh_tes!W25=0,0,11630*1000*SER_hh_tes!W25/SER_hh_num!W25)</f>
        <v>13722.231917728599</v>
      </c>
      <c r="X25" s="132">
        <f>IF(SER_hh_tes!X25=0,0,11630*1000*SER_hh_tes!X25/SER_hh_num!X25)</f>
        <v>14088.449218712491</v>
      </c>
      <c r="Y25" s="132">
        <f>IF(SER_hh_tes!Y25=0,0,11630*1000*SER_hh_tes!Y25/SER_hh_num!Y25)</f>
        <v>14262.632381746162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15457.975519529811</v>
      </c>
      <c r="C26" s="65">
        <f>IF(SER_hh_tes!C26=0,0,11630*1000*SER_hh_tes!C26/SER_hh_num!C26)</f>
        <v>15213.068922797192</v>
      </c>
      <c r="D26" s="65">
        <f>IF(SER_hh_tes!D26=0,0,11630*1000*SER_hh_tes!D26/SER_hh_num!D26)</f>
        <v>14784.320844817776</v>
      </c>
      <c r="E26" s="65">
        <f>IF(SER_hh_tes!E26=0,0,11630*1000*SER_hh_tes!E26/SER_hh_num!E26)</f>
        <v>14980.5858488092</v>
      </c>
      <c r="F26" s="65">
        <f>IF(SER_hh_tes!F26=0,0,11630*1000*SER_hh_tes!F26/SER_hh_num!F26)</f>
        <v>15206.152614889164</v>
      </c>
      <c r="G26" s="65">
        <f>IF(SER_hh_tes!G26=0,0,11630*1000*SER_hh_tes!G26/SER_hh_num!G26)</f>
        <v>14911.031736381789</v>
      </c>
      <c r="H26" s="65">
        <f>IF(SER_hh_tes!H26=0,0,11630*1000*SER_hh_tes!H26/SER_hh_num!H26)</f>
        <v>14399.493696773523</v>
      </c>
      <c r="I26" s="65">
        <f>IF(SER_hh_tes!I26=0,0,11630*1000*SER_hh_tes!I26/SER_hh_num!I26)</f>
        <v>13951.20753661331</v>
      </c>
      <c r="J26" s="65">
        <f>IF(SER_hh_tes!J26=0,0,11630*1000*SER_hh_tes!J26/SER_hh_num!J26)</f>
        <v>13717.763822481897</v>
      </c>
      <c r="K26" s="65">
        <f>IF(SER_hh_tes!K26=0,0,11630*1000*SER_hh_tes!K26/SER_hh_num!K26)</f>
        <v>13866.497698378862</v>
      </c>
      <c r="L26" s="65">
        <f>IF(SER_hh_tes!L26=0,0,11630*1000*SER_hh_tes!L26/SER_hh_num!L26)</f>
        <v>13826.809823914036</v>
      </c>
      <c r="M26" s="65">
        <f>IF(SER_hh_tes!M26=0,0,11630*1000*SER_hh_tes!M26/SER_hh_num!M26)</f>
        <v>13834.240807950529</v>
      </c>
      <c r="N26" s="65">
        <f>IF(SER_hh_tes!N26=0,0,11630*1000*SER_hh_tes!N26/SER_hh_num!N26)</f>
        <v>13325.634762385736</v>
      </c>
      <c r="O26" s="65">
        <f>IF(SER_hh_tes!O26=0,0,11630*1000*SER_hh_tes!O26/SER_hh_num!O26)</f>
        <v>13258.707116657202</v>
      </c>
      <c r="P26" s="65">
        <f>IF(SER_hh_tes!P26=0,0,11630*1000*SER_hh_tes!P26/SER_hh_num!P26)</f>
        <v>13880.398784469398</v>
      </c>
      <c r="Q26" s="65">
        <f>IF(SER_hh_tes!Q26=0,0,11630*1000*SER_hh_tes!Q26/SER_hh_num!Q26)</f>
        <v>14030.643989056169</v>
      </c>
      <c r="R26" s="65">
        <f>IF(SER_hh_tes!R26=0,0,11630*1000*SER_hh_tes!R26/SER_hh_num!R26)</f>
        <v>13679.332334973462</v>
      </c>
      <c r="S26" s="65">
        <f>IF(SER_hh_tes!S26=0,0,11630*1000*SER_hh_tes!S26/SER_hh_num!S26)</f>
        <v>13308.323636486972</v>
      </c>
      <c r="T26" s="65">
        <f>IF(SER_hh_tes!T26=0,0,11630*1000*SER_hh_tes!T26/SER_hh_num!T26)</f>
        <v>13313.57007464912</v>
      </c>
      <c r="U26" s="65">
        <f>IF(SER_hh_tes!U26=0,0,11630*1000*SER_hh_tes!U26/SER_hh_num!U26)</f>
        <v>13323.686809934312</v>
      </c>
      <c r="V26" s="65">
        <f>IF(SER_hh_tes!V26=0,0,11630*1000*SER_hh_tes!V26/SER_hh_num!V26)</f>
        <v>13626.280940756029</v>
      </c>
      <c r="W26" s="65">
        <f>IF(SER_hh_tes!W26=0,0,11630*1000*SER_hh_tes!W26/SER_hh_num!W26)</f>
        <v>13946.966437138084</v>
      </c>
      <c r="X26" s="65">
        <f>IF(SER_hh_tes!X26=0,0,11630*1000*SER_hh_tes!X26/SER_hh_num!X26)</f>
        <v>13955.538042493388</v>
      </c>
      <c r="Y26" s="65">
        <f>IF(SER_hh_tes!Y26=0,0,11630*1000*SER_hh_tes!Y26/SER_hh_num!Y26)</f>
        <v>13929.109683198998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65.02113278848033</v>
      </c>
      <c r="C27" s="145">
        <f>IF(SER_hh_tes!C27=0,0,11630*1000*SER_hh_tes!C27/SER_hh_num!C19)</f>
        <v>71.769171499698245</v>
      </c>
      <c r="D27" s="145">
        <f>IF(SER_hh_tes!D27=0,0,11630*1000*SER_hh_tes!D27/SER_hh_num!D19)</f>
        <v>80.234484026441507</v>
      </c>
      <c r="E27" s="145">
        <f>IF(SER_hh_tes!E27=0,0,11630*1000*SER_hh_tes!E27/SER_hh_num!E19)</f>
        <v>86.894942209446441</v>
      </c>
      <c r="F27" s="145">
        <f>IF(SER_hh_tes!F27=0,0,11630*1000*SER_hh_tes!F27/SER_hh_num!F19)</f>
        <v>94.236384030753925</v>
      </c>
      <c r="G27" s="145">
        <f>IF(SER_hh_tes!G27=0,0,11630*1000*SER_hh_tes!G27/SER_hh_num!G19)</f>
        <v>99.018306792246392</v>
      </c>
      <c r="H27" s="145">
        <f>IF(SER_hh_tes!H27=0,0,11630*1000*SER_hh_tes!H27/SER_hh_num!H19)</f>
        <v>101.24998047298573</v>
      </c>
      <c r="I27" s="145">
        <f>IF(SER_hh_tes!I27=0,0,11630*1000*SER_hh_tes!I27/SER_hh_num!I19)</f>
        <v>104.01682694116755</v>
      </c>
      <c r="J27" s="145">
        <f>IF(SER_hh_tes!J27=0,0,11630*1000*SER_hh_tes!J27/SER_hh_num!J19)</f>
        <v>107.95209630115406</v>
      </c>
      <c r="K27" s="145">
        <f>IF(SER_hh_tes!K27=0,0,11630*1000*SER_hh_tes!K27/SER_hh_num!K19)</f>
        <v>118.64459621500912</v>
      </c>
      <c r="L27" s="145">
        <f>IF(SER_hh_tes!L27=0,0,11630*1000*SER_hh_tes!L27/SER_hh_num!L19)</f>
        <v>126.32770658005869</v>
      </c>
      <c r="M27" s="145">
        <f>IF(SER_hh_tes!M27=0,0,11630*1000*SER_hh_tes!M27/SER_hh_num!M19)</f>
        <v>130.34692469272946</v>
      </c>
      <c r="N27" s="145">
        <f>IF(SER_hh_tes!N27=0,0,11630*1000*SER_hh_tes!N27/SER_hh_num!N19)</f>
        <v>133.69576932054332</v>
      </c>
      <c r="O27" s="145">
        <f>IF(SER_hh_tes!O27=0,0,11630*1000*SER_hh_tes!O27/SER_hh_num!O19)</f>
        <v>138.42555067675784</v>
      </c>
      <c r="P27" s="145">
        <f>IF(SER_hh_tes!P27=0,0,11630*1000*SER_hh_tes!P27/SER_hh_num!P19)</f>
        <v>141.52066861784851</v>
      </c>
      <c r="Q27" s="145">
        <f>IF(SER_hh_tes!Q27=0,0,11630*1000*SER_hh_tes!Q27/SER_hh_num!Q19)</f>
        <v>140.0775680169308</v>
      </c>
      <c r="R27" s="145">
        <f>IF(SER_hh_tes!R27=0,0,11630*1000*SER_hh_tes!R27/SER_hh_num!R19)</f>
        <v>140.69715892059207</v>
      </c>
      <c r="S27" s="145">
        <f>IF(SER_hh_tes!S27=0,0,11630*1000*SER_hh_tes!S27/SER_hh_num!S19)</f>
        <v>139.15941988472491</v>
      </c>
      <c r="T27" s="145">
        <f>IF(SER_hh_tes!T27=0,0,11630*1000*SER_hh_tes!T27/SER_hh_num!T19)</f>
        <v>140.11897627983441</v>
      </c>
      <c r="U27" s="145">
        <f>IF(SER_hh_tes!U27=0,0,11630*1000*SER_hh_tes!U27/SER_hh_num!U19)</f>
        <v>142.31479188377642</v>
      </c>
      <c r="V27" s="145">
        <f>IF(SER_hh_tes!V27=0,0,11630*1000*SER_hh_tes!V27/SER_hh_num!V19)</f>
        <v>140.9083819433817</v>
      </c>
      <c r="W27" s="145">
        <f>IF(SER_hh_tes!W27=0,0,11630*1000*SER_hh_tes!W27/SER_hh_num!W19)</f>
        <v>138.92248095041811</v>
      </c>
      <c r="X27" s="145">
        <f>IF(SER_hh_tes!X27=0,0,11630*1000*SER_hh_tes!X27/SER_hh_num!X19)</f>
        <v>138.75793061241114</v>
      </c>
      <c r="Y27" s="145">
        <f>IF(SER_hh_tes!Y27=0,0,11630*1000*SER_hh_tes!Y27/SER_hh_num!Y19)</f>
        <v>138.6154279867155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7276.222008673908</v>
      </c>
      <c r="C28" s="146">
        <f>IF(SER_hh_tes!C27=0,0,11630*1000*SER_hh_tes!C27/SER_hh_num!C27)</f>
        <v>8018.5400131506376</v>
      </c>
      <c r="D28" s="146">
        <f>IF(SER_hh_tes!D27=0,0,11630*1000*SER_hh_tes!D27/SER_hh_num!D27)</f>
        <v>7640.7391713693323</v>
      </c>
      <c r="E28" s="146">
        <f>IF(SER_hh_tes!E27=0,0,11630*1000*SER_hh_tes!E27/SER_hh_num!E27)</f>
        <v>7821.6797431667856</v>
      </c>
      <c r="F28" s="146">
        <f>IF(SER_hh_tes!F27=0,0,11630*1000*SER_hh_tes!F27/SER_hh_num!F27)</f>
        <v>7906.1096804698354</v>
      </c>
      <c r="G28" s="146">
        <f>IF(SER_hh_tes!G27=0,0,11630*1000*SER_hh_tes!G27/SER_hh_num!G27)</f>
        <v>7738.7009887864251</v>
      </c>
      <c r="H28" s="146">
        <f>IF(SER_hh_tes!H27=0,0,11630*1000*SER_hh_tes!H27/SER_hh_num!H27)</f>
        <v>7722.1760302794073</v>
      </c>
      <c r="I28" s="146">
        <f>IF(SER_hh_tes!I27=0,0,11630*1000*SER_hh_tes!I27/SER_hh_num!I27)</f>
        <v>7009.5750151671518</v>
      </c>
      <c r="J28" s="146">
        <f>IF(SER_hh_tes!J27=0,0,11630*1000*SER_hh_tes!J27/SER_hh_num!J27)</f>
        <v>7660.5600865500601</v>
      </c>
      <c r="K28" s="146">
        <f>IF(SER_hh_tes!K27=0,0,11630*1000*SER_hh_tes!K27/SER_hh_num!K27)</f>
        <v>7527.1857234915778</v>
      </c>
      <c r="L28" s="146">
        <f>IF(SER_hh_tes!L27=0,0,11630*1000*SER_hh_tes!L27/SER_hh_num!L27)</f>
        <v>8686.6526132770432</v>
      </c>
      <c r="M28" s="146">
        <f>IF(SER_hh_tes!M27=0,0,11630*1000*SER_hh_tes!M27/SER_hh_num!M27)</f>
        <v>8007.8529918680424</v>
      </c>
      <c r="N28" s="146">
        <f>IF(SER_hh_tes!N27=0,0,11630*1000*SER_hh_tes!N27/SER_hh_num!N27)</f>
        <v>8429.8194790715697</v>
      </c>
      <c r="O28" s="146">
        <f>IF(SER_hh_tes!O27=0,0,11630*1000*SER_hh_tes!O27/SER_hh_num!O27)</f>
        <v>8297.8374864027883</v>
      </c>
      <c r="P28" s="146">
        <f>IF(SER_hh_tes!P27=0,0,11630*1000*SER_hh_tes!P27/SER_hh_num!P27)</f>
        <v>7943.1939652909605</v>
      </c>
      <c r="Q28" s="146">
        <f>IF(SER_hh_tes!Q27=0,0,11630*1000*SER_hh_tes!Q27/SER_hh_num!Q27)</f>
        <v>8023.9873224259081</v>
      </c>
      <c r="R28" s="146">
        <f>IF(SER_hh_tes!R27=0,0,11630*1000*SER_hh_tes!R27/SER_hh_num!R27)</f>
        <v>7666.7741356346723</v>
      </c>
      <c r="S28" s="146">
        <f>IF(SER_hh_tes!S27=0,0,11630*1000*SER_hh_tes!S27/SER_hh_num!S27)</f>
        <v>7597.181738227282</v>
      </c>
      <c r="T28" s="146">
        <f>IF(SER_hh_tes!T27=0,0,11630*1000*SER_hh_tes!T27/SER_hh_num!T27)</f>
        <v>7862.7875535467447</v>
      </c>
      <c r="U28" s="146">
        <f>IF(SER_hh_tes!U27=0,0,11630*1000*SER_hh_tes!U27/SER_hh_num!U27)</f>
        <v>8071.1631132874263</v>
      </c>
      <c r="V28" s="146">
        <f>IF(SER_hh_tes!V27=0,0,11630*1000*SER_hh_tes!V27/SER_hh_num!V27)</f>
        <v>8059.3266041335964</v>
      </c>
      <c r="W28" s="146">
        <f>IF(SER_hh_tes!W27=0,0,11630*1000*SER_hh_tes!W27/SER_hh_num!W27)</f>
        <v>9198.6131958926653</v>
      </c>
      <c r="X28" s="146">
        <f>IF(SER_hh_tes!X27=0,0,11630*1000*SER_hh_tes!X27/SER_hh_num!X27)</f>
        <v>8865.3433718464839</v>
      </c>
      <c r="Y28" s="146">
        <f>IF(SER_hh_tes!Y27=0,0,11630*1000*SER_hh_tes!Y27/SER_hh_num!Y27)</f>
        <v>8811.8595163812188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13343.217143587846</v>
      </c>
      <c r="C29" s="130">
        <f>IF(SER_hh_tes!C29=0,0,11630*1000*SER_hh_tes!C29/SER_hh_num!C29)</f>
        <v>13229.875927564311</v>
      </c>
      <c r="D29" s="130">
        <f>IF(SER_hh_tes!D29=0,0,11630*1000*SER_hh_tes!D29/SER_hh_num!D29)</f>
        <v>13250.467952750518</v>
      </c>
      <c r="E29" s="130">
        <f>IF(SER_hh_tes!E29=0,0,11630*1000*SER_hh_tes!E29/SER_hh_num!E29)</f>
        <v>13338.367421709485</v>
      </c>
      <c r="F29" s="130">
        <f>IF(SER_hh_tes!F29=0,0,11630*1000*SER_hh_tes!F29/SER_hh_num!F29)</f>
        <v>13524.369169238769</v>
      </c>
      <c r="G29" s="130">
        <f>IF(SER_hh_tes!G29=0,0,11630*1000*SER_hh_tes!G29/SER_hh_num!G29)</f>
        <v>13557.452519029248</v>
      </c>
      <c r="H29" s="130">
        <f>IF(SER_hh_tes!H29=0,0,11630*1000*SER_hh_tes!H29/SER_hh_num!H29)</f>
        <v>13401.638485318581</v>
      </c>
      <c r="I29" s="130">
        <f>IF(SER_hh_tes!I29=0,0,11630*1000*SER_hh_tes!I29/SER_hh_num!I29)</f>
        <v>13229.56378346493</v>
      </c>
      <c r="J29" s="130">
        <f>IF(SER_hh_tes!J29=0,0,11630*1000*SER_hh_tes!J29/SER_hh_num!J29)</f>
        <v>13202.466898698183</v>
      </c>
      <c r="K29" s="130">
        <f>IF(SER_hh_tes!K29=0,0,11630*1000*SER_hh_tes!K29/SER_hh_num!K29)</f>
        <v>13407.05151617451</v>
      </c>
      <c r="L29" s="130">
        <f>IF(SER_hh_tes!L29=0,0,11630*1000*SER_hh_tes!L29/SER_hh_num!L29)</f>
        <v>13404.105060576116</v>
      </c>
      <c r="M29" s="130">
        <f>IF(SER_hh_tes!M29=0,0,11630*1000*SER_hh_tes!M29/SER_hh_num!M29)</f>
        <v>13241.921448248637</v>
      </c>
      <c r="N29" s="130">
        <f>IF(SER_hh_tes!N29=0,0,11630*1000*SER_hh_tes!N29/SER_hh_num!N29)</f>
        <v>13239.405570218601</v>
      </c>
      <c r="O29" s="130">
        <f>IF(SER_hh_tes!O29=0,0,11630*1000*SER_hh_tes!O29/SER_hh_num!O29)</f>
        <v>13296.286676944561</v>
      </c>
      <c r="P29" s="130">
        <f>IF(SER_hh_tes!P29=0,0,11630*1000*SER_hh_tes!P29/SER_hh_num!P29)</f>
        <v>13360.048871361432</v>
      </c>
      <c r="Q29" s="130">
        <f>IF(SER_hh_tes!Q29=0,0,11630*1000*SER_hh_tes!Q29/SER_hh_num!Q29)</f>
        <v>13360.712606594956</v>
      </c>
      <c r="R29" s="130">
        <f>IF(SER_hh_tes!R29=0,0,11630*1000*SER_hh_tes!R29/SER_hh_num!R29)</f>
        <v>13223.608670112733</v>
      </c>
      <c r="S29" s="130">
        <f>IF(SER_hh_tes!S29=0,0,11630*1000*SER_hh_tes!S29/SER_hh_num!S29)</f>
        <v>13068.859143078438</v>
      </c>
      <c r="T29" s="130">
        <f>IF(SER_hh_tes!T29=0,0,11630*1000*SER_hh_tes!T29/SER_hh_num!T29)</f>
        <v>12608.421318574303</v>
      </c>
      <c r="U29" s="130">
        <f>IF(SER_hh_tes!U29=0,0,11630*1000*SER_hh_tes!U29/SER_hh_num!U29)</f>
        <v>12176.522725995121</v>
      </c>
      <c r="V29" s="130">
        <f>IF(SER_hh_tes!V29=0,0,11630*1000*SER_hh_tes!V29/SER_hh_num!V29)</f>
        <v>12371.704132010791</v>
      </c>
      <c r="W29" s="130">
        <f>IF(SER_hh_tes!W29=0,0,11630*1000*SER_hh_tes!W29/SER_hh_num!W29)</f>
        <v>12976.399428477493</v>
      </c>
      <c r="X29" s="130">
        <f>IF(SER_hh_tes!X29=0,0,11630*1000*SER_hh_tes!X29/SER_hh_num!X29)</f>
        <v>13311.394571604036</v>
      </c>
      <c r="Y29" s="130">
        <f>IF(SER_hh_tes!Y29=0,0,11630*1000*SER_hh_tes!Y29/SER_hh_num!Y29)</f>
        <v>13462.149627433691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12643.632507610433</v>
      </c>
      <c r="C30" s="132">
        <f>IF(SER_hh_tes!C30=0,0,11630*1000*SER_hh_tes!C30/SER_hh_num!C30)</f>
        <v>13260.058183057188</v>
      </c>
      <c r="D30" s="132">
        <f>IF(SER_hh_tes!D30=0,0,11630*1000*SER_hh_tes!D30/SER_hh_num!D30)</f>
        <v>14133.252547563776</v>
      </c>
      <c r="E30" s="132">
        <f>IF(SER_hh_tes!E30=0,0,11630*1000*SER_hh_tes!E30/SER_hh_num!E30)</f>
        <v>12747.847576059943</v>
      </c>
      <c r="F30" s="132">
        <f>IF(SER_hh_tes!F30=0,0,11630*1000*SER_hh_tes!F30/SER_hh_num!F30)</f>
        <v>13532.439699433504</v>
      </c>
      <c r="G30" s="132">
        <f>IF(SER_hh_tes!G30=0,0,11630*1000*SER_hh_tes!G30/SER_hh_num!G30)</f>
        <v>13317.965231514538</v>
      </c>
      <c r="H30" s="132">
        <f>IF(SER_hh_tes!H30=0,0,11630*1000*SER_hh_tes!H30/SER_hh_num!H30)</f>
        <v>17225.876153006069</v>
      </c>
      <c r="I30" s="132">
        <f>IF(SER_hh_tes!I30=0,0,11630*1000*SER_hh_tes!I30/SER_hh_num!I30)</f>
        <v>10659.699886154831</v>
      </c>
      <c r="J30" s="132">
        <f>IF(SER_hh_tes!J30=0,0,11630*1000*SER_hh_tes!J30/SER_hh_num!J30)</f>
        <v>9507.4448413616265</v>
      </c>
      <c r="K30" s="132">
        <f>IF(SER_hh_tes!K30=0,0,11630*1000*SER_hh_tes!K30/SER_hh_num!K30)</f>
        <v>14644.900448673319</v>
      </c>
      <c r="L30" s="132">
        <f>IF(SER_hh_tes!L30=0,0,11630*1000*SER_hh_tes!L30/SER_hh_num!L30)</f>
        <v>16618.045919094828</v>
      </c>
      <c r="M30" s="132">
        <f>IF(SER_hh_tes!M30=0,0,11630*1000*SER_hh_tes!M30/SER_hh_num!M30)</f>
        <v>10211.849883171957</v>
      </c>
      <c r="N30" s="132">
        <f>IF(SER_hh_tes!N30=0,0,11630*1000*SER_hh_tes!N30/SER_hh_num!N30)</f>
        <v>14966.969229410302</v>
      </c>
      <c r="O30" s="132">
        <f>IF(SER_hh_tes!O30=0,0,11630*1000*SER_hh_tes!O30/SER_hh_num!O30)</f>
        <v>15964.908418748519</v>
      </c>
      <c r="P30" s="132">
        <f>IF(SER_hh_tes!P30=0,0,11630*1000*SER_hh_tes!P30/SER_hh_num!P30)</f>
        <v>2419.4318328939098</v>
      </c>
      <c r="Q30" s="132">
        <f>IF(SER_hh_tes!Q30=0,0,11630*1000*SER_hh_tes!Q30/SER_hh_num!Q30)</f>
        <v>16311.33097844009</v>
      </c>
      <c r="R30" s="132">
        <f>IF(SER_hh_tes!R30=0,0,11630*1000*SER_hh_tes!R30/SER_hh_num!R30)</f>
        <v>14596.928813545192</v>
      </c>
      <c r="S30" s="132">
        <f>IF(SER_hh_tes!S30=0,0,11630*1000*SER_hh_tes!S30/SER_hh_num!S30)</f>
        <v>12865.777856574652</v>
      </c>
      <c r="T30" s="132">
        <f>IF(SER_hh_tes!T30=0,0,11630*1000*SER_hh_tes!T30/SER_hh_num!T30)</f>
        <v>12570.86014792644</v>
      </c>
      <c r="U30" s="132">
        <f>IF(SER_hh_tes!U30=0,0,11630*1000*SER_hh_tes!U30/SER_hh_num!U30)</f>
        <v>12171.80776018886</v>
      </c>
      <c r="V30" s="132">
        <f>IF(SER_hh_tes!V30=0,0,11630*1000*SER_hh_tes!V30/SER_hh_num!V30)</f>
        <v>12086.109536630134</v>
      </c>
      <c r="W30" s="132">
        <f>IF(SER_hh_tes!W30=0,0,11630*1000*SER_hh_tes!W30/SER_hh_num!W30)</f>
        <v>14322.156580113553</v>
      </c>
      <c r="X30" s="132">
        <f>IF(SER_hh_tes!X30=0,0,11630*1000*SER_hh_tes!X30/SER_hh_num!X30)</f>
        <v>12725.227152338373</v>
      </c>
      <c r="Y30" s="132">
        <f>IF(SER_hh_tes!Y30=0,0,11630*1000*SER_hh_tes!Y30/SER_hh_num!Y30)</f>
        <v>13266.847531901611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13237.794707745275</v>
      </c>
      <c r="C31" s="132">
        <f>IF(SER_hh_tes!C31=0,0,11630*1000*SER_hh_tes!C31/SER_hh_num!C31)</f>
        <v>13311.006102277359</v>
      </c>
      <c r="D31" s="132">
        <f>IF(SER_hh_tes!D31=0,0,11630*1000*SER_hh_tes!D31/SER_hh_num!D31)</f>
        <v>13160.319917485969</v>
      </c>
      <c r="E31" s="132">
        <f>IF(SER_hh_tes!E31=0,0,11630*1000*SER_hh_tes!E31/SER_hh_num!E31)</f>
        <v>13556.49548909736</v>
      </c>
      <c r="F31" s="132">
        <f>IF(SER_hh_tes!F31=0,0,11630*1000*SER_hh_tes!F31/SER_hh_num!F31)</f>
        <v>13504.119132018424</v>
      </c>
      <c r="G31" s="132">
        <f>IF(SER_hh_tes!G31=0,0,11630*1000*SER_hh_tes!G31/SER_hh_num!G31)</f>
        <v>13462.336825134427</v>
      </c>
      <c r="H31" s="132">
        <f>IF(SER_hh_tes!H31=0,0,11630*1000*SER_hh_tes!H31/SER_hh_num!H31)</f>
        <v>12557.489647335246</v>
      </c>
      <c r="I31" s="132">
        <f>IF(SER_hh_tes!I31=0,0,11630*1000*SER_hh_tes!I31/SER_hh_num!I31)</f>
        <v>13717.530804527807</v>
      </c>
      <c r="J31" s="132">
        <f>IF(SER_hh_tes!J31=0,0,11630*1000*SER_hh_tes!J31/SER_hh_num!J31)</f>
        <v>13977.509626142588</v>
      </c>
      <c r="K31" s="132">
        <f>IF(SER_hh_tes!K31=0,0,11630*1000*SER_hh_tes!K31/SER_hh_num!K31)</f>
        <v>13198.113345968442</v>
      </c>
      <c r="L31" s="132">
        <f>IF(SER_hh_tes!L31=0,0,11630*1000*SER_hh_tes!L31/SER_hh_num!L31)</f>
        <v>12763.916916933391</v>
      </c>
      <c r="M31" s="132">
        <f>IF(SER_hh_tes!M31=0,0,11630*1000*SER_hh_tes!M31/SER_hh_num!M31)</f>
        <v>13790.086354027135</v>
      </c>
      <c r="N31" s="132">
        <f>IF(SER_hh_tes!N31=0,0,11630*1000*SER_hh_tes!N31/SER_hh_num!N31)</f>
        <v>12993.963041664851</v>
      </c>
      <c r="O31" s="132">
        <f>IF(SER_hh_tes!O31=0,0,11630*1000*SER_hh_tes!O31/SER_hh_num!O31)</f>
        <v>13017.907449307168</v>
      </c>
      <c r="P31" s="132">
        <f>IF(SER_hh_tes!P31=0,0,11630*1000*SER_hh_tes!P31/SER_hh_num!P31)</f>
        <v>14544.829951655694</v>
      </c>
      <c r="Q31" s="132">
        <f>IF(SER_hh_tes!Q31=0,0,11630*1000*SER_hh_tes!Q31/SER_hh_num!Q31)</f>
        <v>12879.623172160678</v>
      </c>
      <c r="R31" s="132">
        <f>IF(SER_hh_tes!R31=0,0,11630*1000*SER_hh_tes!R31/SER_hh_num!R31)</f>
        <v>13156.547483579896</v>
      </c>
      <c r="S31" s="132">
        <f>IF(SER_hh_tes!S31=0,0,11630*1000*SER_hh_tes!S31/SER_hh_num!S31)</f>
        <v>13566.822426404769</v>
      </c>
      <c r="T31" s="132">
        <f>IF(SER_hh_tes!T31=0,0,11630*1000*SER_hh_tes!T31/SER_hh_num!T31)</f>
        <v>12564.667604690796</v>
      </c>
      <c r="U31" s="132">
        <f>IF(SER_hh_tes!U31=0,0,11630*1000*SER_hh_tes!U31/SER_hh_num!U31)</f>
        <v>11101.560562911174</v>
      </c>
      <c r="V31" s="132">
        <f>IF(SER_hh_tes!V31=0,0,11630*1000*SER_hh_tes!V31/SER_hh_num!V31)</f>
        <v>12343.046698873406</v>
      </c>
      <c r="W31" s="132">
        <f>IF(SER_hh_tes!W31=0,0,11630*1000*SER_hh_tes!W31/SER_hh_num!W31)</f>
        <v>13257.562350509072</v>
      </c>
      <c r="X31" s="132">
        <f>IF(SER_hh_tes!X31=0,0,11630*1000*SER_hh_tes!X31/SER_hh_num!X31)</f>
        <v>13263.726514539801</v>
      </c>
      <c r="Y31" s="132">
        <f>IF(SER_hh_tes!Y31=0,0,11630*1000*SER_hh_tes!Y31/SER_hh_num!Y31)</f>
        <v>13456.392380874942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13460.276578471814</v>
      </c>
      <c r="C33" s="68">
        <f>IF(SER_hh_tes!C33=0,0,11630*1000*SER_hh_tes!C33/SER_hh_num!C33)</f>
        <v>13187.25136447214</v>
      </c>
      <c r="D33" s="68">
        <f>IF(SER_hh_tes!D33=0,0,11630*1000*SER_hh_tes!D33/SER_hh_num!D33)</f>
        <v>13198.69150544836</v>
      </c>
      <c r="E33" s="68">
        <f>IF(SER_hh_tes!E33=0,0,11630*1000*SER_hh_tes!E33/SER_hh_num!E33)</f>
        <v>13295.183592019464</v>
      </c>
      <c r="F33" s="68">
        <f>IF(SER_hh_tes!F33=0,0,11630*1000*SER_hh_tes!F33/SER_hh_num!F33)</f>
        <v>13533.62670197984</v>
      </c>
      <c r="G33" s="68">
        <f>IF(SER_hh_tes!G33=0,0,11630*1000*SER_hh_tes!G33/SER_hh_num!G33)</f>
        <v>13633.453609791686</v>
      </c>
      <c r="H33" s="68">
        <f>IF(SER_hh_tes!H33=0,0,11630*1000*SER_hh_tes!H33/SER_hh_num!H33)</f>
        <v>13393.344274818099</v>
      </c>
      <c r="I33" s="68">
        <f>IF(SER_hh_tes!I33=0,0,11630*1000*SER_hh_tes!I33/SER_hh_num!I33)</f>
        <v>13205.57593103472</v>
      </c>
      <c r="J33" s="68">
        <f>IF(SER_hh_tes!J33=0,0,11630*1000*SER_hh_tes!J33/SER_hh_num!J33)</f>
        <v>13096.504272522849</v>
      </c>
      <c r="K33" s="68">
        <f>IF(SER_hh_tes!K33=0,0,11630*1000*SER_hh_tes!K33/SER_hh_num!K33)</f>
        <v>13412.411378463079</v>
      </c>
      <c r="L33" s="68">
        <f>IF(SER_hh_tes!L33=0,0,11630*1000*SER_hh_tes!L33/SER_hh_num!L33)</f>
        <v>13444.005695641394</v>
      </c>
      <c r="M33" s="68">
        <f>IF(SER_hh_tes!M33=0,0,11630*1000*SER_hh_tes!M33/SER_hh_num!M33)</f>
        <v>13205.403686933736</v>
      </c>
      <c r="N33" s="68">
        <f>IF(SER_hh_tes!N33=0,0,11630*1000*SER_hh_tes!N33/SER_hh_num!N33)</f>
        <v>13239.036048701535</v>
      </c>
      <c r="O33" s="68">
        <f>IF(SER_hh_tes!O33=0,0,11630*1000*SER_hh_tes!O33/SER_hh_num!O33)</f>
        <v>13267.961456727024</v>
      </c>
      <c r="P33" s="68">
        <f>IF(SER_hh_tes!P33=0,0,11630*1000*SER_hh_tes!P33/SER_hh_num!P33)</f>
        <v>13501.389044599806</v>
      </c>
      <c r="Q33" s="68">
        <f>IF(SER_hh_tes!Q33=0,0,11630*1000*SER_hh_tes!Q33/SER_hh_num!Q33)</f>
        <v>13385.259143150466</v>
      </c>
      <c r="R33" s="68">
        <f>IF(SER_hh_tes!R33=0,0,11630*1000*SER_hh_tes!R33/SER_hh_num!R33)</f>
        <v>13155.829628948322</v>
      </c>
      <c r="S33" s="68">
        <f>IF(SER_hh_tes!S33=0,0,11630*1000*SER_hh_tes!S33/SER_hh_num!S33)</f>
        <v>12899.364832424764</v>
      </c>
      <c r="T33" s="68">
        <f>IF(SER_hh_tes!T33=0,0,11630*1000*SER_hh_tes!T33/SER_hh_num!T33)</f>
        <v>12625.476801300867</v>
      </c>
      <c r="U33" s="68">
        <f>IF(SER_hh_tes!U33=0,0,11630*1000*SER_hh_tes!U33/SER_hh_num!U33)</f>
        <v>12494.599860837367</v>
      </c>
      <c r="V33" s="68">
        <f>IF(SER_hh_tes!V33=0,0,11630*1000*SER_hh_tes!V33/SER_hh_num!V33)</f>
        <v>12399.868674691003</v>
      </c>
      <c r="W33" s="68">
        <f>IF(SER_hh_tes!W33=0,0,11630*1000*SER_hh_tes!W33/SER_hh_num!W33)</f>
        <v>12800.98948273261</v>
      </c>
      <c r="X33" s="68">
        <f>IF(SER_hh_tes!X33=0,0,11630*1000*SER_hh_tes!X33/SER_hh_num!X33)</f>
        <v>13363.422753611685</v>
      </c>
      <c r="Y33" s="68">
        <f>IF(SER_hh_tes!Y33=0,0,11630*1000*SER_hh_tes!Y33/SER_hh_num!Y33)</f>
        <v>13475.466638273114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22158.2479671484</v>
      </c>
      <c r="C3" s="125">
        <f>IF(SER_hh_emi!C3=0,0,1000000*SER_hh_emi!C3/SER_hh_num!C3)</f>
        <v>23341.180811782386</v>
      </c>
      <c r="D3" s="125">
        <f>IF(SER_hh_emi!D3=0,0,1000000*SER_hh_emi!D3/SER_hh_num!D3)</f>
        <v>21990.550032454492</v>
      </c>
      <c r="E3" s="125">
        <f>IF(SER_hh_emi!E3=0,0,1000000*SER_hh_emi!E3/SER_hh_num!E3)</f>
        <v>23324.00855616682</v>
      </c>
      <c r="F3" s="125">
        <f>IF(SER_hh_emi!F3=0,0,1000000*SER_hh_emi!F3/SER_hh_num!F3)</f>
        <v>25527.575194758516</v>
      </c>
      <c r="G3" s="125">
        <f>IF(SER_hh_emi!G3=0,0,1000000*SER_hh_emi!G3/SER_hh_num!G3)</f>
        <v>23218.852558313774</v>
      </c>
      <c r="H3" s="125">
        <f>IF(SER_hh_emi!H3=0,0,1000000*SER_hh_emi!H3/SER_hh_num!H3)</f>
        <v>22747.417441116762</v>
      </c>
      <c r="I3" s="125">
        <f>IF(SER_hh_emi!I3=0,0,1000000*SER_hh_emi!I3/SER_hh_num!I3)</f>
        <v>19848.059609095846</v>
      </c>
      <c r="J3" s="125">
        <f>IF(SER_hh_emi!J3=0,0,1000000*SER_hh_emi!J3/SER_hh_num!J3)</f>
        <v>21040.610748875242</v>
      </c>
      <c r="K3" s="125">
        <f>IF(SER_hh_emi!K3=0,0,1000000*SER_hh_emi!K3/SER_hh_num!K3)</f>
        <v>21719.135953984067</v>
      </c>
      <c r="L3" s="125">
        <f>IF(SER_hh_emi!L3=0,0,1000000*SER_hh_emi!L3/SER_hh_num!L3)</f>
        <v>24546.345498912578</v>
      </c>
      <c r="M3" s="125">
        <f>IF(SER_hh_emi!M3=0,0,1000000*SER_hh_emi!M3/SER_hh_num!M3)</f>
        <v>19578.314864673262</v>
      </c>
      <c r="N3" s="125">
        <f>IF(SER_hh_emi!N3=0,0,1000000*SER_hh_emi!N3/SER_hh_num!N3)</f>
        <v>21665.779770647645</v>
      </c>
      <c r="O3" s="125">
        <f>IF(SER_hh_emi!O3=0,0,1000000*SER_hh_emi!O3/SER_hh_num!O3)</f>
        <v>21784.864098018188</v>
      </c>
      <c r="P3" s="125">
        <f>IF(SER_hh_emi!P3=0,0,1000000*SER_hh_emi!P3/SER_hh_num!P3)</f>
        <v>17455.59236118264</v>
      </c>
      <c r="Q3" s="125">
        <f>IF(SER_hh_emi!Q3=0,0,1000000*SER_hh_emi!Q3/SER_hh_num!Q3)</f>
        <v>18537.595794551031</v>
      </c>
      <c r="R3" s="125">
        <f>IF(SER_hh_emi!R3=0,0,1000000*SER_hh_emi!R3/SER_hh_num!R3)</f>
        <v>18482.695069199512</v>
      </c>
      <c r="S3" s="125">
        <f>IF(SER_hh_emi!S3=0,0,1000000*SER_hh_emi!S3/SER_hh_num!S3)</f>
        <v>18182.006478439958</v>
      </c>
      <c r="T3" s="125">
        <f>IF(SER_hh_emi!T3=0,0,1000000*SER_hh_emi!T3/SER_hh_num!T3)</f>
        <v>17578.218205220797</v>
      </c>
      <c r="U3" s="125">
        <f>IF(SER_hh_emi!U3=0,0,1000000*SER_hh_emi!U3/SER_hh_num!U3)</f>
        <v>16340.437877581347</v>
      </c>
      <c r="V3" s="125">
        <f>IF(SER_hh_emi!V3=0,0,1000000*SER_hh_emi!V3/SER_hh_num!V3)</f>
        <v>14694.200727220006</v>
      </c>
      <c r="W3" s="125">
        <f>IF(SER_hh_emi!W3=0,0,1000000*SER_hh_emi!W3/SER_hh_num!W3)</f>
        <v>15816.377100098645</v>
      </c>
      <c r="X3" s="125">
        <f>IF(SER_hh_emi!X3=0,0,1000000*SER_hh_emi!X3/SER_hh_num!X3)</f>
        <v>13554.885695829798</v>
      </c>
      <c r="Y3" s="125">
        <f>IF(SER_hh_emi!Y3=0,0,1000000*SER_hh_emi!Y3/SER_hh_num!Y3)</f>
        <v>12654.942100444021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18714.095313223093</v>
      </c>
      <c r="C4" s="130">
        <f>IF(SER_hh_emi!C4=0,0,1000000*SER_hh_emi!C4/SER_hh_num!C4)</f>
        <v>19862.571902866344</v>
      </c>
      <c r="D4" s="130">
        <f>IF(SER_hh_emi!D4=0,0,1000000*SER_hh_emi!D4/SER_hh_num!D4)</f>
        <v>18403.711527137413</v>
      </c>
      <c r="E4" s="130">
        <f>IF(SER_hh_emi!E4=0,0,1000000*SER_hh_emi!E4/SER_hh_num!E4)</f>
        <v>19782.488839566089</v>
      </c>
      <c r="F4" s="130">
        <f>IF(SER_hh_emi!F4=0,0,1000000*SER_hh_emi!F4/SER_hh_num!F4)</f>
        <v>21948.618480298694</v>
      </c>
      <c r="G4" s="130">
        <f>IF(SER_hh_emi!G4=0,0,1000000*SER_hh_emi!G4/SER_hh_num!G4)</f>
        <v>19690.935710286056</v>
      </c>
      <c r="H4" s="130">
        <f>IF(SER_hh_emi!H4=0,0,1000000*SER_hh_emi!H4/SER_hh_num!H4)</f>
        <v>19263.445545147773</v>
      </c>
      <c r="I4" s="130">
        <f>IF(SER_hh_emi!I4=0,0,1000000*SER_hh_emi!I4/SER_hh_num!I4)</f>
        <v>16523.44950189297</v>
      </c>
      <c r="J4" s="130">
        <f>IF(SER_hh_emi!J4=0,0,1000000*SER_hh_emi!J4/SER_hh_num!J4)</f>
        <v>17757.645730179662</v>
      </c>
      <c r="K4" s="130">
        <f>IF(SER_hh_emi!K4=0,0,1000000*SER_hh_emi!K4/SER_hh_num!K4)</f>
        <v>18397.200098506204</v>
      </c>
      <c r="L4" s="130">
        <f>IF(SER_hh_emi!L4=0,0,1000000*SER_hh_emi!L4/SER_hh_num!L4)</f>
        <v>21260.252174631205</v>
      </c>
      <c r="M4" s="130">
        <f>IF(SER_hh_emi!M4=0,0,1000000*SER_hh_emi!M4/SER_hh_num!M4)</f>
        <v>16373.775682678061</v>
      </c>
      <c r="N4" s="130">
        <f>IF(SER_hh_emi!N4=0,0,1000000*SER_hh_emi!N4/SER_hh_num!N4)</f>
        <v>18359.433055605761</v>
      </c>
      <c r="O4" s="130">
        <f>IF(SER_hh_emi!O4=0,0,1000000*SER_hh_emi!O4/SER_hh_num!O4)</f>
        <v>18477.098703608997</v>
      </c>
      <c r="P4" s="130">
        <f>IF(SER_hh_emi!P4=0,0,1000000*SER_hh_emi!P4/SER_hh_num!P4)</f>
        <v>14322.129857797514</v>
      </c>
      <c r="Q4" s="130">
        <f>IF(SER_hh_emi!Q4=0,0,1000000*SER_hh_emi!Q4/SER_hh_num!Q4)</f>
        <v>15475.221270816615</v>
      </c>
      <c r="R4" s="130">
        <f>IF(SER_hh_emi!R4=0,0,1000000*SER_hh_emi!R4/SER_hh_num!R4)</f>
        <v>15453.154514425642</v>
      </c>
      <c r="S4" s="130">
        <f>IF(SER_hh_emi!S4=0,0,1000000*SER_hh_emi!S4/SER_hh_num!S4)</f>
        <v>15161.589893717768</v>
      </c>
      <c r="T4" s="130">
        <f>IF(SER_hh_emi!T4=0,0,1000000*SER_hh_emi!T4/SER_hh_num!T4)</f>
        <v>14788.279019180647</v>
      </c>
      <c r="U4" s="130">
        <f>IF(SER_hh_emi!U4=0,0,1000000*SER_hh_emi!U4/SER_hh_num!U4)</f>
        <v>13808.628179610896</v>
      </c>
      <c r="V4" s="130">
        <f>IF(SER_hh_emi!V4=0,0,1000000*SER_hh_emi!V4/SER_hh_num!V4)</f>
        <v>12344.875260961346</v>
      </c>
      <c r="W4" s="130">
        <f>IF(SER_hh_emi!W4=0,0,1000000*SER_hh_emi!W4/SER_hh_num!W4)</f>
        <v>13348.086895763767</v>
      </c>
      <c r="X4" s="130">
        <f>IF(SER_hh_emi!X4=0,0,1000000*SER_hh_emi!X4/SER_hh_num!X4)</f>
        <v>11154.330503910705</v>
      </c>
      <c r="Y4" s="130">
        <f>IF(SER_hh_emi!Y4=0,0,1000000*SER_hh_emi!Y4/SER_hh_num!Y4)</f>
        <v>10257.373220263902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39885.860363404601</v>
      </c>
      <c r="C5" s="132">
        <f>IF(SER_hh_emi!C5=0,0,1000000*SER_hh_emi!C5/SER_hh_num!C5)</f>
        <v>40509.481964940664</v>
      </c>
      <c r="D5" s="132">
        <f>IF(SER_hh_emi!D5=0,0,1000000*SER_hh_emi!D5/SER_hh_num!D5)</f>
        <v>34066.482829838475</v>
      </c>
      <c r="E5" s="132">
        <f>IF(SER_hh_emi!E5=0,0,1000000*SER_hh_emi!E5/SER_hh_num!E5)</f>
        <v>54884.761183332201</v>
      </c>
      <c r="F5" s="132">
        <f>IF(SER_hh_emi!F5=0,0,1000000*SER_hh_emi!F5/SER_hh_num!F5)</f>
        <v>27415.774724544241</v>
      </c>
      <c r="G5" s="132">
        <f>IF(SER_hh_emi!G5=0,0,1000000*SER_hh_emi!G5/SER_hh_num!G5)</f>
        <v>36675.44779140615</v>
      </c>
      <c r="H5" s="132">
        <f>IF(SER_hh_emi!H5=0,0,1000000*SER_hh_emi!H5/SER_hh_num!H5)</f>
        <v>24493.219067715218</v>
      </c>
      <c r="I5" s="132">
        <f>IF(SER_hh_emi!I5=0,0,1000000*SER_hh_emi!I5/SER_hh_num!I5)</f>
        <v>37422.253695131265</v>
      </c>
      <c r="J5" s="132">
        <f>IF(SER_hh_emi!J5=0,0,1000000*SER_hh_emi!J5/SER_hh_num!J5)</f>
        <v>40324.457193757036</v>
      </c>
      <c r="K5" s="132">
        <f>IF(SER_hh_emi!K5=0,0,1000000*SER_hh_emi!K5/SER_hh_num!K5)</f>
        <v>40119.089562536035</v>
      </c>
      <c r="L5" s="132">
        <f>IF(SER_hh_emi!L5=0,0,1000000*SER_hh_emi!L5/SER_hh_num!L5)</f>
        <v>38749.100595999553</v>
      </c>
      <c r="M5" s="132">
        <f>IF(SER_hh_emi!M5=0,0,1000000*SER_hh_emi!M5/SER_hh_num!M5)</f>
        <v>38207.631913235666</v>
      </c>
      <c r="N5" s="132">
        <f>IF(SER_hh_emi!N5=0,0,1000000*SER_hh_emi!N5/SER_hh_num!N5)</f>
        <v>37691.666565566535</v>
      </c>
      <c r="O5" s="132">
        <f>IF(SER_hh_emi!O5=0,0,1000000*SER_hh_emi!O5/SER_hh_num!O5)</f>
        <v>22962.61820348481</v>
      </c>
      <c r="P5" s="132">
        <f>IF(SER_hh_emi!P5=0,0,1000000*SER_hh_emi!P5/SER_hh_num!P5)</f>
        <v>8718.8400868992539</v>
      </c>
      <c r="Q5" s="132">
        <f>IF(SER_hh_emi!Q5=0,0,1000000*SER_hh_emi!Q5/SER_hh_num!Q5)</f>
        <v>38371.668720921662</v>
      </c>
      <c r="R5" s="132">
        <f>IF(SER_hh_emi!R5=0,0,1000000*SER_hh_emi!R5/SER_hh_num!R5)</f>
        <v>36483.992969233856</v>
      </c>
      <c r="S5" s="132">
        <f>IF(SER_hh_emi!S5=0,0,1000000*SER_hh_emi!S5/SER_hh_num!S5)</f>
        <v>34635.571220432561</v>
      </c>
      <c r="T5" s="132">
        <f>IF(SER_hh_emi!T5=0,0,1000000*SER_hh_emi!T5/SER_hh_num!T5)</f>
        <v>34657.484769940391</v>
      </c>
      <c r="U5" s="132">
        <f>IF(SER_hh_emi!U5=0,0,1000000*SER_hh_emi!U5/SER_hh_num!U5)</f>
        <v>27740.752541618149</v>
      </c>
      <c r="V5" s="132">
        <f>IF(SER_hh_emi!V5=0,0,1000000*SER_hh_emi!V5/SER_hh_num!V5)</f>
        <v>32024.665336068731</v>
      </c>
      <c r="W5" s="132">
        <f>IF(SER_hh_emi!W5=0,0,1000000*SER_hh_emi!W5/SER_hh_num!W5)</f>
        <v>19368.036894154935</v>
      </c>
      <c r="X5" s="132">
        <f>IF(SER_hh_emi!X5=0,0,1000000*SER_hh_emi!X5/SER_hh_num!X5)</f>
        <v>31331.318901161176</v>
      </c>
      <c r="Y5" s="132">
        <f>IF(SER_hh_emi!Y5=0,0,1000000*SER_hh_emi!Y5/SER_hh_num!Y5)</f>
        <v>29942.014890849881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35100.269026864051</v>
      </c>
      <c r="C7" s="132">
        <f>IF(SER_hh_emi!C7=0,0,1000000*SER_hh_emi!C7/SER_hh_num!C7)</f>
        <v>35069.721975475819</v>
      </c>
      <c r="D7" s="132">
        <f>IF(SER_hh_emi!D7=0,0,1000000*SER_hh_emi!D7/SER_hh_num!D7)</f>
        <v>36422.036325898676</v>
      </c>
      <c r="E7" s="132">
        <f>IF(SER_hh_emi!E7=0,0,1000000*SER_hh_emi!E7/SER_hh_num!E7)</f>
        <v>38288.218984877756</v>
      </c>
      <c r="F7" s="132">
        <f>IF(SER_hh_emi!F7=0,0,1000000*SER_hh_emi!F7/SER_hh_num!F7)</f>
        <v>36767.960093245427</v>
      </c>
      <c r="G7" s="132">
        <f>IF(SER_hh_emi!G7=0,0,1000000*SER_hh_emi!G7/SER_hh_num!G7)</f>
        <v>37395.193835528436</v>
      </c>
      <c r="H7" s="132">
        <f>IF(SER_hh_emi!H7=0,0,1000000*SER_hh_emi!H7/SER_hh_num!H7)</f>
        <v>35276.612948834518</v>
      </c>
      <c r="I7" s="132">
        <f>IF(SER_hh_emi!I7=0,0,1000000*SER_hh_emi!I7/SER_hh_num!I7)</f>
        <v>35001.526655783389</v>
      </c>
      <c r="J7" s="132">
        <f>IF(SER_hh_emi!J7=0,0,1000000*SER_hh_emi!J7/SER_hh_num!J7)</f>
        <v>34545.843467750805</v>
      </c>
      <c r="K7" s="132">
        <f>IF(SER_hh_emi!K7=0,0,1000000*SER_hh_emi!K7/SER_hh_num!K7)</f>
        <v>33251.438464610306</v>
      </c>
      <c r="L7" s="132">
        <f>IF(SER_hh_emi!L7=0,0,1000000*SER_hh_emi!L7/SER_hh_num!L7)</f>
        <v>37895.839903098211</v>
      </c>
      <c r="M7" s="132">
        <f>IF(SER_hh_emi!M7=0,0,1000000*SER_hh_emi!M7/SER_hh_num!M7)</f>
        <v>33512.209255061374</v>
      </c>
      <c r="N7" s="132">
        <f>IF(SER_hh_emi!N7=0,0,1000000*SER_hh_emi!N7/SER_hh_num!N7)</f>
        <v>31871.983333935892</v>
      </c>
      <c r="O7" s="132">
        <f>IF(SER_hh_emi!O7=0,0,1000000*SER_hh_emi!O7/SER_hh_num!O7)</f>
        <v>31053.539975980799</v>
      </c>
      <c r="P7" s="132">
        <f>IF(SER_hh_emi!P7=0,0,1000000*SER_hh_emi!P7/SER_hh_num!P7)</f>
        <v>29180.943689307387</v>
      </c>
      <c r="Q7" s="132">
        <f>IF(SER_hh_emi!Q7=0,0,1000000*SER_hh_emi!Q7/SER_hh_num!Q7)</f>
        <v>27105.981836469484</v>
      </c>
      <c r="R7" s="132">
        <f>IF(SER_hh_emi!R7=0,0,1000000*SER_hh_emi!R7/SER_hh_num!R7)</f>
        <v>26850.568933529492</v>
      </c>
      <c r="S7" s="132">
        <f>IF(SER_hh_emi!S7=0,0,1000000*SER_hh_emi!S7/SER_hh_num!S7)</f>
        <v>26567.440598836394</v>
      </c>
      <c r="T7" s="132">
        <f>IF(SER_hh_emi!T7=0,0,1000000*SER_hh_emi!T7/SER_hh_num!T7)</f>
        <v>25930.004086837038</v>
      </c>
      <c r="U7" s="132">
        <f>IF(SER_hh_emi!U7=0,0,1000000*SER_hh_emi!U7/SER_hh_num!U7)</f>
        <v>26105.649217748989</v>
      </c>
      <c r="V7" s="132">
        <f>IF(SER_hh_emi!V7=0,0,1000000*SER_hh_emi!V7/SER_hh_num!V7)</f>
        <v>23873.861224548476</v>
      </c>
      <c r="W7" s="132">
        <f>IF(SER_hh_emi!W7=0,0,1000000*SER_hh_emi!W7/SER_hh_num!W7)</f>
        <v>23298.993028983587</v>
      </c>
      <c r="X7" s="132">
        <f>IF(SER_hh_emi!X7=0,0,1000000*SER_hh_emi!X7/SER_hh_num!X7)</f>
        <v>23383.390289113351</v>
      </c>
      <c r="Y7" s="132">
        <f>IF(SER_hh_emi!Y7=0,0,1000000*SER_hh_emi!Y7/SER_hh_num!Y7)</f>
        <v>21856.657895772969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12337.689513450667</v>
      </c>
      <c r="C8" s="132">
        <f>IF(SER_hh_emi!C8=0,0,1000000*SER_hh_emi!C8/SER_hh_num!C8)</f>
        <v>13199.215747128406</v>
      </c>
      <c r="D8" s="132">
        <f>IF(SER_hh_emi!D8=0,0,1000000*SER_hh_emi!D8/SER_hh_num!D8)</f>
        <v>11919.878625818574</v>
      </c>
      <c r="E8" s="132">
        <f>IF(SER_hh_emi!E8=0,0,1000000*SER_hh_emi!E8/SER_hh_num!E8)</f>
        <v>13113.815767592889</v>
      </c>
      <c r="F8" s="132">
        <f>IF(SER_hh_emi!F8=0,0,1000000*SER_hh_emi!F8/SER_hh_num!F8)</f>
        <v>13129.553606112488</v>
      </c>
      <c r="G8" s="132">
        <f>IF(SER_hh_emi!G8=0,0,1000000*SER_hh_emi!G8/SER_hh_num!G8)</f>
        <v>11095.485122327664</v>
      </c>
      <c r="H8" s="132">
        <f>IF(SER_hh_emi!H8=0,0,1000000*SER_hh_emi!H8/SER_hh_num!H8)</f>
        <v>10005.228308654974</v>
      </c>
      <c r="I8" s="132">
        <f>IF(SER_hh_emi!I8=0,0,1000000*SER_hh_emi!I8/SER_hh_num!I8)</f>
        <v>9953.0757865475443</v>
      </c>
      <c r="J8" s="132">
        <f>IF(SER_hh_emi!J8=0,0,1000000*SER_hh_emi!J8/SER_hh_num!J8)</f>
        <v>9604.3106818057895</v>
      </c>
      <c r="K8" s="132">
        <f>IF(SER_hh_emi!K8=0,0,1000000*SER_hh_emi!K8/SER_hh_num!K8)</f>
        <v>9206.6944652663478</v>
      </c>
      <c r="L8" s="132">
        <f>IF(SER_hh_emi!L8=0,0,1000000*SER_hh_emi!L8/SER_hh_num!L8)</f>
        <v>8979.3731056558117</v>
      </c>
      <c r="M8" s="132">
        <f>IF(SER_hh_emi!M8=0,0,1000000*SER_hh_emi!M8/SER_hh_num!M8)</f>
        <v>8627.5945067124831</v>
      </c>
      <c r="N8" s="132">
        <f>IF(SER_hh_emi!N8=0,0,1000000*SER_hh_emi!N8/SER_hh_num!N8)</f>
        <v>7173.0463209877025</v>
      </c>
      <c r="O8" s="132">
        <f>IF(SER_hh_emi!O8=0,0,1000000*SER_hh_emi!O8/SER_hh_num!O8)</f>
        <v>5774.6447649045895</v>
      </c>
      <c r="P8" s="132">
        <f>IF(SER_hh_emi!P8=0,0,1000000*SER_hh_emi!P8/SER_hh_num!P8)</f>
        <v>6032.1412771553723</v>
      </c>
      <c r="Q8" s="132">
        <f>IF(SER_hh_emi!Q8=0,0,1000000*SER_hh_emi!Q8/SER_hh_num!Q8)</f>
        <v>6246.8945439868048</v>
      </c>
      <c r="R8" s="132">
        <f>IF(SER_hh_emi!R8=0,0,1000000*SER_hh_emi!R8/SER_hh_num!R8)</f>
        <v>5919.0000058544347</v>
      </c>
      <c r="S8" s="132">
        <f>IF(SER_hh_emi!S8=0,0,1000000*SER_hh_emi!S8/SER_hh_num!S8)</f>
        <v>5666.4395833156541</v>
      </c>
      <c r="T8" s="132">
        <f>IF(SER_hh_emi!T8=0,0,1000000*SER_hh_emi!T8/SER_hh_num!T8)</f>
        <v>5545.2938070756827</v>
      </c>
      <c r="U8" s="132">
        <f>IF(SER_hh_emi!U8=0,0,1000000*SER_hh_emi!U8/SER_hh_num!U8)</f>
        <v>5240.0581733786275</v>
      </c>
      <c r="V8" s="132">
        <f>IF(SER_hh_emi!V8=0,0,1000000*SER_hh_emi!V8/SER_hh_num!V8)</f>
        <v>4810.2820546919993</v>
      </c>
      <c r="W8" s="132">
        <f>IF(SER_hh_emi!W8=0,0,1000000*SER_hh_emi!W8/SER_hh_num!W8)</f>
        <v>4917.3796069385689</v>
      </c>
      <c r="X8" s="132">
        <f>IF(SER_hh_emi!X8=0,0,1000000*SER_hh_emi!X8/SER_hh_num!X8)</f>
        <v>4568.5248444626613</v>
      </c>
      <c r="Y8" s="132">
        <f>IF(SER_hh_emi!Y8=0,0,1000000*SER_hh_emi!Y8/SER_hh_num!Y8)</f>
        <v>4628.4708402200231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23734.626749272087</v>
      </c>
      <c r="C9" s="132">
        <f>IF(SER_hh_emi!C9=0,0,1000000*SER_hh_emi!C9/SER_hh_num!C9)</f>
        <v>25688.840115469306</v>
      </c>
      <c r="D9" s="132">
        <f>IF(SER_hh_emi!D9=0,0,1000000*SER_hh_emi!D9/SER_hh_num!D9)</f>
        <v>23805.824865657916</v>
      </c>
      <c r="E9" s="132">
        <f>IF(SER_hh_emi!E9=0,0,1000000*SER_hh_emi!E9/SER_hh_num!E9)</f>
        <v>25912.58905128211</v>
      </c>
      <c r="F9" s="132">
        <f>IF(SER_hh_emi!F9=0,0,1000000*SER_hh_emi!F9/SER_hh_num!F9)</f>
        <v>29207.634127016478</v>
      </c>
      <c r="G9" s="132">
        <f>IF(SER_hh_emi!G9=0,0,1000000*SER_hh_emi!G9/SER_hh_num!G9)</f>
        <v>26148.469331590528</v>
      </c>
      <c r="H9" s="132">
        <f>IF(SER_hh_emi!H9=0,0,1000000*SER_hh_emi!H9/SER_hh_num!H9)</f>
        <v>25859.129035338323</v>
      </c>
      <c r="I9" s="132">
        <f>IF(SER_hh_emi!I9=0,0,1000000*SER_hh_emi!I9/SER_hh_num!I9)</f>
        <v>21896.071467805919</v>
      </c>
      <c r="J9" s="132">
        <f>IF(SER_hh_emi!J9=0,0,1000000*SER_hh_emi!J9/SER_hh_num!J9)</f>
        <v>23656.090023862958</v>
      </c>
      <c r="K9" s="132">
        <f>IF(SER_hh_emi!K9=0,0,1000000*SER_hh_emi!K9/SER_hh_num!K9)</f>
        <v>24679.279362639481</v>
      </c>
      <c r="L9" s="132">
        <f>IF(SER_hh_emi!L9=0,0,1000000*SER_hh_emi!L9/SER_hh_num!L9)</f>
        <v>28073.968666684628</v>
      </c>
      <c r="M9" s="132">
        <f>IF(SER_hh_emi!M9=0,0,1000000*SER_hh_emi!M9/SER_hh_num!M9)</f>
        <v>21026.77782703509</v>
      </c>
      <c r="N9" s="132">
        <f>IF(SER_hh_emi!N9=0,0,1000000*SER_hh_emi!N9/SER_hh_num!N9)</f>
        <v>23466.371009649058</v>
      </c>
      <c r="O9" s="132">
        <f>IF(SER_hh_emi!O9=0,0,1000000*SER_hh_emi!O9/SER_hh_num!O9)</f>
        <v>23374.507906265408</v>
      </c>
      <c r="P9" s="132">
        <f>IF(SER_hh_emi!P9=0,0,1000000*SER_hh_emi!P9/SER_hh_num!P9)</f>
        <v>17476.546205559407</v>
      </c>
      <c r="Q9" s="132">
        <f>IF(SER_hh_emi!Q9=0,0,1000000*SER_hh_emi!Q9/SER_hh_num!Q9)</f>
        <v>19069.379388361958</v>
      </c>
      <c r="R9" s="132">
        <f>IF(SER_hh_emi!R9=0,0,1000000*SER_hh_emi!R9/SER_hh_num!R9)</f>
        <v>19214.38134586138</v>
      </c>
      <c r="S9" s="132">
        <f>IF(SER_hh_emi!S9=0,0,1000000*SER_hh_emi!S9/SER_hh_num!S9)</f>
        <v>19254.427646399414</v>
      </c>
      <c r="T9" s="132">
        <f>IF(SER_hh_emi!T9=0,0,1000000*SER_hh_emi!T9/SER_hh_num!T9)</f>
        <v>19104.126160839798</v>
      </c>
      <c r="U9" s="132">
        <f>IF(SER_hh_emi!U9=0,0,1000000*SER_hh_emi!U9/SER_hh_num!U9)</f>
        <v>17955.564595777138</v>
      </c>
      <c r="V9" s="132">
        <f>IF(SER_hh_emi!V9=0,0,1000000*SER_hh_emi!V9/SER_hh_num!V9)</f>
        <v>16228.23683533324</v>
      </c>
      <c r="W9" s="132">
        <f>IF(SER_hh_emi!W9=0,0,1000000*SER_hh_emi!W9/SER_hh_num!W9)</f>
        <v>18351.561925026326</v>
      </c>
      <c r="X9" s="132">
        <f>IF(SER_hh_emi!X9=0,0,1000000*SER_hh_emi!X9/SER_hh_num!X9)</f>
        <v>15582.088141105442</v>
      </c>
      <c r="Y9" s="132">
        <f>IF(SER_hh_emi!Y9=0,0,1000000*SER_hh_emi!Y9/SER_hh_num!Y9)</f>
        <v>14780.342648341872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11760.280812167215</v>
      </c>
      <c r="C10" s="132">
        <f>IF(SER_hh_emi!C10=0,0,1000000*SER_hh_emi!C10/SER_hh_num!C10)</f>
        <v>14542.213841647475</v>
      </c>
      <c r="D10" s="132">
        <f>IF(SER_hh_emi!D10=0,0,1000000*SER_hh_emi!D10/SER_hh_num!D10)</f>
        <v>14271.259308469213</v>
      </c>
      <c r="E10" s="132">
        <f>IF(SER_hh_emi!E10=0,0,1000000*SER_hh_emi!E10/SER_hh_num!E10)</f>
        <v>14369.151250343017</v>
      </c>
      <c r="F10" s="132">
        <f>IF(SER_hh_emi!F10=0,0,1000000*SER_hh_emi!F10/SER_hh_num!F10)</f>
        <v>16736.404416622943</v>
      </c>
      <c r="G10" s="132">
        <f>IF(SER_hh_emi!G10=0,0,1000000*SER_hh_emi!G10/SER_hh_num!G10)</f>
        <v>16564.305275101724</v>
      </c>
      <c r="H10" s="132">
        <f>IF(SER_hh_emi!H10=0,0,1000000*SER_hh_emi!H10/SER_hh_num!H10)</f>
        <v>17001.9238755722</v>
      </c>
      <c r="I10" s="132">
        <f>IF(SER_hh_emi!I10=0,0,1000000*SER_hh_emi!I10/SER_hh_num!I10)</f>
        <v>15323.335054277946</v>
      </c>
      <c r="J10" s="132">
        <f>IF(SER_hh_emi!J10=0,0,1000000*SER_hh_emi!J10/SER_hh_num!J10)</f>
        <v>16746.865797005954</v>
      </c>
      <c r="K10" s="132">
        <f>IF(SER_hh_emi!K10=0,0,1000000*SER_hh_emi!K10/SER_hh_num!K10)</f>
        <v>17413.741448581986</v>
      </c>
      <c r="L10" s="132">
        <f>IF(SER_hh_emi!L10=0,0,1000000*SER_hh_emi!L10/SER_hh_num!L10)</f>
        <v>18232.809531708786</v>
      </c>
      <c r="M10" s="132">
        <f>IF(SER_hh_emi!M10=0,0,1000000*SER_hh_emi!M10/SER_hh_num!M10)</f>
        <v>15515.902325037043</v>
      </c>
      <c r="N10" s="132">
        <f>IF(SER_hh_emi!N10=0,0,1000000*SER_hh_emi!N10/SER_hh_num!N10)</f>
        <v>12923.613177380792</v>
      </c>
      <c r="O10" s="132">
        <f>IF(SER_hh_emi!O10=0,0,1000000*SER_hh_emi!O10/SER_hh_num!O10)</f>
        <v>13063.154963286917</v>
      </c>
      <c r="P10" s="132">
        <f>IF(SER_hh_emi!P10=0,0,1000000*SER_hh_emi!P10/SER_hh_num!P10)</f>
        <v>12390.038297273577</v>
      </c>
      <c r="Q10" s="132">
        <f>IF(SER_hh_emi!Q10=0,0,1000000*SER_hh_emi!Q10/SER_hh_num!Q10)</f>
        <v>10758.224266665686</v>
      </c>
      <c r="R10" s="132">
        <f>IF(SER_hh_emi!R10=0,0,1000000*SER_hh_emi!R10/SER_hh_num!R10)</f>
        <v>9810.5936584135761</v>
      </c>
      <c r="S10" s="132">
        <f>IF(SER_hh_emi!S10=0,0,1000000*SER_hh_emi!S10/SER_hh_num!S10)</f>
        <v>7828.2931084777065</v>
      </c>
      <c r="T10" s="132">
        <f>IF(SER_hh_emi!T10=0,0,1000000*SER_hh_emi!T10/SER_hh_num!T10)</f>
        <v>8801.0746650981182</v>
      </c>
      <c r="U10" s="132">
        <f>IF(SER_hh_emi!U10=0,0,1000000*SER_hh_emi!U10/SER_hh_num!U10)</f>
        <v>8174.5082298225807</v>
      </c>
      <c r="V10" s="132">
        <f>IF(SER_hh_emi!V10=0,0,1000000*SER_hh_emi!V10/SER_hh_num!V10)</f>
        <v>7639.4611469015499</v>
      </c>
      <c r="W10" s="132">
        <f>IF(SER_hh_emi!W10=0,0,1000000*SER_hh_emi!W10/SER_hh_num!W10)</f>
        <v>7353.7620490344925</v>
      </c>
      <c r="X10" s="132">
        <f>IF(SER_hh_emi!X10=0,0,1000000*SER_hh_emi!X10/SER_hh_num!X10)</f>
        <v>7813.5714873510324</v>
      </c>
      <c r="Y10" s="132">
        <f>IF(SER_hh_emi!Y10=0,0,1000000*SER_hh_emi!Y10/SER_hh_num!Y10)</f>
        <v>7190.5882562285815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12.931538705205822</v>
      </c>
      <c r="C16" s="130">
        <f>IF(SER_hh_emi!C16=0,0,1000000*SER_hh_emi!C16/SER_hh_num!C16)</f>
        <v>12.649354513461979</v>
      </c>
      <c r="D16" s="130">
        <f>IF(SER_hh_emi!D16=0,0,1000000*SER_hh_emi!D16/SER_hh_num!D16)</f>
        <v>13.303932438738343</v>
      </c>
      <c r="E16" s="130">
        <f>IF(SER_hh_emi!E16=0,0,1000000*SER_hh_emi!E16/SER_hh_num!E16)</f>
        <v>14.295829884967294</v>
      </c>
      <c r="F16" s="130">
        <f>IF(SER_hh_emi!F16=0,0,1000000*SER_hh_emi!F16/SER_hh_num!F16)</f>
        <v>15.557376961535454</v>
      </c>
      <c r="G16" s="130">
        <f>IF(SER_hh_emi!G16=0,0,1000000*SER_hh_emi!G16/SER_hh_num!G16)</f>
        <v>15.869019562990982</v>
      </c>
      <c r="H16" s="130">
        <f>IF(SER_hh_emi!H16=0,0,1000000*SER_hh_emi!H16/SER_hh_num!H16)</f>
        <v>19.058637413029796</v>
      </c>
      <c r="I16" s="130">
        <f>IF(SER_hh_emi!I16=0,0,1000000*SER_hh_emi!I16/SER_hh_num!I16)</f>
        <v>19.702181297605851</v>
      </c>
      <c r="J16" s="130">
        <f>IF(SER_hh_emi!J16=0,0,1000000*SER_hh_emi!J16/SER_hh_num!J16)</f>
        <v>21.495786688051183</v>
      </c>
      <c r="K16" s="130">
        <f>IF(SER_hh_emi!K16=0,0,1000000*SER_hh_emi!K16/SER_hh_num!K16)</f>
        <v>22.506546561577611</v>
      </c>
      <c r="L16" s="130">
        <f>IF(SER_hh_emi!L16=0,0,1000000*SER_hh_emi!L16/SER_hh_num!L16)</f>
        <v>24.037037985646425</v>
      </c>
      <c r="M16" s="130">
        <f>IF(SER_hh_emi!M16=0,0,1000000*SER_hh_emi!M16/SER_hh_num!M16)</f>
        <v>24.579873255551291</v>
      </c>
      <c r="N16" s="130">
        <f>IF(SER_hh_emi!N16=0,0,1000000*SER_hh_emi!N16/SER_hh_num!N16)</f>
        <v>27.065079019278894</v>
      </c>
      <c r="O16" s="130">
        <f>IF(SER_hh_emi!O16=0,0,1000000*SER_hh_emi!O16/SER_hh_num!O16)</f>
        <v>32.016108245473873</v>
      </c>
      <c r="P16" s="130">
        <f>IF(SER_hh_emi!P16=0,0,1000000*SER_hh_emi!P16/SER_hh_num!P16)</f>
        <v>40.666674075827622</v>
      </c>
      <c r="Q16" s="130">
        <f>IF(SER_hh_emi!Q16=0,0,1000000*SER_hh_emi!Q16/SER_hh_num!Q16)</f>
        <v>54.267977751870404</v>
      </c>
      <c r="R16" s="130">
        <f>IF(SER_hh_emi!R16=0,0,1000000*SER_hh_emi!R16/SER_hh_num!R16)</f>
        <v>66.47951612478775</v>
      </c>
      <c r="S16" s="130">
        <f>IF(SER_hh_emi!S16=0,0,1000000*SER_hh_emi!S16/SER_hh_num!S16)</f>
        <v>76.654908049727084</v>
      </c>
      <c r="T16" s="130">
        <f>IF(SER_hh_emi!T16=0,0,1000000*SER_hh_emi!T16/SER_hh_num!T16)</f>
        <v>84.763909842896766</v>
      </c>
      <c r="U16" s="130">
        <f>IF(SER_hh_emi!U16=0,0,1000000*SER_hh_emi!U16/SER_hh_num!U16)</f>
        <v>89.653296468285433</v>
      </c>
      <c r="V16" s="130">
        <f>IF(SER_hh_emi!V16=0,0,1000000*SER_hh_emi!V16/SER_hh_num!V16)</f>
        <v>93.615637832604634</v>
      </c>
      <c r="W16" s="130">
        <f>IF(SER_hh_emi!W16=0,0,1000000*SER_hh_emi!W16/SER_hh_num!W16)</f>
        <v>99.468595675319648</v>
      </c>
      <c r="X16" s="130">
        <f>IF(SER_hh_emi!X16=0,0,1000000*SER_hh_emi!X16/SER_hh_num!X16)</f>
        <v>88.211484410680569</v>
      </c>
      <c r="Y16" s="130">
        <f>IF(SER_hh_emi!Y16=0,0,1000000*SER_hh_emi!Y16/SER_hh_num!Y16)</f>
        <v>83.494983606208947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4473.2903624262917</v>
      </c>
      <c r="C17" s="132">
        <f>IF(SER_hh_emi!C17=0,0,1000000*SER_hh_emi!C17/SER_hh_num!C17)</f>
        <v>4482.6046789466373</v>
      </c>
      <c r="D17" s="132">
        <f>IF(SER_hh_emi!D17=0,0,1000000*SER_hh_emi!D17/SER_hh_num!D17)</f>
        <v>4320.3675435943287</v>
      </c>
      <c r="E17" s="132">
        <f>IF(SER_hh_emi!E17=0,0,1000000*SER_hh_emi!E17/SER_hh_num!E17)</f>
        <v>4671.721895999437</v>
      </c>
      <c r="F17" s="132">
        <f>IF(SER_hh_emi!F17=0,0,1000000*SER_hh_emi!F17/SER_hh_num!F17)</f>
        <v>4151.9497045525641</v>
      </c>
      <c r="G17" s="132">
        <f>IF(SER_hh_emi!G17=0,0,1000000*SER_hh_emi!G17/SER_hh_num!G17)</f>
        <v>4022.9082316751869</v>
      </c>
      <c r="H17" s="132">
        <f>IF(SER_hh_emi!H17=0,0,1000000*SER_hh_emi!H17/SER_hh_num!H17)</f>
        <v>4320.9931346616486</v>
      </c>
      <c r="I17" s="132">
        <f>IF(SER_hh_emi!I17=0,0,1000000*SER_hh_emi!I17/SER_hh_num!I17)</f>
        <v>3875.9651129786598</v>
      </c>
      <c r="J17" s="132">
        <f>IF(SER_hh_emi!J17=0,0,1000000*SER_hh_emi!J17/SER_hh_num!J17)</f>
        <v>3845.1907428467462</v>
      </c>
      <c r="K17" s="132">
        <f>IF(SER_hh_emi!K17=0,0,1000000*SER_hh_emi!K17/SER_hh_num!K17)</f>
        <v>3839.5333147155911</v>
      </c>
      <c r="L17" s="132">
        <f>IF(SER_hh_emi!L17=0,0,1000000*SER_hh_emi!L17/SER_hh_num!L17)</f>
        <v>3948.189994891301</v>
      </c>
      <c r="M17" s="132">
        <f>IF(SER_hh_emi!M17=0,0,1000000*SER_hh_emi!M17/SER_hh_num!M17)</f>
        <v>3772.1806410059739</v>
      </c>
      <c r="N17" s="132">
        <f>IF(SER_hh_emi!N17=0,0,1000000*SER_hh_emi!N17/SER_hh_num!N17)</f>
        <v>3750.6566745664654</v>
      </c>
      <c r="O17" s="132">
        <f>IF(SER_hh_emi!O17=0,0,1000000*SER_hh_emi!O17/SER_hh_num!O17)</f>
        <v>3711.3789655234214</v>
      </c>
      <c r="P17" s="132">
        <f>IF(SER_hh_emi!P17=0,0,1000000*SER_hh_emi!P17/SER_hh_num!P17)</f>
        <v>3577.199460878262</v>
      </c>
      <c r="Q17" s="132">
        <f>IF(SER_hh_emi!Q17=0,0,1000000*SER_hh_emi!Q17/SER_hh_num!Q17)</f>
        <v>3610.8303010509608</v>
      </c>
      <c r="R17" s="132">
        <f>IF(SER_hh_emi!R17=0,0,1000000*SER_hh_emi!R17/SER_hh_num!R17)</f>
        <v>3531.8161222839485</v>
      </c>
      <c r="S17" s="132">
        <f>IF(SER_hh_emi!S17=0,0,1000000*SER_hh_emi!S17/SER_hh_num!S17)</f>
        <v>3596.0687397123879</v>
      </c>
      <c r="T17" s="132">
        <f>IF(SER_hh_emi!T17=0,0,1000000*SER_hh_emi!T17/SER_hh_num!T17)</f>
        <v>3661.8234705276714</v>
      </c>
      <c r="U17" s="132">
        <f>IF(SER_hh_emi!U17=0,0,1000000*SER_hh_emi!U17/SER_hh_num!U17)</f>
        <v>3657.1456120122302</v>
      </c>
      <c r="V17" s="132">
        <f>IF(SER_hh_emi!V17=0,0,1000000*SER_hh_emi!V17/SER_hh_num!V17)</f>
        <v>3713.9849789057071</v>
      </c>
      <c r="W17" s="132">
        <f>IF(SER_hh_emi!W17=0,0,1000000*SER_hh_emi!W17/SER_hh_num!W17)</f>
        <v>3922.7042088110284</v>
      </c>
      <c r="X17" s="132">
        <f>IF(SER_hh_emi!X17=0,0,1000000*SER_hh_emi!X17/SER_hh_num!X17)</f>
        <v>3386.9927349287709</v>
      </c>
      <c r="Y17" s="132">
        <f>IF(SER_hh_emi!Y17=0,0,1000000*SER_hh_emi!Y17/SER_hh_num!Y17)</f>
        <v>3196.6076168376544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1806.073038796568</v>
      </c>
      <c r="C19" s="130">
        <f>IF(SER_hh_emi!C19=0,0,1000000*SER_hh_emi!C19/SER_hh_num!C19)</f>
        <v>1802.8332246736065</v>
      </c>
      <c r="D19" s="130">
        <f>IF(SER_hh_emi!D19=0,0,1000000*SER_hh_emi!D19/SER_hh_num!D19)</f>
        <v>1883.0005612734617</v>
      </c>
      <c r="E19" s="130">
        <f>IF(SER_hh_emi!E19=0,0,1000000*SER_hh_emi!E19/SER_hh_num!E19)</f>
        <v>1813.8688289103654</v>
      </c>
      <c r="F19" s="130">
        <f>IF(SER_hh_emi!F19=0,0,1000000*SER_hh_emi!F19/SER_hh_num!F19)</f>
        <v>1811.4115747465478</v>
      </c>
      <c r="G19" s="130">
        <f>IF(SER_hh_emi!G19=0,0,1000000*SER_hh_emi!G19/SER_hh_num!G19)</f>
        <v>1782.9916251690829</v>
      </c>
      <c r="H19" s="130">
        <f>IF(SER_hh_emi!H19=0,0,1000000*SER_hh_emi!H19/SER_hh_num!H19)</f>
        <v>1745.2808879482002</v>
      </c>
      <c r="I19" s="130">
        <f>IF(SER_hh_emi!I19=0,0,1000000*SER_hh_emi!I19/SER_hh_num!I19)</f>
        <v>1664.0057993534463</v>
      </c>
      <c r="J19" s="130">
        <f>IF(SER_hh_emi!J19=0,0,1000000*SER_hh_emi!J19/SER_hh_num!J19)</f>
        <v>1627.4118637949016</v>
      </c>
      <c r="K19" s="130">
        <f>IF(SER_hh_emi!K19=0,0,1000000*SER_hh_emi!K19/SER_hh_num!K19)</f>
        <v>1649.4375144600967</v>
      </c>
      <c r="L19" s="130">
        <f>IF(SER_hh_emi!L19=0,0,1000000*SER_hh_emi!L19/SER_hh_num!L19)</f>
        <v>1638.2786937290075</v>
      </c>
      <c r="M19" s="130">
        <f>IF(SER_hh_emi!M19=0,0,1000000*SER_hh_emi!M19/SER_hh_num!M19)</f>
        <v>1610.5235856732104</v>
      </c>
      <c r="N19" s="130">
        <f>IF(SER_hh_emi!N19=0,0,1000000*SER_hh_emi!N19/SER_hh_num!N19)</f>
        <v>1725.4350306447952</v>
      </c>
      <c r="O19" s="130">
        <f>IF(SER_hh_emi!O19=0,0,1000000*SER_hh_emi!O19/SER_hh_num!O19)</f>
        <v>1726.9364234043132</v>
      </c>
      <c r="P19" s="130">
        <f>IF(SER_hh_emi!P19=0,0,1000000*SER_hh_emi!P19/SER_hh_num!P19)</f>
        <v>1596.0747985231158</v>
      </c>
      <c r="Q19" s="130">
        <f>IF(SER_hh_emi!Q19=0,0,1000000*SER_hh_emi!Q19/SER_hh_num!Q19)</f>
        <v>1553.4990741437066</v>
      </c>
      <c r="R19" s="130">
        <f>IF(SER_hh_emi!R19=0,0,1000000*SER_hh_emi!R19/SER_hh_num!R19)</f>
        <v>1558.677734101226</v>
      </c>
      <c r="S19" s="130">
        <f>IF(SER_hh_emi!S19=0,0,1000000*SER_hh_emi!S19/SER_hh_num!S19)</f>
        <v>1615.671264031527</v>
      </c>
      <c r="T19" s="130">
        <f>IF(SER_hh_emi!T19=0,0,1000000*SER_hh_emi!T19/SER_hh_num!T19)</f>
        <v>1560.2458667588305</v>
      </c>
      <c r="U19" s="130">
        <f>IF(SER_hh_emi!U19=0,0,1000000*SER_hh_emi!U19/SER_hh_num!U19)</f>
        <v>1485.25553412421</v>
      </c>
      <c r="V19" s="130">
        <f>IF(SER_hh_emi!V19=0,0,1000000*SER_hh_emi!V19/SER_hh_num!V19)</f>
        <v>1237.1125179336725</v>
      </c>
      <c r="W19" s="130">
        <f>IF(SER_hh_emi!W19=0,0,1000000*SER_hh_emi!W19/SER_hh_num!W19)</f>
        <v>1247.714237499014</v>
      </c>
      <c r="X19" s="130">
        <f>IF(SER_hh_emi!X19=0,0,1000000*SER_hh_emi!X19/SER_hh_num!X19)</f>
        <v>1233.024140868205</v>
      </c>
      <c r="Y19" s="130">
        <f>IF(SER_hh_emi!Y19=0,0,1000000*SER_hh_emi!Y19/SER_hh_num!Y19)</f>
        <v>1242.7104776710505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7161.4795216217735</v>
      </c>
      <c r="C22" s="132">
        <f>IF(SER_hh_emi!C22=0,0,1000000*SER_hh_emi!C22/SER_hh_num!C22)</f>
        <v>7051.2568492050405</v>
      </c>
      <c r="D22" s="132">
        <f>IF(SER_hh_emi!D22=0,0,1000000*SER_hh_emi!D22/SER_hh_num!D22)</f>
        <v>6976.3719326447117</v>
      </c>
      <c r="E22" s="132">
        <f>IF(SER_hh_emi!E22=0,0,1000000*SER_hh_emi!E22/SER_hh_num!E22)</f>
        <v>6898.6232359824226</v>
      </c>
      <c r="F22" s="132">
        <f>IF(SER_hh_emi!F22=0,0,1000000*SER_hh_emi!F22/SER_hh_num!F22)</f>
        <v>6877.7178491512132</v>
      </c>
      <c r="G22" s="132">
        <f>IF(SER_hh_emi!G22=0,0,1000000*SER_hh_emi!G22/SER_hh_num!G22)</f>
        <v>6768.1620954287318</v>
      </c>
      <c r="H22" s="132">
        <f>IF(SER_hh_emi!H22=0,0,1000000*SER_hh_emi!H22/SER_hh_num!H22)</f>
        <v>6565.7681641846784</v>
      </c>
      <c r="I22" s="132">
        <f>IF(SER_hh_emi!I22=0,0,1000000*SER_hh_emi!I22/SER_hh_num!I22)</f>
        <v>6377.2634938882811</v>
      </c>
      <c r="J22" s="132">
        <f>IF(SER_hh_emi!J22=0,0,1000000*SER_hh_emi!J22/SER_hh_num!J22)</f>
        <v>6303.0401304511115</v>
      </c>
      <c r="K22" s="132">
        <f>IF(SER_hh_emi!K22=0,0,1000000*SER_hh_emi!K22/SER_hh_num!K22)</f>
        <v>6237.0429137588462</v>
      </c>
      <c r="L22" s="132">
        <f>IF(SER_hh_emi!L22=0,0,1000000*SER_hh_emi!L22/SER_hh_num!L22)</f>
        <v>6103.110686609969</v>
      </c>
      <c r="M22" s="132">
        <f>IF(SER_hh_emi!M22=0,0,1000000*SER_hh_emi!M22/SER_hh_num!M22)</f>
        <v>6018.0712946934527</v>
      </c>
      <c r="N22" s="132">
        <f>IF(SER_hh_emi!N22=0,0,1000000*SER_hh_emi!N22/SER_hh_num!N22)</f>
        <v>6023.7129431597205</v>
      </c>
      <c r="O22" s="132">
        <f>IF(SER_hh_emi!O22=0,0,1000000*SER_hh_emi!O22/SER_hh_num!O22)</f>
        <v>5882.0708682762779</v>
      </c>
      <c r="P22" s="132">
        <f>IF(SER_hh_emi!P22=0,0,1000000*SER_hh_emi!P22/SER_hh_num!P22)</f>
        <v>5733.5119232350389</v>
      </c>
      <c r="Q22" s="132">
        <f>IF(SER_hh_emi!Q22=0,0,1000000*SER_hh_emi!Q22/SER_hh_num!Q22)</f>
        <v>5854.4219848813918</v>
      </c>
      <c r="R22" s="132">
        <f>IF(SER_hh_emi!R22=0,0,1000000*SER_hh_emi!R22/SER_hh_num!R22)</f>
        <v>5681.8019238032975</v>
      </c>
      <c r="S22" s="132">
        <f>IF(SER_hh_emi!S22=0,0,1000000*SER_hh_emi!S22/SER_hh_num!S22)</f>
        <v>5513.5210452519941</v>
      </c>
      <c r="T22" s="132">
        <f>IF(SER_hh_emi!T22=0,0,1000000*SER_hh_emi!T22/SER_hh_num!T22)</f>
        <v>5246.9717029836911</v>
      </c>
      <c r="U22" s="132">
        <f>IF(SER_hh_emi!U22=0,0,1000000*SER_hh_emi!U22/SER_hh_num!U22)</f>
        <v>5136.5311483026871</v>
      </c>
      <c r="V22" s="132">
        <f>IF(SER_hh_emi!V22=0,0,1000000*SER_hh_emi!V22/SER_hh_num!V22)</f>
        <v>4867.226917672283</v>
      </c>
      <c r="W22" s="132">
        <f>IF(SER_hh_emi!W22=0,0,1000000*SER_hh_emi!W22/SER_hh_num!W22)</f>
        <v>5099.3336235539928</v>
      </c>
      <c r="X22" s="132">
        <f>IF(SER_hh_emi!X22=0,0,1000000*SER_hh_emi!X22/SER_hh_num!X22)</f>
        <v>4854.3358441903338</v>
      </c>
      <c r="Y22" s="132">
        <f>IF(SER_hh_emi!Y22=0,0,1000000*SER_hh_emi!Y22/SER_hh_num!Y22)</f>
        <v>4976.0591300225269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5192.6818800635001</v>
      </c>
      <c r="C23" s="132">
        <f>IF(SER_hh_emi!C23=0,0,1000000*SER_hh_emi!C23/SER_hh_num!C23)</f>
        <v>5098.8971351859946</v>
      </c>
      <c r="D23" s="132">
        <f>IF(SER_hh_emi!D23=0,0,1000000*SER_hh_emi!D23/SER_hh_num!D23)</f>
        <v>5252.8755827427231</v>
      </c>
      <c r="E23" s="132">
        <f>IF(SER_hh_emi!E23=0,0,1000000*SER_hh_emi!E23/SER_hh_num!E23)</f>
        <v>5001.8872408788257</v>
      </c>
      <c r="F23" s="132">
        <f>IF(SER_hh_emi!F23=0,0,1000000*SER_hh_emi!F23/SER_hh_num!F23)</f>
        <v>4913.5133216469785</v>
      </c>
      <c r="G23" s="132">
        <f>IF(SER_hh_emi!G23=0,0,1000000*SER_hh_emi!G23/SER_hh_num!G23)</f>
        <v>4820.3121600432542</v>
      </c>
      <c r="H23" s="132">
        <f>IF(SER_hh_emi!H23=0,0,1000000*SER_hh_emi!H23/SER_hh_num!H23)</f>
        <v>4707.9661624273331</v>
      </c>
      <c r="I23" s="132">
        <f>IF(SER_hh_emi!I23=0,0,1000000*SER_hh_emi!I23/SER_hh_num!I23)</f>
        <v>4497.5298370956671</v>
      </c>
      <c r="J23" s="132">
        <f>IF(SER_hh_emi!J23=0,0,1000000*SER_hh_emi!J23/SER_hh_num!J23)</f>
        <v>4362.0227105352906</v>
      </c>
      <c r="K23" s="132">
        <f>IF(SER_hh_emi!K23=0,0,1000000*SER_hh_emi!K23/SER_hh_num!K23)</f>
        <v>4321.2379793909813</v>
      </c>
      <c r="L23" s="132">
        <f>IF(SER_hh_emi!L23=0,0,1000000*SER_hh_emi!L23/SER_hh_num!L23)</f>
        <v>4217.7797981004614</v>
      </c>
      <c r="M23" s="132">
        <f>IF(SER_hh_emi!M23=0,0,1000000*SER_hh_emi!M23/SER_hh_num!M23)</f>
        <v>4044.2761753065342</v>
      </c>
      <c r="N23" s="132">
        <f>IF(SER_hh_emi!N23=0,0,1000000*SER_hh_emi!N23/SER_hh_num!N23)</f>
        <v>4205.8057103893889</v>
      </c>
      <c r="O23" s="132">
        <f>IF(SER_hh_emi!O23=0,0,1000000*SER_hh_emi!O23/SER_hh_num!O23)</f>
        <v>4158.063495297707</v>
      </c>
      <c r="P23" s="132">
        <f>IF(SER_hh_emi!P23=0,0,1000000*SER_hh_emi!P23/SER_hh_num!P23)</f>
        <v>3875.7659283980533</v>
      </c>
      <c r="Q23" s="132">
        <f>IF(SER_hh_emi!Q23=0,0,1000000*SER_hh_emi!Q23/SER_hh_num!Q23)</f>
        <v>3818.9938522853922</v>
      </c>
      <c r="R23" s="132">
        <f>IF(SER_hh_emi!R23=0,0,1000000*SER_hh_emi!R23/SER_hh_num!R23)</f>
        <v>3797.8263971195324</v>
      </c>
      <c r="S23" s="132">
        <f>IF(SER_hh_emi!S23=0,0,1000000*SER_hh_emi!S23/SER_hh_num!S23)</f>
        <v>3888.8402098817</v>
      </c>
      <c r="T23" s="132">
        <f>IF(SER_hh_emi!T23=0,0,1000000*SER_hh_emi!T23/SER_hh_num!T23)</f>
        <v>3815.4509874548307</v>
      </c>
      <c r="U23" s="132">
        <f>IF(SER_hh_emi!U23=0,0,1000000*SER_hh_emi!U23/SER_hh_num!U23)</f>
        <v>3785.0703473060848</v>
      </c>
      <c r="V23" s="132">
        <f>IF(SER_hh_emi!V23=0,0,1000000*SER_hh_emi!V23/SER_hh_num!V23)</f>
        <v>3334.4766234644303</v>
      </c>
      <c r="W23" s="132">
        <f>IF(SER_hh_emi!W23=0,0,1000000*SER_hh_emi!W23/SER_hh_num!W23)</f>
        <v>3483.2793468561013</v>
      </c>
      <c r="X23" s="132">
        <f>IF(SER_hh_emi!X23=0,0,1000000*SER_hh_emi!X23/SER_hh_num!X23)</f>
        <v>3535.2298428988352</v>
      </c>
      <c r="Y23" s="132">
        <f>IF(SER_hh_emi!Y23=0,0,1000000*SER_hh_emi!Y23/SER_hh_num!Y23)</f>
        <v>3515.413975642462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1636.8464680321053</v>
      </c>
      <c r="C29" s="130">
        <f>IF(SER_hh_emi!C29=0,0,1000000*SER_hh_emi!C29/SER_hh_num!C29)</f>
        <v>1674.3763311742391</v>
      </c>
      <c r="D29" s="130">
        <f>IF(SER_hh_emi!D29=0,0,1000000*SER_hh_emi!D29/SER_hh_num!D29)</f>
        <v>1702.1394964871183</v>
      </c>
      <c r="E29" s="130">
        <f>IF(SER_hh_emi!E29=0,0,1000000*SER_hh_emi!E29/SER_hh_num!E29)</f>
        <v>1725.6166019297268</v>
      </c>
      <c r="F29" s="130">
        <f>IF(SER_hh_emi!F29=0,0,1000000*SER_hh_emi!F29/SER_hh_num!F29)</f>
        <v>1765.026273329529</v>
      </c>
      <c r="G29" s="130">
        <f>IF(SER_hh_emi!G29=0,0,1000000*SER_hh_emi!G29/SER_hh_num!G29)</f>
        <v>1741.9509969905498</v>
      </c>
      <c r="H29" s="130">
        <f>IF(SER_hh_emi!H29=0,0,1000000*SER_hh_emi!H29/SER_hh_num!H29)</f>
        <v>1734.6469825186596</v>
      </c>
      <c r="I29" s="130">
        <f>IF(SER_hh_emi!I29=0,0,1000000*SER_hh_emi!I29/SER_hh_num!I29)</f>
        <v>1655.7629993181158</v>
      </c>
      <c r="J29" s="130">
        <f>IF(SER_hh_emi!J29=0,0,1000000*SER_hh_emi!J29/SER_hh_num!J29)</f>
        <v>1649.7078528693517</v>
      </c>
      <c r="K29" s="130">
        <f>IF(SER_hh_emi!K29=0,0,1000000*SER_hh_emi!K29/SER_hh_num!K29)</f>
        <v>1665.7969804817367</v>
      </c>
      <c r="L29" s="130">
        <f>IF(SER_hh_emi!L29=0,0,1000000*SER_hh_emi!L29/SER_hh_num!L29)</f>
        <v>1640.2298750574653</v>
      </c>
      <c r="M29" s="130">
        <f>IF(SER_hh_emi!M29=0,0,1000000*SER_hh_emi!M29/SER_hh_num!M29)</f>
        <v>1585.8480842231086</v>
      </c>
      <c r="N29" s="130">
        <f>IF(SER_hh_emi!N29=0,0,1000000*SER_hh_emi!N29/SER_hh_num!N29)</f>
        <v>1571.5936024712385</v>
      </c>
      <c r="O29" s="130">
        <f>IF(SER_hh_emi!O29=0,0,1000000*SER_hh_emi!O29/SER_hh_num!O29)</f>
        <v>1569.4428998727169</v>
      </c>
      <c r="P29" s="130">
        <f>IF(SER_hh_emi!P29=0,0,1000000*SER_hh_emi!P29/SER_hh_num!P29)</f>
        <v>1522.4272985652699</v>
      </c>
      <c r="Q29" s="130">
        <f>IF(SER_hh_emi!Q29=0,0,1000000*SER_hh_emi!Q29/SER_hh_num!Q29)</f>
        <v>1488.5535000847651</v>
      </c>
      <c r="R29" s="130">
        <f>IF(SER_hh_emi!R29=0,0,1000000*SER_hh_emi!R29/SER_hh_num!R29)</f>
        <v>1445.2025220301639</v>
      </c>
      <c r="S29" s="130">
        <f>IF(SER_hh_emi!S29=0,0,1000000*SER_hh_emi!S29/SER_hh_num!S29)</f>
        <v>1374.2887195994147</v>
      </c>
      <c r="T29" s="130">
        <f>IF(SER_hh_emi!T29=0,0,1000000*SER_hh_emi!T29/SER_hh_num!T29)</f>
        <v>1195.1108684370831</v>
      </c>
      <c r="U29" s="130">
        <f>IF(SER_hh_emi!U29=0,0,1000000*SER_hh_emi!U29/SER_hh_num!U29)</f>
        <v>1008.634565745272</v>
      </c>
      <c r="V29" s="130">
        <f>IF(SER_hh_emi!V29=0,0,1000000*SER_hh_emi!V29/SER_hh_num!V29)</f>
        <v>1071.6989969168039</v>
      </c>
      <c r="W29" s="130">
        <f>IF(SER_hh_emi!W29=0,0,1000000*SER_hh_emi!W29/SER_hh_num!W29)</f>
        <v>1177.8363582451791</v>
      </c>
      <c r="X29" s="130">
        <f>IF(SER_hh_emi!X29=0,0,1000000*SER_hh_emi!X29/SER_hh_num!X29)</f>
        <v>1129.519904639712</v>
      </c>
      <c r="Y29" s="130">
        <f>IF(SER_hh_emi!Y29=0,0,1000000*SER_hh_emi!Y29/SER_hh_num!Y29)</f>
        <v>1118.7090011797873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4820.4330190965384</v>
      </c>
      <c r="C30" s="132">
        <f>IF(SER_hh_emi!C30=0,0,1000000*SER_hh_emi!C30/SER_hh_num!C30)</f>
        <v>5045.6448304472624</v>
      </c>
      <c r="D30" s="132">
        <f>IF(SER_hh_emi!D30=0,0,1000000*SER_hh_emi!D30/SER_hh_num!D30)</f>
        <v>5369.9140452415159</v>
      </c>
      <c r="E30" s="132">
        <f>IF(SER_hh_emi!E30=0,0,1000000*SER_hh_emi!E30/SER_hh_num!E30)</f>
        <v>4838.0396230142969</v>
      </c>
      <c r="F30" s="132">
        <f>IF(SER_hh_emi!F30=0,0,1000000*SER_hh_emi!F30/SER_hh_num!F30)</f>
        <v>5128.8813280657869</v>
      </c>
      <c r="G30" s="132">
        <f>IF(SER_hh_emi!G30=0,0,1000000*SER_hh_emi!G30/SER_hh_num!G30)</f>
        <v>5042.7464402640926</v>
      </c>
      <c r="H30" s="132">
        <f>IF(SER_hh_emi!H30=0,0,1000000*SER_hh_emi!H30/SER_hh_num!H30)</f>
        <v>6516.3543329362246</v>
      </c>
      <c r="I30" s="132">
        <f>IF(SER_hh_emi!I30=0,0,1000000*SER_hh_emi!I30/SER_hh_num!I30)</f>
        <v>4029.7518110585584</v>
      </c>
      <c r="J30" s="132">
        <f>IF(SER_hh_emi!J30=0,0,1000000*SER_hh_emi!J30/SER_hh_num!J30)</f>
        <v>3591.6408903638808</v>
      </c>
      <c r="K30" s="132">
        <f>IF(SER_hh_emi!K30=0,0,1000000*SER_hh_emi!K30/SER_hh_num!K30)</f>
        <v>5523.4600173396984</v>
      </c>
      <c r="L30" s="132">
        <f>IF(SER_hh_emi!L30=0,0,1000000*SER_hh_emi!L30/SER_hh_num!L30)</f>
        <v>6260.4203524764534</v>
      </c>
      <c r="M30" s="132">
        <f>IF(SER_hh_emi!M30=0,0,1000000*SER_hh_emi!M30/SER_hh_num!M30)</f>
        <v>3846.6713815226763</v>
      </c>
      <c r="N30" s="132">
        <f>IF(SER_hh_emi!N30=0,0,1000000*SER_hh_emi!N30/SER_hh_num!N30)</f>
        <v>5636.7027634781571</v>
      </c>
      <c r="O30" s="132">
        <f>IF(SER_hh_emi!O30=0,0,1000000*SER_hh_emi!O30/SER_hh_num!O30)</f>
        <v>6010.3469258306168</v>
      </c>
      <c r="P30" s="132">
        <f>IF(SER_hh_emi!P30=0,0,1000000*SER_hh_emi!P30/SER_hh_num!P30)</f>
        <v>910.32843343829666</v>
      </c>
      <c r="Q30" s="132">
        <f>IF(SER_hh_emi!Q30=0,0,1000000*SER_hh_emi!Q30/SER_hh_num!Q30)</f>
        <v>6134.1583669984593</v>
      </c>
      <c r="R30" s="132">
        <f>IF(SER_hh_emi!R30=0,0,1000000*SER_hh_emi!R30/SER_hh_num!R30)</f>
        <v>5483.4399237829693</v>
      </c>
      <c r="S30" s="132">
        <f>IF(SER_hh_emi!S30=0,0,1000000*SER_hh_emi!S30/SER_hh_num!S30)</f>
        <v>4827.0410820732741</v>
      </c>
      <c r="T30" s="132">
        <f>IF(SER_hh_emi!T30=0,0,1000000*SER_hh_emi!T30/SER_hh_num!T30)</f>
        <v>4712.1487524480572</v>
      </c>
      <c r="U30" s="132">
        <f>IF(SER_hh_emi!U30=0,0,1000000*SER_hh_emi!U30/SER_hh_num!U30)</f>
        <v>4557.0212035037839</v>
      </c>
      <c r="V30" s="132">
        <f>IF(SER_hh_emi!V30=0,0,1000000*SER_hh_emi!V30/SER_hh_num!V30)</f>
        <v>4517.8653853376027</v>
      </c>
      <c r="W30" s="132">
        <f>IF(SER_hh_emi!W30=0,0,1000000*SER_hh_emi!W30/SER_hh_num!W30)</f>
        <v>5342.3352112967568</v>
      </c>
      <c r="X30" s="132">
        <f>IF(SER_hh_emi!X30=0,0,1000000*SER_hh_emi!X30/SER_hh_num!X30)</f>
        <v>4741.423032275171</v>
      </c>
      <c r="Y30" s="132">
        <f>IF(SER_hh_emi!Y30=0,0,1000000*SER_hh_emi!Y30/SER_hh_num!Y30)</f>
        <v>4940.3555565173156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4381.2616295543257</v>
      </c>
      <c r="C31" s="132">
        <f>IF(SER_hh_emi!C31=0,0,1000000*SER_hh_emi!C31/SER_hh_num!C31)</f>
        <v>4401.9331176390133</v>
      </c>
      <c r="D31" s="132">
        <f>IF(SER_hh_emi!D31=0,0,1000000*SER_hh_emi!D31/SER_hh_num!D31)</f>
        <v>4346.2725155782719</v>
      </c>
      <c r="E31" s="132">
        <f>IF(SER_hh_emi!E31=0,0,1000000*SER_hh_emi!E31/SER_hh_num!E31)</f>
        <v>4477.4565024503909</v>
      </c>
      <c r="F31" s="132">
        <f>IF(SER_hh_emi!F31=0,0,1000000*SER_hh_emi!F31/SER_hh_num!F31)</f>
        <v>4457.5081611231599</v>
      </c>
      <c r="G31" s="132">
        <f>IF(SER_hh_emi!G31=0,0,1000000*SER_hh_emi!G31/SER_hh_num!G31)</f>
        <v>4436.0063336987396</v>
      </c>
      <c r="H31" s="132">
        <f>IF(SER_hh_emi!H31=0,0,1000000*SER_hh_emi!H31/SER_hh_num!H31)</f>
        <v>4132.8796119043191</v>
      </c>
      <c r="I31" s="132">
        <f>IF(SER_hh_emi!I31=0,0,1000000*SER_hh_emi!I31/SER_hh_num!I31)</f>
        <v>4504.7725932371814</v>
      </c>
      <c r="J31" s="132">
        <f>IF(SER_hh_emi!J31=0,0,1000000*SER_hh_emi!J31/SER_hh_num!J31)</f>
        <v>4585.9993223430347</v>
      </c>
      <c r="K31" s="132">
        <f>IF(SER_hh_emi!K31=0,0,1000000*SER_hh_emi!K31/SER_hh_num!K31)</f>
        <v>4323.3897421354159</v>
      </c>
      <c r="L31" s="132">
        <f>IF(SER_hh_emi!L31=0,0,1000000*SER_hh_emi!L31/SER_hh_num!L31)</f>
        <v>4180.0014758765556</v>
      </c>
      <c r="M31" s="132">
        <f>IF(SER_hh_emi!M31=0,0,1000000*SER_hh_emi!M31/SER_hh_num!M31)</f>
        <v>4502.1791031725434</v>
      </c>
      <c r="N31" s="132">
        <f>IF(SER_hh_emi!N31=0,0,1000000*SER_hh_emi!N31/SER_hh_num!N31)</f>
        <v>4243.6179521180347</v>
      </c>
      <c r="O31" s="132">
        <f>IF(SER_hh_emi!O31=0,0,1000000*SER_hh_emi!O31/SER_hh_num!O31)</f>
        <v>4244.6423556544023</v>
      </c>
      <c r="P31" s="132">
        <f>IF(SER_hh_emi!P31=0,0,1000000*SER_hh_emi!P31/SER_hh_num!P31)</f>
        <v>4716.9606671849278</v>
      </c>
      <c r="Q31" s="132">
        <f>IF(SER_hh_emi!Q31=0,0,1000000*SER_hh_emi!Q31/SER_hh_num!Q31)</f>
        <v>4191.0544393415603</v>
      </c>
      <c r="R31" s="132">
        <f>IF(SER_hh_emi!R31=0,0,1000000*SER_hh_emi!R31/SER_hh_num!R31)</f>
        <v>4276.9834648534097</v>
      </c>
      <c r="S31" s="132">
        <f>IF(SER_hh_emi!S31=0,0,1000000*SER_hh_emi!S31/SER_hh_num!S31)</f>
        <v>4404.0989121052626</v>
      </c>
      <c r="T31" s="132">
        <f>IF(SER_hh_emi!T31=0,0,1000000*SER_hh_emi!T31/SER_hh_num!T31)</f>
        <v>4070.5564175154404</v>
      </c>
      <c r="U31" s="132">
        <f>IF(SER_hh_emi!U31=0,0,1000000*SER_hh_emi!U31/SER_hh_num!U31)</f>
        <v>3580.3142218602716</v>
      </c>
      <c r="V31" s="132">
        <f>IF(SER_hh_emi!V31=0,0,1000000*SER_hh_emi!V31/SER_hh_num!V31)</f>
        <v>3953.4118043985673</v>
      </c>
      <c r="W31" s="132">
        <f>IF(SER_hh_emi!W31=0,0,1000000*SER_hh_emi!W31/SER_hh_num!W31)</f>
        <v>4242.4147180222881</v>
      </c>
      <c r="X31" s="132">
        <f>IF(SER_hh_emi!X31=0,0,1000000*SER_hh_emi!X31/SER_hh_num!X31)</f>
        <v>4216.6722692302237</v>
      </c>
      <c r="Y31" s="132">
        <f>IF(SER_hh_emi!Y31=0,0,1000000*SER_hh_emi!Y31/SER_hh_num!Y31)</f>
        <v>4246.8634184455987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172.15093144470248</v>
      </c>
      <c r="C3" s="125">
        <f>IF(SER_hh_fech!C3=0,0,SER_hh_fech!C3/SER_summary!C$26)</f>
        <v>179.82388378937142</v>
      </c>
      <c r="D3" s="125">
        <f>IF(SER_hh_fech!D3=0,0,SER_hh_fech!D3/SER_summary!D$26)</f>
        <v>175.13852777892629</v>
      </c>
      <c r="E3" s="125">
        <f>IF(SER_hh_fech!E3=0,0,SER_hh_fech!E3/SER_summary!E$26)</f>
        <v>182.44253594703611</v>
      </c>
      <c r="F3" s="125">
        <f>IF(SER_hh_fech!F3=0,0,SER_hh_fech!F3/SER_summary!F$26)</f>
        <v>196.70868824376126</v>
      </c>
      <c r="G3" s="125">
        <f>IF(SER_hh_fech!G3=0,0,SER_hh_fech!G3/SER_summary!G$26)</f>
        <v>180.52717841113071</v>
      </c>
      <c r="H3" s="125">
        <f>IF(SER_hh_fech!H3=0,0,SER_hh_fech!H3/SER_summary!H$26)</f>
        <v>178.69234575879005</v>
      </c>
      <c r="I3" s="125">
        <f>IF(SER_hh_fech!I3=0,0,SER_hh_fech!I3/SER_summary!I$26)</f>
        <v>162.9070168278833</v>
      </c>
      <c r="J3" s="125">
        <f>IF(SER_hh_fech!J3=0,0,SER_hh_fech!J3/SER_summary!J$26)</f>
        <v>167.8944545062399</v>
      </c>
      <c r="K3" s="125">
        <f>IF(SER_hh_fech!K3=0,0,SER_hh_fech!K3/SER_summary!K$26)</f>
        <v>174.05533556349855</v>
      </c>
      <c r="L3" s="125">
        <f>IF(SER_hh_fech!L3=0,0,SER_hh_fech!L3/SER_summary!L$26)</f>
        <v>187.59538913081289</v>
      </c>
      <c r="M3" s="125">
        <f>IF(SER_hh_fech!M3=0,0,SER_hh_fech!M3/SER_summary!M$26)</f>
        <v>158.36780952792915</v>
      </c>
      <c r="N3" s="125">
        <f>IF(SER_hh_fech!N3=0,0,SER_hh_fech!N3/SER_summary!N$26)</f>
        <v>165.45457998408938</v>
      </c>
      <c r="O3" s="125">
        <f>IF(SER_hh_fech!O3=0,0,SER_hh_fech!O3/SER_summary!O$26)</f>
        <v>165.40234432793102</v>
      </c>
      <c r="P3" s="125">
        <f>IF(SER_hh_fech!P3=0,0,SER_hh_fech!P3/SER_summary!P$26)</f>
        <v>138.21847807904561</v>
      </c>
      <c r="Q3" s="125">
        <f>IF(SER_hh_fech!Q3=0,0,SER_hh_fech!Q3/SER_summary!Q$26)</f>
        <v>142.93254496824306</v>
      </c>
      <c r="R3" s="125">
        <f>IF(SER_hh_fech!R3=0,0,SER_hh_fech!R3/SER_summary!R$26)</f>
        <v>142.16163287225902</v>
      </c>
      <c r="S3" s="125">
        <f>IF(SER_hh_fech!S3=0,0,SER_hh_fech!S3/SER_summary!S$26)</f>
        <v>143.34745140344677</v>
      </c>
      <c r="T3" s="125">
        <f>IF(SER_hh_fech!T3=0,0,SER_hh_fech!T3/SER_summary!T$26)</f>
        <v>140.95990736596278</v>
      </c>
      <c r="U3" s="125">
        <f>IF(SER_hh_fech!U3=0,0,SER_hh_fech!U3/SER_summary!U$26)</f>
        <v>134.09743277326041</v>
      </c>
      <c r="V3" s="125">
        <f>IF(SER_hh_fech!V3=0,0,SER_hh_fech!V3/SER_summary!V$26)</f>
        <v>124.31176293986984</v>
      </c>
      <c r="W3" s="125">
        <f>IF(SER_hh_fech!W3=0,0,SER_hh_fech!W3/SER_summary!W$26)</f>
        <v>131.2737964080209</v>
      </c>
      <c r="X3" s="125">
        <f>IF(SER_hh_fech!X3=0,0,SER_hh_fech!X3/SER_summary!X$26)</f>
        <v>120.83235340199582</v>
      </c>
      <c r="Y3" s="125">
        <f>IF(SER_hh_fech!Y3=0,0,SER_hh_fech!Y3/SER_summary!Y$26)</f>
        <v>115.60602806900992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124.646010065895</v>
      </c>
      <c r="C4" s="130">
        <f>IF(SER_hh_fech!C4=0,0,SER_hh_fech!C4/SER_summary!C$26)</f>
        <v>132.72588911464203</v>
      </c>
      <c r="D4" s="130">
        <f>IF(SER_hh_fech!D4=0,0,SER_hh_fech!D4/SER_summary!D$26)</f>
        <v>127.98965924720707</v>
      </c>
      <c r="E4" s="130">
        <f>IF(SER_hh_fech!E4=0,0,SER_hh_fech!E4/SER_summary!E$26)</f>
        <v>135.21969470341162</v>
      </c>
      <c r="F4" s="130">
        <f>IF(SER_hh_fech!F4=0,0,SER_hh_fech!F4/SER_summary!F$26)</f>
        <v>149.22237763292409</v>
      </c>
      <c r="G4" s="130">
        <f>IF(SER_hh_fech!G4=0,0,SER_hh_fech!G4/SER_summary!G$26)</f>
        <v>133.39350262520853</v>
      </c>
      <c r="H4" s="130">
        <f>IF(SER_hh_fech!H4=0,0,SER_hh_fech!H4/SER_summary!H$26)</f>
        <v>132.22926316366983</v>
      </c>
      <c r="I4" s="130">
        <f>IF(SER_hh_fech!I4=0,0,SER_hh_fech!I4/SER_summary!I$26)</f>
        <v>117.67014427983131</v>
      </c>
      <c r="J4" s="130">
        <f>IF(SER_hh_fech!J4=0,0,SER_hh_fech!J4/SER_summary!J$26)</f>
        <v>123.12005194989189</v>
      </c>
      <c r="K4" s="130">
        <f>IF(SER_hh_fech!K4=0,0,SER_hh_fech!K4/SER_summary!K$26)</f>
        <v>128.78284122013434</v>
      </c>
      <c r="L4" s="130">
        <f>IF(SER_hh_fech!L4=0,0,SER_hh_fech!L4/SER_summary!L$26)</f>
        <v>142.49799544047079</v>
      </c>
      <c r="M4" s="130">
        <f>IF(SER_hh_fech!M4=0,0,SER_hh_fech!M4/SER_summary!M$26)</f>
        <v>113.95090620428917</v>
      </c>
      <c r="N4" s="130">
        <f>IF(SER_hh_fech!N4=0,0,SER_hh_fech!N4/SER_summary!N$26)</f>
        <v>121.16636524640849</v>
      </c>
      <c r="O4" s="130">
        <f>IF(SER_hh_fech!O4=0,0,SER_hh_fech!O4/SER_summary!O$26)</f>
        <v>121.27118339170553</v>
      </c>
      <c r="P4" s="130">
        <f>IF(SER_hh_fech!P4=0,0,SER_hh_fech!P4/SER_summary!P$26)</f>
        <v>94.247411673878958</v>
      </c>
      <c r="Q4" s="130">
        <f>IF(SER_hh_fech!Q4=0,0,SER_hh_fech!Q4/SER_summary!Q$26)</f>
        <v>99.11385109007449</v>
      </c>
      <c r="R4" s="130">
        <f>IF(SER_hh_fech!R4=0,0,SER_hh_fech!R4/SER_summary!R$26)</f>
        <v>99.155215233546997</v>
      </c>
      <c r="S4" s="130">
        <f>IF(SER_hh_fech!S4=0,0,SER_hh_fech!S4/SER_summary!S$26)</f>
        <v>101.0341752439911</v>
      </c>
      <c r="T4" s="130">
        <f>IF(SER_hh_fech!T4=0,0,SER_hh_fech!T4/SER_summary!T$26)</f>
        <v>99.643446344072657</v>
      </c>
      <c r="U4" s="130">
        <f>IF(SER_hh_fech!U4=0,0,SER_hh_fech!U4/SER_summary!U$26)</f>
        <v>94.039931901903557</v>
      </c>
      <c r="V4" s="130">
        <f>IF(SER_hh_fech!V4=0,0,SER_hh_fech!V4/SER_summary!V$26)</f>
        <v>84.950817978052427</v>
      </c>
      <c r="W4" s="130">
        <f>IF(SER_hh_fech!W4=0,0,SER_hh_fech!W4/SER_summary!W$26)</f>
        <v>91.083857619519392</v>
      </c>
      <c r="X4" s="130">
        <f>IF(SER_hh_fech!X4=0,0,SER_hh_fech!X4/SER_summary!X$26)</f>
        <v>80.404108983595691</v>
      </c>
      <c r="Y4" s="130">
        <f>IF(SER_hh_fech!Y4=0,0,SER_hh_fech!Y4/SER_summary!Y$26)</f>
        <v>75.367235491559697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126.26103312252162</v>
      </c>
      <c r="C5" s="132">
        <f>IF(SER_hh_fech!C5=0,0,SER_hh_fech!C5/SER_summary!C$26)</f>
        <v>128.23514392193937</v>
      </c>
      <c r="D5" s="132">
        <f>IF(SER_hh_fech!D5=0,0,SER_hh_fech!D5/SER_summary!D$26)</f>
        <v>107.83945181968491</v>
      </c>
      <c r="E5" s="132">
        <f>IF(SER_hh_fech!E5=0,0,SER_hh_fech!E5/SER_summary!E$26)</f>
        <v>173.74093442017153</v>
      </c>
      <c r="F5" s="132">
        <f>IF(SER_hh_fech!F5=0,0,SER_hh_fech!F5/SER_summary!F$26)</f>
        <v>86.786244775385356</v>
      </c>
      <c r="G5" s="132">
        <f>IF(SER_hh_fech!G5=0,0,SER_hh_fech!G5/SER_summary!G$26)</f>
        <v>116.09828360685704</v>
      </c>
      <c r="H5" s="132">
        <f>IF(SER_hh_fech!H5=0,0,SER_hh_fech!H5/SER_summary!H$26)</f>
        <v>77.534723227968357</v>
      </c>
      <c r="I5" s="132">
        <f>IF(SER_hh_fech!I5=0,0,SER_hh_fech!I5/SER_summary!I$26)</f>
        <v>118.46234154837369</v>
      </c>
      <c r="J5" s="132">
        <f>IF(SER_hh_fech!J5=0,0,SER_hh_fech!J5/SER_summary!J$26)</f>
        <v>127.64943714389685</v>
      </c>
      <c r="K5" s="132">
        <f>IF(SER_hh_fech!K5=0,0,SER_hh_fech!K5/SER_summary!K$26)</f>
        <v>126.99933384785064</v>
      </c>
      <c r="L5" s="132">
        <f>IF(SER_hh_fech!L5=0,0,SER_hh_fech!L5/SER_summary!L$26)</f>
        <v>122.66255332700074</v>
      </c>
      <c r="M5" s="132">
        <f>IF(SER_hh_fech!M5=0,0,SER_hh_fech!M5/SER_summary!M$26)</f>
        <v>120.94850241606729</v>
      </c>
      <c r="N5" s="132">
        <f>IF(SER_hh_fech!N5=0,0,SER_hh_fech!N5/SER_summary!N$26)</f>
        <v>119.31518380996049</v>
      </c>
      <c r="O5" s="132">
        <f>IF(SER_hh_fech!O5=0,0,SER_hh_fech!O5/SER_summary!O$26)</f>
        <v>72.689516313658757</v>
      </c>
      <c r="P5" s="132">
        <f>IF(SER_hh_fech!P5=0,0,SER_hh_fech!P5/SER_summary!P$26)</f>
        <v>27.600000275084675</v>
      </c>
      <c r="Q5" s="132">
        <f>IF(SER_hh_fech!Q5=0,0,SER_hh_fech!Q5/SER_summary!Q$26)</f>
        <v>117.95266073264703</v>
      </c>
      <c r="R5" s="132">
        <f>IF(SER_hh_fech!R5=0,0,SER_hh_fech!R5/SER_summary!R$26)</f>
        <v>112.81972933561627</v>
      </c>
      <c r="S5" s="132">
        <f>IF(SER_hh_fech!S5=0,0,SER_hh_fech!S5/SER_summary!S$26)</f>
        <v>107.18397035823408</v>
      </c>
      <c r="T5" s="132">
        <f>IF(SER_hh_fech!T5=0,0,SER_hh_fech!T5/SER_summary!T$26)</f>
        <v>107.18001805372525</v>
      </c>
      <c r="U5" s="132">
        <f>IF(SER_hh_fech!U5=0,0,SER_hh_fech!U5/SER_summary!U$26)</f>
        <v>86.4200024362585</v>
      </c>
      <c r="V5" s="132">
        <f>IF(SER_hh_fech!V5=0,0,SER_hh_fech!V5/SER_summary!V$26)</f>
        <v>98.276432774160639</v>
      </c>
      <c r="W5" s="132">
        <f>IF(SER_hh_fech!W5=0,0,SER_hh_fech!W5/SER_summary!W$26)</f>
        <v>59.635584640767227</v>
      </c>
      <c r="X5" s="132">
        <f>IF(SER_hh_fech!X5=0,0,SER_hh_fech!X5/SER_summary!X$26)</f>
        <v>95.744159947320341</v>
      </c>
      <c r="Y5" s="132">
        <f>IF(SER_hh_fech!Y5=0,0,SER_hh_fech!Y5/SER_summary!Y$26)</f>
        <v>91.498639808244164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147.50121522178299</v>
      </c>
      <c r="C7" s="132">
        <f>IF(SER_hh_fech!C7=0,0,SER_hh_fech!C7/SER_summary!C$26)</f>
        <v>147.04856426735773</v>
      </c>
      <c r="D7" s="132">
        <f>IF(SER_hh_fech!D7=0,0,SER_hh_fech!D7/SER_summary!D$26)</f>
        <v>152.84897911224431</v>
      </c>
      <c r="E7" s="132">
        <f>IF(SER_hh_fech!E7=0,0,SER_hh_fech!E7/SER_summary!E$26)</f>
        <v>160.5887487845435</v>
      </c>
      <c r="F7" s="132">
        <f>IF(SER_hh_fech!F7=0,0,SER_hh_fech!F7/SER_summary!F$26)</f>
        <v>154.1747356840643</v>
      </c>
      <c r="G7" s="132">
        <f>IF(SER_hh_fech!G7=0,0,SER_hh_fech!G7/SER_summary!G$26)</f>
        <v>156.87824439329398</v>
      </c>
      <c r="H7" s="132">
        <f>IF(SER_hh_fech!H7=0,0,SER_hh_fech!H7/SER_summary!H$26)</f>
        <v>147.70328676169837</v>
      </c>
      <c r="I7" s="132">
        <f>IF(SER_hh_fech!I7=0,0,SER_hh_fech!I7/SER_summary!I$26)</f>
        <v>146.57905804578382</v>
      </c>
      <c r="J7" s="132">
        <f>IF(SER_hh_fech!J7=0,0,SER_hh_fech!J7/SER_summary!J$26)</f>
        <v>144.80601978831569</v>
      </c>
      <c r="K7" s="132">
        <f>IF(SER_hh_fech!K7=0,0,SER_hh_fech!K7/SER_summary!K$26)</f>
        <v>139.38560407547479</v>
      </c>
      <c r="L7" s="132">
        <f>IF(SER_hh_fech!L7=0,0,SER_hh_fech!L7/SER_summary!L$26)</f>
        <v>158.77459835307133</v>
      </c>
      <c r="M7" s="132">
        <f>IF(SER_hh_fech!M7=0,0,SER_hh_fech!M7/SER_summary!M$26)</f>
        <v>140.33331507005093</v>
      </c>
      <c r="N7" s="132">
        <f>IF(SER_hh_fech!N7=0,0,SER_hh_fech!N7/SER_summary!N$26)</f>
        <v>133.42675725215548</v>
      </c>
      <c r="O7" s="132">
        <f>IF(SER_hh_fech!O7=0,0,SER_hh_fech!O7/SER_summary!O$26)</f>
        <v>129.99466399036771</v>
      </c>
      <c r="P7" s="132">
        <f>IF(SER_hh_fech!P7=0,0,SER_hh_fech!P7/SER_summary!P$26)</f>
        <v>122.19717938339075</v>
      </c>
      <c r="Q7" s="132">
        <f>IF(SER_hh_fech!Q7=0,0,SER_hh_fech!Q7/SER_summary!Q$26)</f>
        <v>113.77132001286489</v>
      </c>
      <c r="R7" s="132">
        <f>IF(SER_hh_fech!R7=0,0,SER_hh_fech!R7/SER_summary!R$26)</f>
        <v>112.71705650854038</v>
      </c>
      <c r="S7" s="132">
        <f>IF(SER_hh_fech!S7=0,0,SER_hh_fech!S7/SER_summary!S$26)</f>
        <v>111.47935552591031</v>
      </c>
      <c r="T7" s="132">
        <f>IF(SER_hh_fech!T7=0,0,SER_hh_fech!T7/SER_summary!T$26)</f>
        <v>112.98850565624544</v>
      </c>
      <c r="U7" s="132">
        <f>IF(SER_hh_fech!U7=0,0,SER_hh_fech!U7/SER_summary!U$26)</f>
        <v>113.79817526355131</v>
      </c>
      <c r="V7" s="132">
        <f>IF(SER_hh_fech!V7=0,0,SER_hh_fech!V7/SER_summary!V$26)</f>
        <v>104.16133157473672</v>
      </c>
      <c r="W7" s="132">
        <f>IF(SER_hh_fech!W7=0,0,SER_hh_fech!W7/SER_summary!W$26)</f>
        <v>101.36316007294589</v>
      </c>
      <c r="X7" s="132">
        <f>IF(SER_hh_fech!X7=0,0,SER_hh_fech!X7/SER_summary!X$26)</f>
        <v>101.07820588413531</v>
      </c>
      <c r="Y7" s="132">
        <f>IF(SER_hh_fech!Y7=0,0,SER_hh_fech!Y7/SER_summary!Y$26)</f>
        <v>94.051007769298892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68.667642924069014</v>
      </c>
      <c r="C8" s="132">
        <f>IF(SER_hh_fech!C8=0,0,SER_hh_fech!C8/SER_summary!C$26)</f>
        <v>73.434979909942896</v>
      </c>
      <c r="D8" s="132">
        <f>IF(SER_hh_fech!D8=0,0,SER_hh_fech!D8/SER_summary!D$26)</f>
        <v>66.323864396388842</v>
      </c>
      <c r="E8" s="132">
        <f>IF(SER_hh_fech!E8=0,0,SER_hh_fech!E8/SER_summary!E$26)</f>
        <v>72.868089488136633</v>
      </c>
      <c r="F8" s="132">
        <f>IF(SER_hh_fech!F8=0,0,SER_hh_fech!F8/SER_summary!F$26)</f>
        <v>72.911828564415558</v>
      </c>
      <c r="G8" s="132">
        <f>IF(SER_hh_fech!G8=0,0,SER_hh_fech!G8/SER_summary!G$26)</f>
        <v>61.639512001771251</v>
      </c>
      <c r="H8" s="132">
        <f>IF(SER_hh_fech!H8=0,0,SER_hh_fech!H8/SER_summary!H$26)</f>
        <v>55.5684240982158</v>
      </c>
      <c r="I8" s="132">
        <f>IF(SER_hh_fech!I8=0,0,SER_hh_fech!I8/SER_summary!I$26)</f>
        <v>55.310479968982001</v>
      </c>
      <c r="J8" s="132">
        <f>IF(SER_hh_fech!J8=0,0,SER_hh_fech!J8/SER_summary!J$26)</f>
        <v>53.343623794488444</v>
      </c>
      <c r="K8" s="132">
        <f>IF(SER_hh_fech!K8=0,0,SER_hh_fech!K8/SER_summary!K$26)</f>
        <v>51.145547246745977</v>
      </c>
      <c r="L8" s="132">
        <f>IF(SER_hh_fech!L8=0,0,SER_hh_fech!L8/SER_summary!L$26)</f>
        <v>49.849380387524718</v>
      </c>
      <c r="M8" s="132">
        <f>IF(SER_hh_fech!M8=0,0,SER_hh_fech!M8/SER_summary!M$26)</f>
        <v>48.031693908555177</v>
      </c>
      <c r="N8" s="132">
        <f>IF(SER_hh_fech!N8=0,0,SER_hh_fech!N8/SER_summary!N$26)</f>
        <v>39.908064763396474</v>
      </c>
      <c r="O8" s="132">
        <f>IF(SER_hh_fech!O8=0,0,SER_hh_fech!O8/SER_summary!O$26)</f>
        <v>32.16578163643814</v>
      </c>
      <c r="P8" s="132">
        <f>IF(SER_hh_fech!P8=0,0,SER_hh_fech!P8/SER_summary!P$26)</f>
        <v>33.768233319220066</v>
      </c>
      <c r="Q8" s="132">
        <f>IF(SER_hh_fech!Q8=0,0,SER_hh_fech!Q8/SER_summary!Q$26)</f>
        <v>34.839743985126873</v>
      </c>
      <c r="R8" s="132">
        <f>IF(SER_hh_fech!R8=0,0,SER_hh_fech!R8/SER_summary!R$26)</f>
        <v>33.021615827446034</v>
      </c>
      <c r="S8" s="132">
        <f>IF(SER_hh_fech!S8=0,0,SER_hh_fech!S8/SER_summary!S$26)</f>
        <v>31.627394451054336</v>
      </c>
      <c r="T8" s="132">
        <f>IF(SER_hh_fech!T8=0,0,SER_hh_fech!T8/SER_summary!T$26)</f>
        <v>30.968926010546873</v>
      </c>
      <c r="U8" s="132">
        <f>IF(SER_hh_fech!U8=0,0,SER_hh_fech!U8/SER_summary!U$26)</f>
        <v>29.334060167609703</v>
      </c>
      <c r="V8" s="132">
        <f>IF(SER_hh_fech!V8=0,0,SER_hh_fech!V8/SER_summary!V$26)</f>
        <v>27.020331925938549</v>
      </c>
      <c r="W8" s="132">
        <f>IF(SER_hh_fech!W8=0,0,SER_hh_fech!W8/SER_summary!W$26)</f>
        <v>27.548500398400147</v>
      </c>
      <c r="X8" s="132">
        <f>IF(SER_hh_fech!X8=0,0,SER_hh_fech!X8/SER_summary!X$26)</f>
        <v>25.67861871136061</v>
      </c>
      <c r="Y8" s="132">
        <f>IF(SER_hh_fech!Y8=0,0,SER_hh_fech!Y8/SER_summary!Y$26)</f>
        <v>26.129255595632312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132.09935886117478</v>
      </c>
      <c r="C9" s="132">
        <f>IF(SER_hh_fech!C9=0,0,SER_hh_fech!C9/SER_summary!C$26)</f>
        <v>142.92208673076942</v>
      </c>
      <c r="D9" s="132">
        <f>IF(SER_hh_fech!D9=0,0,SER_hh_fech!D9/SER_summary!D$26)</f>
        <v>132.45892427244829</v>
      </c>
      <c r="E9" s="132">
        <f>IF(SER_hh_fech!E9=0,0,SER_hh_fech!E9/SER_summary!E$26)</f>
        <v>143.98561725446015</v>
      </c>
      <c r="F9" s="132">
        <f>IF(SER_hh_fech!F9=0,0,SER_hh_fech!F9/SER_summary!F$26)</f>
        <v>162.19759453586968</v>
      </c>
      <c r="G9" s="132">
        <f>IF(SER_hh_fech!G9=0,0,SER_hh_fech!G9/SER_summary!G$26)</f>
        <v>145.26439100432907</v>
      </c>
      <c r="H9" s="132">
        <f>IF(SER_hh_fech!H9=0,0,SER_hh_fech!H9/SER_summary!H$26)</f>
        <v>143.62001592738656</v>
      </c>
      <c r="I9" s="132">
        <f>IF(SER_hh_fech!I9=0,0,SER_hh_fech!I9/SER_summary!I$26)</f>
        <v>121.67919227103258</v>
      </c>
      <c r="J9" s="132">
        <f>IF(SER_hh_fech!J9=0,0,SER_hh_fech!J9/SER_summary!J$26)</f>
        <v>131.38908230780345</v>
      </c>
      <c r="K9" s="132">
        <f>IF(SER_hh_fech!K9=0,0,SER_hh_fech!K9/SER_summary!K$26)</f>
        <v>137.09972166660845</v>
      </c>
      <c r="L9" s="132">
        <f>IF(SER_hh_fech!L9=0,0,SER_hh_fech!L9/SER_summary!L$26)</f>
        <v>155.85385823555234</v>
      </c>
      <c r="M9" s="132">
        <f>IF(SER_hh_fech!M9=0,0,SER_hh_fech!M9/SER_summary!M$26)</f>
        <v>117.06064253316227</v>
      </c>
      <c r="N9" s="132">
        <f>IF(SER_hh_fech!N9=0,0,SER_hh_fech!N9/SER_summary!N$26)</f>
        <v>130.55784280590169</v>
      </c>
      <c r="O9" s="132">
        <f>IF(SER_hh_fech!O9=0,0,SER_hh_fech!O9/SER_summary!O$26)</f>
        <v>130.20009849637088</v>
      </c>
      <c r="P9" s="132">
        <f>IF(SER_hh_fech!P9=0,0,SER_hh_fech!P9/SER_summary!P$26)</f>
        <v>97.834593516311543</v>
      </c>
      <c r="Q9" s="132">
        <f>IF(SER_hh_fech!Q9=0,0,SER_hh_fech!Q9/SER_summary!Q$26)</f>
        <v>106.35241097279346</v>
      </c>
      <c r="R9" s="132">
        <f>IF(SER_hh_fech!R9=0,0,SER_hh_fech!R9/SER_summary!R$26)</f>
        <v>107.19545844526289</v>
      </c>
      <c r="S9" s="132">
        <f>IF(SER_hh_fech!S9=0,0,SER_hh_fech!S9/SER_summary!S$26)</f>
        <v>107.46913809775936</v>
      </c>
      <c r="T9" s="132">
        <f>IF(SER_hh_fech!T9=0,0,SER_hh_fech!T9/SER_summary!T$26)</f>
        <v>106.69123948243956</v>
      </c>
      <c r="U9" s="132">
        <f>IF(SER_hh_fech!U9=0,0,SER_hh_fech!U9/SER_summary!U$26)</f>
        <v>100.51598565676285</v>
      </c>
      <c r="V9" s="132">
        <f>IF(SER_hh_fech!V9=0,0,SER_hh_fech!V9/SER_summary!V$26)</f>
        <v>91.157304473598742</v>
      </c>
      <c r="W9" s="132">
        <f>IF(SER_hh_fech!W9=0,0,SER_hh_fech!W9/SER_summary!W$26)</f>
        <v>102.81045016119872</v>
      </c>
      <c r="X9" s="132">
        <f>IF(SER_hh_fech!X9=0,0,SER_hh_fech!X9/SER_summary!X$26)</f>
        <v>87.583303960191614</v>
      </c>
      <c r="Y9" s="132">
        <f>IF(SER_hh_fech!Y9=0,0,SER_hh_fech!Y9/SER_summary!Y$26)</f>
        <v>83.439944677536559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136.12005436157816</v>
      </c>
      <c r="C10" s="132">
        <f>IF(SER_hh_fech!C10=0,0,SER_hh_fech!C10/SER_summary!C$26)</f>
        <v>161.14174921621736</v>
      </c>
      <c r="D10" s="132">
        <f>IF(SER_hh_fech!D10=0,0,SER_hh_fech!D10/SER_summary!D$26)</f>
        <v>156.6376901640146</v>
      </c>
      <c r="E10" s="132">
        <f>IF(SER_hh_fech!E10=0,0,SER_hh_fech!E10/SER_summary!E$26)</f>
        <v>151.28851511138942</v>
      </c>
      <c r="F10" s="132">
        <f>IF(SER_hh_fech!F10=0,0,SER_hh_fech!F10/SER_summary!F$26)</f>
        <v>163.12627856515374</v>
      </c>
      <c r="G10" s="132">
        <f>IF(SER_hh_fech!G10=0,0,SER_hh_fech!G10/SER_summary!G$26)</f>
        <v>146.78994220102393</v>
      </c>
      <c r="H10" s="132">
        <f>IF(SER_hh_fech!H10=0,0,SER_hh_fech!H10/SER_summary!H$26)</f>
        <v>149.25471173343988</v>
      </c>
      <c r="I10" s="132">
        <f>IF(SER_hh_fech!I10=0,0,SER_hh_fech!I10/SER_summary!I$26)</f>
        <v>139.65841110483331</v>
      </c>
      <c r="J10" s="132">
        <f>IF(SER_hh_fech!J10=0,0,SER_hh_fech!J10/SER_summary!J$26)</f>
        <v>154.50000068966546</v>
      </c>
      <c r="K10" s="132">
        <f>IF(SER_hh_fech!K10=0,0,SER_hh_fech!K10/SER_summary!K$26)</f>
        <v>145.96919160782431</v>
      </c>
      <c r="L10" s="132">
        <f>IF(SER_hh_fech!L10=0,0,SER_hh_fech!L10/SER_summary!L$26)</f>
        <v>156.36077704811382</v>
      </c>
      <c r="M10" s="132">
        <f>IF(SER_hh_fech!M10=0,0,SER_hh_fech!M10/SER_summary!M$26)</f>
        <v>141.56841558156168</v>
      </c>
      <c r="N10" s="132">
        <f>IF(SER_hh_fech!N10=0,0,SER_hh_fech!N10/SER_summary!N$26)</f>
        <v>138.4173341490505</v>
      </c>
      <c r="O10" s="132">
        <f>IF(SER_hh_fech!O10=0,0,SER_hh_fech!O10/SER_summary!O$26)</f>
        <v>132.8708345760991</v>
      </c>
      <c r="P10" s="132">
        <f>IF(SER_hh_fech!P10=0,0,SER_hh_fech!P10/SER_summary!P$26)</f>
        <v>126.21675004332502</v>
      </c>
      <c r="Q10" s="132">
        <f>IF(SER_hh_fech!Q10=0,0,SER_hh_fech!Q10/SER_summary!Q$26)</f>
        <v>117.05260425298952</v>
      </c>
      <c r="R10" s="132">
        <f>IF(SER_hh_fech!R10=0,0,SER_hh_fech!R10/SER_summary!R$26)</f>
        <v>111.5423320957356</v>
      </c>
      <c r="S10" s="132">
        <f>IF(SER_hh_fech!S10=0,0,SER_hh_fech!S10/SER_summary!S$26)</f>
        <v>130.99757499475871</v>
      </c>
      <c r="T10" s="132">
        <f>IF(SER_hh_fech!T10=0,0,SER_hh_fech!T10/SER_summary!T$26)</f>
        <v>127.96207874616027</v>
      </c>
      <c r="U10" s="132">
        <f>IF(SER_hh_fech!U10=0,0,SER_hh_fech!U10/SER_summary!U$26)</f>
        <v>132.90168446757571</v>
      </c>
      <c r="V10" s="132">
        <f>IF(SER_hh_fech!V10=0,0,SER_hh_fech!V10/SER_summary!V$26)</f>
        <v>134.25057357241784</v>
      </c>
      <c r="W10" s="132">
        <f>IF(SER_hh_fech!W10=0,0,SER_hh_fech!W10/SER_summary!W$26)</f>
        <v>124.5189084950018</v>
      </c>
      <c r="X10" s="132">
        <f>IF(SER_hh_fech!X10=0,0,SER_hh_fech!X10/SER_summary!X$26)</f>
        <v>104.88894967603238</v>
      </c>
      <c r="Y10" s="132">
        <f>IF(SER_hh_fech!Y10=0,0,SER_hh_fech!Y10/SER_summary!Y$26)</f>
        <v>119.52185347964428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87.614354769333914</v>
      </c>
      <c r="C12" s="132">
        <f>IF(SER_hh_fech!C12=0,0,SER_hh_fech!C12/SER_summary!C$26)</f>
        <v>77.518798403011957</v>
      </c>
      <c r="D12" s="132">
        <f>IF(SER_hh_fech!D12=0,0,SER_hh_fech!D12/SER_summary!D$26)</f>
        <v>112.77804540703954</v>
      </c>
      <c r="E12" s="132">
        <f>IF(SER_hh_fech!E12=0,0,SER_hh_fech!E12/SER_summary!E$26)</f>
        <v>94.397056815954429</v>
      </c>
      <c r="F12" s="132">
        <f>IF(SER_hh_fech!F12=0,0,SER_hh_fech!F12/SER_summary!F$26)</f>
        <v>103.36724971698455</v>
      </c>
      <c r="G12" s="132">
        <f>IF(SER_hh_fech!G12=0,0,SER_hh_fech!G12/SER_summary!G$26)</f>
        <v>74.318569020270374</v>
      </c>
      <c r="H12" s="132">
        <f>IF(SER_hh_fech!H12=0,0,SER_hh_fech!H12/SER_summary!H$26)</f>
        <v>86.831467971569609</v>
      </c>
      <c r="I12" s="132">
        <f>IF(SER_hh_fech!I12=0,0,SER_hh_fech!I12/SER_summary!I$26)</f>
        <v>98.947615719022778</v>
      </c>
      <c r="J12" s="132">
        <f>IF(SER_hh_fech!J12=0,0,SER_hh_fech!J12/SER_summary!J$26)</f>
        <v>87.940732951593475</v>
      </c>
      <c r="K12" s="132">
        <f>IF(SER_hh_fech!K12=0,0,SER_hh_fech!K12/SER_summary!K$26)</f>
        <v>106.88936607789579</v>
      </c>
      <c r="L12" s="132">
        <f>IF(SER_hh_fech!L12=0,0,SER_hh_fech!L12/SER_summary!L$26)</f>
        <v>101.98638022135735</v>
      </c>
      <c r="M12" s="132">
        <f>IF(SER_hh_fech!M12=0,0,SER_hh_fech!M12/SER_summary!M$26)</f>
        <v>102.49577387093835</v>
      </c>
      <c r="N12" s="132">
        <f>IF(SER_hh_fech!N12=0,0,SER_hh_fech!N12/SER_summary!N$26)</f>
        <v>71.791509004283355</v>
      </c>
      <c r="O12" s="132">
        <f>IF(SER_hh_fech!O12=0,0,SER_hh_fech!O12/SER_summary!O$26)</f>
        <v>76.539679365880488</v>
      </c>
      <c r="P12" s="132">
        <f>IF(SER_hh_fech!P12=0,0,SER_hh_fech!P12/SER_summary!P$26)</f>
        <v>80.371184434355897</v>
      </c>
      <c r="Q12" s="132">
        <f>IF(SER_hh_fech!Q12=0,0,SER_hh_fech!Q12/SER_summary!Q$26)</f>
        <v>73.638460123159746</v>
      </c>
      <c r="R12" s="132">
        <f>IF(SER_hh_fech!R12=0,0,SER_hh_fech!R12/SER_summary!R$26)</f>
        <v>71.672131316065688</v>
      </c>
      <c r="S12" s="132">
        <f>IF(SER_hh_fech!S12=0,0,SER_hh_fech!S12/SER_summary!S$26)</f>
        <v>90.093117219196898</v>
      </c>
      <c r="T12" s="132">
        <f>IF(SER_hh_fech!T12=0,0,SER_hh_fech!T12/SER_summary!T$26)</f>
        <v>75.081533793666438</v>
      </c>
      <c r="U12" s="132">
        <f>IF(SER_hh_fech!U12=0,0,SER_hh_fech!U12/SER_summary!U$26)</f>
        <v>82.795085843552954</v>
      </c>
      <c r="V12" s="132">
        <f>IF(SER_hh_fech!V12=0,0,SER_hh_fech!V12/SER_summary!V$26)</f>
        <v>82.167674011234425</v>
      </c>
      <c r="W12" s="132">
        <f>IF(SER_hh_fech!W12=0,0,SER_hh_fech!W12/SER_summary!W$26)</f>
        <v>70.926642722748838</v>
      </c>
      <c r="X12" s="132">
        <f>IF(SER_hh_fech!X12=0,0,SER_hh_fech!X12/SER_summary!X$26)</f>
        <v>80.088888552268429</v>
      </c>
      <c r="Y12" s="132">
        <f>IF(SER_hh_fech!Y12=0,0,SER_hh_fech!Y12/SER_summary!Y$26)</f>
        <v>67.618916085501354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41.513079125610581</v>
      </c>
      <c r="C13" s="132">
        <f>IF(SER_hh_fech!C13=0,0,SER_hh_fech!C13/SER_summary!C$26)</f>
        <v>43.603076843271822</v>
      </c>
      <c r="D13" s="132">
        <f>IF(SER_hh_fech!D13=0,0,SER_hh_fech!D13/SER_summary!D$26)</f>
        <v>43.476904873311717</v>
      </c>
      <c r="E13" s="132">
        <f>IF(SER_hh_fech!E13=0,0,SER_hh_fech!E13/SER_summary!E$26)</f>
        <v>39.647679009461747</v>
      </c>
      <c r="F13" s="132">
        <f>IF(SER_hh_fech!F13=0,0,SER_hh_fech!F13/SER_summary!F$26)</f>
        <v>42.321252172390601</v>
      </c>
      <c r="G13" s="132">
        <f>IF(SER_hh_fech!G13=0,0,SER_hh_fech!G13/SER_summary!G$26)</f>
        <v>40.197718280543576</v>
      </c>
      <c r="H13" s="132">
        <f>IF(SER_hh_fech!H13=0,0,SER_hh_fech!H13/SER_summary!H$26)</f>
        <v>36.255574936540775</v>
      </c>
      <c r="I13" s="132">
        <f>IF(SER_hh_fech!I13=0,0,SER_hh_fech!I13/SER_summary!I$26)</f>
        <v>35.389223042432576</v>
      </c>
      <c r="J13" s="132">
        <f>IF(SER_hh_fech!J13=0,0,SER_hh_fech!J13/SER_summary!J$26)</f>
        <v>36.185267652913282</v>
      </c>
      <c r="K13" s="132">
        <f>IF(SER_hh_fech!K13=0,0,SER_hh_fech!K13/SER_summary!K$26)</f>
        <v>35.983577192768237</v>
      </c>
      <c r="L13" s="132">
        <f>IF(SER_hh_fech!L13=0,0,SER_hh_fech!L13/SER_summary!L$26)</f>
        <v>36.004420190869801</v>
      </c>
      <c r="M13" s="132">
        <f>IF(SER_hh_fech!M13=0,0,SER_hh_fech!M13/SER_summary!M$26)</f>
        <v>33.484369177925885</v>
      </c>
      <c r="N13" s="132">
        <f>IF(SER_hh_fech!N13=0,0,SER_hh_fech!N13/SER_summary!N$26)</f>
        <v>31.495504227870896</v>
      </c>
      <c r="O13" s="132">
        <f>IF(SER_hh_fech!O13=0,0,SER_hh_fech!O13/SER_summary!O$26)</f>
        <v>29.3230938822899</v>
      </c>
      <c r="P13" s="132">
        <f>IF(SER_hh_fech!P13=0,0,SER_hh_fech!P13/SER_summary!P$26)</f>
        <v>26.213449641304191</v>
      </c>
      <c r="Q13" s="132">
        <f>IF(SER_hh_fech!Q13=0,0,SER_hh_fech!Q13/SER_summary!Q$26)</f>
        <v>25.340141348864353</v>
      </c>
      <c r="R13" s="132">
        <f>IF(SER_hh_fech!R13=0,0,SER_hh_fech!R13/SER_summary!R$26)</f>
        <v>24.727084428882662</v>
      </c>
      <c r="S13" s="132">
        <f>IF(SER_hh_fech!S13=0,0,SER_hh_fech!S13/SER_summary!S$26)</f>
        <v>24.559388293083956</v>
      </c>
      <c r="T13" s="132">
        <f>IF(SER_hh_fech!T13=0,0,SER_hh_fech!T13/SER_summary!T$26)</f>
        <v>23.817211857959883</v>
      </c>
      <c r="U13" s="132">
        <f>IF(SER_hh_fech!U13=0,0,SER_hh_fech!U13/SER_summary!U$26)</f>
        <v>22.612303787732401</v>
      </c>
      <c r="V13" s="132">
        <f>IF(SER_hh_fech!V13=0,0,SER_hh_fech!V13/SER_summary!V$26)</f>
        <v>21.213246601788835</v>
      </c>
      <c r="W13" s="132">
        <f>IF(SER_hh_fech!W13=0,0,SER_hh_fech!W13/SER_summary!W$26)</f>
        <v>20.304282375168814</v>
      </c>
      <c r="X13" s="132">
        <f>IF(SER_hh_fech!X13=0,0,SER_hh_fech!X13/SER_summary!X$26)</f>
        <v>19.567915135935994</v>
      </c>
      <c r="Y13" s="132">
        <f>IF(SER_hh_fech!Y13=0,0,SER_hh_fech!Y13/SER_summary!Y$26)</f>
        <v>19.356294189455497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93.614709525353888</v>
      </c>
      <c r="C14" s="65">
        <f>IF(SER_hh_fech!C14=0,0,SER_hh_fech!C14/SER_summary!C$26)</f>
        <v>104.16536513181403</v>
      </c>
      <c r="D14" s="65">
        <f>IF(SER_hh_fech!D14=0,0,SER_hh_fech!D14/SER_summary!D$26)</f>
        <v>99.361250027479457</v>
      </c>
      <c r="E14" s="65">
        <f>IF(SER_hh_fech!E14=0,0,SER_hh_fech!E14/SER_summary!E$26)</f>
        <v>106.98672707705522</v>
      </c>
      <c r="F14" s="65">
        <f>IF(SER_hh_fech!F14=0,0,SER_hh_fech!F14/SER_summary!F$26)</f>
        <v>112.43965241128737</v>
      </c>
      <c r="G14" s="65">
        <f>IF(SER_hh_fech!G14=0,0,SER_hh_fech!G14/SER_summary!G$26)</f>
        <v>105.8041504223804</v>
      </c>
      <c r="H14" s="65">
        <f>IF(SER_hh_fech!H14=0,0,SER_hh_fech!H14/SER_summary!H$26)</f>
        <v>103.78892305645276</v>
      </c>
      <c r="I14" s="65">
        <f>IF(SER_hh_fech!I14=0,0,SER_hh_fech!I14/SER_summary!I$26)</f>
        <v>101.74320544203131</v>
      </c>
      <c r="J14" s="65">
        <f>IF(SER_hh_fech!J14=0,0,SER_hh_fech!J14/SER_summary!J$26)</f>
        <v>99.906020713648772</v>
      </c>
      <c r="K14" s="65">
        <f>IF(SER_hh_fech!K14=0,0,SER_hh_fech!K14/SER_summary!K$26)</f>
        <v>106.1513150578968</v>
      </c>
      <c r="L14" s="65">
        <f>IF(SER_hh_fech!L14=0,0,SER_hh_fech!L14/SER_summary!L$26)</f>
        <v>105.97301579612194</v>
      </c>
      <c r="M14" s="65">
        <f>IF(SER_hh_fech!M14=0,0,SER_hh_fech!M14/SER_summary!M$26)</f>
        <v>102.14827126396034</v>
      </c>
      <c r="N14" s="65">
        <f>IF(SER_hh_fech!N14=0,0,SER_hh_fech!N14/SER_summary!N$26)</f>
        <v>100.80444059978112</v>
      </c>
      <c r="O14" s="65">
        <f>IF(SER_hh_fech!O14=0,0,SER_hh_fech!O14/SER_summary!O$26)</f>
        <v>105.24161387982825</v>
      </c>
      <c r="P14" s="65">
        <f>IF(SER_hh_fech!P14=0,0,SER_hh_fech!P14/SER_summary!P$26)</f>
        <v>81.600219307594188</v>
      </c>
      <c r="Q14" s="65">
        <f>IF(SER_hh_fech!Q14=0,0,SER_hh_fech!Q14/SER_summary!Q$26)</f>
        <v>79.7818996400798</v>
      </c>
      <c r="R14" s="65">
        <f>IF(SER_hh_fech!R14=0,0,SER_hh_fech!R14/SER_summary!R$26)</f>
        <v>81.838174946494206</v>
      </c>
      <c r="S14" s="65">
        <f>IF(SER_hh_fech!S14=0,0,SER_hh_fech!S14/SER_summary!S$26)</f>
        <v>90.985454862194516</v>
      </c>
      <c r="T14" s="65">
        <f>IF(SER_hh_fech!T14=0,0,SER_hh_fech!T14/SER_summary!T$26)</f>
        <v>98.050120243935751</v>
      </c>
      <c r="U14" s="65">
        <f>IF(SER_hh_fech!U14=0,0,SER_hh_fech!U14/SER_summary!U$26)</f>
        <v>84.840214475808992</v>
      </c>
      <c r="V14" s="65">
        <f>IF(SER_hh_fech!V14=0,0,SER_hh_fech!V14/SER_summary!V$26)</f>
        <v>69.089377269951953</v>
      </c>
      <c r="W14" s="65">
        <f>IF(SER_hh_fech!W14=0,0,SER_hh_fech!W14/SER_summary!W$26)</f>
        <v>77.696027840491794</v>
      </c>
      <c r="X14" s="65">
        <f>IF(SER_hh_fech!X14=0,0,SER_hh_fech!X14/SER_summary!X$26)</f>
        <v>80.687104652914144</v>
      </c>
      <c r="Y14" s="65">
        <f>IF(SER_hh_fech!Y14=0,0,SER_hh_fech!Y14/SER_summary!Y$26)</f>
        <v>73.634495065644558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1.3118518991378487</v>
      </c>
      <c r="C15" s="134">
        <f>IF(SER_hh_fech!C15=0,0,SER_hh_fech!C15/SER_summary!C$26)</f>
        <v>1.3770917180718465</v>
      </c>
      <c r="D15" s="134">
        <f>IF(SER_hh_fech!D15=0,0,SER_hh_fech!D15/SER_summary!D$26)</f>
        <v>1.2855819096679399</v>
      </c>
      <c r="E15" s="134">
        <f>IF(SER_hh_fech!E15=0,0,SER_hh_fech!E15/SER_summary!E$26)</f>
        <v>1.3656170572418656</v>
      </c>
      <c r="F15" s="134">
        <f>IF(SER_hh_fech!F15=0,0,SER_hh_fech!F15/SER_summary!F$26)</f>
        <v>1.5151629748068767</v>
      </c>
      <c r="G15" s="134">
        <f>IF(SER_hh_fech!G15=0,0,SER_hh_fech!G15/SER_summary!G$26)</f>
        <v>1.3525463412966043</v>
      </c>
      <c r="H15" s="134">
        <f>IF(SER_hh_fech!H15=0,0,SER_hh_fech!H15/SER_summary!H$26)</f>
        <v>1.332246055489388</v>
      </c>
      <c r="I15" s="134">
        <f>IF(SER_hh_fech!I15=0,0,SER_hh_fech!I15/SER_summary!I$26)</f>
        <v>1.1485463713758322</v>
      </c>
      <c r="J15" s="134">
        <f>IF(SER_hh_fech!J15=0,0,SER_hh_fech!J15/SER_summary!J$26)</f>
        <v>1.225547080344312</v>
      </c>
      <c r="K15" s="134">
        <f>IF(SER_hh_fech!K15=0,0,SER_hh_fech!K15/SER_summary!K$26)</f>
        <v>1.2753944372629498</v>
      </c>
      <c r="L15" s="134">
        <f>IF(SER_hh_fech!L15=0,0,SER_hh_fech!L15/SER_summary!L$26)</f>
        <v>1.4586369941155379</v>
      </c>
      <c r="M15" s="134">
        <f>IF(SER_hh_fech!M15=0,0,SER_hh_fech!M15/SER_summary!M$26)</f>
        <v>1.1378378330501266</v>
      </c>
      <c r="N15" s="134">
        <f>IF(SER_hh_fech!N15=0,0,SER_hh_fech!N15/SER_summary!N$26)</f>
        <v>1.2780563269005196</v>
      </c>
      <c r="O15" s="134">
        <f>IF(SER_hh_fech!O15=0,0,SER_hh_fech!O15/SER_summary!O$26)</f>
        <v>1.2991623392612226</v>
      </c>
      <c r="P15" s="134">
        <f>IF(SER_hh_fech!P15=0,0,SER_hh_fech!P15/SER_summary!P$26)</f>
        <v>1.0025968355088444</v>
      </c>
      <c r="Q15" s="134">
        <f>IF(SER_hh_fech!Q15=0,0,SER_hh_fech!Q15/SER_summary!Q$26)</f>
        <v>1.0803243000629632</v>
      </c>
      <c r="R15" s="134">
        <f>IF(SER_hh_fech!R15=0,0,SER_hh_fech!R15/SER_summary!R$26)</f>
        <v>1.0908259405494833</v>
      </c>
      <c r="S15" s="134">
        <f>IF(SER_hh_fech!S15=0,0,SER_hh_fech!S15/SER_summary!S$26)</f>
        <v>1.1034537051986708</v>
      </c>
      <c r="T15" s="134">
        <f>IF(SER_hh_fech!T15=0,0,SER_hh_fech!T15/SER_summary!T$26)</f>
        <v>1.1006962881344453</v>
      </c>
      <c r="U15" s="134">
        <f>IF(SER_hh_fech!U15=0,0,SER_hh_fech!U15/SER_summary!U$26)</f>
        <v>1.0573056252670763</v>
      </c>
      <c r="V15" s="134">
        <f>IF(SER_hh_fech!V15=0,0,SER_hh_fech!V15/SER_summary!V$26)</f>
        <v>0.98078072628805746</v>
      </c>
      <c r="W15" s="134">
        <f>IF(SER_hh_fech!W15=0,0,SER_hh_fech!W15/SER_summary!W$26)</f>
        <v>1.0987555410995977</v>
      </c>
      <c r="X15" s="134">
        <f>IF(SER_hh_fech!X15=0,0,SER_hh_fech!X15/SER_summary!X$26)</f>
        <v>0.96010989687338777</v>
      </c>
      <c r="Y15" s="134">
        <f>IF(SER_hh_fech!Y15=0,0,SER_hh_fech!Y15/SER_summary!Y$26)</f>
        <v>0.93061683125355377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14.502449435492082</v>
      </c>
      <c r="C16" s="130">
        <f>IF(SER_hh_fech!C16=0,0,SER_hh_fech!C16/SER_summary!C$26)</f>
        <v>13.913535749024618</v>
      </c>
      <c r="D16" s="130">
        <f>IF(SER_hh_fech!D16=0,0,SER_hh_fech!D16/SER_summary!D$26)</f>
        <v>12.978710281548173</v>
      </c>
      <c r="E16" s="130">
        <f>IF(SER_hh_fech!E16=0,0,SER_hh_fech!E16/SER_summary!E$26)</f>
        <v>13.530770630446854</v>
      </c>
      <c r="F16" s="130">
        <f>IF(SER_hh_fech!F16=0,0,SER_hh_fech!F16/SER_summary!F$26)</f>
        <v>11.721703142965193</v>
      </c>
      <c r="G16" s="130">
        <f>IF(SER_hh_fech!G16=0,0,SER_hh_fech!G16/SER_summary!G$26)</f>
        <v>10.918694636126942</v>
      </c>
      <c r="H16" s="130">
        <f>IF(SER_hh_fech!H16=0,0,SER_hh_fech!H16/SER_summary!H$26)</f>
        <v>11.32366382804117</v>
      </c>
      <c r="I16" s="130">
        <f>IF(SER_hh_fech!I16=0,0,SER_hh_fech!I16/SER_summary!I$26)</f>
        <v>9.7968684700404758</v>
      </c>
      <c r="J16" s="130">
        <f>IF(SER_hh_fech!J16=0,0,SER_hh_fech!J16/SER_summary!J$26)</f>
        <v>9.3804435956230563</v>
      </c>
      <c r="K16" s="130">
        <f>IF(SER_hh_fech!K16=0,0,SER_hh_fech!K16/SER_summary!K$26)</f>
        <v>9.2321561107689725</v>
      </c>
      <c r="L16" s="130">
        <f>IF(SER_hh_fech!L16=0,0,SER_hh_fech!L16/SER_summary!L$26)</f>
        <v>9.3173013022099997</v>
      </c>
      <c r="M16" s="130">
        <f>IF(SER_hh_fech!M16=0,0,SER_hh_fech!M16/SER_summary!M$26)</f>
        <v>8.7273013210615904</v>
      </c>
      <c r="N16" s="130">
        <f>IF(SER_hh_fech!N16=0,0,SER_hh_fech!N16/SER_summary!N$26)</f>
        <v>8.518155679801227</v>
      </c>
      <c r="O16" s="130">
        <f>IF(SER_hh_fech!O16=0,0,SER_hh_fech!O16/SER_summary!O$26)</f>
        <v>8.3268705256464699</v>
      </c>
      <c r="P16" s="130">
        <f>IF(SER_hh_fech!P16=0,0,SER_hh_fech!P16/SER_summary!P$26)</f>
        <v>7.977546404534368</v>
      </c>
      <c r="Q16" s="130">
        <f>IF(SER_hh_fech!Q16=0,0,SER_hh_fech!Q16/SER_summary!Q$26)</f>
        <v>8.0395680046245417</v>
      </c>
      <c r="R16" s="130">
        <f>IF(SER_hh_fech!R16=0,0,SER_hh_fech!R16/SER_summary!R$26)</f>
        <v>7.5892230840510404</v>
      </c>
      <c r="S16" s="130">
        <f>IF(SER_hh_fech!S16=0,0,SER_hh_fech!S16/SER_summary!S$26)</f>
        <v>7.2108614400460347</v>
      </c>
      <c r="T16" s="130">
        <f>IF(SER_hh_fech!T16=0,0,SER_hh_fech!T16/SER_summary!T$26)</f>
        <v>7.7408081014874144</v>
      </c>
      <c r="U16" s="130">
        <f>IF(SER_hh_fech!U16=0,0,SER_hh_fech!U16/SER_summary!U$26)</f>
        <v>7.4841941868899289</v>
      </c>
      <c r="V16" s="130">
        <f>IF(SER_hh_fech!V16=0,0,SER_hh_fech!V16/SER_summary!V$26)</f>
        <v>7.1858530432528962</v>
      </c>
      <c r="W16" s="130">
        <f>IF(SER_hh_fech!W16=0,0,SER_hh_fech!W16/SER_summary!W$26)</f>
        <v>6.5181259475866753</v>
      </c>
      <c r="X16" s="130">
        <f>IF(SER_hh_fech!X16=0,0,SER_hh_fech!X16/SER_summary!X$26)</f>
        <v>6.7320169969993131</v>
      </c>
      <c r="Y16" s="130">
        <f>IF(SER_hh_fech!Y16=0,0,SER_hh_fech!Y16/SER_summary!Y$26)</f>
        <v>6.4700302086088382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24.896906748049368</v>
      </c>
      <c r="C17" s="132">
        <f>IF(SER_hh_fech!C17=0,0,SER_hh_fech!C17/SER_summary!C$26)</f>
        <v>24.939359341427387</v>
      </c>
      <c r="D17" s="132">
        <f>IF(SER_hh_fech!D17=0,0,SER_hh_fech!D17/SER_summary!D$26)</f>
        <v>24.039126579968176</v>
      </c>
      <c r="E17" s="132">
        <f>IF(SER_hh_fech!E17=0,0,SER_hh_fech!E17/SER_summary!E$26)</f>
        <v>25.958840295943865</v>
      </c>
      <c r="F17" s="132">
        <f>IF(SER_hh_fech!F17=0,0,SER_hh_fech!F17/SER_summary!F$26)</f>
        <v>23.056857388165703</v>
      </c>
      <c r="G17" s="132">
        <f>IF(SER_hh_fech!G17=0,0,SER_hh_fech!G17/SER_summary!G$26)</f>
        <v>22.348738923489869</v>
      </c>
      <c r="H17" s="132">
        <f>IF(SER_hh_fech!H17=0,0,SER_hh_fech!H17/SER_summary!H$26)</f>
        <v>23.998530730643175</v>
      </c>
      <c r="I17" s="132">
        <f>IF(SER_hh_fech!I17=0,0,SER_hh_fech!I17/SER_summary!I$26)</f>
        <v>21.539220170676746</v>
      </c>
      <c r="J17" s="132">
        <f>IF(SER_hh_fech!J17=0,0,SER_hh_fech!J17/SER_summary!J$26)</f>
        <v>21.35670275567352</v>
      </c>
      <c r="K17" s="132">
        <f>IF(SER_hh_fech!K17=0,0,SER_hh_fech!K17/SER_summary!K$26)</f>
        <v>21.329591559065644</v>
      </c>
      <c r="L17" s="132">
        <f>IF(SER_hh_fech!L17=0,0,SER_hh_fech!L17/SER_summary!L$26)</f>
        <v>21.918548497955669</v>
      </c>
      <c r="M17" s="132">
        <f>IF(SER_hh_fech!M17=0,0,SER_hh_fech!M17/SER_summary!M$26)</f>
        <v>21.000549547803917</v>
      </c>
      <c r="N17" s="132">
        <f>IF(SER_hh_fech!N17=0,0,SER_hh_fech!N17/SER_summary!N$26)</f>
        <v>20.86720798608382</v>
      </c>
      <c r="O17" s="132">
        <f>IF(SER_hh_fech!O17=0,0,SER_hh_fech!O17/SER_summary!O$26)</f>
        <v>20.67303015773793</v>
      </c>
      <c r="P17" s="132">
        <f>IF(SER_hh_fech!P17=0,0,SER_hh_fech!P17/SER_summary!P$26)</f>
        <v>20.025344313767469</v>
      </c>
      <c r="Q17" s="132">
        <f>IF(SER_hh_fech!Q17=0,0,SER_hh_fech!Q17/SER_summary!Q$26)</f>
        <v>20.138070584759308</v>
      </c>
      <c r="R17" s="132">
        <f>IF(SER_hh_fech!R17=0,0,SER_hh_fech!R17/SER_summary!R$26)</f>
        <v>19.703712628465379</v>
      </c>
      <c r="S17" s="132">
        <f>IF(SER_hh_fech!S17=0,0,SER_hh_fech!S17/SER_summary!S$26)</f>
        <v>20.071560427269073</v>
      </c>
      <c r="T17" s="132">
        <f>IF(SER_hh_fech!T17=0,0,SER_hh_fech!T17/SER_summary!T$26)</f>
        <v>20.45026721176718</v>
      </c>
      <c r="U17" s="132">
        <f>IF(SER_hh_fech!U17=0,0,SER_hh_fech!U17/SER_summary!U$26)</f>
        <v>20.472850849155062</v>
      </c>
      <c r="V17" s="132">
        <f>IF(SER_hh_fech!V17=0,0,SER_hh_fech!V17/SER_summary!V$26)</f>
        <v>20.862208443701682</v>
      </c>
      <c r="W17" s="132">
        <f>IF(SER_hh_fech!W17=0,0,SER_hh_fech!W17/SER_summary!W$26)</f>
        <v>21.97605779849783</v>
      </c>
      <c r="X17" s="132">
        <f>IF(SER_hh_fech!X17=0,0,SER_hh_fech!X17/SER_summary!X$26)</f>
        <v>19.037500720566609</v>
      </c>
      <c r="Y17" s="132">
        <f>IF(SER_hh_fech!Y17=0,0,SER_hh_fech!Y17/SER_summary!Y$26)</f>
        <v>18.045911996136862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14.472313670104308</v>
      </c>
      <c r="C18" s="132">
        <f>IF(SER_hh_fech!C18=0,0,SER_hh_fech!C18/SER_summary!C$26)</f>
        <v>13.882334195250502</v>
      </c>
      <c r="D18" s="132">
        <f>IF(SER_hh_fech!D18=0,0,SER_hh_fech!D18/SER_summary!D$26)</f>
        <v>12.944546163145702</v>
      </c>
      <c r="E18" s="132">
        <f>IF(SER_hh_fech!E18=0,0,SER_hh_fech!E18/SER_summary!E$26)</f>
        <v>13.492623042656014</v>
      </c>
      <c r="F18" s="132">
        <f>IF(SER_hh_fech!F18=0,0,SER_hh_fech!F18/SER_summary!F$26)</f>
        <v>11.679070516864073</v>
      </c>
      <c r="G18" s="132">
        <f>IF(SER_hh_fech!G18=0,0,SER_hh_fech!G18/SER_summary!G$26)</f>
        <v>10.873428396691663</v>
      </c>
      <c r="H18" s="132">
        <f>IF(SER_hh_fech!H18=0,0,SER_hh_fech!H18/SER_summary!H$26)</f>
        <v>11.267511022202402</v>
      </c>
      <c r="I18" s="132">
        <f>IF(SER_hh_fech!I18=0,0,SER_hh_fech!I18/SER_summary!I$26)</f>
        <v>9.7368751692295934</v>
      </c>
      <c r="J18" s="132">
        <f>IF(SER_hh_fech!J18=0,0,SER_hh_fech!J18/SER_summary!J$26)</f>
        <v>9.3131162812904584</v>
      </c>
      <c r="K18" s="132">
        <f>IF(SER_hh_fech!K18=0,0,SER_hh_fech!K18/SER_summary!K$26)</f>
        <v>9.1608253314135943</v>
      </c>
      <c r="L18" s="132">
        <f>IF(SER_hh_fech!L18=0,0,SER_hh_fech!L18/SER_summary!L$26)</f>
        <v>9.2401135216017991</v>
      </c>
      <c r="M18" s="132">
        <f>IF(SER_hh_fech!M18=0,0,SER_hh_fech!M18/SER_summary!M$26)</f>
        <v>8.646803182507643</v>
      </c>
      <c r="N18" s="132">
        <f>IF(SER_hh_fech!N18=0,0,SER_hh_fech!N18/SER_summary!N$26)</f>
        <v>8.4283960840167609</v>
      </c>
      <c r="O18" s="132">
        <f>IF(SER_hh_fech!O18=0,0,SER_hh_fech!O18/SER_summary!O$26)</f>
        <v>8.2194399735292549</v>
      </c>
      <c r="P18" s="132">
        <f>IF(SER_hh_fech!P18=0,0,SER_hh_fech!P18/SER_summary!P$26)</f>
        <v>7.8390084917134875</v>
      </c>
      <c r="Q18" s="132">
        <f>IF(SER_hh_fech!Q18=0,0,SER_hh_fech!Q18/SER_summary!Q$26)</f>
        <v>7.8549624194648056</v>
      </c>
      <c r="R18" s="132">
        <f>IF(SER_hh_fech!R18=0,0,SER_hh_fech!R18/SER_summary!R$26)</f>
        <v>7.3568169733199671</v>
      </c>
      <c r="S18" s="132">
        <f>IF(SER_hh_fech!S18=0,0,SER_hh_fech!S18/SER_summary!S$26)</f>
        <v>6.9307478343507745</v>
      </c>
      <c r="T18" s="132">
        <f>IF(SER_hh_fech!T18=0,0,SER_hh_fech!T18/SER_summary!T$26)</f>
        <v>7.439637984552177</v>
      </c>
      <c r="U18" s="132">
        <f>IF(SER_hh_fech!U18=0,0,SER_hh_fech!U18/SER_summary!U$26)</f>
        <v>7.1577811820481028</v>
      </c>
      <c r="V18" s="132">
        <f>IF(SER_hh_fech!V18=0,0,SER_hh_fech!V18/SER_summary!V$26)</f>
        <v>6.8322093639980865</v>
      </c>
      <c r="W18" s="132">
        <f>IF(SER_hh_fech!W18=0,0,SER_hh_fech!W18/SER_summary!W$26)</f>
        <v>6.1159590583758243</v>
      </c>
      <c r="X18" s="132">
        <f>IF(SER_hh_fech!X18=0,0,SER_hh_fech!X18/SER_summary!X$26)</f>
        <v>6.4029606264149175</v>
      </c>
      <c r="Y18" s="132">
        <f>IF(SER_hh_fech!Y18=0,0,SER_hh_fech!Y18/SER_summary!Y$26)</f>
        <v>6.1595602147641886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25.209035952881862</v>
      </c>
      <c r="C19" s="130">
        <f>IF(SER_hh_fech!C19=0,0,SER_hh_fech!C19/SER_summary!C$26)</f>
        <v>24.792377997634656</v>
      </c>
      <c r="D19" s="130">
        <f>IF(SER_hh_fech!D19=0,0,SER_hh_fech!D19/SER_summary!D$26)</f>
        <v>24.694868076311369</v>
      </c>
      <c r="E19" s="130">
        <f>IF(SER_hh_fech!E19=0,0,SER_hh_fech!E19/SER_summary!E$26)</f>
        <v>24.375987132502136</v>
      </c>
      <c r="F19" s="130">
        <f>IF(SER_hh_fech!F19=0,0,SER_hh_fech!F19/SER_summary!F$26)</f>
        <v>24.39209644431406</v>
      </c>
      <c r="G19" s="130">
        <f>IF(SER_hh_fech!G19=0,0,SER_hh_fech!G19/SER_summary!G$26)</f>
        <v>23.91091085941623</v>
      </c>
      <c r="H19" s="130">
        <f>IF(SER_hh_fech!H19=0,0,SER_hh_fech!H19/SER_summary!H$26)</f>
        <v>23.161939787418991</v>
      </c>
      <c r="I19" s="130">
        <f>IF(SER_hh_fech!I19=0,0,SER_hh_fech!I19/SER_summary!I$26)</f>
        <v>22.290626500387042</v>
      </c>
      <c r="J19" s="130">
        <f>IF(SER_hh_fech!J19=0,0,SER_hh_fech!J19/SER_summary!J$26)</f>
        <v>21.76753757076283</v>
      </c>
      <c r="K19" s="130">
        <f>IF(SER_hh_fech!K19=0,0,SER_hh_fech!K19/SER_summary!K$26)</f>
        <v>21.816111741062976</v>
      </c>
      <c r="L19" s="130">
        <f>IF(SER_hh_fech!L19=0,0,SER_hh_fech!L19/SER_summary!L$26)</f>
        <v>21.527698781603195</v>
      </c>
      <c r="M19" s="130">
        <f>IF(SER_hh_fech!M19=0,0,SER_hh_fech!M19/SER_summary!M$26)</f>
        <v>21.173342180522894</v>
      </c>
      <c r="N19" s="130">
        <f>IF(SER_hh_fech!N19=0,0,SER_hh_fech!N19/SER_summary!N$26)</f>
        <v>21.059525088680534</v>
      </c>
      <c r="O19" s="130">
        <f>IF(SER_hh_fech!O19=0,0,SER_hh_fech!O19/SER_summary!O$26)</f>
        <v>20.820492859709521</v>
      </c>
      <c r="P19" s="130">
        <f>IF(SER_hh_fech!P19=0,0,SER_hh_fech!P19/SER_summary!P$26)</f>
        <v>20.66077369606225</v>
      </c>
      <c r="Q19" s="130">
        <f>IF(SER_hh_fech!Q19=0,0,SER_hh_fech!Q19/SER_summary!Q$26)</f>
        <v>20.564677624378412</v>
      </c>
      <c r="R19" s="130">
        <f>IF(SER_hh_fech!R19=0,0,SER_hh_fech!R19/SER_summary!R$26)</f>
        <v>20.140691836951827</v>
      </c>
      <c r="S19" s="130">
        <f>IF(SER_hh_fech!S19=0,0,SER_hh_fech!S19/SER_summary!S$26)</f>
        <v>19.90533322466791</v>
      </c>
      <c r="T19" s="130">
        <f>IF(SER_hh_fech!T19=0,0,SER_hh_fech!T19/SER_summary!T$26)</f>
        <v>19.596435087567468</v>
      </c>
      <c r="U19" s="130">
        <f>IF(SER_hh_fech!U19=0,0,SER_hh_fech!U19/SER_summary!U$26)</f>
        <v>19.291546655414145</v>
      </c>
      <c r="V19" s="130">
        <f>IF(SER_hh_fech!V19=0,0,SER_hh_fech!V19/SER_summary!V$26)</f>
        <v>18.404365154175732</v>
      </c>
      <c r="W19" s="130">
        <f>IF(SER_hh_fech!W19=0,0,SER_hh_fech!W19/SER_summary!W$26)</f>
        <v>18.707384267786576</v>
      </c>
      <c r="X19" s="130">
        <f>IF(SER_hh_fech!X19=0,0,SER_hh_fech!X19/SER_summary!X$26)</f>
        <v>18.587673678323547</v>
      </c>
      <c r="Y19" s="130">
        <f>IF(SER_hh_fech!Y19=0,0,SER_hh_fech!Y19/SER_summary!Y$26)</f>
        <v>18.428462281507908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30.094553731672626</v>
      </c>
      <c r="C22" s="132">
        <f>IF(SER_hh_fech!C22=0,0,SER_hh_fech!C22/SER_summary!C$26)</f>
        <v>29.566165271599811</v>
      </c>
      <c r="D22" s="132">
        <f>IF(SER_hh_fech!D22=0,0,SER_hh_fech!D22/SER_summary!D$26)</f>
        <v>29.277092534604417</v>
      </c>
      <c r="E22" s="132">
        <f>IF(SER_hh_fech!E22=0,0,SER_hh_fech!E22/SER_summary!E$26)</f>
        <v>28.934259758594333</v>
      </c>
      <c r="F22" s="132">
        <f>IF(SER_hh_fech!F22=0,0,SER_hh_fech!F22/SER_summary!F$26)</f>
        <v>28.839520300101128</v>
      </c>
      <c r="G22" s="132">
        <f>IF(SER_hh_fech!G22=0,0,SER_hh_fech!G22/SER_summary!G$26)</f>
        <v>28.393418468961741</v>
      </c>
      <c r="H22" s="132">
        <f>IF(SER_hh_fech!H22=0,0,SER_hh_fech!H22/SER_summary!H$26)</f>
        <v>27.490891468860237</v>
      </c>
      <c r="I22" s="132">
        <f>IF(SER_hh_fech!I22=0,0,SER_hh_fech!I22/SER_summary!I$26)</f>
        <v>26.706642971227478</v>
      </c>
      <c r="J22" s="132">
        <f>IF(SER_hh_fech!J22=0,0,SER_hh_fech!J22/SER_summary!J$26)</f>
        <v>26.420491215062999</v>
      </c>
      <c r="K22" s="132">
        <f>IF(SER_hh_fech!K22=0,0,SER_hh_fech!K22/SER_summary!K$26)</f>
        <v>26.144853706229725</v>
      </c>
      <c r="L22" s="132">
        <f>IF(SER_hh_fech!L22=0,0,SER_hh_fech!L22/SER_summary!L$26)</f>
        <v>25.570589026359379</v>
      </c>
      <c r="M22" s="132">
        <f>IF(SER_hh_fech!M22=0,0,SER_hh_fech!M22/SER_summary!M$26)</f>
        <v>25.200842137397863</v>
      </c>
      <c r="N22" s="132">
        <f>IF(SER_hh_fech!N22=0,0,SER_hh_fech!N22/SER_summary!N$26)</f>
        <v>25.217272367479826</v>
      </c>
      <c r="O22" s="132">
        <f>IF(SER_hh_fech!O22=0,0,SER_hh_fech!O22/SER_summary!O$26)</f>
        <v>24.623209678527303</v>
      </c>
      <c r="P22" s="132">
        <f>IF(SER_hh_fech!P22=0,0,SER_hh_fech!P22/SER_summary!P$26)</f>
        <v>24.00946975669898</v>
      </c>
      <c r="Q22" s="132">
        <f>IF(SER_hh_fech!Q22=0,0,SER_hh_fech!Q22/SER_summary!Q$26)</f>
        <v>24.572632017193385</v>
      </c>
      <c r="R22" s="132">
        <f>IF(SER_hh_fech!R22=0,0,SER_hh_fech!R22/SER_summary!R$26)</f>
        <v>23.851859158035538</v>
      </c>
      <c r="S22" s="132">
        <f>IF(SER_hh_fech!S22=0,0,SER_hh_fech!S22/SER_summary!S$26)</f>
        <v>23.135227140779072</v>
      </c>
      <c r="T22" s="132">
        <f>IF(SER_hh_fech!T22=0,0,SER_hh_fech!T22/SER_summary!T$26)</f>
        <v>22.863378268485594</v>
      </c>
      <c r="U22" s="132">
        <f>IF(SER_hh_fech!U22=0,0,SER_hh_fech!U22/SER_summary!U$26)</f>
        <v>22.390857510788301</v>
      </c>
      <c r="V22" s="132">
        <f>IF(SER_hh_fech!V22=0,0,SER_hh_fech!V22/SER_summary!V$26)</f>
        <v>21.235644793806699</v>
      </c>
      <c r="W22" s="132">
        <f>IF(SER_hh_fech!W22=0,0,SER_hh_fech!W22/SER_summary!W$26)</f>
        <v>22.184845916158782</v>
      </c>
      <c r="X22" s="132">
        <f>IF(SER_hh_fech!X22=0,0,SER_hh_fech!X22/SER_summary!X$26)</f>
        <v>20.983593560350798</v>
      </c>
      <c r="Y22" s="132">
        <f>IF(SER_hh_fech!Y22=0,0,SER_hh_fech!Y22/SER_summary!Y$26)</f>
        <v>21.412394252130845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28.900810380237612</v>
      </c>
      <c r="C23" s="132">
        <f>IF(SER_hh_fech!C23=0,0,SER_hh_fech!C23/SER_summary!C$26)</f>
        <v>28.368155794916127</v>
      </c>
      <c r="D23" s="132">
        <f>IF(SER_hh_fech!D23=0,0,SER_hh_fech!D23/SER_summary!D$26)</f>
        <v>29.227731152086733</v>
      </c>
      <c r="E23" s="132">
        <f>IF(SER_hh_fech!E23=0,0,SER_hh_fech!E23/SER_summary!E$26)</f>
        <v>27.793433546522124</v>
      </c>
      <c r="F23" s="132">
        <f>IF(SER_hh_fech!F23=0,0,SER_hh_fech!F23/SER_summary!F$26)</f>
        <v>27.286018375378053</v>
      </c>
      <c r="G23" s="132">
        <f>IF(SER_hh_fech!G23=0,0,SER_hh_fech!G23/SER_summary!G$26)</f>
        <v>26.778611837653333</v>
      </c>
      <c r="H23" s="132">
        <f>IF(SER_hh_fech!H23=0,0,SER_hh_fech!H23/SER_summary!H$26)</f>
        <v>26.147755181908586</v>
      </c>
      <c r="I23" s="132">
        <f>IF(SER_hh_fech!I23=0,0,SER_hh_fech!I23/SER_summary!I$26)</f>
        <v>24.993332644045619</v>
      </c>
      <c r="J23" s="132">
        <f>IF(SER_hh_fech!J23=0,0,SER_hh_fech!J23/SER_summary!J$26)</f>
        <v>24.227256506248292</v>
      </c>
      <c r="K23" s="132">
        <f>IF(SER_hh_fech!K23=0,0,SER_hh_fech!K23/SER_summary!K$26)</f>
        <v>24.005584422636833</v>
      </c>
      <c r="L23" s="132">
        <f>IF(SER_hh_fech!L23=0,0,SER_hh_fech!L23/SER_summary!L$26)</f>
        <v>23.415188017289896</v>
      </c>
      <c r="M23" s="132">
        <f>IF(SER_hh_fech!M23=0,0,SER_hh_fech!M23/SER_summary!M$26)</f>
        <v>22.515364529806277</v>
      </c>
      <c r="N23" s="132">
        <f>IF(SER_hh_fech!N23=0,0,SER_hh_fech!N23/SER_summary!N$26)</f>
        <v>23.399481776854149</v>
      </c>
      <c r="O23" s="132">
        <f>IF(SER_hh_fech!O23=0,0,SER_hh_fech!O23/SER_summary!O$26)</f>
        <v>23.161141137726865</v>
      </c>
      <c r="P23" s="132">
        <f>IF(SER_hh_fech!P23=0,0,SER_hh_fech!P23/SER_summary!P$26)</f>
        <v>21.696734566957652</v>
      </c>
      <c r="Q23" s="132">
        <f>IF(SER_hh_fech!Q23=0,0,SER_hh_fech!Q23/SER_summary!Q$26)</f>
        <v>21.299025805145327</v>
      </c>
      <c r="R23" s="132">
        <f>IF(SER_hh_fech!R23=0,0,SER_hh_fech!R23/SER_summary!R$26)</f>
        <v>21.187762145796974</v>
      </c>
      <c r="S23" s="132">
        <f>IF(SER_hh_fech!S23=0,0,SER_hh_fech!S23/SER_summary!S$26)</f>
        <v>21.705672753874303</v>
      </c>
      <c r="T23" s="132">
        <f>IF(SER_hh_fech!T23=0,0,SER_hh_fech!T23/SER_summary!T$26)</f>
        <v>21.308234232167528</v>
      </c>
      <c r="U23" s="132">
        <f>IF(SER_hh_fech!U23=0,0,SER_hh_fech!U23/SER_summary!U$26)</f>
        <v>21.188978754203866</v>
      </c>
      <c r="V23" s="132">
        <f>IF(SER_hh_fech!V23=0,0,SER_hh_fech!V23/SER_summary!V$26)</f>
        <v>18.730432881250398</v>
      </c>
      <c r="W23" s="132">
        <f>IF(SER_hh_fech!W23=0,0,SER_hh_fech!W23/SER_summary!W$26)</f>
        <v>19.514279991563622</v>
      </c>
      <c r="X23" s="132">
        <f>IF(SER_hh_fech!X23=0,0,SER_hh_fech!X23/SER_summary!X$26)</f>
        <v>19.870707128331208</v>
      </c>
      <c r="Y23" s="132">
        <f>IF(SER_hh_fech!Y23=0,0,SER_hh_fech!Y23/SER_summary!Y$26)</f>
        <v>19.845679807643197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19.713758721414042</v>
      </c>
      <c r="C25" s="132">
        <f>IF(SER_hh_fech!C25=0,0,SER_hh_fech!C25/SER_summary!C$26)</f>
        <v>19.373005023209707</v>
      </c>
      <c r="D25" s="132">
        <f>IF(SER_hh_fech!D25=0,0,SER_hh_fech!D25/SER_summary!D$26)</f>
        <v>19.448892524597138</v>
      </c>
      <c r="E25" s="132">
        <f>IF(SER_hh_fech!E25=0,0,SER_hh_fech!E25/SER_summary!E$26)</f>
        <v>19.102966935512811</v>
      </c>
      <c r="F25" s="132">
        <f>IF(SER_hh_fech!F25=0,0,SER_hh_fech!F25/SER_summary!F$26)</f>
        <v>18.803923690614059</v>
      </c>
      <c r="G25" s="132">
        <f>IF(SER_hh_fech!G25=0,0,SER_hh_fech!G25/SER_summary!G$26)</f>
        <v>18.594706356534335</v>
      </c>
      <c r="H25" s="132">
        <f>IF(SER_hh_fech!H25=0,0,SER_hh_fech!H25/SER_summary!H$26)</f>
        <v>18.152774819030327</v>
      </c>
      <c r="I25" s="132">
        <f>IF(SER_hh_fech!I25=0,0,SER_hh_fech!I25/SER_summary!I$26)</f>
        <v>17.716260224055365</v>
      </c>
      <c r="J25" s="132">
        <f>IF(SER_hh_fech!J25=0,0,SER_hh_fech!J25/SER_summary!J$26)</f>
        <v>17.292089663812554</v>
      </c>
      <c r="K25" s="132">
        <f>IF(SER_hh_fech!K25=0,0,SER_hh_fech!K25/SER_summary!K$26)</f>
        <v>17.42295956832772</v>
      </c>
      <c r="L25" s="132">
        <f>IF(SER_hh_fech!L25=0,0,SER_hh_fech!L25/SER_summary!L$26)</f>
        <v>17.259921911870723</v>
      </c>
      <c r="M25" s="132">
        <f>IF(SER_hh_fech!M25=0,0,SER_hh_fech!M25/SER_summary!M$26)</f>
        <v>17.209904756845035</v>
      </c>
      <c r="N25" s="132">
        <f>IF(SER_hh_fech!N25=0,0,SER_hh_fech!N25/SER_summary!N$26)</f>
        <v>17.317398574460245</v>
      </c>
      <c r="O25" s="132">
        <f>IF(SER_hh_fech!O25=0,0,SER_hh_fech!O25/SER_summary!O$26)</f>
        <v>16.988473589956325</v>
      </c>
      <c r="P25" s="132">
        <f>IF(SER_hh_fech!P25=0,0,SER_hh_fech!P25/SER_summary!P$26)</f>
        <v>16.45881318316863</v>
      </c>
      <c r="Q25" s="132">
        <f>IF(SER_hh_fech!Q25=0,0,SER_hh_fech!Q25/SER_summary!Q$26)</f>
        <v>16.669037959607575</v>
      </c>
      <c r="R25" s="132">
        <f>IF(SER_hh_fech!R25=0,0,SER_hh_fech!R25/SER_summary!R$26)</f>
        <v>16.723978571896151</v>
      </c>
      <c r="S25" s="132">
        <f>IF(SER_hh_fech!S25=0,0,SER_hh_fech!S25/SER_summary!S$26)</f>
        <v>16.705111778285662</v>
      </c>
      <c r="T25" s="132">
        <f>IF(SER_hh_fech!T25=0,0,SER_hh_fech!T25/SER_summary!T$26)</f>
        <v>16.83091593171217</v>
      </c>
      <c r="U25" s="132">
        <f>IF(SER_hh_fech!U25=0,0,SER_hh_fech!U25/SER_summary!U$26)</f>
        <v>16.553306632808731</v>
      </c>
      <c r="V25" s="132">
        <f>IF(SER_hh_fech!V25=0,0,SER_hh_fech!V25/SER_summary!V$26)</f>
        <v>16.343050426464732</v>
      </c>
      <c r="W25" s="132">
        <f>IF(SER_hh_fech!W25=0,0,SER_hh_fech!W25/SER_summary!W$26)</f>
        <v>16.367413061813057</v>
      </c>
      <c r="X25" s="132">
        <f>IF(SER_hh_fech!X25=0,0,SER_hh_fech!X25/SER_summary!X$26)</f>
        <v>16.729846114852986</v>
      </c>
      <c r="Y25" s="132">
        <f>IF(SER_hh_fech!Y25=0,0,SER_hh_fech!Y25/SER_summary!Y$26)</f>
        <v>16.857176144804509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23.650614897864152</v>
      </c>
      <c r="C26" s="65">
        <f>IF(SER_hh_fech!C26=0,0,SER_hh_fech!C26/SER_summary!C$26)</f>
        <v>23.214750292433099</v>
      </c>
      <c r="D26" s="65">
        <f>IF(SER_hh_fech!D26=0,0,SER_hh_fech!D26/SER_summary!D$26)</f>
        <v>22.503147177201974</v>
      </c>
      <c r="E26" s="65">
        <f>IF(SER_hh_fech!E26=0,0,SER_hh_fech!E26/SER_summary!E$26)</f>
        <v>22.736221725625597</v>
      </c>
      <c r="F26" s="65">
        <f>IF(SER_hh_fech!F26=0,0,SER_hh_fech!F26/SER_summary!F$26)</f>
        <v>23.016208792101612</v>
      </c>
      <c r="G26" s="65">
        <f>IF(SER_hh_fech!G26=0,0,SER_hh_fech!G26/SER_summary!G$26)</f>
        <v>22.485691451437404</v>
      </c>
      <c r="H26" s="65">
        <f>IF(SER_hh_fech!H26=0,0,SER_hh_fech!H26/SER_summary!H$26)</f>
        <v>21.623566785881739</v>
      </c>
      <c r="I26" s="65">
        <f>IF(SER_hh_fech!I26=0,0,SER_hh_fech!I26/SER_summary!I$26)</f>
        <v>20.854061374282196</v>
      </c>
      <c r="J26" s="65">
        <f>IF(SER_hh_fech!J26=0,0,SER_hh_fech!J26/SER_summary!J$26)</f>
        <v>20.41653606484612</v>
      </c>
      <c r="K26" s="65">
        <f>IF(SER_hh_fech!K26=0,0,SER_hh_fech!K26/SER_summary!K$26)</f>
        <v>20.560355040313009</v>
      </c>
      <c r="L26" s="65">
        <f>IF(SER_hh_fech!L26=0,0,SER_hh_fech!L26/SER_summary!L$26)</f>
        <v>20.400069661304958</v>
      </c>
      <c r="M26" s="65">
        <f>IF(SER_hh_fech!M26=0,0,SER_hh_fech!M26/SER_summary!M$26)</f>
        <v>20.290136034223906</v>
      </c>
      <c r="N26" s="65">
        <f>IF(SER_hh_fech!N26=0,0,SER_hh_fech!N26/SER_summary!N$26)</f>
        <v>19.406449586840608</v>
      </c>
      <c r="O26" s="65">
        <f>IF(SER_hh_fech!O26=0,0,SER_hh_fech!O26/SER_summary!O$26)</f>
        <v>19.141203996673188</v>
      </c>
      <c r="P26" s="65">
        <f>IF(SER_hh_fech!P26=0,0,SER_hh_fech!P26/SER_summary!P$26)</f>
        <v>19.925939728938388</v>
      </c>
      <c r="Q26" s="65">
        <f>IF(SER_hh_fech!Q26=0,0,SER_hh_fech!Q26/SER_summary!Q$26)</f>
        <v>19.944670504329899</v>
      </c>
      <c r="R26" s="65">
        <f>IF(SER_hh_fech!R26=0,0,SER_hh_fech!R26/SER_summary!R$26)</f>
        <v>19.274582599209378</v>
      </c>
      <c r="S26" s="65">
        <f>IF(SER_hh_fech!S26=0,0,SER_hh_fech!S26/SER_summary!S$26)</f>
        <v>18.533666708157437</v>
      </c>
      <c r="T26" s="65">
        <f>IF(SER_hh_fech!T26=0,0,SER_hh_fech!T26/SER_summary!T$26)</f>
        <v>18.257659770325372</v>
      </c>
      <c r="U26" s="65">
        <f>IF(SER_hh_fech!U26=0,0,SER_hh_fech!U26/SER_summary!U$26)</f>
        <v>17.931926700292252</v>
      </c>
      <c r="V26" s="65">
        <f>IF(SER_hh_fech!V26=0,0,SER_hh_fech!V26/SER_summary!V$26)</f>
        <v>17.957941972810406</v>
      </c>
      <c r="W26" s="65">
        <f>IF(SER_hh_fech!W26=0,0,SER_hh_fech!W26/SER_summary!W$26)</f>
        <v>18.023133168534567</v>
      </c>
      <c r="X26" s="65">
        <f>IF(SER_hh_fech!X26=0,0,SER_hh_fech!X26/SER_summary!X$26)</f>
        <v>17.726105299157329</v>
      </c>
      <c r="Y26" s="65">
        <f>IF(SER_hh_fech!Y26=0,0,SER_hh_fech!Y26/SER_summary!Y$26)</f>
        <v>17.425830360249567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7.2245703098311478E-2</v>
      </c>
      <c r="C27" s="145">
        <f>IF(SER_hh_fech!C27=0,0,SER_hh_fech!C27/SER_summary!C$26)</f>
        <v>7.9743523888553602E-2</v>
      </c>
      <c r="D27" s="145">
        <f>IF(SER_hh_fech!D27=0,0,SER_hh_fech!D27/SER_summary!D$26)</f>
        <v>8.9149426696046127E-2</v>
      </c>
      <c r="E27" s="145">
        <f>IF(SER_hh_fech!E27=0,0,SER_hh_fech!E27/SER_summary!E$26)</f>
        <v>9.6549935788273838E-2</v>
      </c>
      <c r="F27" s="145">
        <f>IF(SER_hh_fech!F27=0,0,SER_hh_fech!F27/SER_summary!F$26)</f>
        <v>0.10470709336750438</v>
      </c>
      <c r="G27" s="145">
        <f>IF(SER_hh_fech!G27=0,0,SER_hh_fech!G27/SER_summary!G$26)</f>
        <v>0.11002034088027376</v>
      </c>
      <c r="H27" s="145">
        <f>IF(SER_hh_fech!H27=0,0,SER_hh_fech!H27/SER_summary!H$26)</f>
        <v>0.11249997830331745</v>
      </c>
      <c r="I27" s="145">
        <f>IF(SER_hh_fech!I27=0,0,SER_hh_fech!I27/SER_summary!I$26)</f>
        <v>0.11557425215685284</v>
      </c>
      <c r="J27" s="145">
        <f>IF(SER_hh_fech!J27=0,0,SER_hh_fech!J27/SER_summary!J$26)</f>
        <v>0.11994677366794895</v>
      </c>
      <c r="K27" s="145">
        <f>IF(SER_hh_fech!K27=0,0,SER_hh_fech!K27/SER_summary!K$26)</f>
        <v>0.13182732912778788</v>
      </c>
      <c r="L27" s="145">
        <f>IF(SER_hh_fech!L27=0,0,SER_hh_fech!L27/SER_summary!L$26)</f>
        <v>0.14036411842228744</v>
      </c>
      <c r="M27" s="145">
        <f>IF(SER_hh_fech!M27=0,0,SER_hh_fech!M27/SER_summary!M$26)</f>
        <v>0.14482991632525496</v>
      </c>
      <c r="N27" s="145">
        <f>IF(SER_hh_fech!N27=0,0,SER_hh_fech!N27/SER_summary!N$26)</f>
        <v>0.14855085480060368</v>
      </c>
      <c r="O27" s="145">
        <f>IF(SER_hh_fech!O27=0,0,SER_hh_fech!O27/SER_summary!O$26)</f>
        <v>0.15380616741861983</v>
      </c>
      <c r="P27" s="145">
        <f>IF(SER_hh_fech!P27=0,0,SER_hh_fech!P27/SER_summary!P$26)</f>
        <v>0.15724518735316501</v>
      </c>
      <c r="Q27" s="145">
        <f>IF(SER_hh_fech!Q27=0,0,SER_hh_fech!Q27/SER_summary!Q$26)</f>
        <v>0.15564174224103425</v>
      </c>
      <c r="R27" s="145">
        <f>IF(SER_hh_fech!R27=0,0,SER_hh_fech!R27/SER_summary!R$26)</f>
        <v>0.15633017657843565</v>
      </c>
      <c r="S27" s="145">
        <f>IF(SER_hh_fech!S27=0,0,SER_hh_fech!S27/SER_summary!S$26)</f>
        <v>0.15462157764969434</v>
      </c>
      <c r="T27" s="145">
        <f>IF(SER_hh_fech!T27=0,0,SER_hh_fech!T27/SER_summary!T$26)</f>
        <v>0.15568775142203825</v>
      </c>
      <c r="U27" s="145">
        <f>IF(SER_hh_fech!U27=0,0,SER_hh_fech!U27/SER_summary!U$26)</f>
        <v>0.15812754653752936</v>
      </c>
      <c r="V27" s="145">
        <f>IF(SER_hh_fech!V27=0,0,SER_hh_fech!V27/SER_summary!V$26)</f>
        <v>0.15656486882597967</v>
      </c>
      <c r="W27" s="145">
        <f>IF(SER_hh_fech!W27=0,0,SER_hh_fech!W27/SER_summary!W$26)</f>
        <v>0.15435831216713122</v>
      </c>
      <c r="X27" s="145">
        <f>IF(SER_hh_fech!X27=0,0,SER_hh_fech!X27/SER_summary!X$26)</f>
        <v>0.15417547845823459</v>
      </c>
      <c r="Y27" s="145">
        <f>IF(SER_hh_fech!Y27=0,0,SER_hh_fech!Y27/SER_summary!Y$26)</f>
        <v>0.15401714220746165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8.0846911207487864</v>
      </c>
      <c r="C28" s="146">
        <f>IF(SER_hh_fech!C28=0,0,SER_hh_fech!C28/SER_summary!C$26)</f>
        <v>8.9094889035007085</v>
      </c>
      <c r="D28" s="146">
        <f>IF(SER_hh_fech!D28=0,0,SER_hh_fech!D28/SER_summary!D$26)</f>
        <v>8.4897101904103707</v>
      </c>
      <c r="E28" s="146">
        <f>IF(SER_hh_fech!E28=0,0,SER_hh_fech!E28/SER_summary!E$26)</f>
        <v>8.6907552701853188</v>
      </c>
      <c r="F28" s="146">
        <f>IF(SER_hh_fech!F28=0,0,SER_hh_fech!F28/SER_summary!F$26)</f>
        <v>8.7845663116331512</v>
      </c>
      <c r="G28" s="146">
        <f>IF(SER_hh_fech!G28=0,0,SER_hh_fech!G28/SER_summary!G$26)</f>
        <v>8.5985566542071385</v>
      </c>
      <c r="H28" s="146">
        <f>IF(SER_hh_fech!H28=0,0,SER_hh_fech!H28/SER_summary!H$26)</f>
        <v>8.5801955891993398</v>
      </c>
      <c r="I28" s="146">
        <f>IF(SER_hh_fech!I28=0,0,SER_hh_fech!I28/SER_summary!I$26)</f>
        <v>7.788416683519058</v>
      </c>
      <c r="J28" s="146">
        <f>IF(SER_hh_fech!J28=0,0,SER_hh_fech!J28/SER_summary!J$26)</f>
        <v>8.5117334295000671</v>
      </c>
      <c r="K28" s="146">
        <f>IF(SER_hh_fech!K28=0,0,SER_hh_fech!K28/SER_summary!K$26)</f>
        <v>8.363539692768418</v>
      </c>
      <c r="L28" s="146">
        <f>IF(SER_hh_fech!L28=0,0,SER_hh_fech!L28/SER_summary!L$26)</f>
        <v>9.6518362369744928</v>
      </c>
      <c r="M28" s="146">
        <f>IF(SER_hh_fech!M28=0,0,SER_hh_fech!M28/SER_summary!M$26)</f>
        <v>8.8976144354089364</v>
      </c>
      <c r="N28" s="146">
        <f>IF(SER_hh_fech!N28=0,0,SER_hh_fech!N28/SER_summary!N$26)</f>
        <v>9.3664660878572992</v>
      </c>
      <c r="O28" s="146">
        <f>IF(SER_hh_fech!O28=0,0,SER_hh_fech!O28/SER_summary!O$26)</f>
        <v>9.2198194293364306</v>
      </c>
      <c r="P28" s="146">
        <f>IF(SER_hh_fech!P28=0,0,SER_hh_fech!P28/SER_summary!P$26)</f>
        <v>8.8257710725455123</v>
      </c>
      <c r="Q28" s="146">
        <f>IF(SER_hh_fech!Q28=0,0,SER_hh_fech!Q28/SER_summary!Q$26)</f>
        <v>8.9155414693621218</v>
      </c>
      <c r="R28" s="146">
        <f>IF(SER_hh_fech!R28=0,0,SER_hh_fech!R28/SER_summary!R$26)</f>
        <v>8.5186379284829687</v>
      </c>
      <c r="S28" s="146">
        <f>IF(SER_hh_fech!S28=0,0,SER_hh_fech!S28/SER_summary!S$26)</f>
        <v>8.4413130424747571</v>
      </c>
      <c r="T28" s="146">
        <f>IF(SER_hh_fech!T28=0,0,SER_hh_fech!T28/SER_summary!T$26)</f>
        <v>8.7364306150519386</v>
      </c>
      <c r="U28" s="146">
        <f>IF(SER_hh_fech!U28=0,0,SER_hh_fech!U28/SER_summary!U$26)</f>
        <v>8.9679590147638066</v>
      </c>
      <c r="V28" s="146">
        <f>IF(SER_hh_fech!V28=0,0,SER_hh_fech!V28/SER_summary!V$26)</f>
        <v>8.9548073379262174</v>
      </c>
      <c r="W28" s="146">
        <f>IF(SER_hh_fech!W28=0,0,SER_hh_fech!W28/SER_summary!W$26)</f>
        <v>10.220681328769627</v>
      </c>
      <c r="X28" s="146">
        <f>IF(SER_hh_fech!X28=0,0,SER_hh_fech!X28/SER_summary!X$26)</f>
        <v>9.850381524273871</v>
      </c>
      <c r="Y28" s="146">
        <f>IF(SER_hh_fech!Y28=0,0,SER_hh_fech!Y28/SER_summary!Y$26)</f>
        <v>9.7909550182013536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20.912936820726831</v>
      </c>
      <c r="C29" s="130">
        <f>IF(SER_hh_fech!C29=0,0,SER_hh_fech!C29/SER_summary!C$26)</f>
        <v>20.766411738280866</v>
      </c>
      <c r="D29" s="130">
        <f>IF(SER_hh_fech!D29=0,0,SER_hh_fech!D29/SER_summary!D$26)</f>
        <v>20.797072410584008</v>
      </c>
      <c r="E29" s="130">
        <f>IF(SER_hh_fech!E29=0,0,SER_hh_fech!E29/SER_summary!E$26)</f>
        <v>20.921435702714934</v>
      </c>
      <c r="F29" s="130">
        <f>IF(SER_hh_fech!F29=0,0,SER_hh_fech!F29/SER_summary!F$26)</f>
        <v>21.196374699103405</v>
      </c>
      <c r="G29" s="130">
        <f>IF(SER_hh_fech!G29=0,0,SER_hh_fech!G29/SER_summary!G$26)</f>
        <v>21.17634587058317</v>
      </c>
      <c r="H29" s="130">
        <f>IF(SER_hh_fech!H29=0,0,SER_hh_fech!H29/SER_summary!H$26)</f>
        <v>20.898390485712195</v>
      </c>
      <c r="I29" s="130">
        <f>IF(SER_hh_fech!I29=0,0,SER_hh_fech!I29/SER_summary!I$26)</f>
        <v>20.53891549945066</v>
      </c>
      <c r="J29" s="130">
        <f>IF(SER_hh_fech!J29=0,0,SER_hh_fech!J29/SER_summary!J$26)</f>
        <v>20.456061574664119</v>
      </c>
      <c r="K29" s="130">
        <f>IF(SER_hh_fech!K29=0,0,SER_hh_fech!K29/SER_summary!K$26)</f>
        <v>20.707493231207785</v>
      </c>
      <c r="L29" s="130">
        <f>IF(SER_hh_fech!L29=0,0,SER_hh_fech!L29/SER_summary!L$26)</f>
        <v>20.62967158757219</v>
      </c>
      <c r="M29" s="130">
        <f>IF(SER_hh_fech!M29=0,0,SER_hh_fech!M29/SER_summary!M$26)</f>
        <v>20.343613759773344</v>
      </c>
      <c r="N29" s="130">
        <f>IF(SER_hh_fech!N29=0,0,SER_hh_fech!N29/SER_summary!N$26)</f>
        <v>20.296022339031929</v>
      </c>
      <c r="O29" s="130">
        <f>IF(SER_hh_fech!O29=0,0,SER_hh_fech!O29/SER_summary!O$26)</f>
        <v>20.349335631410106</v>
      </c>
      <c r="P29" s="130">
        <f>IF(SER_hh_fech!P29=0,0,SER_hh_fech!P29/SER_summary!P$26)</f>
        <v>20.375522699627126</v>
      </c>
      <c r="Q29" s="130">
        <f>IF(SER_hh_fech!Q29=0,0,SER_hh_fech!Q29/SER_summary!Q$26)</f>
        <v>20.243406649234657</v>
      </c>
      <c r="R29" s="130">
        <f>IF(SER_hh_fech!R29=0,0,SER_hh_fech!R29/SER_summary!R$26)</f>
        <v>19.936376399823921</v>
      </c>
      <c r="S29" s="130">
        <f>IF(SER_hh_fech!S29=0,0,SER_hh_fech!S29/SER_summary!S$26)</f>
        <v>19.542916598036147</v>
      </c>
      <c r="T29" s="130">
        <f>IF(SER_hh_fech!T29=0,0,SER_hh_fech!T29/SER_summary!T$26)</f>
        <v>18.56188804096082</v>
      </c>
      <c r="U29" s="130">
        <f>IF(SER_hh_fech!U29=0,0,SER_hh_fech!U29/SER_summary!U$26)</f>
        <v>17.600452813806768</v>
      </c>
      <c r="V29" s="130">
        <f>IF(SER_hh_fech!V29=0,0,SER_hh_fech!V29/SER_summary!V$26)</f>
        <v>17.846764954472789</v>
      </c>
      <c r="W29" s="130">
        <f>IF(SER_hh_fech!W29=0,0,SER_hh_fech!W29/SER_summary!W$26)</f>
        <v>18.681849937994546</v>
      </c>
      <c r="X29" s="130">
        <f>IF(SER_hh_fech!X29=0,0,SER_hh_fech!X29/SER_summary!X$26)</f>
        <v>18.939682205833975</v>
      </c>
      <c r="Y29" s="130">
        <f>IF(SER_hh_fech!Y29=0,0,SER_hh_fech!Y29/SER_summary!Y$26)</f>
        <v>19.009111485880009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23.578256241790115</v>
      </c>
      <c r="C30" s="132">
        <f>IF(SER_hh_fech!C30=0,0,SER_hh_fech!C30/SER_summary!C$26)</f>
        <v>24.679838148574966</v>
      </c>
      <c r="D30" s="132">
        <f>IF(SER_hh_fech!D30=0,0,SER_hh_fech!D30/SER_summary!D$26)</f>
        <v>26.265941016813972</v>
      </c>
      <c r="E30" s="132">
        <f>IF(SER_hh_fech!E30=0,0,SER_hh_fech!E30/SER_summary!E$26)</f>
        <v>23.664375687299682</v>
      </c>
      <c r="F30" s="132">
        <f>IF(SER_hh_fech!F30=0,0,SER_hh_fech!F30/SER_summary!F$26)</f>
        <v>25.086974076352387</v>
      </c>
      <c r="G30" s="132">
        <f>IF(SER_hh_fech!G30=0,0,SER_hh_fech!G30/SER_summary!G$26)</f>
        <v>24.665661209250906</v>
      </c>
      <c r="H30" s="132">
        <f>IF(SER_hh_fech!H30=0,0,SER_hh_fech!H30/SER_summary!H$26)</f>
        <v>31.873541570974069</v>
      </c>
      <c r="I30" s="132">
        <f>IF(SER_hh_fech!I30=0,0,SER_hh_fech!I30/SER_summary!I$26)</f>
        <v>19.710785403624257</v>
      </c>
      <c r="J30" s="132">
        <f>IF(SER_hh_fech!J30=0,0,SER_hh_fech!J30/SER_summary!J$26)</f>
        <v>17.567846893838315</v>
      </c>
      <c r="K30" s="132">
        <f>IF(SER_hh_fech!K30=0,0,SER_hh_fech!K30/SER_summary!K$26)</f>
        <v>27.016982730428364</v>
      </c>
      <c r="L30" s="132">
        <f>IF(SER_hh_fech!L30=0,0,SER_hh_fech!L30/SER_summary!L$26)</f>
        <v>30.621687858173651</v>
      </c>
      <c r="M30" s="132">
        <f>IF(SER_hh_fech!M30=0,0,SER_hh_fech!M30/SER_summary!M$26)</f>
        <v>18.815281355885602</v>
      </c>
      <c r="N30" s="132">
        <f>IF(SER_hh_fech!N30=0,0,SER_hh_fech!N30/SER_summary!N$26)</f>
        <v>27.570888671118528</v>
      </c>
      <c r="O30" s="132">
        <f>IF(SER_hh_fech!O30=0,0,SER_hh_fech!O30/SER_summary!O$26)</f>
        <v>29.398499960040969</v>
      </c>
      <c r="P30" s="132">
        <f>IF(SER_hh_fech!P30=0,0,SER_hh_fech!P30/SER_summary!P$26)</f>
        <v>4.4527031042158063</v>
      </c>
      <c r="Q30" s="132">
        <f>IF(SER_hh_fech!Q30=0,0,SER_hh_fech!Q30/SER_summary!Q$26)</f>
        <v>30.004100717059245</v>
      </c>
      <c r="R30" s="132">
        <f>IF(SER_hh_fech!R30=0,0,SER_hh_fech!R30/SER_summary!R$26)</f>
        <v>26.821231847268532</v>
      </c>
      <c r="S30" s="132">
        <f>IF(SER_hh_fech!S30=0,0,SER_hh_fech!S30/SER_summary!S$26)</f>
        <v>23.610578359224398</v>
      </c>
      <c r="T30" s="132">
        <f>IF(SER_hh_fech!T30=0,0,SER_hh_fech!T30/SER_summary!T$26)</f>
        <v>23.048603786112857</v>
      </c>
      <c r="U30" s="132">
        <f>IF(SER_hh_fech!U30=0,0,SER_hh_fech!U30/SER_summary!U$26)</f>
        <v>22.289826081977381</v>
      </c>
      <c r="V30" s="132">
        <f>IF(SER_hh_fech!V30=0,0,SER_hh_fech!V30/SER_summary!V$26)</f>
        <v>22.098302641983139</v>
      </c>
      <c r="W30" s="132">
        <f>IF(SER_hh_fech!W30=0,0,SER_hh_fech!W30/SER_summary!W$26)</f>
        <v>26.131044253178164</v>
      </c>
      <c r="X30" s="132">
        <f>IF(SER_hh_fech!X30=0,0,SER_hh_fech!X30/SER_summary!X$26)</f>
        <v>23.191793509592699</v>
      </c>
      <c r="Y30" s="132">
        <f>IF(SER_hh_fech!Y30=0,0,SER_hh_fech!Y30/SER_summary!Y$26)</f>
        <v>24.164835145650219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24.384704186887717</v>
      </c>
      <c r="C31" s="132">
        <f>IF(SER_hh_fech!C31=0,0,SER_hh_fech!C31/SER_summary!C$26)</f>
        <v>24.490536123637508</v>
      </c>
      <c r="D31" s="132">
        <f>IF(SER_hh_fech!D31=0,0,SER_hh_fech!D31/SER_summary!D$26)</f>
        <v>24.183265451091732</v>
      </c>
      <c r="E31" s="132">
        <f>IF(SER_hh_fech!E31=0,0,SER_hh_fech!E31/SER_summary!E$26)</f>
        <v>24.87938727231958</v>
      </c>
      <c r="F31" s="132">
        <f>IF(SER_hh_fech!F31=0,0,SER_hh_fech!F31/SER_summary!F$26)</f>
        <v>24.753703028942915</v>
      </c>
      <c r="G31" s="132">
        <f>IF(SER_hh_fech!G31=0,0,SER_hh_fech!G31/SER_summary!G$26)</f>
        <v>24.643651235737462</v>
      </c>
      <c r="H31" s="132">
        <f>IF(SER_hh_fech!H31=0,0,SER_hh_fech!H31/SER_summary!H$26)</f>
        <v>22.953759768030938</v>
      </c>
      <c r="I31" s="132">
        <f>IF(SER_hh_fech!I31=0,0,SER_hh_fech!I31/SER_summary!I$26)</f>
        <v>25.033581540675833</v>
      </c>
      <c r="J31" s="132">
        <f>IF(SER_hh_fech!J31=0,0,SER_hh_fech!J31/SER_summary!J$26)</f>
        <v>25.471252511257791</v>
      </c>
      <c r="K31" s="132">
        <f>IF(SER_hh_fech!K31=0,0,SER_hh_fech!K31/SER_summary!K$26)</f>
        <v>24.017538016136044</v>
      </c>
      <c r="L31" s="132">
        <f>IF(SER_hh_fech!L31=0,0,SER_hh_fech!L31/SER_summary!L$26)</f>
        <v>23.205460018154213</v>
      </c>
      <c r="M31" s="132">
        <f>IF(SER_hh_fech!M31=0,0,SER_hh_fech!M31/SER_summary!M$26)</f>
        <v>25.064609658790911</v>
      </c>
      <c r="N31" s="132">
        <f>IF(SER_hh_fech!N31=0,0,SER_hh_fech!N31/SER_summary!N$26)</f>
        <v>23.60985451449293</v>
      </c>
      <c r="O31" s="132">
        <f>IF(SER_hh_fech!O31=0,0,SER_hh_fech!O31/SER_summary!O$26)</f>
        <v>23.643400537212397</v>
      </c>
      <c r="P31" s="132">
        <f>IF(SER_hh_fech!P31=0,0,SER_hh_fech!P31/SER_summary!P$26)</f>
        <v>26.405785449739867</v>
      </c>
      <c r="Q31" s="132">
        <f>IF(SER_hh_fech!Q31=0,0,SER_hh_fech!Q31/SER_summary!Q$26)</f>
        <v>23.374056127606984</v>
      </c>
      <c r="R31" s="132">
        <f>IF(SER_hh_fech!R31=0,0,SER_hh_fech!R31/SER_summary!R$26)</f>
        <v>23.860940148173007</v>
      </c>
      <c r="S31" s="132">
        <f>IF(SER_hh_fech!S31=0,0,SER_hh_fech!S31/SER_summary!S$26)</f>
        <v>24.581603923694939</v>
      </c>
      <c r="T31" s="132">
        <f>IF(SER_hh_fech!T31=0,0,SER_hh_fech!T31/SER_summary!T$26)</f>
        <v>22.732927217479705</v>
      </c>
      <c r="U31" s="132">
        <f>IF(SER_hh_fech!U31=0,0,SER_hh_fech!U31/SER_summary!U$26)</f>
        <v>20.04274558182642</v>
      </c>
      <c r="V31" s="132">
        <f>IF(SER_hh_fech!V31=0,0,SER_hh_fech!V31/SER_summary!V$26)</f>
        <v>22.20711758275737</v>
      </c>
      <c r="W31" s="132">
        <f>IF(SER_hh_fech!W31=0,0,SER_hh_fech!W31/SER_summary!W$26)</f>
        <v>23.767163182745854</v>
      </c>
      <c r="X31" s="132">
        <f>IF(SER_hh_fech!X31=0,0,SER_hh_fech!X31/SER_summary!X$26)</f>
        <v>23.70093698047209</v>
      </c>
      <c r="Y31" s="132">
        <f>IF(SER_hh_fech!Y31=0,0,SER_hh_fech!Y31/SER_summary!Y$26)</f>
        <v>23.974954919459059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18.97011056896066</v>
      </c>
      <c r="C33" s="68">
        <f>IF(SER_hh_fech!C33=0,0,SER_hh_fech!C33/SER_summary!C$26)</f>
        <v>18.550897795311229</v>
      </c>
      <c r="D33" s="68">
        <f>IF(SER_hh_fech!D33=0,0,SER_hh_fech!D33/SER_summary!D$26)</f>
        <v>18.53315099607936</v>
      </c>
      <c r="E33" s="68">
        <f>IF(SER_hh_fech!E33=0,0,SER_hh_fech!E33/SER_summary!E$26)</f>
        <v>18.633308072843473</v>
      </c>
      <c r="F33" s="68">
        <f>IF(SER_hh_fech!F33=0,0,SER_hh_fech!F33/SER_summary!F$26)</f>
        <v>18.931070084958677</v>
      </c>
      <c r="G33" s="68">
        <f>IF(SER_hh_fech!G33=0,0,SER_hh_fech!G33/SER_summary!G$26)</f>
        <v>19.023917087319802</v>
      </c>
      <c r="H33" s="68">
        <f>IF(SER_hh_fech!H33=0,0,SER_hh_fech!H33/SER_summary!H$26)</f>
        <v>18.638950714790852</v>
      </c>
      <c r="I33" s="68">
        <f>IF(SER_hh_fech!I33=0,0,SER_hh_fech!I33/SER_summary!I$26)</f>
        <v>18.32563033588842</v>
      </c>
      <c r="J33" s="68">
        <f>IF(SER_hh_fech!J33=0,0,SER_hh_fech!J33/SER_summary!J$26)</f>
        <v>18.124252758314991</v>
      </c>
      <c r="K33" s="68">
        <f>IF(SER_hh_fech!K33=0,0,SER_hh_fech!K33/SER_summary!K$26)</f>
        <v>18.510096329255362</v>
      </c>
      <c r="L33" s="68">
        <f>IF(SER_hh_fech!L33=0,0,SER_hh_fech!L33/SER_summary!L$26)</f>
        <v>18.513486006897192</v>
      </c>
      <c r="M33" s="68">
        <f>IF(SER_hh_fech!M33=0,0,SER_hh_fech!M33/SER_summary!M$26)</f>
        <v>18.169195620726121</v>
      </c>
      <c r="N33" s="68">
        <f>IF(SER_hh_fech!N33=0,0,SER_hh_fech!N33/SER_summary!N$26)</f>
        <v>18.193090395078233</v>
      </c>
      <c r="O33" s="68">
        <f>IF(SER_hh_fech!O33=0,0,SER_hh_fech!O33/SER_summary!O$26)</f>
        <v>18.19762934928826</v>
      </c>
      <c r="P33" s="68">
        <f>IF(SER_hh_fech!P33=0,0,SER_hh_fech!P33/SER_summary!P$26)</f>
        <v>18.47476239802581</v>
      </c>
      <c r="Q33" s="68">
        <f>IF(SER_hh_fech!Q33=0,0,SER_hh_fech!Q33/SER_summary!Q$26)</f>
        <v>18.240302008684395</v>
      </c>
      <c r="R33" s="68">
        <f>IF(SER_hh_fech!R33=0,0,SER_hh_fech!R33/SER_summary!R$26)</f>
        <v>17.844014113418616</v>
      </c>
      <c r="S33" s="68">
        <f>IF(SER_hh_fech!S33=0,0,SER_hh_fech!S33/SER_summary!S$26)</f>
        <v>17.379927161007053</v>
      </c>
      <c r="T33" s="68">
        <f>IF(SER_hh_fech!T33=0,0,SER_hh_fech!T33/SER_summary!T$26)</f>
        <v>16.87183947759074</v>
      </c>
      <c r="U33" s="68">
        <f>IF(SER_hh_fech!U33=0,0,SER_hh_fech!U33/SER_summary!U$26)</f>
        <v>16.550166441340913</v>
      </c>
      <c r="V33" s="68">
        <f>IF(SER_hh_fech!V33=0,0,SER_hh_fech!V33/SER_summary!V$26)</f>
        <v>16.292239205482939</v>
      </c>
      <c r="W33" s="68">
        <f>IF(SER_hh_fech!W33=0,0,SER_hh_fech!W33/SER_summary!W$26)</f>
        <v>16.689719677129137</v>
      </c>
      <c r="X33" s="68">
        <f>IF(SER_hh_fech!X33=0,0,SER_hh_fech!X33/SER_summary!X$26)</f>
        <v>17.283623088486916</v>
      </c>
      <c r="Y33" s="68">
        <f>IF(SER_hh_fech!Y33=0,0,SER_hh_fech!Y33/SER_summary!Y$26)</f>
        <v>17.287674206714932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107.85911355642182</v>
      </c>
      <c r="C3" s="125">
        <f>IF(SER_hh_tesh!C3=0,0,SER_hh_tesh!C3/SER_summary!C$26)</f>
        <v>113.22724608238494</v>
      </c>
      <c r="D3" s="125">
        <f>IF(SER_hh_tesh!D3=0,0,SER_hh_tesh!D3/SER_summary!D$26)</f>
        <v>112.73917711614016</v>
      </c>
      <c r="E3" s="125">
        <f>IF(SER_hh_tesh!E3=0,0,SER_hh_tesh!E3/SER_summary!E$26)</f>
        <v>117.9621060284922</v>
      </c>
      <c r="F3" s="125">
        <f>IF(SER_hh_tesh!F3=0,0,SER_hh_tesh!F3/SER_summary!F$26)</f>
        <v>127.48589930711864</v>
      </c>
      <c r="G3" s="125">
        <f>IF(SER_hh_tesh!G3=0,0,SER_hh_tesh!G3/SER_summary!G$26)</f>
        <v>118.98532690453268</v>
      </c>
      <c r="H3" s="125">
        <f>IF(SER_hh_tesh!H3=0,0,SER_hh_tesh!H3/SER_summary!H$26)</f>
        <v>120.26194905047124</v>
      </c>
      <c r="I3" s="125">
        <f>IF(SER_hh_tesh!I3=0,0,SER_hh_tesh!I3/SER_summary!I$26)</f>
        <v>112.8089287982621</v>
      </c>
      <c r="J3" s="125">
        <f>IF(SER_hh_tesh!J3=0,0,SER_hh_tesh!J3/SER_summary!J$26)</f>
        <v>117.12949215239898</v>
      </c>
      <c r="K3" s="125">
        <f>IF(SER_hh_tesh!K3=0,0,SER_hh_tesh!K3/SER_summary!K$26)</f>
        <v>123.40564051589223</v>
      </c>
      <c r="L3" s="125">
        <f>IF(SER_hh_tesh!L3=0,0,SER_hh_tesh!L3/SER_summary!L$26)</f>
        <v>133.36690742418895</v>
      </c>
      <c r="M3" s="125">
        <f>IF(SER_hh_tesh!M3=0,0,SER_hh_tesh!M3/SER_summary!M$26)</f>
        <v>116.86701213994054</v>
      </c>
      <c r="N3" s="125">
        <f>IF(SER_hh_tesh!N3=0,0,SER_hh_tesh!N3/SER_summary!N$26)</f>
        <v>122.57686738616415</v>
      </c>
      <c r="O3" s="125">
        <f>IF(SER_hh_tesh!O3=0,0,SER_hh_tesh!O3/SER_summary!O$26)</f>
        <v>124.85717107153519</v>
      </c>
      <c r="P3" s="125">
        <f>IF(SER_hh_tesh!P3=0,0,SER_hh_tesh!P3/SER_summary!P$26)</f>
        <v>107.74125878074166</v>
      </c>
      <c r="Q3" s="125">
        <f>IF(SER_hh_tesh!Q3=0,0,SER_hh_tesh!Q3/SER_summary!Q$26)</f>
        <v>112.65364433354038</v>
      </c>
      <c r="R3" s="125">
        <f>IF(SER_hh_tesh!R3=0,0,SER_hh_tesh!R3/SER_summary!R$26)</f>
        <v>113.68613812163044</v>
      </c>
      <c r="S3" s="125">
        <f>IF(SER_hh_tesh!S3=0,0,SER_hh_tesh!S3/SER_summary!S$26)</f>
        <v>116.78891170492707</v>
      </c>
      <c r="T3" s="125">
        <f>IF(SER_hh_tesh!T3=0,0,SER_hh_tesh!T3/SER_summary!T$26)</f>
        <v>118.51155855456351</v>
      </c>
      <c r="U3" s="125">
        <f>IF(SER_hh_tesh!U3=0,0,SER_hh_tesh!U3/SER_summary!U$26)</f>
        <v>115.95310995192384</v>
      </c>
      <c r="V3" s="125">
        <f>IF(SER_hh_tesh!V3=0,0,SER_hh_tesh!V3/SER_summary!V$26)</f>
        <v>110.70737169907493</v>
      </c>
      <c r="W3" s="125">
        <f>IF(SER_hh_tesh!W3=0,0,SER_hh_tesh!W3/SER_summary!W$26)</f>
        <v>117.01670870381724</v>
      </c>
      <c r="X3" s="125">
        <f>IF(SER_hh_tesh!X3=0,0,SER_hh_tesh!X3/SER_summary!X$26)</f>
        <v>112.60615540847219</v>
      </c>
      <c r="Y3" s="125">
        <f>IF(SER_hh_tesh!Y3=0,0,SER_hh_tesh!Y3/SER_summary!Y$26)</f>
        <v>110.40018166702254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73.174957432687194</v>
      </c>
      <c r="C4" s="130">
        <f>IF(SER_hh_tesh!C4=0,0,SER_hh_tesh!C4/SER_summary!C$26)</f>
        <v>78.390588452531802</v>
      </c>
      <c r="D4" s="130">
        <f>IF(SER_hh_tesh!D4=0,0,SER_hh_tesh!D4/SER_summary!D$26)</f>
        <v>77.473338461706589</v>
      </c>
      <c r="E4" s="130">
        <f>IF(SER_hh_tesh!E4=0,0,SER_hh_tesh!E4/SER_summary!E$26)</f>
        <v>81.887838421876296</v>
      </c>
      <c r="F4" s="130">
        <f>IF(SER_hh_tesh!F4=0,0,SER_hh_tesh!F4/SER_summary!F$26)</f>
        <v>90.931300635126888</v>
      </c>
      <c r="G4" s="130">
        <f>IF(SER_hh_tesh!G4=0,0,SER_hh_tesh!G4/SER_summary!G$26)</f>
        <v>81.964596912133189</v>
      </c>
      <c r="H4" s="130">
        <f>IF(SER_hh_tesh!H4=0,0,SER_hh_tesh!H4/SER_summary!H$26)</f>
        <v>82.559242035821754</v>
      </c>
      <c r="I4" s="130">
        <f>IF(SER_hh_tesh!I4=0,0,SER_hh_tesh!I4/SER_summary!I$26)</f>
        <v>75.381867437881382</v>
      </c>
      <c r="J4" s="130">
        <f>IF(SER_hh_tesh!J4=0,0,SER_hh_tesh!J4/SER_summary!J$26)</f>
        <v>79.191582002972424</v>
      </c>
      <c r="K4" s="130">
        <f>IF(SER_hh_tesh!K4=0,0,SER_hh_tesh!K4/SER_summary!K$26)</f>
        <v>84.295545875912083</v>
      </c>
      <c r="L4" s="130">
        <f>IF(SER_hh_tesh!L4=0,0,SER_hh_tesh!L4/SER_summary!L$26)</f>
        <v>93.485491180184923</v>
      </c>
      <c r="M4" s="130">
        <f>IF(SER_hh_tesh!M4=0,0,SER_hh_tesh!M4/SER_summary!M$26)</f>
        <v>77.062016807916635</v>
      </c>
      <c r="N4" s="130">
        <f>IF(SER_hh_tesh!N4=0,0,SER_hh_tesh!N4/SER_summary!N$26)</f>
        <v>82.301300331710877</v>
      </c>
      <c r="O4" s="130">
        <f>IF(SER_hh_tesh!O4=0,0,SER_hh_tesh!O4/SER_summary!O$26)</f>
        <v>84.084365469944288</v>
      </c>
      <c r="P4" s="130">
        <f>IF(SER_hh_tesh!P4=0,0,SER_hh_tesh!P4/SER_summary!P$26)</f>
        <v>66.611467494134601</v>
      </c>
      <c r="Q4" s="130">
        <f>IF(SER_hh_tesh!Q4=0,0,SER_hh_tesh!Q4/SER_summary!Q$26)</f>
        <v>70.758375193686447</v>
      </c>
      <c r="R4" s="130">
        <f>IF(SER_hh_tesh!R4=0,0,SER_hh_tesh!R4/SER_summary!R$26)</f>
        <v>72.010664123579005</v>
      </c>
      <c r="S4" s="130">
        <f>IF(SER_hh_tesh!S4=0,0,SER_hh_tesh!S4/SER_summary!S$26)</f>
        <v>75.130031282975054</v>
      </c>
      <c r="T4" s="130">
        <f>IF(SER_hh_tesh!T4=0,0,SER_hh_tesh!T4/SER_summary!T$26)</f>
        <v>75.732594756908554</v>
      </c>
      <c r="U4" s="130">
        <f>IF(SER_hh_tesh!U4=0,0,SER_hh_tesh!U4/SER_summary!U$26)</f>
        <v>73.279129268992122</v>
      </c>
      <c r="V4" s="130">
        <f>IF(SER_hh_tesh!V4=0,0,SER_hh_tesh!V4/SER_summary!V$26)</f>
        <v>68.180484610178809</v>
      </c>
      <c r="W4" s="130">
        <f>IF(SER_hh_tesh!W4=0,0,SER_hh_tesh!W4/SER_summary!W$26)</f>
        <v>74.540969152972522</v>
      </c>
      <c r="X4" s="130">
        <f>IF(SER_hh_tesh!X4=0,0,SER_hh_tesh!X4/SER_summary!X$26)</f>
        <v>68.829445848826495</v>
      </c>
      <c r="Y4" s="130">
        <f>IF(SER_hh_tesh!Y4=0,0,SER_hh_tesh!Y4/SER_summary!Y$26)</f>
        <v>66.636470346179806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73.914779362099736</v>
      </c>
      <c r="C5" s="132">
        <f>IF(SER_hh_tesh!C5=0,0,SER_hh_tesh!C5/SER_summary!C$26)</f>
        <v>75.658232694063429</v>
      </c>
      <c r="D5" s="132">
        <f>IF(SER_hh_tesh!D5=0,0,SER_hh_tesh!D5/SER_summary!D$26)</f>
        <v>65.478776160993078</v>
      </c>
      <c r="E5" s="132">
        <f>IF(SER_hh_tesh!E5=0,0,SER_hh_tesh!E5/SER_summary!E$26)</f>
        <v>108.56000204916374</v>
      </c>
      <c r="F5" s="132">
        <f>IF(SER_hh_tesh!F5=0,0,SER_hh_tesh!F5/SER_summary!F$26)</f>
        <v>54.689872172648435</v>
      </c>
      <c r="G5" s="132">
        <f>IF(SER_hh_tesh!G5=0,0,SER_hh_tesh!G5/SER_summary!G$26)</f>
        <v>75.817789115396536</v>
      </c>
      <c r="H5" s="132">
        <f>IF(SER_hh_tesh!H5=0,0,SER_hh_tesh!H5/SER_summary!H$26)</f>
        <v>51.947233439303425</v>
      </c>
      <c r="I5" s="132">
        <f>IF(SER_hh_tesh!I5=0,0,SER_hh_tesh!I5/SER_summary!I$26)</f>
        <v>81.090403691352165</v>
      </c>
      <c r="J5" s="132">
        <f>IF(SER_hh_tesh!J5=0,0,SER_hh_tesh!J5/SER_summary!J$26)</f>
        <v>88.311147981779953</v>
      </c>
      <c r="K5" s="132">
        <f>IF(SER_hh_tesh!K5=0,0,SER_hh_tesh!K5/SER_summary!K$26)</f>
        <v>88.454404976030929</v>
      </c>
      <c r="L5" s="132">
        <f>IF(SER_hh_tesh!L5=0,0,SER_hh_tesh!L5/SER_summary!L$26)</f>
        <v>85.751267633040982</v>
      </c>
      <c r="M5" s="132">
        <f>IF(SER_hh_tesh!M5=0,0,SER_hh_tesh!M5/SER_summary!M$26)</f>
        <v>84.836533557206991</v>
      </c>
      <c r="N5" s="132">
        <f>IF(SER_hh_tesh!N5=0,0,SER_hh_tesh!N5/SER_summary!N$26)</f>
        <v>84.008174848229288</v>
      </c>
      <c r="O5" s="132">
        <f>IF(SER_hh_tesh!O5=0,0,SER_hh_tesh!O5/SER_summary!O$26)</f>
        <v>51.401809535845842</v>
      </c>
      <c r="P5" s="132">
        <f>IF(SER_hh_tesh!P5=0,0,SER_hh_tesh!P5/SER_summary!P$26)</f>
        <v>19.598383419067879</v>
      </c>
      <c r="Q5" s="132">
        <f>IF(SER_hh_tesh!Q5=0,0,SER_hh_tesh!Q5/SER_summary!Q$26)</f>
        <v>84.493523021063297</v>
      </c>
      <c r="R5" s="132">
        <f>IF(SER_hh_tesh!R5=0,0,SER_hh_tesh!R5/SER_summary!R$26)</f>
        <v>81.792598703102314</v>
      </c>
      <c r="S5" s="132">
        <f>IF(SER_hh_tesh!S5=0,0,SER_hh_tesh!S5/SER_summary!S$26)</f>
        <v>78.20525024706042</v>
      </c>
      <c r="T5" s="132">
        <f>IF(SER_hh_tesh!T5=0,0,SER_hh_tesh!T5/SER_summary!T$26)</f>
        <v>78.393158126603595</v>
      </c>
      <c r="U5" s="132">
        <f>IF(SER_hh_tesh!U5=0,0,SER_hh_tesh!U5/SER_summary!U$26)</f>
        <v>63.378641452328445</v>
      </c>
      <c r="V5" s="132">
        <f>IF(SER_hh_tesh!V5=0,0,SER_hh_tesh!V5/SER_summary!V$26)</f>
        <v>72.569126195019493</v>
      </c>
      <c r="W5" s="132">
        <f>IF(SER_hh_tesh!W5=0,0,SER_hh_tesh!W5/SER_summary!W$26)</f>
        <v>44.672703418492034</v>
      </c>
      <c r="X5" s="132">
        <f>IF(SER_hh_tesh!X5=0,0,SER_hh_tesh!X5/SER_summary!X$26)</f>
        <v>73.559945018359429</v>
      </c>
      <c r="Y5" s="132">
        <f>IF(SER_hh_tesh!Y5=0,0,SER_hh_tesh!Y5/SER_summary!Y$26)</f>
        <v>71.558339085938854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74.121115900881478</v>
      </c>
      <c r="C7" s="132">
        <f>IF(SER_hh_tesh!C7=0,0,SER_hh_tesh!C7/SER_summary!C$26)</f>
        <v>74.241162257055606</v>
      </c>
      <c r="D7" s="132">
        <f>IF(SER_hh_tesh!D7=0,0,SER_hh_tesh!D7/SER_summary!D$26)</f>
        <v>77.686613650281245</v>
      </c>
      <c r="E7" s="132">
        <f>IF(SER_hh_tesh!E7=0,0,SER_hh_tesh!E7/SER_summary!E$26)</f>
        <v>82.175803959870606</v>
      </c>
      <c r="F7" s="132">
        <f>IF(SER_hh_tesh!F7=0,0,SER_hh_tesh!F7/SER_summary!F$26)</f>
        <v>79.677140462817405</v>
      </c>
      <c r="G7" s="132">
        <f>IF(SER_hh_tesh!G7=0,0,SER_hh_tesh!G7/SER_summary!G$26)</f>
        <v>82.044005242535107</v>
      </c>
      <c r="H7" s="132">
        <f>IF(SER_hh_tesh!H7=0,0,SER_hh_tesh!H7/SER_summary!H$26)</f>
        <v>78.352435610235105</v>
      </c>
      <c r="I7" s="132">
        <f>IF(SER_hh_tesh!I7=0,0,SER_hh_tesh!I7/SER_summary!I$26)</f>
        <v>79.023457017314257</v>
      </c>
      <c r="J7" s="132">
        <f>IF(SER_hh_tesh!J7=0,0,SER_hh_tesh!J7/SER_summary!J$26)</f>
        <v>79.047182137846605</v>
      </c>
      <c r="K7" s="132">
        <f>IF(SER_hh_tesh!K7=0,0,SER_hh_tesh!K7/SER_summary!K$26)</f>
        <v>77.180699323338345</v>
      </c>
      <c r="L7" s="132">
        <f>IF(SER_hh_tesh!L7=0,0,SER_hh_tesh!L7/SER_summary!L$26)</f>
        <v>89.488492474150476</v>
      </c>
      <c r="M7" s="132">
        <f>IF(SER_hh_tesh!M7=0,0,SER_hh_tesh!M7/SER_summary!M$26)</f>
        <v>80.788434860483605</v>
      </c>
      <c r="N7" s="132">
        <f>IF(SER_hh_tesh!N7=0,0,SER_hh_tesh!N7/SER_summary!N$26)</f>
        <v>78.59729884714811</v>
      </c>
      <c r="O7" s="132">
        <f>IF(SER_hh_tesh!O7=0,0,SER_hh_tesh!O7/SER_summary!O$26)</f>
        <v>78.433937407161025</v>
      </c>
      <c r="P7" s="132">
        <f>IF(SER_hh_tesh!P7=0,0,SER_hh_tesh!P7/SER_summary!P$26)</f>
        <v>74.276310929998161</v>
      </c>
      <c r="Q7" s="132">
        <f>IF(SER_hh_tesh!Q7=0,0,SER_hh_tesh!Q7/SER_summary!Q$26)</f>
        <v>70.058013782087414</v>
      </c>
      <c r="R7" s="132">
        <f>IF(SER_hh_tesh!R7=0,0,SER_hh_tesh!R7/SER_summary!R$26)</f>
        <v>69.998185056560757</v>
      </c>
      <c r="S7" s="132">
        <f>IF(SER_hh_tesh!S7=0,0,SER_hh_tesh!S7/SER_summary!S$26)</f>
        <v>70.262270952168933</v>
      </c>
      <c r="T7" s="132">
        <f>IF(SER_hh_tesh!T7=0,0,SER_hh_tesh!T7/SER_summary!T$26)</f>
        <v>72.298327126196199</v>
      </c>
      <c r="U7" s="132">
        <f>IF(SER_hh_tesh!U7=0,0,SER_hh_tesh!U7/SER_summary!U$26)</f>
        <v>74.298175333635498</v>
      </c>
      <c r="V7" s="132">
        <f>IF(SER_hh_tesh!V7=0,0,SER_hh_tesh!V7/SER_summary!V$26)</f>
        <v>69.24228111026467</v>
      </c>
      <c r="W7" s="132">
        <f>IF(SER_hh_tesh!W7=0,0,SER_hh_tesh!W7/SER_summary!W$26)</f>
        <v>68.768333409054407</v>
      </c>
      <c r="X7" s="132">
        <f>IF(SER_hh_tesh!X7=0,0,SER_hh_tesh!X7/SER_summary!X$26)</f>
        <v>69.929371404477024</v>
      </c>
      <c r="Y7" s="132">
        <f>IF(SER_hh_tesh!Y7=0,0,SER_hh_tesh!Y7/SER_summary!Y$26)</f>
        <v>66.123074479289116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71.534197425597782</v>
      </c>
      <c r="C8" s="132">
        <f>IF(SER_hh_tesh!C8=0,0,SER_hh_tesh!C8/SER_summary!C$26)</f>
        <v>78.753043935093388</v>
      </c>
      <c r="D8" s="132">
        <f>IF(SER_hh_tesh!D8=0,0,SER_hh_tesh!D8/SER_summary!D$26)</f>
        <v>74.116527059615692</v>
      </c>
      <c r="E8" s="132">
        <f>IF(SER_hh_tesh!E8=0,0,SER_hh_tesh!E8/SER_summary!E$26)</f>
        <v>85.237788974236182</v>
      </c>
      <c r="F8" s="132">
        <f>IF(SER_hh_tesh!F8=0,0,SER_hh_tesh!F8/SER_summary!F$26)</f>
        <v>88.654936868336264</v>
      </c>
      <c r="G8" s="132">
        <f>IF(SER_hh_tesh!G8=0,0,SER_hh_tesh!G8/SER_summary!G$26)</f>
        <v>78.860045792693484</v>
      </c>
      <c r="H8" s="132">
        <f>IF(SER_hh_tesh!H8=0,0,SER_hh_tesh!H8/SER_summary!H$26)</f>
        <v>75.104576957993942</v>
      </c>
      <c r="I8" s="132">
        <f>IF(SER_hh_tesh!I8=0,0,SER_hh_tesh!I8/SER_summary!I$26)</f>
        <v>79.634161526940915</v>
      </c>
      <c r="J8" s="132">
        <f>IF(SER_hh_tesh!J8=0,0,SER_hh_tesh!J8/SER_summary!J$26)</f>
        <v>80.618913525234689</v>
      </c>
      <c r="K8" s="132">
        <f>IF(SER_hh_tesh!K8=0,0,SER_hh_tesh!K8/SER_summary!K$26)</f>
        <v>81.322372892084758</v>
      </c>
      <c r="L8" s="132">
        <f>IF(SER_hh_tesh!L8=0,0,SER_hh_tesh!L8/SER_summary!L$26)</f>
        <v>83.184466474299924</v>
      </c>
      <c r="M8" s="132">
        <f>IF(SER_hh_tesh!M8=0,0,SER_hh_tesh!M8/SER_summary!M$26)</f>
        <v>84.817990544832966</v>
      </c>
      <c r="N8" s="132">
        <f>IF(SER_hh_tesh!N8=0,0,SER_hh_tesh!N8/SER_summary!N$26)</f>
        <v>74.637000735861292</v>
      </c>
      <c r="O8" s="132">
        <f>IF(SER_hh_tesh!O8=0,0,SER_hh_tesh!O8/SER_summary!O$26)</f>
        <v>64.161352981383743</v>
      </c>
      <c r="P8" s="132">
        <f>IF(SER_hh_tesh!P8=0,0,SER_hh_tesh!P8/SER_summary!P$26)</f>
        <v>71.412009638919315</v>
      </c>
      <c r="Q8" s="132">
        <f>IF(SER_hh_tesh!Q8=0,0,SER_hh_tesh!Q8/SER_summary!Q$26)</f>
        <v>76.524161820377174</v>
      </c>
      <c r="R8" s="132">
        <f>IF(SER_hh_tesh!R8=0,0,SER_hh_tesh!R8/SER_summary!R$26)</f>
        <v>74.548270482037623</v>
      </c>
      <c r="S8" s="132">
        <f>IF(SER_hh_tesh!S8=0,0,SER_hh_tesh!S8/SER_summary!S$26)</f>
        <v>72.794196687984865</v>
      </c>
      <c r="T8" s="132">
        <f>IF(SER_hh_tesh!T8=0,0,SER_hh_tesh!T8/SER_summary!T$26)</f>
        <v>72.92121330804062</v>
      </c>
      <c r="U8" s="132">
        <f>IF(SER_hh_tesh!U8=0,0,SER_hh_tesh!U8/SER_summary!U$26)</f>
        <v>70.952394027112732</v>
      </c>
      <c r="V8" s="132">
        <f>IF(SER_hh_tesh!V8=0,0,SER_hh_tesh!V8/SER_summary!V$26)</f>
        <v>67.370300188998499</v>
      </c>
      <c r="W8" s="132">
        <f>IF(SER_hh_tesh!W8=0,0,SER_hh_tesh!W8/SER_summary!W$26)</f>
        <v>70.787124084971296</v>
      </c>
      <c r="X8" s="132">
        <f>IF(SER_hh_tesh!X8=0,0,SER_hh_tesh!X8/SER_summary!X$26)</f>
        <v>67.858126630558743</v>
      </c>
      <c r="Y8" s="132">
        <f>IF(SER_hh_tesh!Y8=0,0,SER_hh_tesh!Y8/SER_summary!Y$26)</f>
        <v>70.593142133306429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71.751391672528641</v>
      </c>
      <c r="C9" s="132">
        <f>IF(SER_hh_tesh!C9=0,0,SER_hh_tesh!C9/SER_summary!C$26)</f>
        <v>78.220534984495771</v>
      </c>
      <c r="D9" s="132">
        <f>IF(SER_hh_tesh!D9=0,0,SER_hh_tesh!D9/SER_summary!D$26)</f>
        <v>73.053836726211131</v>
      </c>
      <c r="E9" s="132">
        <f>IF(SER_hh_tesh!E9=0,0,SER_hh_tesh!E9/SER_summary!E$26)</f>
        <v>80.074793488519546</v>
      </c>
      <c r="F9" s="132">
        <f>IF(SER_hh_tesh!F9=0,0,SER_hh_tesh!F9/SER_summary!F$26)</f>
        <v>90.986619153790855</v>
      </c>
      <c r="G9" s="132">
        <f>IF(SER_hh_tesh!G9=0,0,SER_hh_tesh!G9/SER_summary!G$26)</f>
        <v>82.322510110627306</v>
      </c>
      <c r="H9" s="132">
        <f>IF(SER_hh_tesh!H9=0,0,SER_hh_tesh!H9/SER_summary!H$26)</f>
        <v>82.363211500459357</v>
      </c>
      <c r="I9" s="132">
        <f>IF(SER_hh_tesh!I9=0,0,SER_hh_tesh!I9/SER_summary!I$26)</f>
        <v>70.7042423529346</v>
      </c>
      <c r="J9" s="132">
        <f>IF(SER_hh_tesh!J9=0,0,SER_hh_tesh!J9/SER_summary!J$26)</f>
        <v>77.416410698249067</v>
      </c>
      <c r="K9" s="132">
        <f>IF(SER_hh_tesh!K9=0,0,SER_hh_tesh!K9/SER_summary!K$26)</f>
        <v>81.842378635027202</v>
      </c>
      <c r="L9" s="132">
        <f>IF(SER_hh_tesh!L9=0,0,SER_hh_tesh!L9/SER_summary!L$26)</f>
        <v>94.614449089268732</v>
      </c>
      <c r="M9" s="132">
        <f>IF(SER_hh_tesh!M9=0,0,SER_hh_tesh!M9/SER_summary!M$26)</f>
        <v>72.375298575368333</v>
      </c>
      <c r="N9" s="132">
        <f>IF(SER_hh_tesh!N9=0,0,SER_hh_tesh!N9/SER_summary!N$26)</f>
        <v>82.620731987274567</v>
      </c>
      <c r="O9" s="132">
        <f>IF(SER_hh_tesh!O9=0,0,SER_hh_tesh!O9/SER_summary!O$26)</f>
        <v>84.271473579109923</v>
      </c>
      <c r="P9" s="132">
        <f>IF(SER_hh_tesh!P9=0,0,SER_hh_tesh!P9/SER_summary!P$26)</f>
        <v>63.92149256002908</v>
      </c>
      <c r="Q9" s="132">
        <f>IF(SER_hh_tesh!Q9=0,0,SER_hh_tesh!Q9/SER_summary!Q$26)</f>
        <v>70.558609018642969</v>
      </c>
      <c r="R9" s="132">
        <f>IF(SER_hh_tesh!R9=0,0,SER_hh_tesh!R9/SER_summary!R$26)</f>
        <v>72.221688523466014</v>
      </c>
      <c r="S9" s="132">
        <f>IF(SER_hh_tesh!S9=0,0,SER_hh_tesh!S9/SER_summary!S$26)</f>
        <v>73.712791266126089</v>
      </c>
      <c r="T9" s="132">
        <f>IF(SER_hh_tesh!T9=0,0,SER_hh_tesh!T9/SER_summary!T$26)</f>
        <v>74.548311437608035</v>
      </c>
      <c r="U9" s="132">
        <f>IF(SER_hh_tesh!U9=0,0,SER_hh_tesh!U9/SER_summary!U$26)</f>
        <v>71.658515931162952</v>
      </c>
      <c r="V9" s="132">
        <f>IF(SER_hh_tesh!V9=0,0,SER_hh_tesh!V9/SER_summary!V$26)</f>
        <v>66.408924112594917</v>
      </c>
      <c r="W9" s="132">
        <f>IF(SER_hh_tesh!W9=0,0,SER_hh_tesh!W9/SER_summary!W$26)</f>
        <v>76.481999096859724</v>
      </c>
      <c r="X9" s="132">
        <f>IF(SER_hh_tesh!X9=0,0,SER_hh_tesh!X9/SER_summary!X$26)</f>
        <v>66.420385083870585</v>
      </c>
      <c r="Y9" s="132">
        <f>IF(SER_hh_tesh!Y9=0,0,SER_hh_tesh!Y9/SER_summary!Y$26)</f>
        <v>64.706170042952422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67.409650002886437</v>
      </c>
      <c r="C10" s="132">
        <f>IF(SER_hh_tesh!C10=0,0,SER_hh_tesh!C10/SER_summary!C$26)</f>
        <v>81.526836110325135</v>
      </c>
      <c r="D10" s="132">
        <f>IF(SER_hh_tesh!D10=0,0,SER_hh_tesh!D10/SER_summary!D$26)</f>
        <v>80.067965752018353</v>
      </c>
      <c r="E10" s="132">
        <f>IF(SER_hh_tesh!E10=0,0,SER_hh_tesh!E10/SER_summary!E$26)</f>
        <v>78.089542172851623</v>
      </c>
      <c r="F10" s="132">
        <f>IF(SER_hh_tesh!F10=0,0,SER_hh_tesh!F10/SER_summary!F$26)</f>
        <v>85.262926066851762</v>
      </c>
      <c r="G10" s="132">
        <f>IF(SER_hh_tesh!G10=0,0,SER_hh_tesh!G10/SER_summary!G$26)</f>
        <v>78.055750743513443</v>
      </c>
      <c r="H10" s="132">
        <f>IF(SER_hh_tesh!H10=0,0,SER_hh_tesh!H10/SER_summary!H$26)</f>
        <v>80.83600978792775</v>
      </c>
      <c r="I10" s="132">
        <f>IF(SER_hh_tesh!I10=0,0,SER_hh_tesh!I10/SER_summary!I$26)</f>
        <v>76.755520811102812</v>
      </c>
      <c r="J10" s="132">
        <f>IF(SER_hh_tesh!J10=0,0,SER_hh_tesh!J10/SER_summary!J$26)</f>
        <v>85.84784147566981</v>
      </c>
      <c r="K10" s="132">
        <f>IF(SER_hh_tesh!K10=0,0,SER_hh_tesh!K10/SER_summary!K$26)</f>
        <v>81.743531109899237</v>
      </c>
      <c r="L10" s="132">
        <f>IF(SER_hh_tesh!L10=0,0,SER_hh_tesh!L10/SER_summary!L$26)</f>
        <v>88.254730834048843</v>
      </c>
      <c r="M10" s="132">
        <f>IF(SER_hh_tesh!M10=0,0,SER_hh_tesh!M10/SER_summary!M$26)</f>
        <v>80.594938999046889</v>
      </c>
      <c r="N10" s="132">
        <f>IF(SER_hh_tesh!N10=0,0,SER_hh_tesh!N10/SER_summary!N$26)</f>
        <v>79.499791515408774</v>
      </c>
      <c r="O10" s="132">
        <f>IF(SER_hh_tesh!O10=0,0,SER_hh_tesh!O10/SER_summary!O$26)</f>
        <v>76.871665314819381</v>
      </c>
      <c r="P10" s="132">
        <f>IF(SER_hh_tesh!P10=0,0,SER_hh_tesh!P10/SER_summary!P$26)</f>
        <v>73.046296750564323</v>
      </c>
      <c r="Q10" s="132">
        <f>IF(SER_hh_tesh!Q10=0,0,SER_hh_tesh!Q10/SER_summary!Q$26)</f>
        <v>67.76130687456606</v>
      </c>
      <c r="R10" s="132">
        <f>IF(SER_hh_tesh!R10=0,0,SER_hh_tesh!R10/SER_summary!R$26)</f>
        <v>64.601508410254866</v>
      </c>
      <c r="S10" s="132">
        <f>IF(SER_hh_tesh!S10=0,0,SER_hh_tesh!S10/SER_summary!S$26)</f>
        <v>75.923800941102499</v>
      </c>
      <c r="T10" s="132">
        <f>IF(SER_hh_tesh!T10=0,0,SER_hh_tesh!T10/SER_summary!T$26)</f>
        <v>74.213690655133007</v>
      </c>
      <c r="U10" s="132">
        <f>IF(SER_hh_tesh!U10=0,0,SER_hh_tesh!U10/SER_summary!U$26)</f>
        <v>77.119684564774502</v>
      </c>
      <c r="V10" s="132">
        <f>IF(SER_hh_tesh!V10=0,0,SER_hh_tesh!V10/SER_summary!V$26)</f>
        <v>77.937488499902813</v>
      </c>
      <c r="W10" s="132">
        <f>IF(SER_hh_tesh!W10=0,0,SER_hh_tesh!W10/SER_summary!W$26)</f>
        <v>72.322074606110078</v>
      </c>
      <c r="X10" s="132">
        <f>IF(SER_hh_tesh!X10=0,0,SER_hh_tesh!X10/SER_summary!X$26)</f>
        <v>60.974612788834783</v>
      </c>
      <c r="Y10" s="132">
        <f>IF(SER_hh_tesh!Y10=0,0,SER_hh_tesh!Y10/SER_summary!Y$26)</f>
        <v>69.580137740178671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75.380257743145819</v>
      </c>
      <c r="C12" s="132">
        <f>IF(SER_hh_tesh!C12=0,0,SER_hh_tesh!C12/SER_summary!C$26)</f>
        <v>67.005994640102628</v>
      </c>
      <c r="D12" s="132">
        <f>IF(SER_hh_tesh!D12=0,0,SER_hh_tesh!D12/SER_summary!D$26)</f>
        <v>97.82785952341942</v>
      </c>
      <c r="E12" s="132">
        <f>IF(SER_hh_tesh!E12=0,0,SER_hh_tesh!E12/SER_summary!E$26)</f>
        <v>82.042637216254121</v>
      </c>
      <c r="F12" s="132">
        <f>IF(SER_hh_tesh!F12=0,0,SER_hh_tesh!F12/SER_summary!F$26)</f>
        <v>89.906520757045726</v>
      </c>
      <c r="G12" s="132">
        <f>IF(SER_hh_tesh!G12=0,0,SER_hh_tesh!G12/SER_summary!G$26)</f>
        <v>64.773840337936335</v>
      </c>
      <c r="H12" s="132">
        <f>IF(SER_hh_tesh!H12=0,0,SER_hh_tesh!H12/SER_summary!H$26)</f>
        <v>75.938476168280872</v>
      </c>
      <c r="I12" s="132">
        <f>IF(SER_hh_tesh!I12=0,0,SER_hh_tesh!I12/SER_summary!I$26)</f>
        <v>86.897287994708307</v>
      </c>
      <c r="J12" s="132">
        <f>IF(SER_hh_tesh!J12=0,0,SER_hh_tesh!J12/SER_summary!J$26)</f>
        <v>77.506858888637666</v>
      </c>
      <c r="K12" s="132">
        <f>IF(SER_hh_tesh!K12=0,0,SER_hh_tesh!K12/SER_summary!K$26)</f>
        <v>94.557463419089885</v>
      </c>
      <c r="L12" s="132">
        <f>IF(SER_hh_tesh!L12=0,0,SER_hh_tesh!L12/SER_summary!L$26)</f>
        <v>90.460990665908867</v>
      </c>
      <c r="M12" s="132">
        <f>IF(SER_hh_tesh!M12=0,0,SER_hh_tesh!M12/SER_summary!M$26)</f>
        <v>91.159896240836602</v>
      </c>
      <c r="N12" s="132">
        <f>IF(SER_hh_tesh!N12=0,0,SER_hh_tesh!N12/SER_summary!N$26)</f>
        <v>64.072117749777249</v>
      </c>
      <c r="O12" s="132">
        <f>IF(SER_hh_tesh!O12=0,0,SER_hh_tesh!O12/SER_summary!O$26)</f>
        <v>68.542898049878247</v>
      </c>
      <c r="P12" s="132">
        <f>IF(SER_hh_tesh!P12=0,0,SER_hh_tesh!P12/SER_summary!P$26)</f>
        <v>71.98717703036813</v>
      </c>
      <c r="Q12" s="132">
        <f>IF(SER_hh_tesh!Q12=0,0,SER_hh_tesh!Q12/SER_summary!Q$26)</f>
        <v>66.200954522423544</v>
      </c>
      <c r="R12" s="132">
        <f>IF(SER_hh_tesh!R12=0,0,SER_hh_tesh!R12/SER_summary!R$26)</f>
        <v>64.841538765800976</v>
      </c>
      <c r="S12" s="132">
        <f>IF(SER_hh_tesh!S12=0,0,SER_hh_tesh!S12/SER_summary!S$26)</f>
        <v>82.2339640723781</v>
      </c>
      <c r="T12" s="132">
        <f>IF(SER_hh_tesh!T12=0,0,SER_hh_tesh!T12/SER_summary!T$26)</f>
        <v>68.947492226822604</v>
      </c>
      <c r="U12" s="132">
        <f>IF(SER_hh_tesh!U12=0,0,SER_hh_tesh!U12/SER_summary!U$26)</f>
        <v>76.446696577468842</v>
      </c>
      <c r="V12" s="132">
        <f>IF(SER_hh_tesh!V12=0,0,SER_hh_tesh!V12/SER_summary!V$26)</f>
        <v>76.162862419482565</v>
      </c>
      <c r="W12" s="132">
        <f>IF(SER_hh_tesh!W12=0,0,SER_hh_tesh!W12/SER_summary!W$26)</f>
        <v>66.055946372106291</v>
      </c>
      <c r="X12" s="132">
        <f>IF(SER_hh_tesh!X12=0,0,SER_hh_tesh!X12/SER_summary!X$26)</f>
        <v>74.959092586831503</v>
      </c>
      <c r="Y12" s="132">
        <f>IF(SER_hh_tesh!Y12=0,0,SER_hh_tesh!Y12/SER_summary!Y$26)</f>
        <v>63.524177812162321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69.825641232320208</v>
      </c>
      <c r="C13" s="132">
        <f>IF(SER_hh_tesh!C13=0,0,SER_hh_tesh!C13/SER_summary!C$26)</f>
        <v>74.858747779519945</v>
      </c>
      <c r="D13" s="132">
        <f>IF(SER_hh_tesh!D13=0,0,SER_hh_tesh!D13/SER_summary!D$26)</f>
        <v>77.160164357276372</v>
      </c>
      <c r="E13" s="132">
        <f>IF(SER_hh_tesh!E13=0,0,SER_hh_tesh!E13/SER_summary!E$26)</f>
        <v>73.012288257364901</v>
      </c>
      <c r="F13" s="132">
        <f>IF(SER_hh_tesh!F13=0,0,SER_hh_tesh!F13/SER_summary!F$26)</f>
        <v>81.340877296353256</v>
      </c>
      <c r="G13" s="132">
        <f>IF(SER_hh_tesh!G13=0,0,SER_hh_tesh!G13/SER_summary!G$26)</f>
        <v>80.843724934878026</v>
      </c>
      <c r="H13" s="132">
        <f>IF(SER_hh_tesh!H13=0,0,SER_hh_tesh!H13/SER_summary!H$26)</f>
        <v>75.807663850093732</v>
      </c>
      <c r="I13" s="132">
        <f>IF(SER_hh_tesh!I13=0,0,SER_hh_tesh!I13/SER_summary!I$26)</f>
        <v>76.761426741882858</v>
      </c>
      <c r="J13" s="132">
        <f>IF(SER_hh_tesh!J13=0,0,SER_hh_tesh!J13/SER_summary!J$26)</f>
        <v>80.819738897590923</v>
      </c>
      <c r="K13" s="132">
        <f>IF(SER_hh_tesh!K13=0,0,SER_hh_tesh!K13/SER_summary!K$26)</f>
        <v>82.758473423188676</v>
      </c>
      <c r="L13" s="132">
        <f>IF(SER_hh_tesh!L13=0,0,SER_hh_tesh!L13/SER_summary!L$26)</f>
        <v>85.134169572640417</v>
      </c>
      <c r="M13" s="132">
        <f>IF(SER_hh_tesh!M13=0,0,SER_hh_tesh!M13/SER_summary!M$26)</f>
        <v>81.871525437739606</v>
      </c>
      <c r="N13" s="132">
        <f>IF(SER_hh_tesh!N13=0,0,SER_hh_tesh!N13/SER_summary!N$26)</f>
        <v>79.604961820640824</v>
      </c>
      <c r="O13" s="132">
        <f>IF(SER_hh_tesh!O13=0,0,SER_hh_tesh!O13/SER_summary!O$26)</f>
        <v>76.914291998832525</v>
      </c>
      <c r="P13" s="132">
        <f>IF(SER_hh_tesh!P13=0,0,SER_hh_tesh!P13/SER_summary!P$26)</f>
        <v>71.609959252469196</v>
      </c>
      <c r="Q13" s="132">
        <f>IF(SER_hh_tesh!Q13=0,0,SER_hh_tesh!Q13/SER_summary!Q$26)</f>
        <v>71.279902070986296</v>
      </c>
      <c r="R13" s="132">
        <f>IF(SER_hh_tesh!R13=0,0,SER_hh_tesh!R13/SER_summary!R$26)</f>
        <v>71.726152269802256</v>
      </c>
      <c r="S13" s="132">
        <f>IF(SER_hh_tesh!S13=0,0,SER_hh_tesh!S13/SER_summary!S$26)</f>
        <v>73.465700423461186</v>
      </c>
      <c r="T13" s="132">
        <f>IF(SER_hh_tesh!T13=0,0,SER_hh_tesh!T13/SER_summary!T$26)</f>
        <v>73.843067831023859</v>
      </c>
      <c r="U13" s="132">
        <f>IF(SER_hh_tesh!U13=0,0,SER_hh_tesh!U13/SER_summary!U$26)</f>
        <v>72.593876471075546</v>
      </c>
      <c r="V13" s="132">
        <f>IF(SER_hh_tesh!V13=0,0,SER_hh_tesh!V13/SER_summary!V$26)</f>
        <v>70.493327741179499</v>
      </c>
      <c r="W13" s="132">
        <f>IF(SER_hh_tesh!W13=0,0,SER_hh_tesh!W13/SER_summary!W$26)</f>
        <v>69.515806142682891</v>
      </c>
      <c r="X13" s="132">
        <f>IF(SER_hh_tesh!X13=0,0,SER_hh_tesh!X13/SER_summary!X$26)</f>
        <v>69.000022519825848</v>
      </c>
      <c r="Y13" s="132">
        <f>IF(SER_hh_tesh!Y13=0,0,SER_hh_tesh!Y13/SER_summary!Y$26)</f>
        <v>69.961138428634953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71.205757722822369</v>
      </c>
      <c r="C14" s="65">
        <f>IF(SER_hh_tesh!C14=0,0,SER_hh_tesh!C14/SER_summary!C$26)</f>
        <v>79.716117037221167</v>
      </c>
      <c r="D14" s="65">
        <f>IF(SER_hh_tesh!D14=0,0,SER_hh_tesh!D14/SER_summary!D$26)</f>
        <v>76.524037493767906</v>
      </c>
      <c r="E14" s="65">
        <f>IF(SER_hh_tesh!E14=0,0,SER_hh_tesh!E14/SER_summary!E$26)</f>
        <v>82.969749484081561</v>
      </c>
      <c r="F14" s="65">
        <f>IF(SER_hh_tesh!F14=0,0,SER_hh_tesh!F14/SER_summary!F$26)</f>
        <v>87.756941244179771</v>
      </c>
      <c r="G14" s="65">
        <f>IF(SER_hh_tesh!G14=0,0,SER_hh_tesh!G14/SER_summary!G$26)</f>
        <v>83.198743933543511</v>
      </c>
      <c r="H14" s="65">
        <f>IF(SER_hh_tesh!H14=0,0,SER_hh_tesh!H14/SER_summary!H$26)</f>
        <v>82.132234173733721</v>
      </c>
      <c r="I14" s="65">
        <f>IF(SER_hh_tesh!I14=0,0,SER_hh_tesh!I14/SER_summary!I$26)</f>
        <v>80.96613791948954</v>
      </c>
      <c r="J14" s="65">
        <f>IF(SER_hh_tesh!J14=0,0,SER_hh_tesh!J14/SER_summary!J$26)</f>
        <v>79.865189308473731</v>
      </c>
      <c r="K14" s="65">
        <f>IF(SER_hh_tesh!K14=0,0,SER_hh_tesh!K14/SER_summary!K$26)</f>
        <v>85.240212222710582</v>
      </c>
      <c r="L14" s="65">
        <f>IF(SER_hh_tesh!L14=0,0,SER_hh_tesh!L14/SER_summary!L$26)</f>
        <v>85.466455253576328</v>
      </c>
      <c r="M14" s="65">
        <f>IF(SER_hh_tesh!M14=0,0,SER_hh_tesh!M14/SER_summary!M$26)</f>
        <v>82.952462294176755</v>
      </c>
      <c r="N14" s="65">
        <f>IF(SER_hh_tesh!N14=0,0,SER_hh_tesh!N14/SER_summary!N$26)</f>
        <v>82.355171148468159</v>
      </c>
      <c r="O14" s="65">
        <f>IF(SER_hh_tesh!O14=0,0,SER_hh_tesh!O14/SER_summary!O$26)</f>
        <v>86.456533705306796</v>
      </c>
      <c r="P14" s="65">
        <f>IF(SER_hh_tesh!P14=0,0,SER_hh_tesh!P14/SER_summary!P$26)</f>
        <v>67.078764513259031</v>
      </c>
      <c r="Q14" s="65">
        <f>IF(SER_hh_tesh!Q14=0,0,SER_hh_tesh!Q14/SER_summary!Q$26)</f>
        <v>65.627402040788454</v>
      </c>
      <c r="R14" s="65">
        <f>IF(SER_hh_tesh!R14=0,0,SER_hh_tesh!R14/SER_summary!R$26)</f>
        <v>67.417181676744931</v>
      </c>
      <c r="S14" s="65">
        <f>IF(SER_hh_tesh!S14=0,0,SER_hh_tesh!S14/SER_summary!S$26)</f>
        <v>75.680199690232755</v>
      </c>
      <c r="T14" s="65">
        <f>IF(SER_hh_tesh!T14=0,0,SER_hh_tesh!T14/SER_summary!T$26)</f>
        <v>82.561206264415119</v>
      </c>
      <c r="U14" s="65">
        <f>IF(SER_hh_tesh!U14=0,0,SER_hh_tesh!U14/SER_summary!U$26)</f>
        <v>72.199663185402244</v>
      </c>
      <c r="V14" s="65">
        <f>IF(SER_hh_tesh!V14=0,0,SER_hh_tesh!V14/SER_summary!V$26)</f>
        <v>59.686930352535178</v>
      </c>
      <c r="W14" s="65">
        <f>IF(SER_hh_tesh!W14=0,0,SER_hh_tesh!W14/SER_summary!W$26)</f>
        <v>68.633760275049553</v>
      </c>
      <c r="X14" s="65">
        <f>IF(SER_hh_tesh!X14=0,0,SER_hh_tesh!X14/SER_summary!X$26)</f>
        <v>72.917490259403536</v>
      </c>
      <c r="Y14" s="65">
        <f>IF(SER_hh_tesh!Y14=0,0,SER_hh_tesh!Y14/SER_summary!Y$26)</f>
        <v>67.467828648490311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1.3118518991378487</v>
      </c>
      <c r="C15" s="134">
        <f>IF(SER_hh_tesh!C15=0,0,SER_hh_tesh!C15/SER_summary!C$26)</f>
        <v>1.3770917180718465</v>
      </c>
      <c r="D15" s="134">
        <f>IF(SER_hh_tesh!D15=0,0,SER_hh_tesh!D15/SER_summary!D$26)</f>
        <v>1.2855819096679399</v>
      </c>
      <c r="E15" s="134">
        <f>IF(SER_hh_tesh!E15=0,0,SER_hh_tesh!E15/SER_summary!E$26)</f>
        <v>1.3656170572418656</v>
      </c>
      <c r="F15" s="134">
        <f>IF(SER_hh_tesh!F15=0,0,SER_hh_tesh!F15/SER_summary!F$26)</f>
        <v>1.5151629748068767</v>
      </c>
      <c r="G15" s="134">
        <f>IF(SER_hh_tesh!G15=0,0,SER_hh_tesh!G15/SER_summary!G$26)</f>
        <v>1.3525463412966043</v>
      </c>
      <c r="H15" s="134">
        <f>IF(SER_hh_tesh!H15=0,0,SER_hh_tesh!H15/SER_summary!H$26)</f>
        <v>1.332246055489388</v>
      </c>
      <c r="I15" s="134">
        <f>IF(SER_hh_tesh!I15=0,0,SER_hh_tesh!I15/SER_summary!I$26)</f>
        <v>1.1485463713758322</v>
      </c>
      <c r="J15" s="134">
        <f>IF(SER_hh_tesh!J15=0,0,SER_hh_tesh!J15/SER_summary!J$26)</f>
        <v>1.225547080344312</v>
      </c>
      <c r="K15" s="134">
        <f>IF(SER_hh_tesh!K15=0,0,SER_hh_tesh!K15/SER_summary!K$26)</f>
        <v>1.2753944372629498</v>
      </c>
      <c r="L15" s="134">
        <f>IF(SER_hh_tesh!L15=0,0,SER_hh_tesh!L15/SER_summary!L$26)</f>
        <v>1.4586369941155379</v>
      </c>
      <c r="M15" s="134">
        <f>IF(SER_hh_tesh!M15=0,0,SER_hh_tesh!M15/SER_summary!M$26)</f>
        <v>1.1378378330501266</v>
      </c>
      <c r="N15" s="134">
        <f>IF(SER_hh_tesh!N15=0,0,SER_hh_tesh!N15/SER_summary!N$26)</f>
        <v>1.2780563269005196</v>
      </c>
      <c r="O15" s="134">
        <f>IF(SER_hh_tesh!O15=0,0,SER_hh_tesh!O15/SER_summary!O$26)</f>
        <v>1.2991623392612226</v>
      </c>
      <c r="P15" s="134">
        <f>IF(SER_hh_tesh!P15=0,0,SER_hh_tesh!P15/SER_summary!P$26)</f>
        <v>1.0025968355088444</v>
      </c>
      <c r="Q15" s="134">
        <f>IF(SER_hh_tesh!Q15=0,0,SER_hh_tesh!Q15/SER_summary!Q$26)</f>
        <v>1.0803243000629632</v>
      </c>
      <c r="R15" s="134">
        <f>IF(SER_hh_tesh!R15=0,0,SER_hh_tesh!R15/SER_summary!R$26)</f>
        <v>1.0908259405494833</v>
      </c>
      <c r="S15" s="134">
        <f>IF(SER_hh_tesh!S15=0,0,SER_hh_tesh!S15/SER_summary!S$26)</f>
        <v>1.1034537051986708</v>
      </c>
      <c r="T15" s="134">
        <f>IF(SER_hh_tesh!T15=0,0,SER_hh_tesh!T15/SER_summary!T$26)</f>
        <v>1.1006962881344453</v>
      </c>
      <c r="U15" s="134">
        <f>IF(SER_hh_tesh!U15=0,0,SER_hh_tesh!U15/SER_summary!U$26)</f>
        <v>1.0573056252670763</v>
      </c>
      <c r="V15" s="134">
        <f>IF(SER_hh_tesh!V15=0,0,SER_hh_tesh!V15/SER_summary!V$26)</f>
        <v>0.98078072628805746</v>
      </c>
      <c r="W15" s="134">
        <f>IF(SER_hh_tesh!W15=0,0,SER_hh_tesh!W15/SER_summary!W$26)</f>
        <v>1.0987555410995977</v>
      </c>
      <c r="X15" s="134">
        <f>IF(SER_hh_tesh!X15=0,0,SER_hh_tesh!X15/SER_summary!X$26)</f>
        <v>0.96010989687338777</v>
      </c>
      <c r="Y15" s="134">
        <f>IF(SER_hh_tesh!Y15=0,0,SER_hh_tesh!Y15/SER_summary!Y$26)</f>
        <v>0.93061683125355377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28.133504976706227</v>
      </c>
      <c r="C16" s="130">
        <f>IF(SER_hh_tesh!C16=0,0,SER_hh_tesh!C16/SER_summary!C$26)</f>
        <v>28.79952037034262</v>
      </c>
      <c r="D16" s="130">
        <f>IF(SER_hh_tesh!D16=0,0,SER_hh_tesh!D16/SER_summary!D$26)</f>
        <v>28.547092936941592</v>
      </c>
      <c r="E16" s="130">
        <f>IF(SER_hh_tesh!E16=0,0,SER_hh_tesh!E16/SER_summary!E$26)</f>
        <v>31.376094542368062</v>
      </c>
      <c r="F16" s="130">
        <f>IF(SER_hh_tesh!F16=0,0,SER_hh_tesh!F16/SER_summary!F$26)</f>
        <v>28.708055776422789</v>
      </c>
      <c r="G16" s="130">
        <f>IF(SER_hh_tesh!G16=0,0,SER_hh_tesh!G16/SER_summary!G$26)</f>
        <v>28.381839554976118</v>
      </c>
      <c r="H16" s="130">
        <f>IF(SER_hh_tesh!H16=0,0,SER_hh_tesh!H16/SER_summary!H$26)</f>
        <v>31.103806063924516</v>
      </c>
      <c r="I16" s="130">
        <f>IF(SER_hh_tesh!I16=0,0,SER_hh_tesh!I16/SER_summary!I$26)</f>
        <v>28.501745631258142</v>
      </c>
      <c r="J16" s="130">
        <f>IF(SER_hh_tesh!J16=0,0,SER_hh_tesh!J16/SER_summary!J$26)</f>
        <v>28.703476302373868</v>
      </c>
      <c r="K16" s="130">
        <f>IF(SER_hh_tesh!K16=0,0,SER_hh_tesh!K16/SER_summary!K$26)</f>
        <v>28.923296450953483</v>
      </c>
      <c r="L16" s="130">
        <f>IF(SER_hh_tesh!L16=0,0,SER_hh_tesh!L16/SER_summary!L$26)</f>
        <v>30.006168656133124</v>
      </c>
      <c r="M16" s="130">
        <f>IF(SER_hh_tesh!M16=0,0,SER_hh_tesh!M16/SER_summary!M$26)</f>
        <v>29.136480768844518</v>
      </c>
      <c r="N16" s="130">
        <f>IF(SER_hh_tesh!N16=0,0,SER_hh_tesh!N16/SER_summary!N$26)</f>
        <v>29.401393911428503</v>
      </c>
      <c r="O16" s="130">
        <f>IF(SER_hh_tesh!O16=0,0,SER_hh_tesh!O16/SER_summary!O$26)</f>
        <v>29.711517925686707</v>
      </c>
      <c r="P16" s="130">
        <f>IF(SER_hh_tesh!P16=0,0,SER_hh_tesh!P16/SER_summary!P$26)</f>
        <v>29.508140350155653</v>
      </c>
      <c r="Q16" s="130">
        <f>IF(SER_hh_tesh!Q16=0,0,SER_hh_tesh!Q16/SER_summary!Q$26)</f>
        <v>30.814791637448785</v>
      </c>
      <c r="R16" s="130">
        <f>IF(SER_hh_tesh!R16=0,0,SER_hh_tesh!R16/SER_summary!R$26)</f>
        <v>30.147924533039706</v>
      </c>
      <c r="S16" s="130">
        <f>IF(SER_hh_tesh!S16=0,0,SER_hh_tesh!S16/SER_summary!S$26)</f>
        <v>29.631801912502592</v>
      </c>
      <c r="T16" s="130">
        <f>IF(SER_hh_tesh!T16=0,0,SER_hh_tesh!T16/SER_summary!T$26)</f>
        <v>32.851872505707739</v>
      </c>
      <c r="U16" s="130">
        <f>IF(SER_hh_tesh!U16=0,0,SER_hh_tesh!U16/SER_summary!U$26)</f>
        <v>32.538118517593176</v>
      </c>
      <c r="V16" s="130">
        <f>IF(SER_hh_tesh!V16=0,0,SER_hh_tesh!V16/SER_summary!V$26)</f>
        <v>31.850909901447881</v>
      </c>
      <c r="W16" s="130">
        <f>IF(SER_hh_tesh!W16=0,0,SER_hh_tesh!W16/SER_summary!W$26)</f>
        <v>29.185334326038429</v>
      </c>
      <c r="X16" s="130">
        <f>IF(SER_hh_tesh!X16=0,0,SER_hh_tesh!X16/SER_summary!X$26)</f>
        <v>30.852410786629974</v>
      </c>
      <c r="Y16" s="130">
        <f>IF(SER_hh_tesh!Y16=0,0,SER_hh_tesh!Y16/SER_summary!Y$26)</f>
        <v>30.02561879122257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28.133504976706231</v>
      </c>
      <c r="C17" s="132">
        <f>IF(SER_hh_tesh!C17=0,0,SER_hh_tesh!C17/SER_summary!C$26)</f>
        <v>28.799520370342687</v>
      </c>
      <c r="D17" s="132">
        <f>IF(SER_hh_tesh!D17=0,0,SER_hh_tesh!D17/SER_summary!D$26)</f>
        <v>28.547092936872925</v>
      </c>
      <c r="E17" s="132">
        <f>IF(SER_hh_tesh!E17=0,0,SER_hh_tesh!E17/SER_summary!E$26)</f>
        <v>31.376094542383296</v>
      </c>
      <c r="F17" s="132">
        <f>IF(SER_hh_tesh!F17=0,0,SER_hh_tesh!F17/SER_summary!F$26)</f>
        <v>28.70805577648883</v>
      </c>
      <c r="G17" s="132">
        <f>IF(SER_hh_tesh!G17=0,0,SER_hh_tesh!G17/SER_summary!G$26)</f>
        <v>28.381839555016818</v>
      </c>
      <c r="H17" s="132">
        <f>IF(SER_hh_tesh!H17=0,0,SER_hh_tesh!H17/SER_summary!H$26)</f>
        <v>31.103806063923269</v>
      </c>
      <c r="I17" s="132">
        <f>IF(SER_hh_tesh!I17=0,0,SER_hh_tesh!I17/SER_summary!I$26)</f>
        <v>28.501745631233963</v>
      </c>
      <c r="J17" s="132">
        <f>IF(SER_hh_tesh!J17=0,0,SER_hh_tesh!J17/SER_summary!J$26)</f>
        <v>28.703476302350616</v>
      </c>
      <c r="K17" s="132">
        <f>IF(SER_hh_tesh!K17=0,0,SER_hh_tesh!K17/SER_summary!K$26)</f>
        <v>28.923296450931211</v>
      </c>
      <c r="L17" s="132">
        <f>IF(SER_hh_tesh!L17=0,0,SER_hh_tesh!L17/SER_summary!L$26)</f>
        <v>30.006168656114994</v>
      </c>
      <c r="M17" s="132">
        <f>IF(SER_hh_tesh!M17=0,0,SER_hh_tesh!M17/SER_summary!M$26)</f>
        <v>29.136480768840741</v>
      </c>
      <c r="N17" s="132">
        <f>IF(SER_hh_tesh!N17=0,0,SER_hh_tesh!N17/SER_summary!N$26)</f>
        <v>29.401393911434212</v>
      </c>
      <c r="O17" s="132">
        <f>IF(SER_hh_tesh!O17=0,0,SER_hh_tesh!O17/SER_summary!O$26)</f>
        <v>29.711517925809598</v>
      </c>
      <c r="P17" s="132">
        <f>IF(SER_hh_tesh!P17=0,0,SER_hh_tesh!P17/SER_summary!P$26)</f>
        <v>29.508140350353735</v>
      </c>
      <c r="Q17" s="132">
        <f>IF(SER_hh_tesh!Q17=0,0,SER_hh_tesh!Q17/SER_summary!Q$26)</f>
        <v>30.275976412589756</v>
      </c>
      <c r="R17" s="132">
        <f>IF(SER_hh_tesh!R17=0,0,SER_hh_tesh!R17/SER_summary!R$26)</f>
        <v>30.147924532948238</v>
      </c>
      <c r="S17" s="132">
        <f>IF(SER_hh_tesh!S17=0,0,SER_hh_tesh!S17/SER_summary!S$26)</f>
        <v>31.134872671514447</v>
      </c>
      <c r="T17" s="132">
        <f>IF(SER_hh_tesh!T17=0,0,SER_hh_tesh!T17/SER_summary!T$26)</f>
        <v>32.109454900010839</v>
      </c>
      <c r="U17" s="132">
        <f>IF(SER_hh_tesh!U17=0,0,SER_hh_tesh!U17/SER_summary!U$26)</f>
        <v>32.538118517436196</v>
      </c>
      <c r="V17" s="132">
        <f>IF(SER_hh_tesh!V17=0,0,SER_hh_tesh!V17/SER_summary!V$26)</f>
        <v>33.522987792971449</v>
      </c>
      <c r="W17" s="132">
        <f>IF(SER_hh_tesh!W17=0,0,SER_hh_tesh!W17/SER_summary!W$26)</f>
        <v>35.647268519538251</v>
      </c>
      <c r="X17" s="132">
        <f>IF(SER_hh_tesh!X17=0,0,SER_hh_tesh!X17/SER_summary!X$26)</f>
        <v>31.276574691417004</v>
      </c>
      <c r="Y17" s="132">
        <f>IF(SER_hh_tesh!Y17=0,0,SER_hh_tesh!Y17/SER_summary!Y$26)</f>
        <v>30.025618791486632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28.133504976706231</v>
      </c>
      <c r="C18" s="132">
        <f>IF(SER_hh_tesh!C18=0,0,SER_hh_tesh!C18/SER_summary!C$26)</f>
        <v>28.79952037034262</v>
      </c>
      <c r="D18" s="132">
        <f>IF(SER_hh_tesh!D18=0,0,SER_hh_tesh!D18/SER_summary!D$26)</f>
        <v>28.547092936941809</v>
      </c>
      <c r="E18" s="132">
        <f>IF(SER_hh_tesh!E18=0,0,SER_hh_tesh!E18/SER_summary!E$26)</f>
        <v>31.376094542368012</v>
      </c>
      <c r="F18" s="132">
        <f>IF(SER_hh_tesh!F18=0,0,SER_hh_tesh!F18/SER_summary!F$26)</f>
        <v>28.708055776422544</v>
      </c>
      <c r="G18" s="132">
        <f>IF(SER_hh_tesh!G18=0,0,SER_hh_tesh!G18/SER_summary!G$26)</f>
        <v>28.381839554975958</v>
      </c>
      <c r="H18" s="132">
        <f>IF(SER_hh_tesh!H18=0,0,SER_hh_tesh!H18/SER_summary!H$26)</f>
        <v>31.10380606392452</v>
      </c>
      <c r="I18" s="132">
        <f>IF(SER_hh_tesh!I18=0,0,SER_hh_tesh!I18/SER_summary!I$26)</f>
        <v>28.50174563125827</v>
      </c>
      <c r="J18" s="132">
        <f>IF(SER_hh_tesh!J18=0,0,SER_hh_tesh!J18/SER_summary!J$26)</f>
        <v>28.703476302373996</v>
      </c>
      <c r="K18" s="132">
        <f>IF(SER_hh_tesh!K18=0,0,SER_hh_tesh!K18/SER_summary!K$26)</f>
        <v>28.923296450953611</v>
      </c>
      <c r="L18" s="132">
        <f>IF(SER_hh_tesh!L18=0,0,SER_hh_tesh!L18/SER_summary!L$26)</f>
        <v>30.00616865613323</v>
      </c>
      <c r="M18" s="132">
        <f>IF(SER_hh_tesh!M18=0,0,SER_hh_tesh!M18/SER_summary!M$26)</f>
        <v>29.136480768844542</v>
      </c>
      <c r="N18" s="132">
        <f>IF(SER_hh_tesh!N18=0,0,SER_hh_tesh!N18/SER_summary!N$26)</f>
        <v>29.401393911428453</v>
      </c>
      <c r="O18" s="132">
        <f>IF(SER_hh_tesh!O18=0,0,SER_hh_tesh!O18/SER_summary!O$26)</f>
        <v>29.711517925685637</v>
      </c>
      <c r="P18" s="132">
        <f>IF(SER_hh_tesh!P18=0,0,SER_hh_tesh!P18/SER_summary!P$26)</f>
        <v>29.508140350153376</v>
      </c>
      <c r="Q18" s="132">
        <f>IF(SER_hh_tesh!Q18=0,0,SER_hh_tesh!Q18/SER_summary!Q$26)</f>
        <v>30.82301317554569</v>
      </c>
      <c r="R18" s="132">
        <f>IF(SER_hh_tesh!R18=0,0,SER_hh_tesh!R18/SER_summary!R$26)</f>
        <v>30.147924533041461</v>
      </c>
      <c r="S18" s="132">
        <f>IF(SER_hh_tesh!S18=0,0,SER_hh_tesh!S18/SER_summary!S$26)</f>
        <v>29.599064145267686</v>
      </c>
      <c r="T18" s="132">
        <f>IF(SER_hh_tesh!T18=0,0,SER_hh_tesh!T18/SER_summary!T$26)</f>
        <v>32.869465228984353</v>
      </c>
      <c r="U18" s="132">
        <f>IF(SER_hh_tesh!U18=0,0,SER_hh_tesh!U18/SER_summary!U$26)</f>
        <v>32.53811851759712</v>
      </c>
      <c r="V18" s="132">
        <f>IF(SER_hh_tesh!V18=0,0,SER_hh_tesh!V18/SER_summary!V$26)</f>
        <v>31.807673252483667</v>
      </c>
      <c r="W18" s="132">
        <f>IF(SER_hh_tesh!W18=0,0,SER_hh_tesh!W18/SER_summary!W$26)</f>
        <v>29.01721507192671</v>
      </c>
      <c r="X18" s="132">
        <f>IF(SER_hh_tesh!X18=0,0,SER_hh_tesh!X18/SER_summary!X$26)</f>
        <v>30.841068377166231</v>
      </c>
      <c r="Y18" s="132">
        <f>IF(SER_hh_tesh!Y18=0,0,SER_hh_tesh!Y18/SER_summary!Y$26)</f>
        <v>30.025618791215489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17.175557910080979</v>
      </c>
      <c r="C19" s="130">
        <f>IF(SER_hh_tesh!C19=0,0,SER_hh_tesh!C19/SER_summary!C$26)</f>
        <v>16.950807052888521</v>
      </c>
      <c r="D19" s="130">
        <f>IF(SER_hh_tesh!D19=0,0,SER_hh_tesh!D19/SER_summary!D$26)</f>
        <v>16.898629672576334</v>
      </c>
      <c r="E19" s="130">
        <f>IF(SER_hh_tesh!E19=0,0,SER_hh_tesh!E19/SER_summary!E$26)</f>
        <v>16.78906488065331</v>
      </c>
      <c r="F19" s="130">
        <f>IF(SER_hh_tesh!F19=0,0,SER_hh_tesh!F19/SER_summary!F$26)</f>
        <v>16.879453134696334</v>
      </c>
      <c r="G19" s="130">
        <f>IF(SER_hh_tesh!G19=0,0,SER_hh_tesh!G19/SER_summary!G$26)</f>
        <v>16.637472515099279</v>
      </c>
      <c r="H19" s="130">
        <f>IF(SER_hh_tesh!H19=0,0,SER_hh_tesh!H19/SER_summary!H$26)</f>
        <v>16.212124667496347</v>
      </c>
      <c r="I19" s="130">
        <f>IF(SER_hh_tesh!I19=0,0,SER_hh_tesh!I19/SER_summary!I$26)</f>
        <v>15.723969020231934</v>
      </c>
      <c r="J19" s="130">
        <f>IF(SER_hh_tesh!J19=0,0,SER_hh_tesh!J19/SER_summary!J$26)</f>
        <v>15.463229256877261</v>
      </c>
      <c r="K19" s="130">
        <f>IF(SER_hh_tesh!K19=0,0,SER_hh_tesh!K19/SER_summary!K$26)</f>
        <v>15.601412568951423</v>
      </c>
      <c r="L19" s="130">
        <f>IF(SER_hh_tesh!L19=0,0,SER_hh_tesh!L19/SER_summary!L$26)</f>
        <v>15.519684238989802</v>
      </c>
      <c r="M19" s="130">
        <f>IF(SER_hh_tesh!M19=0,0,SER_hh_tesh!M19/SER_summary!M$26)</f>
        <v>15.410146907066579</v>
      </c>
      <c r="N19" s="130">
        <f>IF(SER_hh_tesh!N19=0,0,SER_hh_tesh!N19/SER_summary!N$26)</f>
        <v>15.442677945608002</v>
      </c>
      <c r="O19" s="130">
        <f>IF(SER_hh_tesh!O19=0,0,SER_hh_tesh!O19/SER_summary!O$26)</f>
        <v>15.432677202424022</v>
      </c>
      <c r="P19" s="130">
        <f>IF(SER_hh_tesh!P19=0,0,SER_hh_tesh!P19/SER_summary!P$26)</f>
        <v>15.429873976633758</v>
      </c>
      <c r="Q19" s="130">
        <f>IF(SER_hh_tesh!Q19=0,0,SER_hh_tesh!Q19/SER_summary!Q$26)</f>
        <v>15.510693033744031</v>
      </c>
      <c r="R19" s="130">
        <f>IF(SER_hh_tesh!R19=0,0,SER_hh_tesh!R19/SER_summary!R$26)</f>
        <v>15.345836942339043</v>
      </c>
      <c r="S19" s="130">
        <f>IF(SER_hh_tesh!S19=0,0,SER_hh_tesh!S19/SER_summary!S$26)</f>
        <v>15.364590054062422</v>
      </c>
      <c r="T19" s="130">
        <f>IF(SER_hh_tesh!T19=0,0,SER_hh_tesh!T19/SER_summary!T$26)</f>
        <v>15.366517323316073</v>
      </c>
      <c r="U19" s="130">
        <f>IF(SER_hh_tesh!U19=0,0,SER_hh_tesh!U19/SER_summary!U$26)</f>
        <v>15.382246511303247</v>
      </c>
      <c r="V19" s="130">
        <f>IF(SER_hh_tesh!V19=0,0,SER_hh_tesh!V19/SER_summary!V$26)</f>
        <v>14.996460886783034</v>
      </c>
      <c r="W19" s="130">
        <f>IF(SER_hh_tesh!W19=0,0,SER_hh_tesh!W19/SER_summary!W$26)</f>
        <v>15.517180410730735</v>
      </c>
      <c r="X19" s="130">
        <f>IF(SER_hh_tesh!X19=0,0,SER_hh_tesh!X19/SER_summary!X$26)</f>
        <v>15.691681316606189</v>
      </c>
      <c r="Y19" s="130">
        <f>IF(SER_hh_tesh!Y19=0,0,SER_hh_tesh!Y19/SER_summary!Y$26)</f>
        <v>15.806086387817384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17.224111909876736</v>
      </c>
      <c r="C22" s="132">
        <f>IF(SER_hh_tesh!C22=0,0,SER_hh_tesh!C22/SER_summary!C$26)</f>
        <v>16.966246638373462</v>
      </c>
      <c r="D22" s="132">
        <f>IF(SER_hh_tesh!D22=0,0,SER_hh_tesh!D22/SER_summary!D$26)</f>
        <v>16.846614638239899</v>
      </c>
      <c r="E22" s="132">
        <f>IF(SER_hh_tesh!E22=0,0,SER_hh_tesh!E22/SER_summary!E$26)</f>
        <v>16.703620859789154</v>
      </c>
      <c r="F22" s="132">
        <f>IF(SER_hh_tesh!F22=0,0,SER_hh_tesh!F22/SER_summary!F$26)</f>
        <v>16.713224135213299</v>
      </c>
      <c r="G22" s="132">
        <f>IF(SER_hh_tesh!G22=0,0,SER_hh_tesh!G22/SER_summary!G$26)</f>
        <v>16.531583784700839</v>
      </c>
      <c r="H22" s="132">
        <f>IF(SER_hh_tesh!H22=0,0,SER_hh_tesh!H22/SER_summary!H$26)</f>
        <v>16.092170637649282</v>
      </c>
      <c r="I22" s="132">
        <f>IF(SER_hh_tesh!I22=0,0,SER_hh_tesh!I22/SER_summary!I$26)</f>
        <v>15.725679570846756</v>
      </c>
      <c r="J22" s="132">
        <f>IF(SER_hh_tesh!J22=0,0,SER_hh_tesh!J22/SER_summary!J$26)</f>
        <v>15.654636291801499</v>
      </c>
      <c r="K22" s="132">
        <f>IF(SER_hh_tesh!K22=0,0,SER_hh_tesh!K22/SER_summary!K$26)</f>
        <v>15.592029374730782</v>
      </c>
      <c r="L22" s="132">
        <f>IF(SER_hh_tesh!L22=0,0,SER_hh_tesh!L22/SER_summary!L$26)</f>
        <v>15.360824757275269</v>
      </c>
      <c r="M22" s="132">
        <f>IF(SER_hh_tesh!M22=0,0,SER_hh_tesh!M22/SER_summary!M$26)</f>
        <v>15.27912536761788</v>
      </c>
      <c r="N22" s="132">
        <f>IF(SER_hh_tesh!N22=0,0,SER_hh_tesh!N22/SER_summary!N$26)</f>
        <v>15.483571781182839</v>
      </c>
      <c r="O22" s="132">
        <f>IF(SER_hh_tesh!O22=0,0,SER_hh_tesh!O22/SER_summary!O$26)</f>
        <v>15.350042511443784</v>
      </c>
      <c r="P22" s="132">
        <f>IF(SER_hh_tesh!P22=0,0,SER_hh_tesh!P22/SER_summary!P$26)</f>
        <v>15.106871474285038</v>
      </c>
      <c r="Q22" s="132">
        <f>IF(SER_hh_tesh!Q22=0,0,SER_hh_tesh!Q22/SER_summary!Q$26)</f>
        <v>15.680867476698984</v>
      </c>
      <c r="R22" s="132">
        <f>IF(SER_hh_tesh!R22=0,0,SER_hh_tesh!R22/SER_summary!R$26)</f>
        <v>15.468648528373928</v>
      </c>
      <c r="S22" s="132">
        <f>IF(SER_hh_tesh!S22=0,0,SER_hh_tesh!S22/SER_summary!S$26)</f>
        <v>15.285315875495007</v>
      </c>
      <c r="T22" s="132">
        <f>IF(SER_hh_tesh!T22=0,0,SER_hh_tesh!T22/SER_summary!T$26)</f>
        <v>15.397061324245614</v>
      </c>
      <c r="U22" s="132">
        <f>IF(SER_hh_tesh!U22=0,0,SER_hh_tesh!U22/SER_summary!U$26)</f>
        <v>15.388043216783933</v>
      </c>
      <c r="V22" s="132">
        <f>IF(SER_hh_tesh!V22=0,0,SER_hh_tesh!V22/SER_summary!V$26)</f>
        <v>14.894819869632407</v>
      </c>
      <c r="W22" s="132">
        <f>IF(SER_hh_tesh!W22=0,0,SER_hh_tesh!W22/SER_summary!W$26)</f>
        <v>15.896255177368579</v>
      </c>
      <c r="X22" s="132">
        <f>IF(SER_hh_tesh!X22=0,0,SER_hh_tesh!X22/SER_summary!X$26)</f>
        <v>15.326774025313183</v>
      </c>
      <c r="Y22" s="132">
        <f>IF(SER_hh_tesh!Y22=0,0,SER_hh_tesh!Y22/SER_summary!Y$26)</f>
        <v>15.948586205794502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16.912523227642328</v>
      </c>
      <c r="C23" s="132">
        <f>IF(SER_hh_tesh!C23=0,0,SER_hh_tesh!C23/SER_summary!C$26)</f>
        <v>16.774494546984911</v>
      </c>
      <c r="D23" s="132">
        <f>IF(SER_hh_tesh!D23=0,0,SER_hh_tesh!D23/SER_summary!D$26)</f>
        <v>17.463949638442543</v>
      </c>
      <c r="E23" s="132">
        <f>IF(SER_hh_tesh!E23=0,0,SER_hh_tesh!E23/SER_summary!E$26)</f>
        <v>16.757886174638543</v>
      </c>
      <c r="F23" s="132">
        <f>IF(SER_hh_tesh!F23=0,0,SER_hh_tesh!F23/SER_summary!F$26)</f>
        <v>16.609891257498361</v>
      </c>
      <c r="G23" s="132">
        <f>IF(SER_hh_tesh!G23=0,0,SER_hh_tesh!G23/SER_summary!G$26)</f>
        <v>16.476153279648642</v>
      </c>
      <c r="H23" s="132">
        <f>IF(SER_hh_tesh!H23=0,0,SER_hh_tesh!H23/SER_summary!H$26)</f>
        <v>16.282793456688566</v>
      </c>
      <c r="I23" s="132">
        <f>IF(SER_hh_tesh!I23=0,0,SER_hh_tesh!I23/SER_summary!I$26)</f>
        <v>15.756401833462863</v>
      </c>
      <c r="J23" s="132">
        <f>IF(SER_hh_tesh!J23=0,0,SER_hh_tesh!J23/SER_summary!J$26)</f>
        <v>15.468083655164223</v>
      </c>
      <c r="K23" s="132">
        <f>IF(SER_hh_tesh!K23=0,0,SER_hh_tesh!K23/SER_summary!K$26)</f>
        <v>15.530401047897481</v>
      </c>
      <c r="L23" s="132">
        <f>IF(SER_hh_tesh!L23=0,0,SER_hh_tesh!L23/SER_summary!L$26)</f>
        <v>15.374677305451034</v>
      </c>
      <c r="M23" s="132">
        <f>IF(SER_hh_tesh!M23=0,0,SER_hh_tesh!M23/SER_summary!M$26)</f>
        <v>15.034460797373894</v>
      </c>
      <c r="N23" s="132">
        <f>IF(SER_hh_tesh!N23=0,0,SER_hh_tesh!N23/SER_summary!N$26)</f>
        <v>15.932970650318765</v>
      </c>
      <c r="O23" s="132">
        <f>IF(SER_hh_tesh!O23=0,0,SER_hh_tesh!O23/SER_summary!O$26)</f>
        <v>16.048302291031987</v>
      </c>
      <c r="P23" s="132">
        <f>IF(SER_hh_tesh!P23=0,0,SER_hh_tesh!P23/SER_summary!P$26)</f>
        <v>15.103067379012964</v>
      </c>
      <c r="Q23" s="132">
        <f>IF(SER_hh_tesh!Q23=0,0,SER_hh_tesh!Q23/SER_summary!Q$26)</f>
        <v>14.959734107622825</v>
      </c>
      <c r="R23" s="132">
        <f>IF(SER_hh_tesh!R23=0,0,SER_hh_tesh!R23/SER_summary!R$26)</f>
        <v>15.121148114822494</v>
      </c>
      <c r="S23" s="132">
        <f>IF(SER_hh_tesh!S23=0,0,SER_hh_tesh!S23/SER_summary!S$26)</f>
        <v>15.829113609194177</v>
      </c>
      <c r="T23" s="132">
        <f>IF(SER_hh_tesh!T23=0,0,SER_hh_tesh!T23/SER_summary!T$26)</f>
        <v>15.796564007078967</v>
      </c>
      <c r="U23" s="132">
        <f>IF(SER_hh_tesh!U23=0,0,SER_hh_tesh!U23/SER_summary!U$26)</f>
        <v>15.903366239011799</v>
      </c>
      <c r="V23" s="132">
        <f>IF(SER_hh_tesh!V23=0,0,SER_hh_tesh!V23/SER_summary!V$26)</f>
        <v>14.193391315787222</v>
      </c>
      <c r="W23" s="132">
        <f>IF(SER_hh_tesh!W23=0,0,SER_hh_tesh!W23/SER_summary!W$26)</f>
        <v>15.028554359736736</v>
      </c>
      <c r="X23" s="132">
        <f>IF(SER_hh_tesh!X23=0,0,SER_hh_tesh!X23/SER_summary!X$26)</f>
        <v>15.613627524660874</v>
      </c>
      <c r="Y23" s="132">
        <f>IF(SER_hh_tesh!Y23=0,0,SER_hh_tesh!Y23/SER_summary!Y$26)</f>
        <v>15.937490205900044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17.215072328045267</v>
      </c>
      <c r="C25" s="132">
        <f>IF(SER_hh_tesh!C25=0,0,SER_hh_tesh!C25/SER_summary!C$26)</f>
        <v>16.955412120498604</v>
      </c>
      <c r="D25" s="132">
        <f>IF(SER_hh_tesh!D25=0,0,SER_hh_tesh!D25/SER_summary!D$26)</f>
        <v>17.054971094519487</v>
      </c>
      <c r="E25" s="132">
        <f>IF(SER_hh_tesh!E25=0,0,SER_hh_tesh!E25/SER_summary!E$26)</f>
        <v>16.785350297456432</v>
      </c>
      <c r="F25" s="132">
        <f>IF(SER_hh_tesh!F25=0,0,SER_hh_tesh!F25/SER_summary!F$26)</f>
        <v>16.560222766840923</v>
      </c>
      <c r="G25" s="132">
        <f>IF(SER_hh_tesh!G25=0,0,SER_hh_tesh!G25/SER_summary!G$26)</f>
        <v>16.424737566823065</v>
      </c>
      <c r="H25" s="132">
        <f>IF(SER_hh_tesh!H25=0,0,SER_hh_tesh!H25/SER_summary!H$26)</f>
        <v>16.091184209824554</v>
      </c>
      <c r="I25" s="132">
        <f>IF(SER_hh_tesh!I25=0,0,SER_hh_tesh!I25/SER_summary!I$26)</f>
        <v>15.765558930814027</v>
      </c>
      <c r="J25" s="132">
        <f>IF(SER_hh_tesh!J25=0,0,SER_hh_tesh!J25/SER_summary!J$26)</f>
        <v>15.448979467078034</v>
      </c>
      <c r="K25" s="132">
        <f>IF(SER_hh_tesh!K25=0,0,SER_hh_tesh!K25/SER_summary!K$26)</f>
        <v>15.628748035272642</v>
      </c>
      <c r="L25" s="132">
        <f>IF(SER_hh_tesh!L25=0,0,SER_hh_tesh!L25/SER_summary!L$26)</f>
        <v>15.545562174616208</v>
      </c>
      <c r="M25" s="132">
        <f>IF(SER_hh_tesh!M25=0,0,SER_hh_tesh!M25/SER_summary!M$26)</f>
        <v>15.565652998691249</v>
      </c>
      <c r="N25" s="132">
        <f>IF(SER_hh_tesh!N25=0,0,SER_hh_tesh!N25/SER_summary!N$26)</f>
        <v>15.732154501378789</v>
      </c>
      <c r="O25" s="132">
        <f>IF(SER_hh_tesh!O25=0,0,SER_hh_tesh!O25/SER_summary!O$26)</f>
        <v>15.493928393443204</v>
      </c>
      <c r="P25" s="132">
        <f>IF(SER_hh_tesh!P25=0,0,SER_hh_tesh!P25/SER_summary!P$26)</f>
        <v>15.015130265448914</v>
      </c>
      <c r="Q25" s="132">
        <f>IF(SER_hh_tesh!Q25=0,0,SER_hh_tesh!Q25/SER_summary!Q$26)</f>
        <v>15.22181395468583</v>
      </c>
      <c r="R25" s="132">
        <f>IF(SER_hh_tesh!R25=0,0,SER_hh_tesh!R25/SER_summary!R$26)</f>
        <v>15.305614131554082</v>
      </c>
      <c r="S25" s="132">
        <f>IF(SER_hh_tesh!S25=0,0,SER_hh_tesh!S25/SER_summary!S$26)</f>
        <v>15.336988897653116</v>
      </c>
      <c r="T25" s="132">
        <f>IF(SER_hh_tesh!T25=0,0,SER_hh_tesh!T25/SER_summary!T$26)</f>
        <v>15.504681103499127</v>
      </c>
      <c r="U25" s="132">
        <f>IF(SER_hh_tesh!U25=0,0,SER_hh_tesh!U25/SER_summary!U$26)</f>
        <v>15.300231631588085</v>
      </c>
      <c r="V25" s="132">
        <f>IF(SER_hh_tesh!V25=0,0,SER_hh_tesh!V25/SER_summary!V$26)</f>
        <v>15.163245388047152</v>
      </c>
      <c r="W25" s="132">
        <f>IF(SER_hh_tesh!W25=0,0,SER_hh_tesh!W25/SER_summary!W$26)</f>
        <v>15.246924353031776</v>
      </c>
      <c r="X25" s="132">
        <f>IF(SER_hh_tesh!X25=0,0,SER_hh_tesh!X25/SER_summary!X$26)</f>
        <v>15.6538324652361</v>
      </c>
      <c r="Y25" s="132">
        <f>IF(SER_hh_tesh!Y25=0,0,SER_hh_tesh!Y25/SER_summary!Y$26)</f>
        <v>15.847369313051288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17.175528355033123</v>
      </c>
      <c r="C26" s="65">
        <f>IF(SER_hh_tesh!C26=0,0,SER_hh_tesh!C26/SER_summary!C$26)</f>
        <v>16.903409914219104</v>
      </c>
      <c r="D26" s="65">
        <f>IF(SER_hh_tesh!D26=0,0,SER_hh_tesh!D26/SER_summary!D$26)</f>
        <v>16.427023160908643</v>
      </c>
      <c r="E26" s="65">
        <f>IF(SER_hh_tesh!E26=0,0,SER_hh_tesh!E26/SER_summary!E$26)</f>
        <v>16.645095387565778</v>
      </c>
      <c r="F26" s="65">
        <f>IF(SER_hh_tesh!F26=0,0,SER_hh_tesh!F26/SER_summary!F$26)</f>
        <v>16.895725127654629</v>
      </c>
      <c r="G26" s="65">
        <f>IF(SER_hh_tesh!G26=0,0,SER_hh_tesh!G26/SER_summary!G$26)</f>
        <v>16.567813040424209</v>
      </c>
      <c r="H26" s="65">
        <f>IF(SER_hh_tesh!H26=0,0,SER_hh_tesh!H26/SER_summary!H$26)</f>
        <v>15.999437440859468</v>
      </c>
      <c r="I26" s="65">
        <f>IF(SER_hh_tesh!I26=0,0,SER_hh_tesh!I26/SER_summary!I$26)</f>
        <v>15.501341707348123</v>
      </c>
      <c r="J26" s="65">
        <f>IF(SER_hh_tesh!J26=0,0,SER_hh_tesh!J26/SER_summary!J$26)</f>
        <v>15.241959802757663</v>
      </c>
      <c r="K26" s="65">
        <f>IF(SER_hh_tesh!K26=0,0,SER_hh_tesh!K26/SER_summary!K$26)</f>
        <v>15.4072196648654</v>
      </c>
      <c r="L26" s="65">
        <f>IF(SER_hh_tesh!L26=0,0,SER_hh_tesh!L26/SER_summary!L$26)</f>
        <v>15.363122026571151</v>
      </c>
      <c r="M26" s="65">
        <f>IF(SER_hh_tesh!M26=0,0,SER_hh_tesh!M26/SER_summary!M$26)</f>
        <v>15.371378675500589</v>
      </c>
      <c r="N26" s="65">
        <f>IF(SER_hh_tesh!N26=0,0,SER_hh_tesh!N26/SER_summary!N$26)</f>
        <v>14.806260847095261</v>
      </c>
      <c r="O26" s="65">
        <f>IF(SER_hh_tesh!O26=0,0,SER_hh_tesh!O26/SER_summary!O$26)</f>
        <v>14.731896796285781</v>
      </c>
      <c r="P26" s="65">
        <f>IF(SER_hh_tesh!P26=0,0,SER_hh_tesh!P26/SER_summary!P$26)</f>
        <v>15.42266531607711</v>
      </c>
      <c r="Q26" s="65">
        <f>IF(SER_hh_tesh!Q26=0,0,SER_hh_tesh!Q26/SER_summary!Q$26)</f>
        <v>15.589604432284634</v>
      </c>
      <c r="R26" s="65">
        <f>IF(SER_hh_tesh!R26=0,0,SER_hh_tesh!R26/SER_summary!R$26)</f>
        <v>15.199258149970513</v>
      </c>
      <c r="S26" s="65">
        <f>IF(SER_hh_tesh!S26=0,0,SER_hh_tesh!S26/SER_summary!S$26)</f>
        <v>14.787026262763302</v>
      </c>
      <c r="T26" s="65">
        <f>IF(SER_hh_tesh!T26=0,0,SER_hh_tesh!T26/SER_summary!T$26)</f>
        <v>14.792855638499022</v>
      </c>
      <c r="U26" s="65">
        <f>IF(SER_hh_tesh!U26=0,0,SER_hh_tesh!U26/SER_summary!U$26)</f>
        <v>14.804096455482568</v>
      </c>
      <c r="V26" s="65">
        <f>IF(SER_hh_tesh!V26=0,0,SER_hh_tesh!V26/SER_summary!V$26)</f>
        <v>15.140312156395588</v>
      </c>
      <c r="W26" s="65">
        <f>IF(SER_hh_tesh!W26=0,0,SER_hh_tesh!W26/SER_summary!W$26)</f>
        <v>15.496629374597871</v>
      </c>
      <c r="X26" s="65">
        <f>IF(SER_hh_tesh!X26=0,0,SER_hh_tesh!X26/SER_summary!X$26)</f>
        <v>15.506153380548209</v>
      </c>
      <c r="Y26" s="65">
        <f>IF(SER_hh_tesh!Y26=0,0,SER_hh_tesh!Y26/SER_summary!Y$26)</f>
        <v>15.476788536887774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7.2245703098311478E-2</v>
      </c>
      <c r="C27" s="145">
        <f>IF(SER_hh_tesh!C27=0,0,SER_hh_tesh!C27/SER_summary!C$26)</f>
        <v>7.9743523888553602E-2</v>
      </c>
      <c r="D27" s="145">
        <f>IF(SER_hh_tesh!D27=0,0,SER_hh_tesh!D27/SER_summary!D$26)</f>
        <v>8.9149426696046127E-2</v>
      </c>
      <c r="E27" s="145">
        <f>IF(SER_hh_tesh!E27=0,0,SER_hh_tesh!E27/SER_summary!E$26)</f>
        <v>9.6549935788273838E-2</v>
      </c>
      <c r="F27" s="145">
        <f>IF(SER_hh_tesh!F27=0,0,SER_hh_tesh!F27/SER_summary!F$26)</f>
        <v>0.10470709336750438</v>
      </c>
      <c r="G27" s="145">
        <f>IF(SER_hh_tesh!G27=0,0,SER_hh_tesh!G27/SER_summary!G$26)</f>
        <v>0.11002034088027376</v>
      </c>
      <c r="H27" s="145">
        <f>IF(SER_hh_tesh!H27=0,0,SER_hh_tesh!H27/SER_summary!H$26)</f>
        <v>0.11249997830331745</v>
      </c>
      <c r="I27" s="145">
        <f>IF(SER_hh_tesh!I27=0,0,SER_hh_tesh!I27/SER_summary!I$26)</f>
        <v>0.11557425215685284</v>
      </c>
      <c r="J27" s="145">
        <f>IF(SER_hh_tesh!J27=0,0,SER_hh_tesh!J27/SER_summary!J$26)</f>
        <v>0.11994677366794895</v>
      </c>
      <c r="K27" s="145">
        <f>IF(SER_hh_tesh!K27=0,0,SER_hh_tesh!K27/SER_summary!K$26)</f>
        <v>0.13182732912778788</v>
      </c>
      <c r="L27" s="145">
        <f>IF(SER_hh_tesh!L27=0,0,SER_hh_tesh!L27/SER_summary!L$26)</f>
        <v>0.14036411842228744</v>
      </c>
      <c r="M27" s="145">
        <f>IF(SER_hh_tesh!M27=0,0,SER_hh_tesh!M27/SER_summary!M$26)</f>
        <v>0.14482991632525496</v>
      </c>
      <c r="N27" s="145">
        <f>IF(SER_hh_tesh!N27=0,0,SER_hh_tesh!N27/SER_summary!N$26)</f>
        <v>0.14855085480060368</v>
      </c>
      <c r="O27" s="145">
        <f>IF(SER_hh_tesh!O27=0,0,SER_hh_tesh!O27/SER_summary!O$26)</f>
        <v>0.15380616741861983</v>
      </c>
      <c r="P27" s="145">
        <f>IF(SER_hh_tesh!P27=0,0,SER_hh_tesh!P27/SER_summary!P$26)</f>
        <v>0.15724518735316501</v>
      </c>
      <c r="Q27" s="145">
        <f>IF(SER_hh_tesh!Q27=0,0,SER_hh_tesh!Q27/SER_summary!Q$26)</f>
        <v>0.15564174224103425</v>
      </c>
      <c r="R27" s="145">
        <f>IF(SER_hh_tesh!R27=0,0,SER_hh_tesh!R27/SER_summary!R$26)</f>
        <v>0.15633017657843565</v>
      </c>
      <c r="S27" s="145">
        <f>IF(SER_hh_tesh!S27=0,0,SER_hh_tesh!S27/SER_summary!S$26)</f>
        <v>0.15462157764969434</v>
      </c>
      <c r="T27" s="145">
        <f>IF(SER_hh_tesh!T27=0,0,SER_hh_tesh!T27/SER_summary!T$26)</f>
        <v>0.15568775142203825</v>
      </c>
      <c r="U27" s="145">
        <f>IF(SER_hh_tesh!U27=0,0,SER_hh_tesh!U27/SER_summary!U$26)</f>
        <v>0.15812754653752936</v>
      </c>
      <c r="V27" s="145">
        <f>IF(SER_hh_tesh!V27=0,0,SER_hh_tesh!V27/SER_summary!V$26)</f>
        <v>0.15656486882597967</v>
      </c>
      <c r="W27" s="145">
        <f>IF(SER_hh_tesh!W27=0,0,SER_hh_tesh!W27/SER_summary!W$26)</f>
        <v>0.15435831216713122</v>
      </c>
      <c r="X27" s="145">
        <f>IF(SER_hh_tesh!X27=0,0,SER_hh_tesh!X27/SER_summary!X$26)</f>
        <v>0.15417547845823459</v>
      </c>
      <c r="Y27" s="145">
        <f>IF(SER_hh_tesh!Y27=0,0,SER_hh_tesh!Y27/SER_summary!Y$26)</f>
        <v>0.15401714220746165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8.0846911207487864</v>
      </c>
      <c r="C28" s="146">
        <f>IF(SER_hh_tesh!C28=0,0,SER_hh_tesh!C28/SER_summary!C$26)</f>
        <v>8.9094889035007085</v>
      </c>
      <c r="D28" s="146">
        <f>IF(SER_hh_tesh!D28=0,0,SER_hh_tesh!D28/SER_summary!D$26)</f>
        <v>8.4897101904103707</v>
      </c>
      <c r="E28" s="146">
        <f>IF(SER_hh_tesh!E28=0,0,SER_hh_tesh!E28/SER_summary!E$26)</f>
        <v>8.6907552701853188</v>
      </c>
      <c r="F28" s="146">
        <f>IF(SER_hh_tesh!F28=0,0,SER_hh_tesh!F28/SER_summary!F$26)</f>
        <v>8.7845663116331512</v>
      </c>
      <c r="G28" s="146">
        <f>IF(SER_hh_tesh!G28=0,0,SER_hh_tesh!G28/SER_summary!G$26)</f>
        <v>8.5985566542071385</v>
      </c>
      <c r="H28" s="146">
        <f>IF(SER_hh_tesh!H28=0,0,SER_hh_tesh!H28/SER_summary!H$26)</f>
        <v>8.5801955891993398</v>
      </c>
      <c r="I28" s="146">
        <f>IF(SER_hh_tesh!I28=0,0,SER_hh_tesh!I28/SER_summary!I$26)</f>
        <v>7.788416683519058</v>
      </c>
      <c r="J28" s="146">
        <f>IF(SER_hh_tesh!J28=0,0,SER_hh_tesh!J28/SER_summary!J$26)</f>
        <v>8.5117334295000671</v>
      </c>
      <c r="K28" s="146">
        <f>IF(SER_hh_tesh!K28=0,0,SER_hh_tesh!K28/SER_summary!K$26)</f>
        <v>8.363539692768418</v>
      </c>
      <c r="L28" s="146">
        <f>IF(SER_hh_tesh!L28=0,0,SER_hh_tesh!L28/SER_summary!L$26)</f>
        <v>9.6518362369744928</v>
      </c>
      <c r="M28" s="146">
        <f>IF(SER_hh_tesh!M28=0,0,SER_hh_tesh!M28/SER_summary!M$26)</f>
        <v>8.8976144354089364</v>
      </c>
      <c r="N28" s="146">
        <f>IF(SER_hh_tesh!N28=0,0,SER_hh_tesh!N28/SER_summary!N$26)</f>
        <v>9.3664660878572992</v>
      </c>
      <c r="O28" s="146">
        <f>IF(SER_hh_tesh!O28=0,0,SER_hh_tesh!O28/SER_summary!O$26)</f>
        <v>9.2198194293364306</v>
      </c>
      <c r="P28" s="146">
        <f>IF(SER_hh_tesh!P28=0,0,SER_hh_tesh!P28/SER_summary!P$26)</f>
        <v>8.8257710725455123</v>
      </c>
      <c r="Q28" s="146">
        <f>IF(SER_hh_tesh!Q28=0,0,SER_hh_tesh!Q28/SER_summary!Q$26)</f>
        <v>8.9155414693621218</v>
      </c>
      <c r="R28" s="146">
        <f>IF(SER_hh_tesh!R28=0,0,SER_hh_tesh!R28/SER_summary!R$26)</f>
        <v>8.5186379284829687</v>
      </c>
      <c r="S28" s="146">
        <f>IF(SER_hh_tesh!S28=0,0,SER_hh_tesh!S28/SER_summary!S$26)</f>
        <v>8.4413130424747571</v>
      </c>
      <c r="T28" s="146">
        <f>IF(SER_hh_tesh!T28=0,0,SER_hh_tesh!T28/SER_summary!T$26)</f>
        <v>8.7364306150519386</v>
      </c>
      <c r="U28" s="146">
        <f>IF(SER_hh_tesh!U28=0,0,SER_hh_tesh!U28/SER_summary!U$26)</f>
        <v>8.9679590147638066</v>
      </c>
      <c r="V28" s="146">
        <f>IF(SER_hh_tesh!V28=0,0,SER_hh_tesh!V28/SER_summary!V$26)</f>
        <v>8.9548073379262174</v>
      </c>
      <c r="W28" s="146">
        <f>IF(SER_hh_tesh!W28=0,0,SER_hh_tesh!W28/SER_summary!W$26)</f>
        <v>10.220681328769627</v>
      </c>
      <c r="X28" s="146">
        <f>IF(SER_hh_tesh!X28=0,0,SER_hh_tesh!X28/SER_summary!X$26)</f>
        <v>9.850381524273871</v>
      </c>
      <c r="Y28" s="146">
        <f>IF(SER_hh_tesh!Y28=0,0,SER_hh_tesh!Y28/SER_summary!Y$26)</f>
        <v>9.7909550182013536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14.825796826208718</v>
      </c>
      <c r="C29" s="130">
        <f>IF(SER_hh_tesh!C29=0,0,SER_hh_tesh!C29/SER_summary!C$26)</f>
        <v>14.699862141738123</v>
      </c>
      <c r="D29" s="130">
        <f>IF(SER_hh_tesh!D29=0,0,SER_hh_tesh!D29/SER_summary!D$26)</f>
        <v>14.7227421697228</v>
      </c>
      <c r="E29" s="130">
        <f>IF(SER_hh_tesh!E29=0,0,SER_hh_tesh!E29/SER_summary!E$26)</f>
        <v>14.820408246343874</v>
      </c>
      <c r="F29" s="130">
        <f>IF(SER_hh_tesh!F29=0,0,SER_hh_tesh!F29/SER_summary!F$26)</f>
        <v>15.027076854709746</v>
      </c>
      <c r="G29" s="130">
        <f>IF(SER_hh_tesh!G29=0,0,SER_hh_tesh!G29/SER_summary!G$26)</f>
        <v>15.063836132254719</v>
      </c>
      <c r="H29" s="130">
        <f>IF(SER_hh_tesh!H29=0,0,SER_hh_tesh!H29/SER_summary!H$26)</f>
        <v>14.890709428131755</v>
      </c>
      <c r="I29" s="130">
        <f>IF(SER_hh_tesh!I29=0,0,SER_hh_tesh!I29/SER_summary!I$26)</f>
        <v>14.699515314961033</v>
      </c>
      <c r="J29" s="130">
        <f>IF(SER_hh_tesh!J29=0,0,SER_hh_tesh!J29/SER_summary!J$26)</f>
        <v>14.669407665220204</v>
      </c>
      <c r="K29" s="130">
        <f>IF(SER_hh_tesh!K29=0,0,SER_hh_tesh!K29/SER_summary!K$26)</f>
        <v>14.896723906860565</v>
      </c>
      <c r="L29" s="130">
        <f>IF(SER_hh_tesh!L29=0,0,SER_hh_tesh!L29/SER_summary!L$26)</f>
        <v>14.893450067306794</v>
      </c>
      <c r="M29" s="130">
        <f>IF(SER_hh_tesh!M29=0,0,SER_hh_tesh!M29/SER_summary!M$26)</f>
        <v>14.713246053609597</v>
      </c>
      <c r="N29" s="130">
        <f>IF(SER_hh_tesh!N29=0,0,SER_hh_tesh!N29/SER_summary!N$26)</f>
        <v>14.710450633576222</v>
      </c>
      <c r="O29" s="130">
        <f>IF(SER_hh_tesh!O29=0,0,SER_hh_tesh!O29/SER_summary!O$26)</f>
        <v>14.773651863271734</v>
      </c>
      <c r="P29" s="130">
        <f>IF(SER_hh_tesh!P29=0,0,SER_hh_tesh!P29/SER_summary!P$26)</f>
        <v>14.844498745957146</v>
      </c>
      <c r="Q29" s="130">
        <f>IF(SER_hh_tesh!Q29=0,0,SER_hh_tesh!Q29/SER_summary!Q$26)</f>
        <v>14.845236229549952</v>
      </c>
      <c r="R29" s="130">
        <f>IF(SER_hh_tesh!R29=0,0,SER_hh_tesh!R29/SER_summary!R$26)</f>
        <v>14.692898522347482</v>
      </c>
      <c r="S29" s="130">
        <f>IF(SER_hh_tesh!S29=0,0,SER_hh_tesh!S29/SER_summary!S$26)</f>
        <v>14.520954603420487</v>
      </c>
      <c r="T29" s="130">
        <f>IF(SER_hh_tesh!T29=0,0,SER_hh_tesh!T29/SER_summary!T$26)</f>
        <v>14.009357020638115</v>
      </c>
      <c r="U29" s="130">
        <f>IF(SER_hh_tesh!U29=0,0,SER_hh_tesh!U29/SER_summary!U$26)</f>
        <v>13.529469695550134</v>
      </c>
      <c r="V29" s="130">
        <f>IF(SER_hh_tesh!V29=0,0,SER_hh_tesh!V29/SER_summary!V$26)</f>
        <v>13.746337924456434</v>
      </c>
      <c r="W29" s="130">
        <f>IF(SER_hh_tesh!W29=0,0,SER_hh_tesh!W29/SER_summary!W$26)</f>
        <v>14.418221587197214</v>
      </c>
      <c r="X29" s="130">
        <f>IF(SER_hh_tesh!X29=0,0,SER_hh_tesh!X29/SER_summary!X$26)</f>
        <v>14.790438412893373</v>
      </c>
      <c r="Y29" s="130">
        <f>IF(SER_hh_tesh!Y29=0,0,SER_hh_tesh!Y29/SER_summary!Y$26)</f>
        <v>14.957944030481878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14.048480564011593</v>
      </c>
      <c r="C30" s="132">
        <f>IF(SER_hh_tesh!C30=0,0,SER_hh_tesh!C30/SER_summary!C$26)</f>
        <v>14.733397981174653</v>
      </c>
      <c r="D30" s="132">
        <f>IF(SER_hh_tesh!D30=0,0,SER_hh_tesh!D30/SER_summary!D$26)</f>
        <v>15.703613941737531</v>
      </c>
      <c r="E30" s="132">
        <f>IF(SER_hh_tesh!E30=0,0,SER_hh_tesh!E30/SER_summary!E$26)</f>
        <v>14.164275084511051</v>
      </c>
      <c r="F30" s="132">
        <f>IF(SER_hh_tesh!F30=0,0,SER_hh_tesh!F30/SER_summary!F$26)</f>
        <v>15.036044110481672</v>
      </c>
      <c r="G30" s="132">
        <f>IF(SER_hh_tesh!G30=0,0,SER_hh_tesh!G30/SER_summary!G$26)</f>
        <v>14.797739146127265</v>
      </c>
      <c r="H30" s="132">
        <f>IF(SER_hh_tesh!H30=0,0,SER_hh_tesh!H30/SER_summary!H$26)</f>
        <v>19.139862392228963</v>
      </c>
      <c r="I30" s="132">
        <f>IF(SER_hh_tesh!I30=0,0,SER_hh_tesh!I30/SER_summary!I$26)</f>
        <v>11.84411098461648</v>
      </c>
      <c r="J30" s="132">
        <f>IF(SER_hh_tesh!J30=0,0,SER_hh_tesh!J30/SER_summary!J$26)</f>
        <v>10.563827601512918</v>
      </c>
      <c r="K30" s="132">
        <f>IF(SER_hh_tesh!K30=0,0,SER_hh_tesh!K30/SER_summary!K$26)</f>
        <v>16.272111609637019</v>
      </c>
      <c r="L30" s="132">
        <f>IF(SER_hh_tesh!L30=0,0,SER_hh_tesh!L30/SER_summary!L$26)</f>
        <v>18.464495465660921</v>
      </c>
      <c r="M30" s="132">
        <f>IF(SER_hh_tesh!M30=0,0,SER_hh_tesh!M30/SER_summary!M$26)</f>
        <v>11.346499870191064</v>
      </c>
      <c r="N30" s="132">
        <f>IF(SER_hh_tesh!N30=0,0,SER_hh_tesh!N30/SER_summary!N$26)</f>
        <v>16.629965810455889</v>
      </c>
      <c r="O30" s="132">
        <f>IF(SER_hh_tesh!O30=0,0,SER_hh_tesh!O30/SER_summary!O$26)</f>
        <v>17.7387871319428</v>
      </c>
      <c r="P30" s="132">
        <f>IF(SER_hh_tesh!P30=0,0,SER_hh_tesh!P30/SER_summary!P$26)</f>
        <v>2.6882575921043443</v>
      </c>
      <c r="Q30" s="132">
        <f>IF(SER_hh_tesh!Q30=0,0,SER_hh_tesh!Q30/SER_summary!Q$26)</f>
        <v>18.123701087155659</v>
      </c>
      <c r="R30" s="132">
        <f>IF(SER_hh_tesh!R30=0,0,SER_hh_tesh!R30/SER_summary!R$26)</f>
        <v>16.21880979282799</v>
      </c>
      <c r="S30" s="132">
        <f>IF(SER_hh_tesh!S30=0,0,SER_hh_tesh!S30/SER_summary!S$26)</f>
        <v>14.295308729527392</v>
      </c>
      <c r="T30" s="132">
        <f>IF(SER_hh_tesh!T30=0,0,SER_hh_tesh!T30/SER_summary!T$26)</f>
        <v>13.967622386584933</v>
      </c>
      <c r="U30" s="132">
        <f>IF(SER_hh_tesh!U30=0,0,SER_hh_tesh!U30/SER_summary!U$26)</f>
        <v>13.524230844654289</v>
      </c>
      <c r="V30" s="132">
        <f>IF(SER_hh_tesh!V30=0,0,SER_hh_tesh!V30/SER_summary!V$26)</f>
        <v>13.429010596255704</v>
      </c>
      <c r="W30" s="132">
        <f>IF(SER_hh_tesh!W30=0,0,SER_hh_tesh!W30/SER_summary!W$26)</f>
        <v>15.91350731123728</v>
      </c>
      <c r="X30" s="132">
        <f>IF(SER_hh_tesh!X30=0,0,SER_hh_tesh!X30/SER_summary!X$26)</f>
        <v>14.13914128037597</v>
      </c>
      <c r="Y30" s="132">
        <f>IF(SER_hh_tesh!Y30=0,0,SER_hh_tesh!Y30/SER_summary!Y$26)</f>
        <v>14.740941702112899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14.708660786383639</v>
      </c>
      <c r="C31" s="132">
        <f>IF(SER_hh_tesh!C31=0,0,SER_hh_tesh!C31/SER_summary!C$26)</f>
        <v>14.790006780308177</v>
      </c>
      <c r="D31" s="132">
        <f>IF(SER_hh_tesh!D31=0,0,SER_hh_tesh!D31/SER_summary!D$26)</f>
        <v>14.622577686095523</v>
      </c>
      <c r="E31" s="132">
        <f>IF(SER_hh_tesh!E31=0,0,SER_hh_tesh!E31/SER_summary!E$26)</f>
        <v>15.062772765663736</v>
      </c>
      <c r="F31" s="132">
        <f>IF(SER_hh_tesh!F31=0,0,SER_hh_tesh!F31/SER_summary!F$26)</f>
        <v>15.004576813353808</v>
      </c>
      <c r="G31" s="132">
        <f>IF(SER_hh_tesh!G31=0,0,SER_hh_tesh!G31/SER_summary!G$26)</f>
        <v>14.958152027927142</v>
      </c>
      <c r="H31" s="132">
        <f>IF(SER_hh_tesh!H31=0,0,SER_hh_tesh!H31/SER_summary!H$26)</f>
        <v>13.952766274816938</v>
      </c>
      <c r="I31" s="132">
        <f>IF(SER_hh_tesh!I31=0,0,SER_hh_tesh!I31/SER_summary!I$26)</f>
        <v>15.241700893919786</v>
      </c>
      <c r="J31" s="132">
        <f>IF(SER_hh_tesh!J31=0,0,SER_hh_tesh!J31/SER_summary!J$26)</f>
        <v>15.530566251269542</v>
      </c>
      <c r="K31" s="132">
        <f>IF(SER_hh_tesh!K31=0,0,SER_hh_tesh!K31/SER_summary!K$26)</f>
        <v>14.664570384409378</v>
      </c>
      <c r="L31" s="132">
        <f>IF(SER_hh_tesh!L31=0,0,SER_hh_tesh!L31/SER_summary!L$26)</f>
        <v>14.182129907703768</v>
      </c>
      <c r="M31" s="132">
        <f>IF(SER_hh_tesh!M31=0,0,SER_hh_tesh!M31/SER_summary!M$26)</f>
        <v>15.32231817114126</v>
      </c>
      <c r="N31" s="132">
        <f>IF(SER_hh_tesh!N31=0,0,SER_hh_tesh!N31/SER_summary!N$26)</f>
        <v>14.437736712960943</v>
      </c>
      <c r="O31" s="132">
        <f>IF(SER_hh_tesh!O31=0,0,SER_hh_tesh!O31/SER_summary!O$26)</f>
        <v>14.464341610341297</v>
      </c>
      <c r="P31" s="132">
        <f>IF(SER_hh_tesh!P31=0,0,SER_hh_tesh!P31/SER_summary!P$26)</f>
        <v>16.160922168506328</v>
      </c>
      <c r="Q31" s="132">
        <f>IF(SER_hh_tesh!Q31=0,0,SER_hh_tesh!Q31/SER_summary!Q$26)</f>
        <v>14.310692413511866</v>
      </c>
      <c r="R31" s="132">
        <f>IF(SER_hh_tesh!R31=0,0,SER_hh_tesh!R31/SER_summary!R$26)</f>
        <v>14.618386092866551</v>
      </c>
      <c r="S31" s="132">
        <f>IF(SER_hh_tesh!S31=0,0,SER_hh_tesh!S31/SER_summary!S$26)</f>
        <v>15.074247140449744</v>
      </c>
      <c r="T31" s="132">
        <f>IF(SER_hh_tesh!T31=0,0,SER_hh_tesh!T31/SER_summary!T$26)</f>
        <v>13.960741782989773</v>
      </c>
      <c r="U31" s="132">
        <f>IF(SER_hh_tesh!U31=0,0,SER_hh_tesh!U31/SER_summary!U$26)</f>
        <v>12.335067292123528</v>
      </c>
      <c r="V31" s="132">
        <f>IF(SER_hh_tesh!V31=0,0,SER_hh_tesh!V31/SER_summary!V$26)</f>
        <v>13.714496332081563</v>
      </c>
      <c r="W31" s="132">
        <f>IF(SER_hh_tesh!W31=0,0,SER_hh_tesh!W31/SER_summary!W$26)</f>
        <v>14.730624833898968</v>
      </c>
      <c r="X31" s="132">
        <f>IF(SER_hh_tesh!X31=0,0,SER_hh_tesh!X31/SER_summary!X$26)</f>
        <v>14.737473905044224</v>
      </c>
      <c r="Y31" s="132">
        <f>IF(SER_hh_tesh!Y31=0,0,SER_hh_tesh!Y31/SER_summary!Y$26)</f>
        <v>14.951547089861045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14.955862864968681</v>
      </c>
      <c r="C33" s="68">
        <f>IF(SER_hh_tesh!C33=0,0,SER_hh_tesh!C33/SER_summary!C$26)</f>
        <v>14.652501516080155</v>
      </c>
      <c r="D33" s="68">
        <f>IF(SER_hh_tesh!D33=0,0,SER_hh_tesh!D33/SER_summary!D$26)</f>
        <v>14.665212783831512</v>
      </c>
      <c r="E33" s="68">
        <f>IF(SER_hh_tesh!E33=0,0,SER_hh_tesh!E33/SER_summary!E$26)</f>
        <v>14.772426213354962</v>
      </c>
      <c r="F33" s="68">
        <f>IF(SER_hh_tesh!F33=0,0,SER_hh_tesh!F33/SER_summary!F$26)</f>
        <v>15.037363002199823</v>
      </c>
      <c r="G33" s="68">
        <f>IF(SER_hh_tesh!G33=0,0,SER_hh_tesh!G33/SER_summary!G$26)</f>
        <v>15.14828178865743</v>
      </c>
      <c r="H33" s="68">
        <f>IF(SER_hh_tesh!H33=0,0,SER_hh_tesh!H33/SER_summary!H$26)</f>
        <v>14.881493638686775</v>
      </c>
      <c r="I33" s="68">
        <f>IF(SER_hh_tesh!I33=0,0,SER_hh_tesh!I33/SER_summary!I$26)</f>
        <v>14.672862145594134</v>
      </c>
      <c r="J33" s="68">
        <f>IF(SER_hh_tesh!J33=0,0,SER_hh_tesh!J33/SER_summary!J$26)</f>
        <v>14.551671413914276</v>
      </c>
      <c r="K33" s="68">
        <f>IF(SER_hh_tesh!K33=0,0,SER_hh_tesh!K33/SER_summary!K$26)</f>
        <v>14.902679309403419</v>
      </c>
      <c r="L33" s="68">
        <f>IF(SER_hh_tesh!L33=0,0,SER_hh_tesh!L33/SER_summary!L$26)</f>
        <v>14.937784106268214</v>
      </c>
      <c r="M33" s="68">
        <f>IF(SER_hh_tesh!M33=0,0,SER_hh_tesh!M33/SER_summary!M$26)</f>
        <v>14.672670763259706</v>
      </c>
      <c r="N33" s="68">
        <f>IF(SER_hh_tesh!N33=0,0,SER_hh_tesh!N33/SER_summary!N$26)</f>
        <v>14.710040054112815</v>
      </c>
      <c r="O33" s="68">
        <f>IF(SER_hh_tesh!O33=0,0,SER_hh_tesh!O33/SER_summary!O$26)</f>
        <v>14.74217939636336</v>
      </c>
      <c r="P33" s="68">
        <f>IF(SER_hh_tesh!P33=0,0,SER_hh_tesh!P33/SER_summary!P$26)</f>
        <v>15.001543382888674</v>
      </c>
      <c r="Q33" s="68">
        <f>IF(SER_hh_tesh!Q33=0,0,SER_hh_tesh!Q33/SER_summary!Q$26)</f>
        <v>14.872510159056075</v>
      </c>
      <c r="R33" s="68">
        <f>IF(SER_hh_tesh!R33=0,0,SER_hh_tesh!R33/SER_summary!R$26)</f>
        <v>14.617588476609248</v>
      </c>
      <c r="S33" s="68">
        <f>IF(SER_hh_tesh!S33=0,0,SER_hh_tesh!S33/SER_summary!S$26)</f>
        <v>14.332627591583071</v>
      </c>
      <c r="T33" s="68">
        <f>IF(SER_hh_tesh!T33=0,0,SER_hh_tesh!T33/SER_summary!T$26)</f>
        <v>14.028307557000963</v>
      </c>
      <c r="U33" s="68">
        <f>IF(SER_hh_tesh!U33=0,0,SER_hh_tesh!U33/SER_summary!U$26)</f>
        <v>13.882888734263741</v>
      </c>
      <c r="V33" s="68">
        <f>IF(SER_hh_tesh!V33=0,0,SER_hh_tesh!V33/SER_summary!V$26)</f>
        <v>13.77763186076778</v>
      </c>
      <c r="W33" s="68">
        <f>IF(SER_hh_tesh!W33=0,0,SER_hh_tesh!W33/SER_summary!W$26)</f>
        <v>14.223321647480677</v>
      </c>
      <c r="X33" s="68">
        <f>IF(SER_hh_tesh!X33=0,0,SER_hh_tesh!X33/SER_summary!X$26)</f>
        <v>14.848247504012983</v>
      </c>
      <c r="Y33" s="68">
        <f>IF(SER_hh_tesh!Y33=0,0,SER_hh_tesh!Y33/SER_summary!Y$26)</f>
        <v>14.972740709192347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24.620275519053777</v>
      </c>
      <c r="C3" s="125">
        <f>IF(SER_hh_emih!C3=0,0,SER_hh_emih!C3/SER_summary!C$26)</f>
        <v>25.934645346424873</v>
      </c>
      <c r="D3" s="125">
        <f>IF(SER_hh_emih!D3=0,0,SER_hh_emih!D3/SER_summary!D$26)</f>
        <v>24.433944480504994</v>
      </c>
      <c r="E3" s="125">
        <f>IF(SER_hh_emih!E3=0,0,SER_hh_emih!E3/SER_summary!E$26)</f>
        <v>25.91556506240758</v>
      </c>
      <c r="F3" s="125">
        <f>IF(SER_hh_emih!F3=0,0,SER_hh_emih!F3/SER_summary!F$26)</f>
        <v>28.363972438620578</v>
      </c>
      <c r="G3" s="125">
        <f>IF(SER_hh_emih!G3=0,0,SER_hh_emih!G3/SER_summary!G$26)</f>
        <v>25.798725064793082</v>
      </c>
      <c r="H3" s="125">
        <f>IF(SER_hh_emih!H3=0,0,SER_hh_emih!H3/SER_summary!H$26)</f>
        <v>25.274908267907509</v>
      </c>
      <c r="I3" s="125">
        <f>IF(SER_hh_emih!I3=0,0,SER_hh_emih!I3/SER_summary!I$26)</f>
        <v>22.053399565662051</v>
      </c>
      <c r="J3" s="125">
        <f>IF(SER_hh_emih!J3=0,0,SER_hh_emih!J3/SER_summary!J$26)</f>
        <v>23.378456387639158</v>
      </c>
      <c r="K3" s="125">
        <f>IF(SER_hh_emih!K3=0,0,SER_hh_emih!K3/SER_summary!K$26)</f>
        <v>24.132373282204515</v>
      </c>
      <c r="L3" s="125">
        <f>IF(SER_hh_emih!L3=0,0,SER_hh_emih!L3/SER_summary!L$26)</f>
        <v>27.273717221013975</v>
      </c>
      <c r="M3" s="125">
        <f>IF(SER_hh_emih!M3=0,0,SER_hh_emih!M3/SER_summary!M$26)</f>
        <v>21.753683182970292</v>
      </c>
      <c r="N3" s="125">
        <f>IF(SER_hh_emih!N3=0,0,SER_hh_emih!N3/SER_summary!N$26)</f>
        <v>24.073088634052937</v>
      </c>
      <c r="O3" s="125">
        <f>IF(SER_hh_emih!O3=0,0,SER_hh_emih!O3/SER_summary!O$26)</f>
        <v>24.205404553353542</v>
      </c>
      <c r="P3" s="125">
        <f>IF(SER_hh_emih!P3=0,0,SER_hh_emih!P3/SER_summary!P$26)</f>
        <v>19.395102623536268</v>
      </c>
      <c r="Q3" s="125">
        <f>IF(SER_hh_emih!Q3=0,0,SER_hh_emih!Q3/SER_summary!Q$26)</f>
        <v>20.597328660612259</v>
      </c>
      <c r="R3" s="125">
        <f>IF(SER_hh_emih!R3=0,0,SER_hh_emih!R3/SER_summary!R$26)</f>
        <v>20.536327854666123</v>
      </c>
      <c r="S3" s="125">
        <f>IF(SER_hh_emih!S3=0,0,SER_hh_emih!S3/SER_summary!S$26)</f>
        <v>20.202229420488841</v>
      </c>
      <c r="T3" s="125">
        <f>IF(SER_hh_emih!T3=0,0,SER_hh_emih!T3/SER_summary!T$26)</f>
        <v>19.53135356135644</v>
      </c>
      <c r="U3" s="125">
        <f>IF(SER_hh_emih!U3=0,0,SER_hh_emih!U3/SER_summary!U$26)</f>
        <v>18.156042086201499</v>
      </c>
      <c r="V3" s="125">
        <f>IF(SER_hh_emih!V3=0,0,SER_hh_emih!V3/SER_summary!V$26)</f>
        <v>16.326889696911117</v>
      </c>
      <c r="W3" s="125">
        <f>IF(SER_hh_emih!W3=0,0,SER_hh_emih!W3/SER_summary!W$26)</f>
        <v>17.57375233344294</v>
      </c>
      <c r="X3" s="125">
        <f>IF(SER_hh_emih!X3=0,0,SER_hh_emih!X3/SER_summary!X$26)</f>
        <v>15.060984106477553</v>
      </c>
      <c r="Y3" s="125">
        <f>IF(SER_hh_emih!Y3=0,0,SER_hh_emih!Y3/SER_summary!Y$26)</f>
        <v>14.061046778271132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20.793439236914548</v>
      </c>
      <c r="C4" s="130">
        <f>IF(SER_hh_emih!C4=0,0,SER_hh_emih!C4/SER_summary!C$26)</f>
        <v>22.06952433651816</v>
      </c>
      <c r="D4" s="130">
        <f>IF(SER_hh_emih!D4=0,0,SER_hh_emih!D4/SER_summary!D$26)</f>
        <v>20.448568363486018</v>
      </c>
      <c r="E4" s="130">
        <f>IF(SER_hh_emih!E4=0,0,SER_hh_emih!E4/SER_summary!E$26)</f>
        <v>21.980543155073434</v>
      </c>
      <c r="F4" s="130">
        <f>IF(SER_hh_emih!F4=0,0,SER_hh_emih!F4/SER_summary!F$26)</f>
        <v>24.387353866998552</v>
      </c>
      <c r="G4" s="130">
        <f>IF(SER_hh_emih!G4=0,0,SER_hh_emih!G4/SER_summary!G$26)</f>
        <v>21.878817455873396</v>
      </c>
      <c r="H4" s="130">
        <f>IF(SER_hh_emih!H4=0,0,SER_hh_emih!H4/SER_summary!H$26)</f>
        <v>21.403828383497522</v>
      </c>
      <c r="I4" s="130">
        <f>IF(SER_hh_emih!I4=0,0,SER_hh_emih!I4/SER_summary!I$26)</f>
        <v>18.359388335436634</v>
      </c>
      <c r="J4" s="130">
        <f>IF(SER_hh_emih!J4=0,0,SER_hh_emih!J4/SER_summary!J$26)</f>
        <v>19.730717477977404</v>
      </c>
      <c r="K4" s="130">
        <f>IF(SER_hh_emih!K4=0,0,SER_hh_emih!K4/SER_summary!K$26)</f>
        <v>20.441333442784668</v>
      </c>
      <c r="L4" s="130">
        <f>IF(SER_hh_emih!L4=0,0,SER_hh_emih!L4/SER_summary!L$26)</f>
        <v>23.622502416256893</v>
      </c>
      <c r="M4" s="130">
        <f>IF(SER_hh_emih!M4=0,0,SER_hh_emih!M4/SER_summary!M$26)</f>
        <v>18.193084091864513</v>
      </c>
      <c r="N4" s="130">
        <f>IF(SER_hh_emih!N4=0,0,SER_hh_emih!N4/SER_summary!N$26)</f>
        <v>20.399370061784175</v>
      </c>
      <c r="O4" s="130">
        <f>IF(SER_hh_emih!O4=0,0,SER_hh_emih!O4/SER_summary!O$26)</f>
        <v>20.530109670676662</v>
      </c>
      <c r="P4" s="130">
        <f>IF(SER_hh_emih!P4=0,0,SER_hh_emih!P4/SER_summary!P$26)</f>
        <v>15.913477619775016</v>
      </c>
      <c r="Q4" s="130">
        <f>IF(SER_hh_emih!Q4=0,0,SER_hh_emih!Q4/SER_summary!Q$26)</f>
        <v>17.194690300907354</v>
      </c>
      <c r="R4" s="130">
        <f>IF(SER_hh_emih!R4=0,0,SER_hh_emih!R4/SER_summary!R$26)</f>
        <v>17.170171682695159</v>
      </c>
      <c r="S4" s="130">
        <f>IF(SER_hh_emih!S4=0,0,SER_hh_emih!S4/SER_summary!S$26)</f>
        <v>16.846210993019742</v>
      </c>
      <c r="T4" s="130">
        <f>IF(SER_hh_emih!T4=0,0,SER_hh_emih!T4/SER_summary!T$26)</f>
        <v>16.43142113242294</v>
      </c>
      <c r="U4" s="130">
        <f>IF(SER_hh_emih!U4=0,0,SER_hh_emih!U4/SER_summary!U$26)</f>
        <v>15.342920199567661</v>
      </c>
      <c r="V4" s="130">
        <f>IF(SER_hh_emih!V4=0,0,SER_hh_emih!V4/SER_summary!V$26)</f>
        <v>13.716528067734828</v>
      </c>
      <c r="W4" s="130">
        <f>IF(SER_hh_emih!W4=0,0,SER_hh_emih!W4/SER_summary!W$26)</f>
        <v>14.831207661959741</v>
      </c>
      <c r="X4" s="130">
        <f>IF(SER_hh_emih!X4=0,0,SER_hh_emih!X4/SER_summary!X$26)</f>
        <v>12.393700559900784</v>
      </c>
      <c r="Y4" s="130">
        <f>IF(SER_hh_emih!Y4=0,0,SER_hh_emih!Y4/SER_summary!Y$26)</f>
        <v>11.397081355848778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44.317622626005111</v>
      </c>
      <c r="C5" s="132">
        <f>IF(SER_hh_emih!C5=0,0,SER_hh_emih!C5/SER_summary!C$26)</f>
        <v>45.01053551660074</v>
      </c>
      <c r="D5" s="132">
        <f>IF(SER_hh_emih!D5=0,0,SER_hh_emih!D5/SER_summary!D$26)</f>
        <v>37.851647588709419</v>
      </c>
      <c r="E5" s="132">
        <f>IF(SER_hh_emih!E5=0,0,SER_hh_emih!E5/SER_summary!E$26)</f>
        <v>60.983067981480232</v>
      </c>
      <c r="F5" s="132">
        <f>IF(SER_hh_emih!F5=0,0,SER_hh_emih!F5/SER_summary!F$26)</f>
        <v>30.46197191616027</v>
      </c>
      <c r="G5" s="132">
        <f>IF(SER_hh_emih!G5=0,0,SER_hh_emih!G5/SER_summary!G$26)</f>
        <v>40.750497546006834</v>
      </c>
      <c r="H5" s="132">
        <f>IF(SER_hh_emih!H5=0,0,SER_hh_emih!H5/SER_summary!H$26)</f>
        <v>27.214687853016905</v>
      </c>
      <c r="I5" s="132">
        <f>IF(SER_hh_emih!I5=0,0,SER_hh_emih!I5/SER_summary!I$26)</f>
        <v>41.580281883479181</v>
      </c>
      <c r="J5" s="132">
        <f>IF(SER_hh_emih!J5=0,0,SER_hh_emih!J5/SER_summary!J$26)</f>
        <v>44.804952437507815</v>
      </c>
      <c r="K5" s="132">
        <f>IF(SER_hh_emih!K5=0,0,SER_hh_emih!K5/SER_summary!K$26)</f>
        <v>44.576766180595591</v>
      </c>
      <c r="L5" s="132">
        <f>IF(SER_hh_emih!L5=0,0,SER_hh_emih!L5/SER_summary!L$26)</f>
        <v>43.054556217777282</v>
      </c>
      <c r="M5" s="132">
        <f>IF(SER_hh_emih!M5=0,0,SER_hh_emih!M5/SER_summary!M$26)</f>
        <v>42.45292434803963</v>
      </c>
      <c r="N5" s="132">
        <f>IF(SER_hh_emih!N5=0,0,SER_hh_emih!N5/SER_summary!N$26)</f>
        <v>41.879629517296145</v>
      </c>
      <c r="O5" s="132">
        <f>IF(SER_hh_emih!O5=0,0,SER_hh_emih!O5/SER_summary!O$26)</f>
        <v>25.514020226094232</v>
      </c>
      <c r="P5" s="132">
        <f>IF(SER_hh_emih!P5=0,0,SER_hh_emih!P5/SER_summary!P$26)</f>
        <v>9.6876000965547266</v>
      </c>
      <c r="Q5" s="132">
        <f>IF(SER_hh_emih!Q5=0,0,SER_hh_emih!Q5/SER_summary!Q$26)</f>
        <v>42.635187467690741</v>
      </c>
      <c r="R5" s="132">
        <f>IF(SER_hh_emih!R5=0,0,SER_hh_emih!R5/SER_summary!R$26)</f>
        <v>40.537769965815393</v>
      </c>
      <c r="S5" s="132">
        <f>IF(SER_hh_emih!S5=0,0,SER_hh_emih!S5/SER_summary!S$26)</f>
        <v>38.483968022702847</v>
      </c>
      <c r="T5" s="132">
        <f>IF(SER_hh_emih!T5=0,0,SER_hh_emih!T5/SER_summary!T$26)</f>
        <v>38.508316411044881</v>
      </c>
      <c r="U5" s="132">
        <f>IF(SER_hh_emih!U5=0,0,SER_hh_emih!U5/SER_summary!U$26)</f>
        <v>30.82305837957572</v>
      </c>
      <c r="V5" s="132">
        <f>IF(SER_hh_emih!V5=0,0,SER_hh_emih!V5/SER_summary!V$26)</f>
        <v>35.582961484520808</v>
      </c>
      <c r="W5" s="132">
        <f>IF(SER_hh_emih!W5=0,0,SER_hh_emih!W5/SER_summary!W$26)</f>
        <v>21.520040993505482</v>
      </c>
      <c r="X5" s="132">
        <f>IF(SER_hh_emih!X5=0,0,SER_hh_emih!X5/SER_summary!X$26)</f>
        <v>34.812576556845748</v>
      </c>
      <c r="Y5" s="132">
        <f>IF(SER_hh_emih!Y5=0,0,SER_hh_emih!Y5/SER_summary!Y$26)</f>
        <v>33.268905434277642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39.000298918737833</v>
      </c>
      <c r="C7" s="132">
        <f>IF(SER_hh_emih!C7=0,0,SER_hh_emih!C7/SER_summary!C$26)</f>
        <v>38.966357750528687</v>
      </c>
      <c r="D7" s="132">
        <f>IF(SER_hh_emih!D7=0,0,SER_hh_emih!D7/SER_summary!D$26)</f>
        <v>40.468929250998535</v>
      </c>
      <c r="E7" s="132">
        <f>IF(SER_hh_emih!E7=0,0,SER_hh_emih!E7/SER_summary!E$26)</f>
        <v>42.542465538753071</v>
      </c>
      <c r="F7" s="132">
        <f>IF(SER_hh_emih!F7=0,0,SER_hh_emih!F7/SER_summary!F$26)</f>
        <v>40.853288992494925</v>
      </c>
      <c r="G7" s="132">
        <f>IF(SER_hh_emih!G7=0,0,SER_hh_emih!G7/SER_summary!G$26)</f>
        <v>41.550215372809376</v>
      </c>
      <c r="H7" s="132">
        <f>IF(SER_hh_emih!H7=0,0,SER_hh_emih!H7/SER_summary!H$26)</f>
        <v>39.196236609816125</v>
      </c>
      <c r="I7" s="132">
        <f>IF(SER_hh_emih!I7=0,0,SER_hh_emih!I7/SER_summary!I$26)</f>
        <v>38.890585173092653</v>
      </c>
      <c r="J7" s="132">
        <f>IF(SER_hh_emih!J7=0,0,SER_hh_emih!J7/SER_summary!J$26)</f>
        <v>38.384270519723117</v>
      </c>
      <c r="K7" s="132">
        <f>IF(SER_hh_emih!K7=0,0,SER_hh_emih!K7/SER_summary!K$26)</f>
        <v>36.946042738455894</v>
      </c>
      <c r="L7" s="132">
        <f>IF(SER_hh_emih!L7=0,0,SER_hh_emih!L7/SER_summary!L$26)</f>
        <v>42.106488781220236</v>
      </c>
      <c r="M7" s="132">
        <f>IF(SER_hh_emih!M7=0,0,SER_hh_emih!M7/SER_summary!M$26)</f>
        <v>37.235788061179306</v>
      </c>
      <c r="N7" s="132">
        <f>IF(SER_hh_emih!N7=0,0,SER_hh_emih!N7/SER_summary!N$26)</f>
        <v>35.41331481548432</v>
      </c>
      <c r="O7" s="132">
        <f>IF(SER_hh_emih!O7=0,0,SER_hh_emih!O7/SER_summary!O$26)</f>
        <v>34.50393330664533</v>
      </c>
      <c r="P7" s="132">
        <f>IF(SER_hh_emih!P7=0,0,SER_hh_emih!P7/SER_summary!P$26)</f>
        <v>32.423270765897094</v>
      </c>
      <c r="Q7" s="132">
        <f>IF(SER_hh_emih!Q7=0,0,SER_hh_emih!Q7/SER_summary!Q$26)</f>
        <v>30.117757596077208</v>
      </c>
      <c r="R7" s="132">
        <f>IF(SER_hh_emih!R7=0,0,SER_hh_emih!R7/SER_summary!R$26)</f>
        <v>29.833965481699437</v>
      </c>
      <c r="S7" s="132">
        <f>IF(SER_hh_emih!S7=0,0,SER_hh_emih!S7/SER_summary!S$26)</f>
        <v>29.519378443151549</v>
      </c>
      <c r="T7" s="132">
        <f>IF(SER_hh_emih!T7=0,0,SER_hh_emih!T7/SER_summary!T$26)</f>
        <v>28.811115652041153</v>
      </c>
      <c r="U7" s="132">
        <f>IF(SER_hh_emih!U7=0,0,SER_hh_emih!U7/SER_summary!U$26)</f>
        <v>29.006276908609987</v>
      </c>
      <c r="V7" s="132">
        <f>IF(SER_hh_emih!V7=0,0,SER_hh_emih!V7/SER_summary!V$26)</f>
        <v>26.52651247172053</v>
      </c>
      <c r="W7" s="132">
        <f>IF(SER_hh_emih!W7=0,0,SER_hh_emih!W7/SER_summary!W$26)</f>
        <v>25.887770032203985</v>
      </c>
      <c r="X7" s="132">
        <f>IF(SER_hh_emih!X7=0,0,SER_hh_emih!X7/SER_summary!X$26)</f>
        <v>25.981544765681502</v>
      </c>
      <c r="Y7" s="132">
        <f>IF(SER_hh_emih!Y7=0,0,SER_hh_emih!Y7/SER_summary!Y$26)</f>
        <v>24.285175439747739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13.708543903834075</v>
      </c>
      <c r="C8" s="132">
        <f>IF(SER_hh_emih!C8=0,0,SER_hh_emih!C8/SER_summary!C$26)</f>
        <v>14.665795274587119</v>
      </c>
      <c r="D8" s="132">
        <f>IF(SER_hh_emih!D8=0,0,SER_hh_emih!D8/SER_summary!D$26)</f>
        <v>13.244309584242862</v>
      </c>
      <c r="E8" s="132">
        <f>IF(SER_hh_emih!E8=0,0,SER_hh_emih!E8/SER_summary!E$26)</f>
        <v>14.570906408436544</v>
      </c>
      <c r="F8" s="132">
        <f>IF(SER_hh_emih!F8=0,0,SER_hh_emih!F8/SER_summary!F$26)</f>
        <v>14.588392895680544</v>
      </c>
      <c r="G8" s="132">
        <f>IF(SER_hh_emih!G8=0,0,SER_hh_emih!G8/SER_summary!G$26)</f>
        <v>12.328316802586293</v>
      </c>
      <c r="H8" s="132">
        <f>IF(SER_hh_emih!H8=0,0,SER_hh_emih!H8/SER_summary!H$26)</f>
        <v>11.116920342949969</v>
      </c>
      <c r="I8" s="132">
        <f>IF(SER_hh_emih!I8=0,0,SER_hh_emih!I8/SER_summary!I$26)</f>
        <v>11.058973096163939</v>
      </c>
      <c r="J8" s="132">
        <f>IF(SER_hh_emih!J8=0,0,SER_hh_emih!J8/SER_summary!J$26)</f>
        <v>10.671456313117544</v>
      </c>
      <c r="K8" s="132">
        <f>IF(SER_hh_emih!K8=0,0,SER_hh_emih!K8/SER_summary!K$26)</f>
        <v>10.229660516962607</v>
      </c>
      <c r="L8" s="132">
        <f>IF(SER_hh_emih!L8=0,0,SER_hh_emih!L8/SER_summary!L$26)</f>
        <v>9.9770812285064583</v>
      </c>
      <c r="M8" s="132">
        <f>IF(SER_hh_emih!M8=0,0,SER_hh_emih!M8/SER_summary!M$26)</f>
        <v>9.5862161185694248</v>
      </c>
      <c r="N8" s="132">
        <f>IF(SER_hh_emih!N8=0,0,SER_hh_emih!N8/SER_summary!N$26)</f>
        <v>7.9700514677641126</v>
      </c>
      <c r="O8" s="132">
        <f>IF(SER_hh_emih!O8=0,0,SER_hh_emih!O8/SER_summary!O$26)</f>
        <v>6.4162719610050996</v>
      </c>
      <c r="P8" s="132">
        <f>IF(SER_hh_emih!P8=0,0,SER_hh_emih!P8/SER_summary!P$26)</f>
        <v>6.7023791968393027</v>
      </c>
      <c r="Q8" s="132">
        <f>IF(SER_hh_emih!Q8=0,0,SER_hh_emih!Q8/SER_summary!Q$26)</f>
        <v>6.9409939377631176</v>
      </c>
      <c r="R8" s="132">
        <f>IF(SER_hh_emih!R8=0,0,SER_hh_emih!R8/SER_summary!R$26)</f>
        <v>6.5766666731715944</v>
      </c>
      <c r="S8" s="132">
        <f>IF(SER_hh_emih!S8=0,0,SER_hh_emih!S8/SER_summary!S$26)</f>
        <v>6.2960439814618381</v>
      </c>
      <c r="T8" s="132">
        <f>IF(SER_hh_emih!T8=0,0,SER_hh_emih!T8/SER_summary!T$26)</f>
        <v>6.161437563417425</v>
      </c>
      <c r="U8" s="132">
        <f>IF(SER_hh_emih!U8=0,0,SER_hh_emih!U8/SER_summary!U$26)</f>
        <v>5.8222868593095862</v>
      </c>
      <c r="V8" s="132">
        <f>IF(SER_hh_emih!V8=0,0,SER_hh_emih!V8/SER_summary!V$26)</f>
        <v>5.3447578385466663</v>
      </c>
      <c r="W8" s="132">
        <f>IF(SER_hh_emih!W8=0,0,SER_hh_emih!W8/SER_summary!W$26)</f>
        <v>5.4637551188206324</v>
      </c>
      <c r="X8" s="132">
        <f>IF(SER_hh_emih!X8=0,0,SER_hh_emih!X8/SER_summary!X$26)</f>
        <v>5.0761387160696234</v>
      </c>
      <c r="Y8" s="132">
        <f>IF(SER_hh_emih!Y8=0,0,SER_hh_emih!Y8/SER_summary!Y$26)</f>
        <v>5.142745378022247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26.37180749919121</v>
      </c>
      <c r="C9" s="132">
        <f>IF(SER_hh_emih!C9=0,0,SER_hh_emih!C9/SER_summary!C$26)</f>
        <v>28.543155683854785</v>
      </c>
      <c r="D9" s="132">
        <f>IF(SER_hh_emih!D9=0,0,SER_hh_emih!D9/SER_summary!D$26)</f>
        <v>26.450916517397687</v>
      </c>
      <c r="E9" s="132">
        <f>IF(SER_hh_emih!E9=0,0,SER_hh_emih!E9/SER_summary!E$26)</f>
        <v>28.791765612535681</v>
      </c>
      <c r="F9" s="132">
        <f>IF(SER_hh_emih!F9=0,0,SER_hh_emih!F9/SER_summary!F$26)</f>
        <v>32.452926807796089</v>
      </c>
      <c r="G9" s="132">
        <f>IF(SER_hh_emih!G9=0,0,SER_hh_emih!G9/SER_summary!G$26)</f>
        <v>29.053854812878363</v>
      </c>
      <c r="H9" s="132">
        <f>IF(SER_hh_emih!H9=0,0,SER_hh_emih!H9/SER_summary!H$26)</f>
        <v>28.732365594820354</v>
      </c>
      <c r="I9" s="132">
        <f>IF(SER_hh_emih!I9=0,0,SER_hh_emih!I9/SER_summary!I$26)</f>
        <v>24.328968297562131</v>
      </c>
      <c r="J9" s="132">
        <f>IF(SER_hh_emih!J9=0,0,SER_hh_emih!J9/SER_summary!J$26)</f>
        <v>26.284544470958842</v>
      </c>
      <c r="K9" s="132">
        <f>IF(SER_hh_emih!K9=0,0,SER_hh_emih!K9/SER_summary!K$26)</f>
        <v>27.421421514043864</v>
      </c>
      <c r="L9" s="132">
        <f>IF(SER_hh_emih!L9=0,0,SER_hh_emih!L9/SER_summary!L$26)</f>
        <v>31.193298518538477</v>
      </c>
      <c r="M9" s="132">
        <f>IF(SER_hh_emih!M9=0,0,SER_hh_emih!M9/SER_summary!M$26)</f>
        <v>23.363086474483435</v>
      </c>
      <c r="N9" s="132">
        <f>IF(SER_hh_emih!N9=0,0,SER_hh_emih!N9/SER_summary!N$26)</f>
        <v>26.073745566276727</v>
      </c>
      <c r="O9" s="132">
        <f>IF(SER_hh_emih!O9=0,0,SER_hh_emih!O9/SER_summary!O$26)</f>
        <v>25.971675451406007</v>
      </c>
      <c r="P9" s="132">
        <f>IF(SER_hh_emih!P9=0,0,SER_hh_emih!P9/SER_summary!P$26)</f>
        <v>19.418384672843786</v>
      </c>
      <c r="Q9" s="132">
        <f>IF(SER_hh_emih!Q9=0,0,SER_hh_emih!Q9/SER_summary!Q$26)</f>
        <v>21.188199320402177</v>
      </c>
      <c r="R9" s="132">
        <f>IF(SER_hh_emih!R9=0,0,SER_hh_emih!R9/SER_summary!R$26)</f>
        <v>21.349312606512644</v>
      </c>
      <c r="S9" s="132">
        <f>IF(SER_hh_emih!S9=0,0,SER_hh_emih!S9/SER_summary!S$26)</f>
        <v>21.393808495999348</v>
      </c>
      <c r="T9" s="132">
        <f>IF(SER_hh_emih!T9=0,0,SER_hh_emih!T9/SER_summary!T$26)</f>
        <v>21.226806845377553</v>
      </c>
      <c r="U9" s="132">
        <f>IF(SER_hh_emih!U9=0,0,SER_hh_emih!U9/SER_summary!U$26)</f>
        <v>19.950627328641264</v>
      </c>
      <c r="V9" s="132">
        <f>IF(SER_hh_emih!V9=0,0,SER_hh_emih!V9/SER_summary!V$26)</f>
        <v>18.031374261481378</v>
      </c>
      <c r="W9" s="132">
        <f>IF(SER_hh_emih!W9=0,0,SER_hh_emih!W9/SER_summary!W$26)</f>
        <v>20.390624361140361</v>
      </c>
      <c r="X9" s="132">
        <f>IF(SER_hh_emih!X9=0,0,SER_hh_emih!X9/SER_summary!X$26)</f>
        <v>17.313431267894934</v>
      </c>
      <c r="Y9" s="132">
        <f>IF(SER_hh_emih!Y9=0,0,SER_hh_emih!Y9/SER_summary!Y$26)</f>
        <v>16.422602942602076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13.066978680185795</v>
      </c>
      <c r="C10" s="132">
        <f>IF(SER_hh_emih!C10=0,0,SER_hh_emih!C10/SER_summary!C$26)</f>
        <v>16.158015379608305</v>
      </c>
      <c r="D10" s="132">
        <f>IF(SER_hh_emih!D10=0,0,SER_hh_emih!D10/SER_summary!D$26)</f>
        <v>15.856954787188016</v>
      </c>
      <c r="E10" s="132">
        <f>IF(SER_hh_emih!E10=0,0,SER_hh_emih!E10/SER_summary!E$26)</f>
        <v>15.965723611492242</v>
      </c>
      <c r="F10" s="132">
        <f>IF(SER_hh_emih!F10=0,0,SER_hh_emih!F10/SER_summary!F$26)</f>
        <v>18.596004907358829</v>
      </c>
      <c r="G10" s="132">
        <f>IF(SER_hh_emih!G10=0,0,SER_hh_emih!G10/SER_summary!G$26)</f>
        <v>18.404783639001916</v>
      </c>
      <c r="H10" s="132">
        <f>IF(SER_hh_emih!H10=0,0,SER_hh_emih!H10/SER_summary!H$26)</f>
        <v>18.891026528413555</v>
      </c>
      <c r="I10" s="132">
        <f>IF(SER_hh_emih!I10=0,0,SER_hh_emih!I10/SER_summary!I$26)</f>
        <v>17.025927838086606</v>
      </c>
      <c r="J10" s="132">
        <f>IF(SER_hh_emih!J10=0,0,SER_hh_emih!J10/SER_summary!J$26)</f>
        <v>18.607628663339948</v>
      </c>
      <c r="K10" s="132">
        <f>IF(SER_hh_emih!K10=0,0,SER_hh_emih!K10/SER_summary!K$26)</f>
        <v>19.348601609535539</v>
      </c>
      <c r="L10" s="132">
        <f>IF(SER_hh_emih!L10=0,0,SER_hh_emih!L10/SER_summary!L$26)</f>
        <v>20.258677257454206</v>
      </c>
      <c r="M10" s="132">
        <f>IF(SER_hh_emih!M10=0,0,SER_hh_emih!M10/SER_summary!M$26)</f>
        <v>17.23989147226338</v>
      </c>
      <c r="N10" s="132">
        <f>IF(SER_hh_emih!N10=0,0,SER_hh_emih!N10/SER_summary!N$26)</f>
        <v>14.359570197089766</v>
      </c>
      <c r="O10" s="132">
        <f>IF(SER_hh_emih!O10=0,0,SER_hh_emih!O10/SER_summary!O$26)</f>
        <v>14.514616625874353</v>
      </c>
      <c r="P10" s="132">
        <f>IF(SER_hh_emih!P10=0,0,SER_hh_emih!P10/SER_summary!P$26)</f>
        <v>13.766709219192864</v>
      </c>
      <c r="Q10" s="132">
        <f>IF(SER_hh_emih!Q10=0,0,SER_hh_emih!Q10/SER_summary!Q$26)</f>
        <v>11.953582518517431</v>
      </c>
      <c r="R10" s="132">
        <f>IF(SER_hh_emih!R10=0,0,SER_hh_emih!R10/SER_summary!R$26)</f>
        <v>10.900659620459528</v>
      </c>
      <c r="S10" s="132">
        <f>IF(SER_hh_emih!S10=0,0,SER_hh_emih!S10/SER_summary!S$26)</f>
        <v>8.6981034538641175</v>
      </c>
      <c r="T10" s="132">
        <f>IF(SER_hh_emih!T10=0,0,SER_hh_emih!T10/SER_summary!T$26)</f>
        <v>9.7789718501090199</v>
      </c>
      <c r="U10" s="132">
        <f>IF(SER_hh_emih!U10=0,0,SER_hh_emih!U10/SER_summary!U$26)</f>
        <v>9.0827869220250896</v>
      </c>
      <c r="V10" s="132">
        <f>IF(SER_hh_emih!V10=0,0,SER_hh_emih!V10/SER_summary!V$26)</f>
        <v>8.4882901632239438</v>
      </c>
      <c r="W10" s="132">
        <f>IF(SER_hh_emih!W10=0,0,SER_hh_emih!W10/SER_summary!W$26)</f>
        <v>8.1708467211494362</v>
      </c>
      <c r="X10" s="132">
        <f>IF(SER_hh_emih!X10=0,0,SER_hh_emih!X10/SER_summary!X$26)</f>
        <v>8.6817460970567026</v>
      </c>
      <c r="Y10" s="132">
        <f>IF(SER_hh_emih!Y10=0,0,SER_hh_emih!Y10/SER_summary!Y$26)</f>
        <v>7.9895425069206452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1.436837633911758E-2</v>
      </c>
      <c r="C16" s="130">
        <f>IF(SER_hh_emih!C16=0,0,SER_hh_emih!C16/SER_summary!C$26)</f>
        <v>1.4054838348291089E-2</v>
      </c>
      <c r="D16" s="130">
        <f>IF(SER_hh_emih!D16=0,0,SER_hh_emih!D16/SER_summary!D$26)</f>
        <v>1.4782147154153717E-2</v>
      </c>
      <c r="E16" s="130">
        <f>IF(SER_hh_emih!E16=0,0,SER_hh_emih!E16/SER_summary!E$26)</f>
        <v>1.5884255427741439E-2</v>
      </c>
      <c r="F16" s="130">
        <f>IF(SER_hh_emih!F16=0,0,SER_hh_emih!F16/SER_summary!F$26)</f>
        <v>1.7285974401706063E-2</v>
      </c>
      <c r="G16" s="130">
        <f>IF(SER_hh_emih!G16=0,0,SER_hh_emih!G16/SER_summary!G$26)</f>
        <v>1.7632243958878868E-2</v>
      </c>
      <c r="H16" s="130">
        <f>IF(SER_hh_emih!H16=0,0,SER_hh_emih!H16/SER_summary!H$26)</f>
        <v>2.1176263792255328E-2</v>
      </c>
      <c r="I16" s="130">
        <f>IF(SER_hh_emih!I16=0,0,SER_hh_emih!I16/SER_summary!I$26)</f>
        <v>2.1891312552895389E-2</v>
      </c>
      <c r="J16" s="130">
        <f>IF(SER_hh_emih!J16=0,0,SER_hh_emih!J16/SER_summary!J$26)</f>
        <v>2.3884207431167981E-2</v>
      </c>
      <c r="K16" s="130">
        <f>IF(SER_hh_emih!K16=0,0,SER_hh_emih!K16/SER_summary!K$26)</f>
        <v>2.5007273957308455E-2</v>
      </c>
      <c r="L16" s="130">
        <f>IF(SER_hh_emih!L16=0,0,SER_hh_emih!L16/SER_summary!L$26)</f>
        <v>2.6707819984051584E-2</v>
      </c>
      <c r="M16" s="130">
        <f>IF(SER_hh_emih!M16=0,0,SER_hh_emih!M16/SER_summary!M$26)</f>
        <v>2.7310970283945878E-2</v>
      </c>
      <c r="N16" s="130">
        <f>IF(SER_hh_emih!N16=0,0,SER_hh_emih!N16/SER_summary!N$26)</f>
        <v>3.0072310021420988E-2</v>
      </c>
      <c r="O16" s="130">
        <f>IF(SER_hh_emih!O16=0,0,SER_hh_emih!O16/SER_summary!O$26)</f>
        <v>3.5573453606082078E-2</v>
      </c>
      <c r="P16" s="130">
        <f>IF(SER_hh_emih!P16=0,0,SER_hh_emih!P16/SER_summary!P$26)</f>
        <v>4.5185193417586249E-2</v>
      </c>
      <c r="Q16" s="130">
        <f>IF(SER_hh_emih!Q16=0,0,SER_hh_emih!Q16/SER_summary!Q$26)</f>
        <v>6.0297753057633789E-2</v>
      </c>
      <c r="R16" s="130">
        <f>IF(SER_hh_emih!R16=0,0,SER_hh_emih!R16/SER_summary!R$26)</f>
        <v>7.3866129027541944E-2</v>
      </c>
      <c r="S16" s="130">
        <f>IF(SER_hh_emih!S16=0,0,SER_hh_emih!S16/SER_summary!S$26)</f>
        <v>8.5172120055252321E-2</v>
      </c>
      <c r="T16" s="130">
        <f>IF(SER_hh_emih!T16=0,0,SER_hh_emih!T16/SER_summary!T$26)</f>
        <v>9.4182122047663075E-2</v>
      </c>
      <c r="U16" s="130">
        <f>IF(SER_hh_emih!U16=0,0,SER_hh_emih!U16/SER_summary!U$26)</f>
        <v>9.9614773853650487E-2</v>
      </c>
      <c r="V16" s="130">
        <f>IF(SER_hh_emih!V16=0,0,SER_hh_emih!V16/SER_summary!V$26)</f>
        <v>0.10401737536956071</v>
      </c>
      <c r="W16" s="130">
        <f>IF(SER_hh_emih!W16=0,0,SER_hh_emih!W16/SER_summary!W$26)</f>
        <v>0.11052066186146628</v>
      </c>
      <c r="X16" s="130">
        <f>IF(SER_hh_emih!X16=0,0,SER_hh_emih!X16/SER_summary!X$26)</f>
        <v>9.8012760456311743E-2</v>
      </c>
      <c r="Y16" s="130">
        <f>IF(SER_hh_emih!Y16=0,0,SER_hh_emih!Y16/SER_summary!Y$26)</f>
        <v>9.2772204006898812E-2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4.9703226249181016</v>
      </c>
      <c r="C17" s="132">
        <f>IF(SER_hh_emih!C17=0,0,SER_hh_emih!C17/SER_summary!C$26)</f>
        <v>4.9806718654962632</v>
      </c>
      <c r="D17" s="132">
        <f>IF(SER_hh_emih!D17=0,0,SER_hh_emih!D17/SER_summary!D$26)</f>
        <v>4.8004083817714767</v>
      </c>
      <c r="E17" s="132">
        <f>IF(SER_hh_emih!E17=0,0,SER_hh_emih!E17/SER_summary!E$26)</f>
        <v>5.1908021066660419</v>
      </c>
      <c r="F17" s="132">
        <f>IF(SER_hh_emih!F17=0,0,SER_hh_emih!F17/SER_summary!F$26)</f>
        <v>4.6132774495028492</v>
      </c>
      <c r="G17" s="132">
        <f>IF(SER_hh_emih!G17=0,0,SER_hh_emih!G17/SER_summary!G$26)</f>
        <v>4.4698980351946522</v>
      </c>
      <c r="H17" s="132">
        <f>IF(SER_hh_emih!H17=0,0,SER_hh_emih!H17/SER_summary!H$26)</f>
        <v>4.8011034829573864</v>
      </c>
      <c r="I17" s="132">
        <f>IF(SER_hh_emih!I17=0,0,SER_hh_emih!I17/SER_summary!I$26)</f>
        <v>4.3066279033096224</v>
      </c>
      <c r="J17" s="132">
        <f>IF(SER_hh_emih!J17=0,0,SER_hh_emih!J17/SER_summary!J$26)</f>
        <v>4.2724341587186068</v>
      </c>
      <c r="K17" s="132">
        <f>IF(SER_hh_emih!K17=0,0,SER_hh_emih!K17/SER_summary!K$26)</f>
        <v>4.2661481274617676</v>
      </c>
      <c r="L17" s="132">
        <f>IF(SER_hh_emih!L17=0,0,SER_hh_emih!L17/SER_summary!L$26)</f>
        <v>4.3868777721014451</v>
      </c>
      <c r="M17" s="132">
        <f>IF(SER_hh_emih!M17=0,0,SER_hh_emih!M17/SER_summary!M$26)</f>
        <v>4.1913118233399711</v>
      </c>
      <c r="N17" s="132">
        <f>IF(SER_hh_emih!N17=0,0,SER_hh_emih!N17/SER_summary!N$26)</f>
        <v>4.1673963050738498</v>
      </c>
      <c r="O17" s="132">
        <f>IF(SER_hh_emih!O17=0,0,SER_hh_emih!O17/SER_summary!O$26)</f>
        <v>4.1237544061371345</v>
      </c>
      <c r="P17" s="132">
        <f>IF(SER_hh_emih!P17=0,0,SER_hh_emih!P17/SER_summary!P$26)</f>
        <v>3.9746660676425134</v>
      </c>
      <c r="Q17" s="132">
        <f>IF(SER_hh_emih!Q17=0,0,SER_hh_emih!Q17/SER_summary!Q$26)</f>
        <v>4.0120336678344017</v>
      </c>
      <c r="R17" s="132">
        <f>IF(SER_hh_emih!R17=0,0,SER_hh_emih!R17/SER_summary!R$26)</f>
        <v>3.9242401358710537</v>
      </c>
      <c r="S17" s="132">
        <f>IF(SER_hh_emih!S17=0,0,SER_hh_emih!S17/SER_summary!S$26)</f>
        <v>3.9956319330137644</v>
      </c>
      <c r="T17" s="132">
        <f>IF(SER_hh_emih!T17=0,0,SER_hh_emih!T17/SER_summary!T$26)</f>
        <v>4.068692745030746</v>
      </c>
      <c r="U17" s="132">
        <f>IF(SER_hh_emih!U17=0,0,SER_hh_emih!U17/SER_summary!U$26)</f>
        <v>4.0634951244580337</v>
      </c>
      <c r="V17" s="132">
        <f>IF(SER_hh_emih!V17=0,0,SER_hh_emih!V17/SER_summary!V$26)</f>
        <v>4.1266499765618967</v>
      </c>
      <c r="W17" s="132">
        <f>IF(SER_hh_emih!W17=0,0,SER_hh_emih!W17/SER_summary!W$26)</f>
        <v>4.3585602320122536</v>
      </c>
      <c r="X17" s="132">
        <f>IF(SER_hh_emih!X17=0,0,SER_hh_emih!X17/SER_summary!X$26)</f>
        <v>3.7633252610319676</v>
      </c>
      <c r="Y17" s="132">
        <f>IF(SER_hh_emih!Y17=0,0,SER_hh_emih!Y17/SER_summary!Y$26)</f>
        <v>3.5517862409307268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2.0067478208850753</v>
      </c>
      <c r="C19" s="130">
        <f>IF(SER_hh_emih!C19=0,0,SER_hh_emih!C19/SER_summary!C$26)</f>
        <v>2.0031480274151185</v>
      </c>
      <c r="D19" s="130">
        <f>IF(SER_hh_emih!D19=0,0,SER_hh_emih!D19/SER_summary!D$26)</f>
        <v>2.0922228458594021</v>
      </c>
      <c r="E19" s="130">
        <f>IF(SER_hh_emih!E19=0,0,SER_hh_emih!E19/SER_summary!E$26)</f>
        <v>2.0154098099004063</v>
      </c>
      <c r="F19" s="130">
        <f>IF(SER_hh_emih!F19=0,0,SER_hh_emih!F19/SER_summary!F$26)</f>
        <v>2.0126795274961644</v>
      </c>
      <c r="G19" s="130">
        <f>IF(SER_hh_emih!G19=0,0,SER_hh_emih!G19/SER_summary!G$26)</f>
        <v>1.9811018057434255</v>
      </c>
      <c r="H19" s="130">
        <f>IF(SER_hh_emih!H19=0,0,SER_hh_emih!H19/SER_summary!H$26)</f>
        <v>1.9392009866091111</v>
      </c>
      <c r="I19" s="130">
        <f>IF(SER_hh_emih!I19=0,0,SER_hh_emih!I19/SER_summary!I$26)</f>
        <v>1.8488953326149402</v>
      </c>
      <c r="J19" s="130">
        <f>IF(SER_hh_emih!J19=0,0,SER_hh_emih!J19/SER_summary!J$26)</f>
        <v>1.8082354042165574</v>
      </c>
      <c r="K19" s="130">
        <f>IF(SER_hh_emih!K19=0,0,SER_hh_emih!K19/SER_summary!K$26)</f>
        <v>1.8327083494001073</v>
      </c>
      <c r="L19" s="130">
        <f>IF(SER_hh_emih!L19=0,0,SER_hh_emih!L19/SER_summary!L$26)</f>
        <v>1.8203096596988972</v>
      </c>
      <c r="M19" s="130">
        <f>IF(SER_hh_emih!M19=0,0,SER_hh_emih!M19/SER_summary!M$26)</f>
        <v>1.7894706507480116</v>
      </c>
      <c r="N19" s="130">
        <f>IF(SER_hh_emih!N19=0,0,SER_hh_emih!N19/SER_summary!N$26)</f>
        <v>1.9171500340497722</v>
      </c>
      <c r="O19" s="130">
        <f>IF(SER_hh_emih!O19=0,0,SER_hh_emih!O19/SER_summary!O$26)</f>
        <v>1.9188182482270146</v>
      </c>
      <c r="P19" s="130">
        <f>IF(SER_hh_emih!P19=0,0,SER_hh_emih!P19/SER_summary!P$26)</f>
        <v>1.773416442803462</v>
      </c>
      <c r="Q19" s="130">
        <f>IF(SER_hh_emih!Q19=0,0,SER_hh_emih!Q19/SER_summary!Q$26)</f>
        <v>1.7261100823818964</v>
      </c>
      <c r="R19" s="130">
        <f>IF(SER_hh_emih!R19=0,0,SER_hh_emih!R19/SER_summary!R$26)</f>
        <v>1.7318641490013622</v>
      </c>
      <c r="S19" s="130">
        <f>IF(SER_hh_emih!S19=0,0,SER_hh_emih!S19/SER_summary!S$26)</f>
        <v>1.7951902933683634</v>
      </c>
      <c r="T19" s="130">
        <f>IF(SER_hh_emih!T19=0,0,SER_hh_emih!T19/SER_summary!T$26)</f>
        <v>1.7336065186209229</v>
      </c>
      <c r="U19" s="130">
        <f>IF(SER_hh_emih!U19=0,0,SER_hh_emih!U19/SER_summary!U$26)</f>
        <v>1.6502839268046778</v>
      </c>
      <c r="V19" s="130">
        <f>IF(SER_hh_emih!V19=0,0,SER_hh_emih!V19/SER_summary!V$26)</f>
        <v>1.3745694643707473</v>
      </c>
      <c r="W19" s="130">
        <f>IF(SER_hh_emih!W19=0,0,SER_hh_emih!W19/SER_summary!W$26)</f>
        <v>1.3863491527766822</v>
      </c>
      <c r="X19" s="130">
        <f>IF(SER_hh_emih!X19=0,0,SER_hh_emih!X19/SER_summary!X$26)</f>
        <v>1.3700268231868944</v>
      </c>
      <c r="Y19" s="130">
        <f>IF(SER_hh_emih!Y19=0,0,SER_hh_emih!Y19/SER_summary!Y$26)</f>
        <v>1.3807894196345003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7.9571994684686373</v>
      </c>
      <c r="C22" s="132">
        <f>IF(SER_hh_emih!C22=0,0,SER_hh_emih!C22/SER_summary!C$26)</f>
        <v>7.8347298324500452</v>
      </c>
      <c r="D22" s="132">
        <f>IF(SER_hh_emih!D22=0,0,SER_hh_emih!D22/SER_summary!D$26)</f>
        <v>7.7515243696052361</v>
      </c>
      <c r="E22" s="132">
        <f>IF(SER_hh_emih!E22=0,0,SER_hh_emih!E22/SER_summary!E$26)</f>
        <v>7.6651369288693596</v>
      </c>
      <c r="F22" s="132">
        <f>IF(SER_hh_emih!F22=0,0,SER_hh_emih!F22/SER_summary!F$26)</f>
        <v>7.641908721279127</v>
      </c>
      <c r="G22" s="132">
        <f>IF(SER_hh_emih!G22=0,0,SER_hh_emih!G22/SER_summary!G$26)</f>
        <v>7.5201801060319244</v>
      </c>
      <c r="H22" s="132">
        <f>IF(SER_hh_emih!H22=0,0,SER_hh_emih!H22/SER_summary!H$26)</f>
        <v>7.2952979602051977</v>
      </c>
      <c r="I22" s="132">
        <f>IF(SER_hh_emih!I22=0,0,SER_hh_emih!I22/SER_summary!I$26)</f>
        <v>7.0858483265425347</v>
      </c>
      <c r="J22" s="132">
        <f>IF(SER_hh_emih!J22=0,0,SER_hh_emih!J22/SER_summary!J$26)</f>
        <v>7.0033779227234572</v>
      </c>
      <c r="K22" s="132">
        <f>IF(SER_hh_emih!K22=0,0,SER_hh_emih!K22/SER_summary!K$26)</f>
        <v>6.9300476819542727</v>
      </c>
      <c r="L22" s="132">
        <f>IF(SER_hh_emih!L22=0,0,SER_hh_emih!L22/SER_summary!L$26)</f>
        <v>6.7812340962332991</v>
      </c>
      <c r="M22" s="132">
        <f>IF(SER_hh_emih!M22=0,0,SER_hh_emih!M22/SER_summary!M$26)</f>
        <v>6.6867458829927253</v>
      </c>
      <c r="N22" s="132">
        <f>IF(SER_hh_emih!N22=0,0,SER_hh_emih!N22/SER_summary!N$26)</f>
        <v>6.6930143812885774</v>
      </c>
      <c r="O22" s="132">
        <f>IF(SER_hh_emih!O22=0,0,SER_hh_emih!O22/SER_summary!O$26)</f>
        <v>6.5356342980847533</v>
      </c>
      <c r="P22" s="132">
        <f>IF(SER_hh_emih!P22=0,0,SER_hh_emih!P22/SER_summary!P$26)</f>
        <v>6.3705688035944874</v>
      </c>
      <c r="Q22" s="132">
        <f>IF(SER_hh_emih!Q22=0,0,SER_hh_emih!Q22/SER_summary!Q$26)</f>
        <v>6.5049133165348803</v>
      </c>
      <c r="R22" s="132">
        <f>IF(SER_hh_emih!R22=0,0,SER_hh_emih!R22/SER_summary!R$26)</f>
        <v>6.313113248670331</v>
      </c>
      <c r="S22" s="132">
        <f>IF(SER_hh_emih!S22=0,0,SER_hh_emih!S22/SER_summary!S$26)</f>
        <v>6.1261344947244378</v>
      </c>
      <c r="T22" s="132">
        <f>IF(SER_hh_emih!T22=0,0,SER_hh_emih!T22/SER_summary!T$26)</f>
        <v>5.8299685588707675</v>
      </c>
      <c r="U22" s="132">
        <f>IF(SER_hh_emih!U22=0,0,SER_hh_emih!U22/SER_summary!U$26)</f>
        <v>5.7072568314474301</v>
      </c>
      <c r="V22" s="132">
        <f>IF(SER_hh_emih!V22=0,0,SER_hh_emih!V22/SER_summary!V$26)</f>
        <v>5.4080299085247585</v>
      </c>
      <c r="W22" s="132">
        <f>IF(SER_hh_emih!W22=0,0,SER_hh_emih!W22/SER_summary!W$26)</f>
        <v>5.6659262483933253</v>
      </c>
      <c r="X22" s="132">
        <f>IF(SER_hh_emih!X22=0,0,SER_hh_emih!X22/SER_summary!X$26)</f>
        <v>5.3937064935448156</v>
      </c>
      <c r="Y22" s="132">
        <f>IF(SER_hh_emih!Y22=0,0,SER_hh_emih!Y22/SER_summary!Y$26)</f>
        <v>5.5289545889139182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5.7696465334038889</v>
      </c>
      <c r="C23" s="132">
        <f>IF(SER_hh_emih!C23=0,0,SER_hh_emih!C23/SER_summary!C$26)</f>
        <v>5.6654412613177714</v>
      </c>
      <c r="D23" s="132">
        <f>IF(SER_hh_emih!D23=0,0,SER_hh_emih!D23/SER_summary!D$26)</f>
        <v>5.8365284252696927</v>
      </c>
      <c r="E23" s="132">
        <f>IF(SER_hh_emih!E23=0,0,SER_hh_emih!E23/SER_summary!E$26)</f>
        <v>5.5576524898653625</v>
      </c>
      <c r="F23" s="132">
        <f>IF(SER_hh_emih!F23=0,0,SER_hh_emih!F23/SER_summary!F$26)</f>
        <v>5.4594592462744211</v>
      </c>
      <c r="G23" s="132">
        <f>IF(SER_hh_emih!G23=0,0,SER_hh_emih!G23/SER_summary!G$26)</f>
        <v>5.35590240004806</v>
      </c>
      <c r="H23" s="132">
        <f>IF(SER_hh_emih!H23=0,0,SER_hh_emih!H23/SER_summary!H$26)</f>
        <v>5.2310735138081474</v>
      </c>
      <c r="I23" s="132">
        <f>IF(SER_hh_emih!I23=0,0,SER_hh_emih!I23/SER_summary!I$26)</f>
        <v>4.9972553745507415</v>
      </c>
      <c r="J23" s="132">
        <f>IF(SER_hh_emih!J23=0,0,SER_hh_emih!J23/SER_summary!J$26)</f>
        <v>4.8466919005947675</v>
      </c>
      <c r="K23" s="132">
        <f>IF(SER_hh_emih!K23=0,0,SER_hh_emih!K23/SER_summary!K$26)</f>
        <v>4.8013755326566452</v>
      </c>
      <c r="L23" s="132">
        <f>IF(SER_hh_emih!L23=0,0,SER_hh_emih!L23/SER_summary!L$26)</f>
        <v>4.6864219978894015</v>
      </c>
      <c r="M23" s="132">
        <f>IF(SER_hh_emih!M23=0,0,SER_hh_emih!M23/SER_summary!M$26)</f>
        <v>4.493640194785038</v>
      </c>
      <c r="N23" s="132">
        <f>IF(SER_hh_emih!N23=0,0,SER_hh_emih!N23/SER_summary!N$26)</f>
        <v>4.6731174559882094</v>
      </c>
      <c r="O23" s="132">
        <f>IF(SER_hh_emih!O23=0,0,SER_hh_emih!O23/SER_summary!O$26)</f>
        <v>4.6200705503307855</v>
      </c>
      <c r="P23" s="132">
        <f>IF(SER_hh_emih!P23=0,0,SER_hh_emih!P23/SER_summary!P$26)</f>
        <v>4.3064065871089481</v>
      </c>
      <c r="Q23" s="132">
        <f>IF(SER_hh_emih!Q23=0,0,SER_hh_emih!Q23/SER_summary!Q$26)</f>
        <v>4.2433265025393254</v>
      </c>
      <c r="R23" s="132">
        <f>IF(SER_hh_emih!R23=0,0,SER_hh_emih!R23/SER_summary!R$26)</f>
        <v>4.2198071079105919</v>
      </c>
      <c r="S23" s="132">
        <f>IF(SER_hh_emih!S23=0,0,SER_hh_emih!S23/SER_summary!S$26)</f>
        <v>4.3209335665352224</v>
      </c>
      <c r="T23" s="132">
        <f>IF(SER_hh_emih!T23=0,0,SER_hh_emih!T23/SER_summary!T$26)</f>
        <v>4.2393899860609228</v>
      </c>
      <c r="U23" s="132">
        <f>IF(SER_hh_emih!U23=0,0,SER_hh_emih!U23/SER_summary!U$26)</f>
        <v>4.2056337192289828</v>
      </c>
      <c r="V23" s="132">
        <f>IF(SER_hh_emih!V23=0,0,SER_hh_emih!V23/SER_summary!V$26)</f>
        <v>3.7049740260715893</v>
      </c>
      <c r="W23" s="132">
        <f>IF(SER_hh_emih!W23=0,0,SER_hh_emih!W23/SER_summary!W$26)</f>
        <v>3.8703103853956682</v>
      </c>
      <c r="X23" s="132">
        <f>IF(SER_hh_emih!X23=0,0,SER_hh_emih!X23/SER_summary!X$26)</f>
        <v>3.9280331587764836</v>
      </c>
      <c r="Y23" s="132">
        <f>IF(SER_hh_emih!Y23=0,0,SER_hh_emih!Y23/SER_summary!Y$26)</f>
        <v>3.9060155284916238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1.8187182978134504</v>
      </c>
      <c r="C29" s="130">
        <f>IF(SER_hh_emih!C29=0,0,SER_hh_emih!C29/SER_summary!C$26)</f>
        <v>1.8604181457491547</v>
      </c>
      <c r="D29" s="130">
        <f>IF(SER_hh_emih!D29=0,0,SER_hh_emih!D29/SER_summary!D$26)</f>
        <v>1.8912661072079096</v>
      </c>
      <c r="E29" s="130">
        <f>IF(SER_hh_emih!E29=0,0,SER_hh_emih!E29/SER_summary!E$26)</f>
        <v>1.9173517799219189</v>
      </c>
      <c r="F29" s="130">
        <f>IF(SER_hh_emih!F29=0,0,SER_hh_emih!F29/SER_summary!F$26)</f>
        <v>1.9611403036994768</v>
      </c>
      <c r="G29" s="130">
        <f>IF(SER_hh_emih!G29=0,0,SER_hh_emih!G29/SER_summary!G$26)</f>
        <v>1.9355011077672775</v>
      </c>
      <c r="H29" s="130">
        <f>IF(SER_hh_emih!H29=0,0,SER_hh_emih!H29/SER_summary!H$26)</f>
        <v>1.9273855361318437</v>
      </c>
      <c r="I29" s="130">
        <f>IF(SER_hh_emih!I29=0,0,SER_hh_emih!I29/SER_summary!I$26)</f>
        <v>1.8397366659090175</v>
      </c>
      <c r="J29" s="130">
        <f>IF(SER_hh_emih!J29=0,0,SER_hh_emih!J29/SER_summary!J$26)</f>
        <v>1.8330087254103908</v>
      </c>
      <c r="K29" s="130">
        <f>IF(SER_hh_emih!K29=0,0,SER_hh_emih!K29/SER_summary!K$26)</f>
        <v>1.8508855338685961</v>
      </c>
      <c r="L29" s="130">
        <f>IF(SER_hh_emih!L29=0,0,SER_hh_emih!L29/SER_summary!L$26)</f>
        <v>1.8224776389527393</v>
      </c>
      <c r="M29" s="130">
        <f>IF(SER_hh_emih!M29=0,0,SER_hh_emih!M29/SER_summary!M$26)</f>
        <v>1.7620534269145651</v>
      </c>
      <c r="N29" s="130">
        <f>IF(SER_hh_emih!N29=0,0,SER_hh_emih!N29/SER_summary!N$26)</f>
        <v>1.7462151138569313</v>
      </c>
      <c r="O29" s="130">
        <f>IF(SER_hh_emih!O29=0,0,SER_hh_emih!O29/SER_summary!O$26)</f>
        <v>1.7438254443030188</v>
      </c>
      <c r="P29" s="130">
        <f>IF(SER_hh_emih!P29=0,0,SER_hh_emih!P29/SER_summary!P$26)</f>
        <v>1.6915858872947442</v>
      </c>
      <c r="Q29" s="130">
        <f>IF(SER_hh_emih!Q29=0,0,SER_hh_emih!Q29/SER_summary!Q$26)</f>
        <v>1.6539483334275169</v>
      </c>
      <c r="R29" s="130">
        <f>IF(SER_hh_emih!R29=0,0,SER_hh_emih!R29/SER_summary!R$26)</f>
        <v>1.6057805800335154</v>
      </c>
      <c r="S29" s="130">
        <f>IF(SER_hh_emih!S29=0,0,SER_hh_emih!S29/SER_summary!S$26)</f>
        <v>1.5269874662215719</v>
      </c>
      <c r="T29" s="130">
        <f>IF(SER_hh_emih!T29=0,0,SER_hh_emih!T29/SER_summary!T$26)</f>
        <v>1.3279009649300924</v>
      </c>
      <c r="U29" s="130">
        <f>IF(SER_hh_emih!U29=0,0,SER_hh_emih!U29/SER_summary!U$26)</f>
        <v>1.1207050730503021</v>
      </c>
      <c r="V29" s="130">
        <f>IF(SER_hh_emih!V29=0,0,SER_hh_emih!V29/SER_summary!V$26)</f>
        <v>1.1907766632408932</v>
      </c>
      <c r="W29" s="130">
        <f>IF(SER_hh_emih!W29=0,0,SER_hh_emih!W29/SER_summary!W$26)</f>
        <v>1.3087070647168657</v>
      </c>
      <c r="X29" s="130">
        <f>IF(SER_hh_emih!X29=0,0,SER_hh_emih!X29/SER_summary!X$26)</f>
        <v>1.2550221162663466</v>
      </c>
      <c r="Y29" s="130">
        <f>IF(SER_hh_emih!Y29=0,0,SER_hh_emih!Y29/SER_summary!Y$26)</f>
        <v>1.2430100013108747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5.3560366878850427</v>
      </c>
      <c r="C30" s="132">
        <f>IF(SER_hh_emih!C30=0,0,SER_hh_emih!C30/SER_summary!C$26)</f>
        <v>5.6062720338302912</v>
      </c>
      <c r="D30" s="132">
        <f>IF(SER_hh_emih!D30=0,0,SER_hh_emih!D30/SER_summary!D$26)</f>
        <v>5.9665711613794628</v>
      </c>
      <c r="E30" s="132">
        <f>IF(SER_hh_emih!E30=0,0,SER_hh_emih!E30/SER_summary!E$26)</f>
        <v>5.3755995811269974</v>
      </c>
      <c r="F30" s="132">
        <f>IF(SER_hh_emih!F30=0,0,SER_hh_emih!F30/SER_summary!F$26)</f>
        <v>5.6987570311842086</v>
      </c>
      <c r="G30" s="132">
        <f>IF(SER_hh_emih!G30=0,0,SER_hh_emih!G30/SER_summary!G$26)</f>
        <v>5.6030516002934361</v>
      </c>
      <c r="H30" s="132">
        <f>IF(SER_hh_emih!H30=0,0,SER_hh_emih!H30/SER_summary!H$26)</f>
        <v>7.2403937032624706</v>
      </c>
      <c r="I30" s="132">
        <f>IF(SER_hh_emih!I30=0,0,SER_hh_emih!I30/SER_summary!I$26)</f>
        <v>4.4775020122872871</v>
      </c>
      <c r="J30" s="132">
        <f>IF(SER_hh_emih!J30=0,0,SER_hh_emih!J30/SER_summary!J$26)</f>
        <v>3.9907121004043118</v>
      </c>
      <c r="K30" s="132">
        <f>IF(SER_hh_emih!K30=0,0,SER_hh_emih!K30/SER_summary!K$26)</f>
        <v>6.1371777970441084</v>
      </c>
      <c r="L30" s="132">
        <f>IF(SER_hh_emih!L30=0,0,SER_hh_emih!L30/SER_summary!L$26)</f>
        <v>6.9560226138627259</v>
      </c>
      <c r="M30" s="132">
        <f>IF(SER_hh_emih!M30=0,0,SER_hh_emih!M30/SER_summary!M$26)</f>
        <v>4.2740793128029733</v>
      </c>
      <c r="N30" s="132">
        <f>IF(SER_hh_emih!N30=0,0,SER_hh_emih!N30/SER_summary!N$26)</f>
        <v>6.2630030705312851</v>
      </c>
      <c r="O30" s="132">
        <f>IF(SER_hh_emih!O30=0,0,SER_hh_emih!O30/SER_summary!O$26)</f>
        <v>6.6781632509229079</v>
      </c>
      <c r="P30" s="132">
        <f>IF(SER_hh_emih!P30=0,0,SER_hh_emih!P30/SER_summary!P$26)</f>
        <v>1.0114760371536629</v>
      </c>
      <c r="Q30" s="132">
        <f>IF(SER_hh_emih!Q30=0,0,SER_hh_emih!Q30/SER_summary!Q$26)</f>
        <v>6.8157315188871781</v>
      </c>
      <c r="R30" s="132">
        <f>IF(SER_hh_emih!R30=0,0,SER_hh_emih!R30/SER_summary!R$26)</f>
        <v>6.0927110264255218</v>
      </c>
      <c r="S30" s="132">
        <f>IF(SER_hh_emih!S30=0,0,SER_hh_emih!S30/SER_summary!S$26)</f>
        <v>5.363378980081416</v>
      </c>
      <c r="T30" s="132">
        <f>IF(SER_hh_emih!T30=0,0,SER_hh_emih!T30/SER_summary!T$26)</f>
        <v>5.2357208360533969</v>
      </c>
      <c r="U30" s="132">
        <f>IF(SER_hh_emih!U30=0,0,SER_hh_emih!U30/SER_summary!U$26)</f>
        <v>5.0633568927819823</v>
      </c>
      <c r="V30" s="132">
        <f>IF(SER_hh_emih!V30=0,0,SER_hh_emih!V30/SER_summary!V$26)</f>
        <v>5.0198504281528917</v>
      </c>
      <c r="W30" s="132">
        <f>IF(SER_hh_emih!W30=0,0,SER_hh_emih!W30/SER_summary!W$26)</f>
        <v>5.935928012551952</v>
      </c>
      <c r="X30" s="132">
        <f>IF(SER_hh_emih!X30=0,0,SER_hh_emih!X30/SER_summary!X$26)</f>
        <v>5.2682478136390785</v>
      </c>
      <c r="Y30" s="132">
        <f>IF(SER_hh_emih!Y30=0,0,SER_hh_emih!Y30/SER_summary!Y$26)</f>
        <v>5.4892839516859055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4.8680684772825842</v>
      </c>
      <c r="C31" s="132">
        <f>IF(SER_hh_emih!C31=0,0,SER_hh_emih!C31/SER_summary!C$26)</f>
        <v>4.8910367973766817</v>
      </c>
      <c r="D31" s="132">
        <f>IF(SER_hh_emih!D31=0,0,SER_hh_emih!D31/SER_summary!D$26)</f>
        <v>4.829191683975858</v>
      </c>
      <c r="E31" s="132">
        <f>IF(SER_hh_emih!E31=0,0,SER_hh_emih!E31/SER_summary!E$26)</f>
        <v>4.9749516693893234</v>
      </c>
      <c r="F31" s="132">
        <f>IF(SER_hh_emih!F31=0,0,SER_hh_emih!F31/SER_summary!F$26)</f>
        <v>4.9527868456924002</v>
      </c>
      <c r="G31" s="132">
        <f>IF(SER_hh_emih!G31=0,0,SER_hh_emih!G31/SER_summary!G$26)</f>
        <v>4.9288959263319327</v>
      </c>
      <c r="H31" s="132">
        <f>IF(SER_hh_emih!H31=0,0,SER_hh_emih!H31/SER_summary!H$26)</f>
        <v>4.5920884576714647</v>
      </c>
      <c r="I31" s="132">
        <f>IF(SER_hh_emih!I31=0,0,SER_hh_emih!I31/SER_summary!I$26)</f>
        <v>5.0053028813746456</v>
      </c>
      <c r="J31" s="132">
        <f>IF(SER_hh_emih!J31=0,0,SER_hh_emih!J31/SER_summary!J$26)</f>
        <v>5.0955548026033721</v>
      </c>
      <c r="K31" s="132">
        <f>IF(SER_hh_emih!K31=0,0,SER_hh_emih!K31/SER_summary!K$26)</f>
        <v>4.8037663801504618</v>
      </c>
      <c r="L31" s="132">
        <f>IF(SER_hh_emih!L31=0,0,SER_hh_emih!L31/SER_summary!L$26)</f>
        <v>4.6444460843072841</v>
      </c>
      <c r="M31" s="132">
        <f>IF(SER_hh_emih!M31=0,0,SER_hh_emih!M31/SER_summary!M$26)</f>
        <v>5.0024212257472707</v>
      </c>
      <c r="N31" s="132">
        <f>IF(SER_hh_emih!N31=0,0,SER_hh_emih!N31/SER_summary!N$26)</f>
        <v>4.7151310579089269</v>
      </c>
      <c r="O31" s="132">
        <f>IF(SER_hh_emih!O31=0,0,SER_hh_emih!O31/SER_summary!O$26)</f>
        <v>4.7162692840604468</v>
      </c>
      <c r="P31" s="132">
        <f>IF(SER_hh_emih!P31=0,0,SER_hh_emih!P31/SER_summary!P$26)</f>
        <v>5.2410674079832535</v>
      </c>
      <c r="Q31" s="132">
        <f>IF(SER_hh_emih!Q31=0,0,SER_hh_emih!Q31/SER_summary!Q$26)</f>
        <v>4.6567271548239564</v>
      </c>
      <c r="R31" s="132">
        <f>IF(SER_hh_emih!R31=0,0,SER_hh_emih!R31/SER_summary!R$26)</f>
        <v>4.7522038498371222</v>
      </c>
      <c r="S31" s="132">
        <f>IF(SER_hh_emih!S31=0,0,SER_hh_emih!S31/SER_summary!S$26)</f>
        <v>4.8934432356725139</v>
      </c>
      <c r="T31" s="132">
        <f>IF(SER_hh_emih!T31=0,0,SER_hh_emih!T31/SER_summary!T$26)</f>
        <v>4.5228404639060447</v>
      </c>
      <c r="U31" s="132">
        <f>IF(SER_hh_emih!U31=0,0,SER_hh_emih!U31/SER_summary!U$26)</f>
        <v>3.9781269131780794</v>
      </c>
      <c r="V31" s="132">
        <f>IF(SER_hh_emih!V31=0,0,SER_hh_emih!V31/SER_summary!V$26)</f>
        <v>4.3926797826650743</v>
      </c>
      <c r="W31" s="132">
        <f>IF(SER_hh_emih!W31=0,0,SER_hh_emih!W31/SER_summary!W$26)</f>
        <v>4.7137941311358755</v>
      </c>
      <c r="X31" s="132">
        <f>IF(SER_hh_emih!X31=0,0,SER_hh_emih!X31/SER_summary!X$26)</f>
        <v>4.6851914102558041</v>
      </c>
      <c r="Y31" s="132">
        <f>IF(SER_hh_emih!Y31=0,0,SER_hh_emih!Y31/SER_summary!Y$26)</f>
        <v>4.7187371316062201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7568.5483931700073</v>
      </c>
      <c r="D3" s="124">
        <f t="shared" si="0"/>
        <v>4932.831450459912</v>
      </c>
      <c r="E3" s="124">
        <f t="shared" si="0"/>
        <v>3045.6445532202079</v>
      </c>
      <c r="F3" s="124">
        <f t="shared" si="0"/>
        <v>1598.4136536962508</v>
      </c>
      <c r="G3" s="124">
        <f t="shared" si="0"/>
        <v>7622.1425209456902</v>
      </c>
      <c r="H3" s="124">
        <f t="shared" si="0"/>
        <v>11911.993730582801</v>
      </c>
      <c r="I3" s="124">
        <f t="shared" si="0"/>
        <v>14672.150006192522</v>
      </c>
      <c r="J3" s="124">
        <f t="shared" si="0"/>
        <v>9291.485725540073</v>
      </c>
      <c r="K3" s="124">
        <f t="shared" si="0"/>
        <v>1739.438199293148</v>
      </c>
      <c r="L3" s="124">
        <f t="shared" si="0"/>
        <v>6174.8185850043665</v>
      </c>
      <c r="M3" s="124">
        <f t="shared" si="0"/>
        <v>7437.4326227675256</v>
      </c>
      <c r="N3" s="124">
        <f t="shared" si="0"/>
        <v>3131.3305805979967</v>
      </c>
      <c r="O3" s="124">
        <f t="shared" si="0"/>
        <v>1778.4536355389766</v>
      </c>
      <c r="P3" s="124">
        <f t="shared" si="0"/>
        <v>1889.6995922371093</v>
      </c>
      <c r="Q3" s="124">
        <f t="shared" si="0"/>
        <v>8328.998102723257</v>
      </c>
      <c r="R3" s="124">
        <f t="shared" si="0"/>
        <v>4282.6692270857766</v>
      </c>
      <c r="S3" s="124">
        <f t="shared" si="0"/>
        <v>5328.7067014947997</v>
      </c>
      <c r="T3" s="124">
        <f t="shared" si="0"/>
        <v>5181.3469399437254</v>
      </c>
      <c r="U3" s="124">
        <f t="shared" si="0"/>
        <v>5054.8147575063631</v>
      </c>
      <c r="V3" s="124">
        <f t="shared" si="0"/>
        <v>4999.1908802615726</v>
      </c>
      <c r="W3" s="124">
        <f t="shared" si="0"/>
        <v>5008.1296756247284</v>
      </c>
      <c r="X3" s="124">
        <f t="shared" si="0"/>
        <v>4957.4467068856793</v>
      </c>
      <c r="Y3" s="124">
        <f t="shared" si="0"/>
        <v>4901.7748882664619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7568.5483931700073</v>
      </c>
      <c r="D4" s="139">
        <f t="shared" si="1"/>
        <v>4932.831450459912</v>
      </c>
      <c r="E4" s="139">
        <f t="shared" si="1"/>
        <v>3045.6445532202079</v>
      </c>
      <c r="F4" s="139">
        <f t="shared" si="1"/>
        <v>1598.4136536962508</v>
      </c>
      <c r="G4" s="139">
        <f t="shared" si="1"/>
        <v>7622.1425209456902</v>
      </c>
      <c r="H4" s="139">
        <f t="shared" si="1"/>
        <v>11911.993730582801</v>
      </c>
      <c r="I4" s="139">
        <f t="shared" si="1"/>
        <v>14672.150006192522</v>
      </c>
      <c r="J4" s="139">
        <f t="shared" si="1"/>
        <v>9291.485725540073</v>
      </c>
      <c r="K4" s="139">
        <f t="shared" si="1"/>
        <v>1739.438199293148</v>
      </c>
      <c r="L4" s="139">
        <f t="shared" si="1"/>
        <v>6174.8185850043665</v>
      </c>
      <c r="M4" s="139">
        <f t="shared" si="1"/>
        <v>7437.4326227675256</v>
      </c>
      <c r="N4" s="139">
        <f t="shared" si="1"/>
        <v>3131.3305805979967</v>
      </c>
      <c r="O4" s="139">
        <f t="shared" si="1"/>
        <v>1778.4536355389766</v>
      </c>
      <c r="P4" s="139">
        <f t="shared" si="1"/>
        <v>1889.6995922371093</v>
      </c>
      <c r="Q4" s="139">
        <f t="shared" si="1"/>
        <v>8328.998102723257</v>
      </c>
      <c r="R4" s="139">
        <f t="shared" ref="R4:W4" si="2">SUM(R5:R14)</f>
        <v>4282.6692270857766</v>
      </c>
      <c r="S4" s="139">
        <f t="shared" si="2"/>
        <v>5328.7067014947997</v>
      </c>
      <c r="T4" s="139">
        <f t="shared" si="2"/>
        <v>5181.3469399437254</v>
      </c>
      <c r="U4" s="139">
        <f t="shared" si="2"/>
        <v>5054.8147575063631</v>
      </c>
      <c r="V4" s="139">
        <f t="shared" si="2"/>
        <v>4999.1908802615726</v>
      </c>
      <c r="W4" s="139">
        <f t="shared" si="2"/>
        <v>5008.1296756247284</v>
      </c>
      <c r="X4" s="139">
        <f t="shared" ref="X4:Y4" si="3">SUM(X5:X14)</f>
        <v>4957.4467068856793</v>
      </c>
      <c r="Y4" s="139">
        <f t="shared" si="3"/>
        <v>4901.7748882664619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0.63798166550396584</v>
      </c>
      <c r="D5" s="140">
        <v>1.8900063506255727</v>
      </c>
      <c r="E5" s="140">
        <v>1.6843902329435414</v>
      </c>
      <c r="F5" s="140">
        <v>0.21580313192700437</v>
      </c>
      <c r="G5" s="140">
        <v>8.1152216879721486</v>
      </c>
      <c r="H5" s="140">
        <v>16.269584032186881</v>
      </c>
      <c r="I5" s="140">
        <v>34.300161395969425</v>
      </c>
      <c r="J5" s="140">
        <v>18.838013564614378</v>
      </c>
      <c r="K5" s="140">
        <v>2.9536285547763899</v>
      </c>
      <c r="L5" s="140">
        <v>3.1098565638710323</v>
      </c>
      <c r="M5" s="140">
        <v>2.3922242363045711</v>
      </c>
      <c r="N5" s="140">
        <v>1.1177790354929948</v>
      </c>
      <c r="O5" s="140">
        <v>1.12598415979057</v>
      </c>
      <c r="P5" s="140">
        <v>3.2537748493026397</v>
      </c>
      <c r="Q5" s="140">
        <v>25.221101631832575</v>
      </c>
      <c r="R5" s="140">
        <v>21.625032305537651</v>
      </c>
      <c r="S5" s="140">
        <v>9.0031934216165315</v>
      </c>
      <c r="T5" s="140">
        <v>0.1773587609743098</v>
      </c>
      <c r="U5" s="140">
        <v>0</v>
      </c>
      <c r="V5" s="140">
        <v>4.6144360841818095</v>
      </c>
      <c r="W5" s="140">
        <v>10.156871624125081</v>
      </c>
      <c r="X5" s="140">
        <v>30.326945488691983</v>
      </c>
      <c r="Y5" s="140">
        <v>34.006986458898751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195.01073967833355</v>
      </c>
      <c r="D7" s="140">
        <v>175.22250196064095</v>
      </c>
      <c r="E7" s="140">
        <v>101.64154266681612</v>
      </c>
      <c r="F7" s="140">
        <v>82.118687879709142</v>
      </c>
      <c r="G7" s="140">
        <v>365.23304665472506</v>
      </c>
      <c r="H7" s="140">
        <v>614.92100851771897</v>
      </c>
      <c r="I7" s="140">
        <v>838.36253136656705</v>
      </c>
      <c r="J7" s="140">
        <v>354.17514928709562</v>
      </c>
      <c r="K7" s="140">
        <v>90.639032470063142</v>
      </c>
      <c r="L7" s="140">
        <v>367.18404240561404</v>
      </c>
      <c r="M7" s="140">
        <v>509.6188896543772</v>
      </c>
      <c r="N7" s="140">
        <v>189.8609089737935</v>
      </c>
      <c r="O7" s="140">
        <v>130.67228212966816</v>
      </c>
      <c r="P7" s="140">
        <v>94.740226265291867</v>
      </c>
      <c r="Q7" s="140">
        <v>498.1441851789034</v>
      </c>
      <c r="R7" s="140">
        <v>125.93979915134265</v>
      </c>
      <c r="S7" s="140">
        <v>240.58240857483256</v>
      </c>
      <c r="T7" s="140">
        <v>235.61067612955526</v>
      </c>
      <c r="U7" s="140">
        <v>372.75747562354348</v>
      </c>
      <c r="V7" s="140">
        <v>310.54102036827561</v>
      </c>
      <c r="W7" s="140">
        <v>414.10765426321564</v>
      </c>
      <c r="X7" s="140">
        <v>469.6295582855584</v>
      </c>
      <c r="Y7" s="140">
        <v>424.54497629308116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3.2340822551005948</v>
      </c>
      <c r="D8" s="140">
        <v>3.1588216227823978</v>
      </c>
      <c r="E8" s="140">
        <v>2.3370238909750749</v>
      </c>
      <c r="F8" s="140">
        <v>1.0885079872548429</v>
      </c>
      <c r="G8" s="140">
        <v>6.0586686837492651</v>
      </c>
      <c r="H8" s="140">
        <v>10.201604975191055</v>
      </c>
      <c r="I8" s="140">
        <v>16.703822876786543</v>
      </c>
      <c r="J8" s="140">
        <v>9.3513625906340145</v>
      </c>
      <c r="K8" s="140">
        <v>2.5966825430729936</v>
      </c>
      <c r="L8" s="140">
        <v>7.9944684321766397</v>
      </c>
      <c r="M8" s="140">
        <v>13.490104062982006</v>
      </c>
      <c r="N8" s="140">
        <v>6.6128056435672695</v>
      </c>
      <c r="O8" s="140">
        <v>7.5411877353906327</v>
      </c>
      <c r="P8" s="140">
        <v>22.828268965807329</v>
      </c>
      <c r="Q8" s="140">
        <v>58.333063734594475</v>
      </c>
      <c r="R8" s="140">
        <v>22.068318605902952</v>
      </c>
      <c r="S8" s="140">
        <v>11.783622690024544</v>
      </c>
      <c r="T8" s="140">
        <v>15.643670173828003</v>
      </c>
      <c r="U8" s="140">
        <v>22.226197868118341</v>
      </c>
      <c r="V8" s="140">
        <v>31.409761741975114</v>
      </c>
      <c r="W8" s="140">
        <v>38.476215275456305</v>
      </c>
      <c r="X8" s="140">
        <v>47.122268059321009</v>
      </c>
      <c r="Y8" s="140">
        <v>45.653457910689404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4667.6135305793414</v>
      </c>
      <c r="D9" s="140">
        <v>3053.4949220767535</v>
      </c>
      <c r="E9" s="140">
        <v>1980.3476016824534</v>
      </c>
      <c r="F9" s="140">
        <v>1075.2033226718311</v>
      </c>
      <c r="G9" s="140">
        <v>4640.1835198798117</v>
      </c>
      <c r="H9" s="140">
        <v>7413.7040520098863</v>
      </c>
      <c r="I9" s="140">
        <v>9321.7405296740053</v>
      </c>
      <c r="J9" s="140">
        <v>6701.3812123448406</v>
      </c>
      <c r="K9" s="140">
        <v>1206.1120607784619</v>
      </c>
      <c r="L9" s="140">
        <v>5068.0848766128038</v>
      </c>
      <c r="M9" s="140">
        <v>5370.0272818483199</v>
      </c>
      <c r="N9" s="140">
        <v>2506.2606094822609</v>
      </c>
      <c r="O9" s="140">
        <v>1345.1641262985336</v>
      </c>
      <c r="P9" s="140">
        <v>1301.8151274192232</v>
      </c>
      <c r="Q9" s="140">
        <v>6140.7795989264732</v>
      </c>
      <c r="R9" s="140">
        <v>2848.0049239607029</v>
      </c>
      <c r="S9" s="140">
        <v>2709.336011488524</v>
      </c>
      <c r="T9" s="140">
        <v>2607.7507351022691</v>
      </c>
      <c r="U9" s="140">
        <v>2676.3068181394174</v>
      </c>
      <c r="V9" s="140">
        <v>2735.1717152729307</v>
      </c>
      <c r="W9" s="140">
        <v>2193.3449296248946</v>
      </c>
      <c r="X9" s="140">
        <v>1451.7903084994014</v>
      </c>
      <c r="Y9" s="140">
        <v>2057.2958113334485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240.32465225667733</v>
      </c>
      <c r="D10" s="140">
        <v>79.450586487607566</v>
      </c>
      <c r="E10" s="140">
        <v>46.929864636221851</v>
      </c>
      <c r="F10" s="140">
        <v>38.186942432406909</v>
      </c>
      <c r="G10" s="140">
        <v>249.23700987278238</v>
      </c>
      <c r="H10" s="140">
        <v>483.40221607697703</v>
      </c>
      <c r="I10" s="140">
        <v>541.7562488720182</v>
      </c>
      <c r="J10" s="140">
        <v>293.85241866921251</v>
      </c>
      <c r="K10" s="140">
        <v>28.431809983392803</v>
      </c>
      <c r="L10" s="140">
        <v>75.660916969072886</v>
      </c>
      <c r="M10" s="140">
        <v>123.10067007888438</v>
      </c>
      <c r="N10" s="140">
        <v>55.297524884077546</v>
      </c>
      <c r="O10" s="140">
        <v>44.156487467516676</v>
      </c>
      <c r="P10" s="140">
        <v>91.53728802296142</v>
      </c>
      <c r="Q10" s="140">
        <v>195.62893749447127</v>
      </c>
      <c r="R10" s="140">
        <v>196.72068273233981</v>
      </c>
      <c r="S10" s="140">
        <v>321.28080689068383</v>
      </c>
      <c r="T10" s="140">
        <v>336.77928622938543</v>
      </c>
      <c r="U10" s="140">
        <v>249.10029861125744</v>
      </c>
      <c r="V10" s="140">
        <v>167.92916498189774</v>
      </c>
      <c r="W10" s="140">
        <v>171.56690166027207</v>
      </c>
      <c r="X10" s="140">
        <v>108.93998791873278</v>
      </c>
      <c r="Y10" s="140">
        <v>120.07192923040165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1159.36338805491</v>
      </c>
      <c r="D12" s="140">
        <v>643.06936765845126</v>
      </c>
      <c r="E12" s="140">
        <v>186.66824783831319</v>
      </c>
      <c r="F12" s="140">
        <v>0</v>
      </c>
      <c r="G12" s="140">
        <v>323.60729591051182</v>
      </c>
      <c r="H12" s="140">
        <v>896.8999377004385</v>
      </c>
      <c r="I12" s="140">
        <v>1380.723186869385</v>
      </c>
      <c r="J12" s="140">
        <v>730.61679055234481</v>
      </c>
      <c r="K12" s="140">
        <v>165.27420677977642</v>
      </c>
      <c r="L12" s="140">
        <v>115.0995455390087</v>
      </c>
      <c r="M12" s="140">
        <v>0</v>
      </c>
      <c r="N12" s="140">
        <v>0</v>
      </c>
      <c r="O12" s="140">
        <v>0</v>
      </c>
      <c r="P12" s="140">
        <v>0</v>
      </c>
      <c r="Q12" s="140">
        <v>518.55838234970145</v>
      </c>
      <c r="R12" s="140">
        <v>491.74554980290088</v>
      </c>
      <c r="S12" s="140">
        <v>747.29479745778201</v>
      </c>
      <c r="T12" s="140">
        <v>555.69578989011291</v>
      </c>
      <c r="U12" s="140">
        <v>587.87421567334502</v>
      </c>
      <c r="V12" s="140">
        <v>340.21165335476769</v>
      </c>
      <c r="W12" s="140">
        <v>392.78453856323296</v>
      </c>
      <c r="X12" s="140">
        <v>442.34973923703672</v>
      </c>
      <c r="Y12" s="140">
        <v>280.50441440965648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48.497766021455156</v>
      </c>
      <c r="D13" s="140">
        <v>55.633330542383646</v>
      </c>
      <c r="E13" s="140">
        <v>46.584302498198376</v>
      </c>
      <c r="F13" s="140">
        <v>39.842874482042895</v>
      </c>
      <c r="G13" s="140">
        <v>228.40714435649755</v>
      </c>
      <c r="H13" s="140">
        <v>375.67038541682456</v>
      </c>
      <c r="I13" s="140">
        <v>540.84176383380668</v>
      </c>
      <c r="J13" s="140">
        <v>359.72672247853222</v>
      </c>
      <c r="K13" s="140">
        <v>94.739862672720264</v>
      </c>
      <c r="L13" s="140">
        <v>291.28396410544053</v>
      </c>
      <c r="M13" s="140">
        <v>443.06395232143331</v>
      </c>
      <c r="N13" s="140">
        <v>185.61538614040256</v>
      </c>
      <c r="O13" s="140">
        <v>154.79106634675026</v>
      </c>
      <c r="P13" s="140">
        <v>375.5249067145229</v>
      </c>
      <c r="Q13" s="140">
        <v>892.33283340728065</v>
      </c>
      <c r="R13" s="140">
        <v>498.66383940102145</v>
      </c>
      <c r="S13" s="140">
        <v>475.6121950871123</v>
      </c>
      <c r="T13" s="140">
        <v>630.5231081598032</v>
      </c>
      <c r="U13" s="140">
        <v>694.21669085016663</v>
      </c>
      <c r="V13" s="140">
        <v>802.21981550612873</v>
      </c>
      <c r="W13" s="140">
        <v>765.16236502244442</v>
      </c>
      <c r="X13" s="140">
        <v>978.64403683919863</v>
      </c>
      <c r="Y13" s="140">
        <v>995.38191156866276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1253.8662526586854</v>
      </c>
      <c r="D14" s="141">
        <v>920.91191376066752</v>
      </c>
      <c r="E14" s="141">
        <v>679.45157977428664</v>
      </c>
      <c r="F14" s="141">
        <v>361.75751511107916</v>
      </c>
      <c r="G14" s="141">
        <v>1801.3006138996393</v>
      </c>
      <c r="H14" s="141">
        <v>2100.9249418535778</v>
      </c>
      <c r="I14" s="141">
        <v>1997.7217613039832</v>
      </c>
      <c r="J14" s="141">
        <v>823.54405605279885</v>
      </c>
      <c r="K14" s="141">
        <v>148.69091551088405</v>
      </c>
      <c r="L14" s="141">
        <v>246.40091437637852</v>
      </c>
      <c r="M14" s="141">
        <v>975.73950056522551</v>
      </c>
      <c r="N14" s="141">
        <v>186.56556643840167</v>
      </c>
      <c r="O14" s="141">
        <v>95.002501401326654</v>
      </c>
      <c r="P14" s="141">
        <v>0</v>
      </c>
      <c r="Q14" s="141">
        <v>0</v>
      </c>
      <c r="R14" s="141">
        <v>77.901081126029098</v>
      </c>
      <c r="S14" s="141">
        <v>813.81366588422441</v>
      </c>
      <c r="T14" s="141">
        <v>799.16631549779709</v>
      </c>
      <c r="U14" s="141">
        <v>452.33306074051507</v>
      </c>
      <c r="V14" s="141">
        <v>607.0933129514151</v>
      </c>
      <c r="W14" s="141">
        <v>1022.5301995910874</v>
      </c>
      <c r="X14" s="141">
        <v>1428.6438625577384</v>
      </c>
      <c r="Y14" s="141">
        <v>944.31540106162277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6266.184374489867</v>
      </c>
      <c r="D15" s="143">
        <f t="shared" si="4"/>
        <v>3956.2862061568612</v>
      </c>
      <c r="E15" s="143">
        <f t="shared" si="4"/>
        <v>2319.6086709477231</v>
      </c>
      <c r="F15" s="143">
        <f t="shared" si="4"/>
        <v>1196.8132641031289</v>
      </c>
      <c r="G15" s="143">
        <f t="shared" si="4"/>
        <v>5592.4347626895533</v>
      </c>
      <c r="H15" s="143">
        <f t="shared" si="4"/>
        <v>9435.3984033123979</v>
      </c>
      <c r="I15" s="143">
        <f t="shared" si="4"/>
        <v>12133.586481054732</v>
      </c>
      <c r="J15" s="143">
        <f t="shared" si="4"/>
        <v>8108.2149470087425</v>
      </c>
      <c r="K15" s="143">
        <f t="shared" si="4"/>
        <v>1496.0074211095439</v>
      </c>
      <c r="L15" s="143">
        <f t="shared" si="4"/>
        <v>5637.1337065225471</v>
      </c>
      <c r="M15" s="143">
        <f t="shared" si="4"/>
        <v>6018.6291698808673</v>
      </c>
      <c r="N15" s="143">
        <f t="shared" si="4"/>
        <v>2759.1496280191923</v>
      </c>
      <c r="O15" s="143">
        <f t="shared" si="4"/>
        <v>1528.6600677908996</v>
      </c>
      <c r="P15" s="143">
        <f t="shared" si="4"/>
        <v>1514.1746855225863</v>
      </c>
      <c r="Q15" s="143">
        <f t="shared" si="4"/>
        <v>7436.6652693159767</v>
      </c>
      <c r="R15" s="143">
        <f t="shared" ref="R15:W15" si="5">SUM(R5:R12)</f>
        <v>3706.1043065587269</v>
      </c>
      <c r="S15" s="143">
        <f t="shared" si="5"/>
        <v>4039.2808405234632</v>
      </c>
      <c r="T15" s="143">
        <f t="shared" si="5"/>
        <v>3751.657516286125</v>
      </c>
      <c r="U15" s="143">
        <f t="shared" si="5"/>
        <v>3908.2650059156817</v>
      </c>
      <c r="V15" s="143">
        <f t="shared" si="5"/>
        <v>3589.8777518040288</v>
      </c>
      <c r="W15" s="143">
        <f t="shared" si="5"/>
        <v>3220.4371110111965</v>
      </c>
      <c r="X15" s="143">
        <f t="shared" ref="X15:Y15" si="6">SUM(X5:X12)</f>
        <v>2550.1588074887422</v>
      </c>
      <c r="Y15" s="143">
        <f t="shared" si="6"/>
        <v>2962.0775756361759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7568.5483931700082</v>
      </c>
      <c r="D16" s="139">
        <f t="shared" si="7"/>
        <v>4932.8314504599139</v>
      </c>
      <c r="E16" s="139">
        <f t="shared" si="7"/>
        <v>3045.6445532202083</v>
      </c>
      <c r="F16" s="139">
        <f t="shared" si="7"/>
        <v>1598.413653696251</v>
      </c>
      <c r="G16" s="139">
        <f t="shared" si="7"/>
        <v>7622.1425209456884</v>
      </c>
      <c r="H16" s="139">
        <f t="shared" si="7"/>
        <v>11911.993730582801</v>
      </c>
      <c r="I16" s="139">
        <f t="shared" si="7"/>
        <v>14672.150006192522</v>
      </c>
      <c r="J16" s="139">
        <f t="shared" si="7"/>
        <v>9291.4857255400748</v>
      </c>
      <c r="K16" s="139">
        <f t="shared" si="7"/>
        <v>1739.4381992931485</v>
      </c>
      <c r="L16" s="139">
        <f t="shared" si="7"/>
        <v>6174.8185850043646</v>
      </c>
      <c r="M16" s="139">
        <f t="shared" si="7"/>
        <v>7437.4326227675265</v>
      </c>
      <c r="N16" s="139">
        <f t="shared" si="7"/>
        <v>3131.3305805979967</v>
      </c>
      <c r="O16" s="139">
        <f t="shared" si="7"/>
        <v>1778.4536355389764</v>
      </c>
      <c r="P16" s="139">
        <f t="shared" si="7"/>
        <v>1889.6995922371095</v>
      </c>
      <c r="Q16" s="139">
        <f t="shared" si="7"/>
        <v>8328.9981027232552</v>
      </c>
      <c r="R16" s="139">
        <f t="shared" ref="R16:W16" si="8">SUM(R17:R18)</f>
        <v>4282.6692270857775</v>
      </c>
      <c r="S16" s="139">
        <f t="shared" si="8"/>
        <v>5328.7067014948007</v>
      </c>
      <c r="T16" s="139">
        <f t="shared" si="8"/>
        <v>5181.3469399437263</v>
      </c>
      <c r="U16" s="139">
        <f t="shared" si="8"/>
        <v>5054.814757506364</v>
      </c>
      <c r="V16" s="139">
        <f t="shared" si="8"/>
        <v>4999.1908802615708</v>
      </c>
      <c r="W16" s="139">
        <f t="shared" si="8"/>
        <v>5008.1296756247284</v>
      </c>
      <c r="X16" s="139">
        <f t="shared" ref="X16:Y16" si="9">SUM(X17:X18)</f>
        <v>4957.4467068856793</v>
      </c>
      <c r="Y16" s="139">
        <f t="shared" si="9"/>
        <v>4901.7748882664619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19.850546967876447</v>
      </c>
      <c r="D17" s="140">
        <v>19.523324887525511</v>
      </c>
      <c r="E17" s="140">
        <v>8.8137609731158246</v>
      </c>
      <c r="F17" s="140">
        <v>10.443669097681669</v>
      </c>
      <c r="G17" s="140">
        <v>33.390385383534777</v>
      </c>
      <c r="H17" s="140">
        <v>69.960775939026504</v>
      </c>
      <c r="I17" s="140">
        <v>101.84077621139272</v>
      </c>
      <c r="J17" s="140">
        <v>65.935523031762443</v>
      </c>
      <c r="K17" s="140">
        <v>12.242496121705472</v>
      </c>
      <c r="L17" s="140">
        <v>41.398757761308232</v>
      </c>
      <c r="M17" s="140">
        <v>58.755586994562144</v>
      </c>
      <c r="N17" s="140">
        <v>33.93290711160526</v>
      </c>
      <c r="O17" s="140">
        <v>30.174774591423006</v>
      </c>
      <c r="P17" s="140">
        <v>49.705699959326566</v>
      </c>
      <c r="Q17" s="140">
        <v>269.46356924608148</v>
      </c>
      <c r="R17" s="140">
        <v>146.21091673206053</v>
      </c>
      <c r="S17" s="140">
        <v>144.39490322831176</v>
      </c>
      <c r="T17" s="140">
        <v>132.03357701710371</v>
      </c>
      <c r="U17" s="140">
        <v>125.31294447581692</v>
      </c>
      <c r="V17" s="140">
        <v>109.5752194223743</v>
      </c>
      <c r="W17" s="140">
        <v>96.819567448781228</v>
      </c>
      <c r="X17" s="140">
        <v>140.46424991429194</v>
      </c>
      <c r="Y17" s="140">
        <v>131.11333617658011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7548.6978462021316</v>
      </c>
      <c r="D18" s="140">
        <v>4913.3081255723882</v>
      </c>
      <c r="E18" s="140">
        <v>3036.8307922470926</v>
      </c>
      <c r="F18" s="140">
        <v>1587.9699845985692</v>
      </c>
      <c r="G18" s="140">
        <v>7588.7521355621539</v>
      </c>
      <c r="H18" s="140">
        <v>11842.032954643773</v>
      </c>
      <c r="I18" s="140">
        <v>14570.309229981129</v>
      </c>
      <c r="J18" s="140">
        <v>9225.5502025083115</v>
      </c>
      <c r="K18" s="140">
        <v>1727.195703171443</v>
      </c>
      <c r="L18" s="140">
        <v>6133.4198272430567</v>
      </c>
      <c r="M18" s="140">
        <v>7378.6770357729647</v>
      </c>
      <c r="N18" s="140">
        <v>3097.3976734863913</v>
      </c>
      <c r="O18" s="140">
        <v>1748.2788609475533</v>
      </c>
      <c r="P18" s="140">
        <v>1839.9938922777831</v>
      </c>
      <c r="Q18" s="140">
        <v>8059.5345334771746</v>
      </c>
      <c r="R18" s="140">
        <v>4136.458310353717</v>
      </c>
      <c r="S18" s="140">
        <v>5184.3117982664889</v>
      </c>
      <c r="T18" s="140">
        <v>5049.3133629266222</v>
      </c>
      <c r="U18" s="140">
        <v>4929.5018130305471</v>
      </c>
      <c r="V18" s="140">
        <v>4889.6156608391966</v>
      </c>
      <c r="W18" s="140">
        <v>4911.3101081759469</v>
      </c>
      <c r="X18" s="140">
        <v>4816.9824569713874</v>
      </c>
      <c r="Y18" s="140">
        <v>4770.6615520898813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7568.5483931700073</v>
      </c>
      <c r="D19" s="139">
        <f t="shared" si="10"/>
        <v>4932.831450459913</v>
      </c>
      <c r="E19" s="139">
        <f t="shared" si="10"/>
        <v>3045.6445532202083</v>
      </c>
      <c r="F19" s="139">
        <f t="shared" si="10"/>
        <v>1598.4136536962508</v>
      </c>
      <c r="G19" s="139">
        <f t="shared" si="10"/>
        <v>7622.1425209456875</v>
      </c>
      <c r="H19" s="139">
        <f t="shared" si="10"/>
        <v>11911.993730582799</v>
      </c>
      <c r="I19" s="139">
        <f t="shared" si="10"/>
        <v>14672.150006192522</v>
      </c>
      <c r="J19" s="139">
        <f t="shared" si="10"/>
        <v>9291.485725540073</v>
      </c>
      <c r="K19" s="139">
        <f t="shared" si="10"/>
        <v>1739.4381992931485</v>
      </c>
      <c r="L19" s="139">
        <f t="shared" si="10"/>
        <v>6174.8185850043665</v>
      </c>
      <c r="M19" s="139">
        <f t="shared" si="10"/>
        <v>7437.4326227675274</v>
      </c>
      <c r="N19" s="139">
        <f t="shared" si="10"/>
        <v>3131.3305805979962</v>
      </c>
      <c r="O19" s="139">
        <f t="shared" si="10"/>
        <v>1778.4536355389764</v>
      </c>
      <c r="P19" s="139">
        <f t="shared" si="10"/>
        <v>1889.6995922371098</v>
      </c>
      <c r="Q19" s="139">
        <f t="shared" si="10"/>
        <v>8328.998102723257</v>
      </c>
      <c r="R19" s="139">
        <f t="shared" ref="R19:W19" si="11">SUM(R20:R26)</f>
        <v>4282.6692270857766</v>
      </c>
      <c r="S19" s="139">
        <f t="shared" si="11"/>
        <v>5328.7067014948007</v>
      </c>
      <c r="T19" s="139">
        <f t="shared" si="11"/>
        <v>5181.3469399437254</v>
      </c>
      <c r="U19" s="139">
        <f t="shared" si="11"/>
        <v>5054.8147575063631</v>
      </c>
      <c r="V19" s="139">
        <f t="shared" si="11"/>
        <v>4999.1908802615708</v>
      </c>
      <c r="W19" s="139">
        <f t="shared" si="11"/>
        <v>5008.1296756247275</v>
      </c>
      <c r="X19" s="139">
        <f t="shared" ref="X19:Y19" si="12">SUM(X20:X26)</f>
        <v>4957.4467068856784</v>
      </c>
      <c r="Y19" s="139">
        <f t="shared" si="12"/>
        <v>4901.77488826646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220.75449936992808</v>
      </c>
      <c r="D22" s="140">
        <v>144.86680264885845</v>
      </c>
      <c r="E22" s="140">
        <v>100.87281123216981</v>
      </c>
      <c r="F22" s="140">
        <v>63.957686589558399</v>
      </c>
      <c r="G22" s="140">
        <v>276.8193260999771</v>
      </c>
      <c r="H22" s="140">
        <v>427.23622350365616</v>
      </c>
      <c r="I22" s="140">
        <v>519.33018812732575</v>
      </c>
      <c r="J22" s="140">
        <v>361.87783746437827</v>
      </c>
      <c r="K22" s="140">
        <v>77.970953870967264</v>
      </c>
      <c r="L22" s="140">
        <v>229.94706193633112</v>
      </c>
      <c r="M22" s="140">
        <v>284.12249147696423</v>
      </c>
      <c r="N22" s="140">
        <v>139.07527931488829</v>
      </c>
      <c r="O22" s="140">
        <v>87.858844353385081</v>
      </c>
      <c r="P22" s="140">
        <v>114.27281316746468</v>
      </c>
      <c r="Q22" s="140">
        <v>421.17786354977579</v>
      </c>
      <c r="R22" s="140">
        <v>217.70192813217233</v>
      </c>
      <c r="S22" s="140">
        <v>231.19832375653368</v>
      </c>
      <c r="T22" s="140">
        <v>221.05873414744025</v>
      </c>
      <c r="U22" s="140">
        <v>220.74309137864986</v>
      </c>
      <c r="V22" s="140">
        <v>204.89632797094615</v>
      </c>
      <c r="W22" s="140">
        <v>208.33727523140681</v>
      </c>
      <c r="X22" s="140">
        <v>169.59784010001232</v>
      </c>
      <c r="Y22" s="140">
        <v>188.5976789800593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2789.3155754146014</v>
      </c>
      <c r="D23" s="140">
        <v>1923.7175210033135</v>
      </c>
      <c r="E23" s="140">
        <v>1008.1752698529538</v>
      </c>
      <c r="F23" s="140">
        <v>582.7761309408321</v>
      </c>
      <c r="G23" s="140">
        <v>2391.2545506439737</v>
      </c>
      <c r="H23" s="140">
        <v>3773.4374792125445</v>
      </c>
      <c r="I23" s="140">
        <v>4299.3691394293364</v>
      </c>
      <c r="J23" s="140">
        <v>3016.1527879582527</v>
      </c>
      <c r="K23" s="140">
        <v>705.6777672452173</v>
      </c>
      <c r="L23" s="140">
        <v>2330.1769204761022</v>
      </c>
      <c r="M23" s="140">
        <v>2920.4852529870604</v>
      </c>
      <c r="N23" s="140">
        <v>1396.7732452923985</v>
      </c>
      <c r="O23" s="140">
        <v>646.54617133153488</v>
      </c>
      <c r="P23" s="140">
        <v>323.23841618226186</v>
      </c>
      <c r="Q23" s="140">
        <v>1857.1315171882729</v>
      </c>
      <c r="R23" s="140">
        <v>1712.9505503613052</v>
      </c>
      <c r="S23" s="140">
        <v>2323.9677023681611</v>
      </c>
      <c r="T23" s="140">
        <v>1471.1773848250875</v>
      </c>
      <c r="U23" s="140">
        <v>749.95549178782767</v>
      </c>
      <c r="V23" s="140">
        <v>205.42540468440185</v>
      </c>
      <c r="W23" s="140">
        <v>939.21644730002527</v>
      </c>
      <c r="X23" s="140">
        <v>1436.6054499699846</v>
      </c>
      <c r="Y23" s="140">
        <v>1871.3975290980936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451.10004760457048</v>
      </c>
      <c r="D25" s="140">
        <v>251.036838867862</v>
      </c>
      <c r="E25" s="140">
        <v>152.39848319747833</v>
      </c>
      <c r="F25" s="140">
        <v>91.954208827517817</v>
      </c>
      <c r="G25" s="140">
        <v>450.96555876226932</v>
      </c>
      <c r="H25" s="140">
        <v>755.22510727330712</v>
      </c>
      <c r="I25" s="140">
        <v>973.11490106832332</v>
      </c>
      <c r="J25" s="140">
        <v>687.4927557924957</v>
      </c>
      <c r="K25" s="140">
        <v>161.80180864296281</v>
      </c>
      <c r="L25" s="140">
        <v>450.16021026020832</v>
      </c>
      <c r="M25" s="140">
        <v>475.62145787041851</v>
      </c>
      <c r="N25" s="140">
        <v>179.36133348465748</v>
      </c>
      <c r="O25" s="140">
        <v>77.745696370721376</v>
      </c>
      <c r="P25" s="140">
        <v>0</v>
      </c>
      <c r="Q25" s="140">
        <v>188.5112000133401</v>
      </c>
      <c r="R25" s="140">
        <v>228.47455957977257</v>
      </c>
      <c r="S25" s="140">
        <v>310.17901002502208</v>
      </c>
      <c r="T25" s="140">
        <v>309.18787160625357</v>
      </c>
      <c r="U25" s="140">
        <v>268.83752632915883</v>
      </c>
      <c r="V25" s="140">
        <v>278.91815230036275</v>
      </c>
      <c r="W25" s="140">
        <v>257.27768564812089</v>
      </c>
      <c r="X25" s="140">
        <v>286.49075299062696</v>
      </c>
      <c r="Y25" s="140">
        <v>321.94028698653352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4107.3782707809069</v>
      </c>
      <c r="D26" s="141">
        <v>2613.210287939879</v>
      </c>
      <c r="E26" s="141">
        <v>1784.1979889376064</v>
      </c>
      <c r="F26" s="141">
        <v>859.72562733834241</v>
      </c>
      <c r="G26" s="141">
        <v>4503.1030854394676</v>
      </c>
      <c r="H26" s="141">
        <v>6956.0949205932911</v>
      </c>
      <c r="I26" s="141">
        <v>8880.3357775675377</v>
      </c>
      <c r="J26" s="141">
        <v>5225.9623443249466</v>
      </c>
      <c r="K26" s="141">
        <v>793.98766953400104</v>
      </c>
      <c r="L26" s="141">
        <v>3164.5343923317246</v>
      </c>
      <c r="M26" s="141">
        <v>3757.2034204330844</v>
      </c>
      <c r="N26" s="141">
        <v>1416.1207225060521</v>
      </c>
      <c r="O26" s="141">
        <v>966.30292348333501</v>
      </c>
      <c r="P26" s="141">
        <v>1452.1883628873832</v>
      </c>
      <c r="Q26" s="141">
        <v>5862.1775219718675</v>
      </c>
      <c r="R26" s="141">
        <v>2123.5421890125272</v>
      </c>
      <c r="S26" s="141">
        <v>2463.3616653450836</v>
      </c>
      <c r="T26" s="141">
        <v>3179.9229493649445</v>
      </c>
      <c r="U26" s="141">
        <v>3815.278648010727</v>
      </c>
      <c r="V26" s="141">
        <v>4309.9509953058605</v>
      </c>
      <c r="W26" s="141">
        <v>3603.2982674451746</v>
      </c>
      <c r="X26" s="141">
        <v>3064.7526638250547</v>
      </c>
      <c r="Y26" s="141">
        <v>2519.8393932017739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307.38381749042992</v>
      </c>
      <c r="D27" s="150">
        <v>822.72733172722587</v>
      </c>
      <c r="E27" s="150">
        <v>446.13250943260709</v>
      </c>
      <c r="F27" s="150">
        <v>431.05698379131979</v>
      </c>
      <c r="G27" s="150">
        <v>654.96647348351473</v>
      </c>
      <c r="H27" s="150">
        <v>524.79683171464683</v>
      </c>
      <c r="I27" s="150">
        <v>1161.7653399200076</v>
      </c>
      <c r="J27" s="150">
        <v>100.44284965438698</v>
      </c>
      <c r="K27" s="150">
        <v>768.36519456031738</v>
      </c>
      <c r="L27" s="150">
        <v>0</v>
      </c>
      <c r="M27" s="150">
        <v>1093.7274154593742</v>
      </c>
      <c r="N27" s="150">
        <v>234.80111751468607</v>
      </c>
      <c r="O27" s="150">
        <v>578.67057054019199</v>
      </c>
      <c r="P27" s="150">
        <v>705.36442166604968</v>
      </c>
      <c r="Q27" s="150">
        <v>350.1987135763282</v>
      </c>
      <c r="R27" s="150">
        <v>842.02620291282187</v>
      </c>
      <c r="S27" s="150">
        <v>586.96787311069204</v>
      </c>
      <c r="T27" s="150">
        <v>448.25543180102699</v>
      </c>
      <c r="U27" s="150">
        <v>523.58629368250251</v>
      </c>
      <c r="V27" s="150">
        <v>554.5354151969301</v>
      </c>
      <c r="W27" s="150">
        <v>4.6380007107556565E-12</v>
      </c>
      <c r="X27" s="150">
        <v>620.98025967888805</v>
      </c>
      <c r="Y27" s="150">
        <v>598.5784618648895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7568.5483931700073</v>
      </c>
      <c r="D29" s="139">
        <f t="shared" si="13"/>
        <v>4932.831450459913</v>
      </c>
      <c r="E29" s="139">
        <f t="shared" si="13"/>
        <v>3045.6445532202088</v>
      </c>
      <c r="F29" s="139">
        <f t="shared" si="13"/>
        <v>1598.413653696251</v>
      </c>
      <c r="G29" s="139">
        <f t="shared" si="13"/>
        <v>7622.1425209456884</v>
      </c>
      <c r="H29" s="139">
        <f t="shared" si="13"/>
        <v>11911.993730582799</v>
      </c>
      <c r="I29" s="139">
        <f t="shared" si="13"/>
        <v>14672.150006192522</v>
      </c>
      <c r="J29" s="139">
        <f t="shared" si="13"/>
        <v>9291.4857255400748</v>
      </c>
      <c r="K29" s="139">
        <f t="shared" si="13"/>
        <v>1739.438199293148</v>
      </c>
      <c r="L29" s="139">
        <f t="shared" si="13"/>
        <v>6174.8185850043656</v>
      </c>
      <c r="M29" s="139">
        <f t="shared" si="13"/>
        <v>7437.4326227675265</v>
      </c>
      <c r="N29" s="139">
        <f t="shared" si="13"/>
        <v>3131.3305805979971</v>
      </c>
      <c r="O29" s="139">
        <f t="shared" si="13"/>
        <v>1778.4536355389764</v>
      </c>
      <c r="P29" s="139">
        <f t="shared" si="13"/>
        <v>1889.6995922371098</v>
      </c>
      <c r="Q29" s="139">
        <f t="shared" si="13"/>
        <v>8328.998102723257</v>
      </c>
      <c r="R29" s="139">
        <f t="shared" ref="R29:W29" si="14">SUM(R30:R33)</f>
        <v>4282.6692270857766</v>
      </c>
      <c r="S29" s="139">
        <f t="shared" si="14"/>
        <v>5328.7067014948007</v>
      </c>
      <c r="T29" s="139">
        <f t="shared" si="14"/>
        <v>5181.3469399437254</v>
      </c>
      <c r="U29" s="139">
        <f t="shared" si="14"/>
        <v>5054.8147575063631</v>
      </c>
      <c r="V29" s="139">
        <f t="shared" si="14"/>
        <v>4999.1908802615726</v>
      </c>
      <c r="W29" s="139">
        <f t="shared" si="14"/>
        <v>5008.1296756247284</v>
      </c>
      <c r="X29" s="139">
        <f t="shared" ref="X29:Y29" si="15">SUM(X30:X33)</f>
        <v>4957.4467068856793</v>
      </c>
      <c r="Y29" s="139">
        <f t="shared" si="15"/>
        <v>4901.7748882664609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775.38613819971977</v>
      </c>
      <c r="D30" s="140">
        <v>456.08566275187536</v>
      </c>
      <c r="E30" s="140">
        <v>219.94500197989112</v>
      </c>
      <c r="F30" s="140">
        <v>171.28816019677078</v>
      </c>
      <c r="G30" s="140">
        <v>395.77581890021406</v>
      </c>
      <c r="H30" s="140">
        <v>482.2871849465904</v>
      </c>
      <c r="I30" s="140">
        <v>0</v>
      </c>
      <c r="J30" s="140">
        <v>0</v>
      </c>
      <c r="K30" s="140">
        <v>122.75575935018882</v>
      </c>
      <c r="L30" s="140">
        <v>536.68584691222918</v>
      </c>
      <c r="M30" s="140">
        <v>0</v>
      </c>
      <c r="N30" s="140">
        <v>53.830880556063356</v>
      </c>
      <c r="O30" s="140">
        <v>47.104875987745174</v>
      </c>
      <c r="P30" s="140">
        <v>168.91036019097004</v>
      </c>
      <c r="Q30" s="140">
        <v>427.45642837427135</v>
      </c>
      <c r="R30" s="140">
        <v>378.08816435697503</v>
      </c>
      <c r="S30" s="140">
        <v>355.83978783064595</v>
      </c>
      <c r="T30" s="140">
        <v>158.5811622072936</v>
      </c>
      <c r="U30" s="140">
        <v>182.22991822231447</v>
      </c>
      <c r="V30" s="140">
        <v>209.31015127951173</v>
      </c>
      <c r="W30" s="140">
        <v>286.88696497847303</v>
      </c>
      <c r="X30" s="140">
        <v>89.515722327379905</v>
      </c>
      <c r="Y30" s="140">
        <v>16.937492242165636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2219.1449745284554</v>
      </c>
      <c r="D31" s="140">
        <v>1567.2953272258339</v>
      </c>
      <c r="E31" s="140">
        <v>1022.5490053289623</v>
      </c>
      <c r="F31" s="140">
        <v>496.80386096714057</v>
      </c>
      <c r="G31" s="140">
        <v>2298.5990212639736</v>
      </c>
      <c r="H31" s="140">
        <v>3662.0258214348992</v>
      </c>
      <c r="I31" s="140">
        <v>5239.8237346707983</v>
      </c>
      <c r="J31" s="140">
        <v>3123.9427186408966</v>
      </c>
      <c r="K31" s="140">
        <v>524.71047768657843</v>
      </c>
      <c r="L31" s="140">
        <v>1451.3508013147457</v>
      </c>
      <c r="M31" s="140">
        <v>2264.6545123780097</v>
      </c>
      <c r="N31" s="140">
        <v>1011.9883552916153</v>
      </c>
      <c r="O31" s="140">
        <v>598.35978041386045</v>
      </c>
      <c r="P31" s="140">
        <v>619.02310436090954</v>
      </c>
      <c r="Q31" s="140">
        <v>1172.2213277461412</v>
      </c>
      <c r="R31" s="140">
        <v>752.69099593418571</v>
      </c>
      <c r="S31" s="140">
        <v>713.06899852624576</v>
      </c>
      <c r="T31" s="140">
        <v>687.37449452754777</v>
      </c>
      <c r="U31" s="140">
        <v>758.26697764175674</v>
      </c>
      <c r="V31" s="140">
        <v>1263.8765042756797</v>
      </c>
      <c r="W31" s="140">
        <v>1373.5751917925363</v>
      </c>
      <c r="X31" s="140">
        <v>1313.9856021258952</v>
      </c>
      <c r="Y31" s="140">
        <v>1160.5363243521608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4574.0172804418316</v>
      </c>
      <c r="D33" s="152">
        <v>2909.4504604822032</v>
      </c>
      <c r="E33" s="152">
        <v>1803.1505459113553</v>
      </c>
      <c r="F33" s="152">
        <v>930.32163253233955</v>
      </c>
      <c r="G33" s="152">
        <v>4927.7676807815005</v>
      </c>
      <c r="H33" s="152">
        <v>7767.6807242013083</v>
      </c>
      <c r="I33" s="152">
        <v>9432.3262715217243</v>
      </c>
      <c r="J33" s="152">
        <v>6167.5430068991773</v>
      </c>
      <c r="K33" s="152">
        <v>1091.9719622563809</v>
      </c>
      <c r="L33" s="152">
        <v>4186.7819367773909</v>
      </c>
      <c r="M33" s="152">
        <v>5172.7781103895168</v>
      </c>
      <c r="N33" s="152">
        <v>2065.5113447503181</v>
      </c>
      <c r="O33" s="152">
        <v>1132.9889791373707</v>
      </c>
      <c r="P33" s="152">
        <v>1101.7661276852302</v>
      </c>
      <c r="Q33" s="152">
        <v>6729.3203466028435</v>
      </c>
      <c r="R33" s="152">
        <v>3151.8900667946159</v>
      </c>
      <c r="S33" s="152">
        <v>4259.7979151379095</v>
      </c>
      <c r="T33" s="152">
        <v>4335.3912832088845</v>
      </c>
      <c r="U33" s="152">
        <v>4114.317861642292</v>
      </c>
      <c r="V33" s="152">
        <v>3526.0042247063807</v>
      </c>
      <c r="W33" s="152">
        <v>3347.6675188537188</v>
      </c>
      <c r="X33" s="152">
        <v>3553.9453824324037</v>
      </c>
      <c r="Y33" s="152">
        <v>3724.3010716721346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100.86582961282878</v>
      </c>
      <c r="D3" s="125">
        <f t="shared" si="0"/>
        <v>64.086416540905844</v>
      </c>
      <c r="E3" s="125">
        <f t="shared" si="0"/>
        <v>40.82343200035524</v>
      </c>
      <c r="F3" s="125">
        <f t="shared" si="0"/>
        <v>22.729923068931811</v>
      </c>
      <c r="G3" s="125">
        <f t="shared" si="0"/>
        <v>98.024734387741574</v>
      </c>
      <c r="H3" s="125">
        <f t="shared" si="0"/>
        <v>150.31487279266383</v>
      </c>
      <c r="I3" s="125">
        <f t="shared" si="0"/>
        <v>168.2685466433467</v>
      </c>
      <c r="J3" s="125">
        <f t="shared" si="0"/>
        <v>108.80945024662107</v>
      </c>
      <c r="K3" s="125">
        <f t="shared" si="0"/>
        <v>20.29074953756631</v>
      </c>
      <c r="L3" s="125">
        <f t="shared" si="0"/>
        <v>78.936437318991494</v>
      </c>
      <c r="M3" s="125">
        <f t="shared" si="0"/>
        <v>76.397568364139133</v>
      </c>
      <c r="N3" s="125">
        <f t="shared" si="0"/>
        <v>33.039686927743247</v>
      </c>
      <c r="O3" s="125">
        <f t="shared" si="0"/>
        <v>17.518886682180948</v>
      </c>
      <c r="P3" s="125">
        <f t="shared" si="0"/>
        <v>14.212027997249766</v>
      </c>
      <c r="Q3" s="125">
        <f t="shared" si="0"/>
        <v>64.12588444700377</v>
      </c>
      <c r="R3" s="125">
        <f t="shared" ref="R3:W3" si="1">SUM(R4,R16,R19,R29)</f>
        <v>31.243777373789861</v>
      </c>
      <c r="S3" s="125">
        <f t="shared" si="1"/>
        <v>38.407311079599609</v>
      </c>
      <c r="T3" s="125">
        <f t="shared" si="1"/>
        <v>34.667997094356245</v>
      </c>
      <c r="U3" s="125">
        <f t="shared" si="1"/>
        <v>30.932443466652668</v>
      </c>
      <c r="V3" s="125">
        <f t="shared" si="1"/>
        <v>27.413742474126835</v>
      </c>
      <c r="W3" s="125">
        <f t="shared" si="1"/>
        <v>25.966788101280393</v>
      </c>
      <c r="X3" s="125">
        <f t="shared" ref="X3:Y3" si="2">SUM(X4,X16,X19,X29)</f>
        <v>21.959839866107821</v>
      </c>
      <c r="Y3" s="125">
        <f t="shared" si="2"/>
        <v>21.350666841090785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68.345781290866583</v>
      </c>
      <c r="D4" s="130">
        <f t="shared" si="3"/>
        <v>43.214904575054952</v>
      </c>
      <c r="E4" s="130">
        <f t="shared" si="3"/>
        <v>27.95374343646964</v>
      </c>
      <c r="F4" s="130">
        <f t="shared" si="3"/>
        <v>16.150239951305924</v>
      </c>
      <c r="G4" s="130">
        <f t="shared" si="3"/>
        <v>67.289751648348769</v>
      </c>
      <c r="H4" s="130">
        <f t="shared" si="3"/>
        <v>102.92458513479967</v>
      </c>
      <c r="I4" s="130">
        <f t="shared" si="3"/>
        <v>112.0515772369303</v>
      </c>
      <c r="J4" s="130">
        <f t="shared" si="3"/>
        <v>73.757571708238203</v>
      </c>
      <c r="K4" s="130">
        <f t="shared" si="3"/>
        <v>13.883856123699541</v>
      </c>
      <c r="L4" s="130">
        <f t="shared" si="3"/>
        <v>55.978766600126313</v>
      </c>
      <c r="M4" s="130">
        <f t="shared" si="3"/>
        <v>49.805691680165054</v>
      </c>
      <c r="N4" s="130">
        <f t="shared" si="3"/>
        <v>21.975369608933995</v>
      </c>
      <c r="O4" s="130">
        <f t="shared" si="3"/>
        <v>11.429355299326778</v>
      </c>
      <c r="P4" s="130">
        <f t="shared" si="3"/>
        <v>7.9670243133407554</v>
      </c>
      <c r="Q4" s="130">
        <f t="shared" si="3"/>
        <v>36.8836230751442</v>
      </c>
      <c r="R4" s="130">
        <f t="shared" ref="R4:W4" si="4">SUM(R5:R15)</f>
        <v>17.617511463146702</v>
      </c>
      <c r="S4" s="130">
        <f t="shared" si="4"/>
        <v>22.121789358290894</v>
      </c>
      <c r="T4" s="130">
        <f t="shared" si="4"/>
        <v>19.403256117746231</v>
      </c>
      <c r="U4" s="130">
        <f t="shared" si="4"/>
        <v>16.635542728387954</v>
      </c>
      <c r="V4" s="130">
        <f t="shared" si="4"/>
        <v>13.291793204649755</v>
      </c>
      <c r="W4" s="130">
        <f t="shared" si="4"/>
        <v>11.687634454442627</v>
      </c>
      <c r="X4" s="130">
        <f t="shared" ref="X4:Y4" si="5">SUM(X5:X15)</f>
        <v>8.025940885659276</v>
      </c>
      <c r="Y4" s="130">
        <f t="shared" si="5"/>
        <v>7.5791123543019818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5.54580534470972E-3</v>
      </c>
      <c r="D5" s="132">
        <v>1.393755521129578E-2</v>
      </c>
      <c r="E5" s="132">
        <v>2.015674048467227E-2</v>
      </c>
      <c r="F5" s="132">
        <v>1.2707431953170234E-3</v>
      </c>
      <c r="G5" s="132">
        <v>6.4870891097337013E-2</v>
      </c>
      <c r="H5" s="132">
        <v>8.7272532840302036E-2</v>
      </c>
      <c r="I5" s="132">
        <v>0.28134099584767963</v>
      </c>
      <c r="J5" s="132">
        <v>0.16340842006805473</v>
      </c>
      <c r="K5" s="132">
        <v>2.476499364638915E-2</v>
      </c>
      <c r="L5" s="132">
        <v>2.4385849378954272E-2</v>
      </c>
      <c r="M5" s="132">
        <v>1.7862086443225792E-2</v>
      </c>
      <c r="N5" s="132">
        <v>7.9282788664418562E-3</v>
      </c>
      <c r="O5" s="132">
        <v>4.6714584516694465E-3</v>
      </c>
      <c r="P5" s="132">
        <v>4.9049640652723036E-3</v>
      </c>
      <c r="Q5" s="132">
        <v>0.15696406545885144</v>
      </c>
      <c r="R5" s="132">
        <v>0.12271878782763791</v>
      </c>
      <c r="S5" s="132">
        <v>4.5407478310965053E-2</v>
      </c>
      <c r="T5" s="132">
        <v>8.2372384244065418E-4</v>
      </c>
      <c r="U5" s="132">
        <v>0</v>
      </c>
      <c r="V5" s="132">
        <v>1.6223167883022523E-2</v>
      </c>
      <c r="W5" s="132">
        <v>1.7909080472901035E-2</v>
      </c>
      <c r="X5" s="132">
        <v>6.7640617468692613E-2</v>
      </c>
      <c r="Y5" s="132">
        <v>7.4289297544651384E-2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1.985068668295827</v>
      </c>
      <c r="D7" s="132">
        <v>1.8314205477523273</v>
      </c>
      <c r="E7" s="132">
        <v>1.1005922927402778</v>
      </c>
      <c r="F7" s="132">
        <v>0.84311186484013834</v>
      </c>
      <c r="G7" s="132">
        <v>3.7719265507897646</v>
      </c>
      <c r="H7" s="132">
        <v>5.9193758707306747</v>
      </c>
      <c r="I7" s="132">
        <v>7.9362388475025032</v>
      </c>
      <c r="J7" s="132">
        <v>3.2546923721674346</v>
      </c>
      <c r="K7" s="132">
        <v>0.78530458016212334</v>
      </c>
      <c r="L7" s="132">
        <v>3.5552419474044963</v>
      </c>
      <c r="M7" s="132">
        <v>4.2474014715920347</v>
      </c>
      <c r="N7" s="132">
        <v>1.4437081623386243</v>
      </c>
      <c r="O7" s="132">
        <v>0.91565270668054743</v>
      </c>
      <c r="P7" s="132">
        <v>0.57542312123095329</v>
      </c>
      <c r="Q7" s="132">
        <v>2.6385495176259259</v>
      </c>
      <c r="R7" s="132">
        <v>0.62348408706419545</v>
      </c>
      <c r="S7" s="132">
        <v>1.1194084427708455</v>
      </c>
      <c r="T7" s="132">
        <v>1.0511984318469281</v>
      </c>
      <c r="U7" s="132">
        <v>1.5801537412169884</v>
      </c>
      <c r="V7" s="132">
        <v>1.1163094129496876</v>
      </c>
      <c r="W7" s="132">
        <v>1.2109691319006661</v>
      </c>
      <c r="X7" s="132">
        <v>1.0684710977056411</v>
      </c>
      <c r="Y7" s="132">
        <v>0.92026758892633342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1.3412592445934025E-2</v>
      </c>
      <c r="D8" s="132">
        <v>1.173047617821454E-2</v>
      </c>
      <c r="E8" s="132">
        <v>9.4900859723325657E-3</v>
      </c>
      <c r="F8" s="132">
        <v>4.368697774945648E-3</v>
      </c>
      <c r="G8" s="132">
        <v>2.0566061290744401E-2</v>
      </c>
      <c r="H8" s="132">
        <v>3.1371465131430569E-2</v>
      </c>
      <c r="I8" s="132">
        <v>5.1840997088759319E-2</v>
      </c>
      <c r="J8" s="132">
        <v>2.783729047094801E-2</v>
      </c>
      <c r="K8" s="132">
        <v>7.3462081632431949E-3</v>
      </c>
      <c r="L8" s="132">
        <v>2.1793215710774298E-2</v>
      </c>
      <c r="M8" s="132">
        <v>3.5027025146078604E-2</v>
      </c>
      <c r="N8" s="132">
        <v>1.3898563339100528E-2</v>
      </c>
      <c r="O8" s="132">
        <v>1.2374800793202202E-2</v>
      </c>
      <c r="P8" s="132">
        <v>3.7862510411693993E-2</v>
      </c>
      <c r="Q8" s="132">
        <v>9.5928260876822019E-2</v>
      </c>
      <c r="R8" s="132">
        <v>3.2130808866102548E-2</v>
      </c>
      <c r="S8" s="132">
        <v>1.5335235884304995E-2</v>
      </c>
      <c r="T8" s="132">
        <v>1.8707402230368732E-2</v>
      </c>
      <c r="U8" s="132">
        <v>2.3612399281045606E-2</v>
      </c>
      <c r="V8" s="132">
        <v>2.8585323484849195E-2</v>
      </c>
      <c r="W8" s="132">
        <v>2.9890341708057599E-2</v>
      </c>
      <c r="X8" s="132">
        <v>2.6662945861919272E-2</v>
      </c>
      <c r="Y8" s="132">
        <v>2.6893139923711572E-2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46.761253657687668</v>
      </c>
      <c r="D9" s="132">
        <v>28.020636219045468</v>
      </c>
      <c r="E9" s="132">
        <v>19.497756383322379</v>
      </c>
      <c r="F9" s="132">
        <v>11.755218769714917</v>
      </c>
      <c r="G9" s="132">
        <v>44.800614987425817</v>
      </c>
      <c r="H9" s="132">
        <v>69.816855912376298</v>
      </c>
      <c r="I9" s="132">
        <v>73.361685379899939</v>
      </c>
      <c r="J9" s="132">
        <v>56.006745725047814</v>
      </c>
      <c r="K9" s="132">
        <v>10.275947061233502</v>
      </c>
      <c r="L9" s="132">
        <v>48.032543555135028</v>
      </c>
      <c r="M9" s="132">
        <v>36.974466502601523</v>
      </c>
      <c r="N9" s="132">
        <v>18.376796332235738</v>
      </c>
      <c r="O9" s="132">
        <v>9.2212706815788277</v>
      </c>
      <c r="P9" s="132">
        <v>6.140464945931642</v>
      </c>
      <c r="Q9" s="132">
        <v>29.29548087350836</v>
      </c>
      <c r="R9" s="132">
        <v>12.913537532755697</v>
      </c>
      <c r="S9" s="132">
        <v>11.621506339452678</v>
      </c>
      <c r="T9" s="132">
        <v>10.425551360316184</v>
      </c>
      <c r="U9" s="132">
        <v>9.3923581465183208</v>
      </c>
      <c r="V9" s="132">
        <v>8.0200251641255633</v>
      </c>
      <c r="W9" s="132">
        <v>6.0177748612751971</v>
      </c>
      <c r="X9" s="132">
        <v>2.6286389847581493</v>
      </c>
      <c r="Y9" s="132">
        <v>3.6446436653256096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2.6037203461259915</v>
      </c>
      <c r="D10" s="132">
        <v>0.83547329279294513</v>
      </c>
      <c r="E10" s="132">
        <v>0.47492460964952543</v>
      </c>
      <c r="F10" s="132">
        <v>0.41567042332757043</v>
      </c>
      <c r="G10" s="132">
        <v>2.446263768282813</v>
      </c>
      <c r="H10" s="132">
        <v>4.8398724055467959</v>
      </c>
      <c r="I10" s="132">
        <v>5.0657817774201455</v>
      </c>
      <c r="J10" s="132">
        <v>3.0098968268126978</v>
      </c>
      <c r="K10" s="132">
        <v>0.27035191610496789</v>
      </c>
      <c r="L10" s="132">
        <v>0.75581007749015183</v>
      </c>
      <c r="M10" s="132">
        <v>1.0901537616715775</v>
      </c>
      <c r="N10" s="132">
        <v>0.46680197895325137</v>
      </c>
      <c r="O10" s="132">
        <v>0.34678874338642768</v>
      </c>
      <c r="P10" s="132">
        <v>0.65491762547038679</v>
      </c>
      <c r="Q10" s="132">
        <v>1.2420044026881045</v>
      </c>
      <c r="R10" s="132">
        <v>1.1312795754839176</v>
      </c>
      <c r="S10" s="132">
        <v>2.0521361972919041</v>
      </c>
      <c r="T10" s="132">
        <v>1.9684624307532199</v>
      </c>
      <c r="U10" s="132">
        <v>1.3984008922015343</v>
      </c>
      <c r="V10" s="132">
        <v>0.8671373372239638</v>
      </c>
      <c r="W10" s="132">
        <v>0.67311281376092102</v>
      </c>
      <c r="X10" s="132">
        <v>0.27221146959712267</v>
      </c>
      <c r="Y10" s="132">
        <v>0.34113094296342605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6.7018724916333152</v>
      </c>
      <c r="D12" s="132">
        <v>5.357519802442523</v>
      </c>
      <c r="E12" s="132">
        <v>1.2852141363589267</v>
      </c>
      <c r="F12" s="132">
        <v>0</v>
      </c>
      <c r="G12" s="132">
        <v>1.6999813340208416</v>
      </c>
      <c r="H12" s="132">
        <v>5.4239375603685085</v>
      </c>
      <c r="I12" s="132">
        <v>9.3772125097534182</v>
      </c>
      <c r="J12" s="132">
        <v>4.3275731287145458</v>
      </c>
      <c r="K12" s="132">
        <v>1.162700493756335</v>
      </c>
      <c r="L12" s="132">
        <v>0.75238683259643968</v>
      </c>
      <c r="M12" s="132">
        <v>0</v>
      </c>
      <c r="N12" s="132">
        <v>0</v>
      </c>
      <c r="O12" s="132">
        <v>0</v>
      </c>
      <c r="P12" s="132">
        <v>0</v>
      </c>
      <c r="Q12" s="132">
        <v>2.0108667886469189</v>
      </c>
      <c r="R12" s="132">
        <v>1.7732117593599606</v>
      </c>
      <c r="S12" s="132">
        <v>3.227782105178103</v>
      </c>
      <c r="T12" s="132">
        <v>1.8772031229370771</v>
      </c>
      <c r="U12" s="132">
        <v>2.0293621661510111</v>
      </c>
      <c r="V12" s="132">
        <v>1.0612208078986831</v>
      </c>
      <c r="W12" s="132">
        <v>0.86801371164137542</v>
      </c>
      <c r="X12" s="132">
        <v>0.84645608494792213</v>
      </c>
      <c r="Y12" s="132">
        <v>0.45648238618310483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0.14718135914410793</v>
      </c>
      <c r="D13" s="132">
        <v>0.16507306169054053</v>
      </c>
      <c r="E13" s="132">
        <v>0.1239872119011638</v>
      </c>
      <c r="F13" s="132">
        <v>0.11193113616011664</v>
      </c>
      <c r="G13" s="132">
        <v>0.60561921662108686</v>
      </c>
      <c r="H13" s="132">
        <v>0.88738956336775687</v>
      </c>
      <c r="I13" s="132">
        <v>1.2286803748570267</v>
      </c>
      <c r="J13" s="132">
        <v>0.81292644197718344</v>
      </c>
      <c r="K13" s="132">
        <v>0.20575232477944369</v>
      </c>
      <c r="L13" s="132">
        <v>0.61129317655371296</v>
      </c>
      <c r="M13" s="132">
        <v>0.83311040858732155</v>
      </c>
      <c r="N13" s="132">
        <v>0.31153607108681441</v>
      </c>
      <c r="O13" s="132">
        <v>0.22777886482556436</v>
      </c>
      <c r="P13" s="132">
        <v>0.46616738991291701</v>
      </c>
      <c r="Q13" s="132">
        <v>1.015297505238264</v>
      </c>
      <c r="R13" s="132">
        <v>0.51788107986595344</v>
      </c>
      <c r="S13" s="132">
        <v>0.46327269129477394</v>
      </c>
      <c r="T13" s="132">
        <v>0.56712908012733343</v>
      </c>
      <c r="U13" s="132">
        <v>0.56108231377242423</v>
      </c>
      <c r="V13" s="132">
        <v>0.56815160729609249</v>
      </c>
      <c r="W13" s="132">
        <v>0.4335546973847893</v>
      </c>
      <c r="X13" s="132">
        <v>0.41770405805545735</v>
      </c>
      <c r="Y13" s="132">
        <v>0.43091071675929515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9.5137455101608257</v>
      </c>
      <c r="D14" s="65">
        <v>6.6069022074755779</v>
      </c>
      <c r="E14" s="65">
        <v>5.1980267528251503</v>
      </c>
      <c r="F14" s="65">
        <v>2.8739452444969333</v>
      </c>
      <c r="G14" s="65">
        <v>13.315234416444138</v>
      </c>
      <c r="H14" s="65">
        <v>15.028058215362048</v>
      </c>
      <c r="I14" s="65">
        <v>13.784858697316352</v>
      </c>
      <c r="J14" s="65">
        <v>5.4664339359740568</v>
      </c>
      <c r="K14" s="65">
        <v>1.0237344581801489</v>
      </c>
      <c r="L14" s="65">
        <v>1.6493787988453235</v>
      </c>
      <c r="M14" s="65">
        <v>6.1427307710787948</v>
      </c>
      <c r="N14" s="65">
        <v>1.1252322281902989</v>
      </c>
      <c r="O14" s="65">
        <v>0.57839974714481102</v>
      </c>
      <c r="P14" s="65">
        <v>0</v>
      </c>
      <c r="Q14" s="65">
        <v>0</v>
      </c>
      <c r="R14" s="65">
        <v>0.31168844765533077</v>
      </c>
      <c r="S14" s="65">
        <v>3.3858151462738539</v>
      </c>
      <c r="T14" s="65">
        <v>3.3243287774555892</v>
      </c>
      <c r="U14" s="65">
        <v>1.489427979495322</v>
      </c>
      <c r="V14" s="65">
        <v>1.4820544587152853</v>
      </c>
      <c r="W14" s="65">
        <v>2.3316815301178915</v>
      </c>
      <c r="X14" s="65">
        <v>2.6439828379113348</v>
      </c>
      <c r="Y14" s="65">
        <v>1.6188718071538244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0.61398086002821217</v>
      </c>
      <c r="D15" s="134">
        <v>0.3722114124660586</v>
      </c>
      <c r="E15" s="134">
        <v>0.24359522321521154</v>
      </c>
      <c r="F15" s="134">
        <v>0.14472307179598567</v>
      </c>
      <c r="G15" s="134">
        <v>0.564674422376228</v>
      </c>
      <c r="H15" s="134">
        <v>0.89045160907584153</v>
      </c>
      <c r="I15" s="134">
        <v>0.9639376572444851</v>
      </c>
      <c r="J15" s="134">
        <v>0.68805756700546739</v>
      </c>
      <c r="K15" s="134">
        <v>0.12795408767338853</v>
      </c>
      <c r="L15" s="134">
        <v>0.57593314701142218</v>
      </c>
      <c r="M15" s="134">
        <v>0.4649396530444932</v>
      </c>
      <c r="N15" s="134">
        <v>0.22946799392372783</v>
      </c>
      <c r="O15" s="134">
        <v>0.12241829646572673</v>
      </c>
      <c r="P15" s="134">
        <v>8.7283756317890315E-2</v>
      </c>
      <c r="Q15" s="134">
        <v>0.42853166110094981</v>
      </c>
      <c r="R15" s="134">
        <v>0.19157938426790533</v>
      </c>
      <c r="S15" s="134">
        <v>0.19112572183346987</v>
      </c>
      <c r="T15" s="134">
        <v>0.16985178823708885</v>
      </c>
      <c r="U15" s="134">
        <v>0.16114508975130976</v>
      </c>
      <c r="V15" s="134">
        <v>0.13208592507260725</v>
      </c>
      <c r="W15" s="134">
        <v>0.10472828618082944</v>
      </c>
      <c r="X15" s="134">
        <v>5.4172789353037321E-2</v>
      </c>
      <c r="Y15" s="134">
        <v>6.5622809522025774E-2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6.5206050010290033</v>
      </c>
      <c r="D16" s="130">
        <f t="shared" si="6"/>
        <v>4.0029784211683292</v>
      </c>
      <c r="E16" s="130">
        <f t="shared" si="6"/>
        <v>2.5738307881139288</v>
      </c>
      <c r="F16" s="130">
        <f t="shared" si="6"/>
        <v>1.1772172832735555</v>
      </c>
      <c r="G16" s="130">
        <f t="shared" si="6"/>
        <v>5.268776028306009</v>
      </c>
      <c r="H16" s="130">
        <f t="shared" si="6"/>
        <v>8.6311410083658764</v>
      </c>
      <c r="I16" s="130">
        <f t="shared" si="6"/>
        <v>9.3178240332460387</v>
      </c>
      <c r="J16" s="130">
        <f t="shared" si="6"/>
        <v>5.6502251940553956</v>
      </c>
      <c r="K16" s="130">
        <f t="shared" si="6"/>
        <v>1.0059416132126742</v>
      </c>
      <c r="L16" s="130">
        <f t="shared" si="6"/>
        <v>3.5075296755912553</v>
      </c>
      <c r="M16" s="130">
        <f t="shared" si="6"/>
        <v>3.8769381573710913</v>
      </c>
      <c r="N16" s="130">
        <f t="shared" si="6"/>
        <v>1.5449461170871654</v>
      </c>
      <c r="O16" s="130">
        <f t="shared" si="6"/>
        <v>0.83034739754833575</v>
      </c>
      <c r="P16" s="130">
        <f t="shared" si="6"/>
        <v>0.82455890193086001</v>
      </c>
      <c r="Q16" s="130">
        <f t="shared" si="6"/>
        <v>3.6195341577072901</v>
      </c>
      <c r="R16" s="130">
        <f t="shared" ref="R16:W16" si="7">SUM(R17:R18)</f>
        <v>1.7157902690650868</v>
      </c>
      <c r="S16" s="130">
        <f t="shared" si="7"/>
        <v>1.9686051230070265</v>
      </c>
      <c r="T16" s="130">
        <f t="shared" si="7"/>
        <v>1.9975057010452182</v>
      </c>
      <c r="U16" s="130">
        <f t="shared" si="7"/>
        <v>1.8214000444828851</v>
      </c>
      <c r="V16" s="130">
        <f t="shared" si="7"/>
        <v>1.648488884947684</v>
      </c>
      <c r="W16" s="130">
        <f t="shared" si="7"/>
        <v>1.3377665939534056</v>
      </c>
      <c r="X16" s="130">
        <f t="shared" ref="X16:Y16" si="8">SUM(X17:X18)</f>
        <v>1.2197457006751742</v>
      </c>
      <c r="Y16" s="130">
        <f t="shared" si="8"/>
        <v>1.1815407519174956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3.5382969671647793E-2</v>
      </c>
      <c r="D17" s="132">
        <v>3.3642424462138443E-2</v>
      </c>
      <c r="E17" s="132">
        <v>1.6258003775218969E-2</v>
      </c>
      <c r="F17" s="132">
        <v>1.7147909900716986E-2</v>
      </c>
      <c r="G17" s="132">
        <v>5.2914684499680495E-2</v>
      </c>
      <c r="H17" s="132">
        <v>0.11907393305463503</v>
      </c>
      <c r="I17" s="132">
        <v>0.15558366870206072</v>
      </c>
      <c r="J17" s="132">
        <v>9.8625692613091079E-2</v>
      </c>
      <c r="K17" s="132">
        <v>1.7795292826789745E-2</v>
      </c>
      <c r="L17" s="132">
        <v>6.0450222294108708E-2</v>
      </c>
      <c r="M17" s="132">
        <v>8.0488478595285087E-2</v>
      </c>
      <c r="N17" s="132">
        <v>4.4923052946890571E-2</v>
      </c>
      <c r="O17" s="132">
        <v>3.8430265160411155E-2</v>
      </c>
      <c r="P17" s="132">
        <v>5.9762567957787546E-2</v>
      </c>
      <c r="Q17" s="132">
        <v>0.32390560880986502</v>
      </c>
      <c r="R17" s="132">
        <v>0.16618774722450366</v>
      </c>
      <c r="S17" s="132">
        <v>0.15981602084792676</v>
      </c>
      <c r="T17" s="132">
        <v>0.14109677089251596</v>
      </c>
      <c r="U17" s="132">
        <v>0.12635526581011589</v>
      </c>
      <c r="V17" s="132">
        <v>0.10551816625960989</v>
      </c>
      <c r="W17" s="132">
        <v>8.6842526824136318E-2</v>
      </c>
      <c r="X17" s="132">
        <v>9.5276704276929955E-2</v>
      </c>
      <c r="Y17" s="132">
        <v>8.6499881766242515E-2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6.4852220313573552</v>
      </c>
      <c r="D18" s="132">
        <v>3.9693359967061905</v>
      </c>
      <c r="E18" s="132">
        <v>2.5575727843387099</v>
      </c>
      <c r="F18" s="132">
        <v>1.1600693733728384</v>
      </c>
      <c r="G18" s="132">
        <v>5.2158613438063286</v>
      </c>
      <c r="H18" s="132">
        <v>8.5120670753112417</v>
      </c>
      <c r="I18" s="132">
        <v>9.1622403645439778</v>
      </c>
      <c r="J18" s="132">
        <v>5.5515995014423041</v>
      </c>
      <c r="K18" s="132">
        <v>0.98814632038588435</v>
      </c>
      <c r="L18" s="132">
        <v>3.4470794532971465</v>
      </c>
      <c r="M18" s="132">
        <v>3.7964496787758062</v>
      </c>
      <c r="N18" s="132">
        <v>1.500023064140275</v>
      </c>
      <c r="O18" s="132">
        <v>0.7919171323879246</v>
      </c>
      <c r="P18" s="132">
        <v>0.76479633397307245</v>
      </c>
      <c r="Q18" s="132">
        <v>3.2956285488974251</v>
      </c>
      <c r="R18" s="132">
        <v>1.5496025218405831</v>
      </c>
      <c r="S18" s="132">
        <v>1.8087891021590998</v>
      </c>
      <c r="T18" s="132">
        <v>1.8564089301527023</v>
      </c>
      <c r="U18" s="132">
        <v>1.6950447786727691</v>
      </c>
      <c r="V18" s="132">
        <v>1.5429707186880741</v>
      </c>
      <c r="W18" s="132">
        <v>1.2509240671292692</v>
      </c>
      <c r="X18" s="132">
        <v>1.1244689963982442</v>
      </c>
      <c r="Y18" s="132">
        <v>1.0950408701512531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13.893604950566244</v>
      </c>
      <c r="D19" s="130">
        <f t="shared" si="9"/>
        <v>8.925565549924281</v>
      </c>
      <c r="E19" s="130">
        <f t="shared" si="9"/>
        <v>5.3766857048473469</v>
      </c>
      <c r="F19" s="130">
        <f t="shared" si="9"/>
        <v>2.7810463432108237</v>
      </c>
      <c r="G19" s="130">
        <f t="shared" si="9"/>
        <v>13.186230384100087</v>
      </c>
      <c r="H19" s="130">
        <f t="shared" si="9"/>
        <v>20.012627889564278</v>
      </c>
      <c r="I19" s="130">
        <f t="shared" si="9"/>
        <v>23.529213829605169</v>
      </c>
      <c r="J19" s="130">
        <f t="shared" si="9"/>
        <v>14.676762482336944</v>
      </c>
      <c r="K19" s="130">
        <f t="shared" si="9"/>
        <v>2.6174039126562976</v>
      </c>
      <c r="L19" s="130">
        <f t="shared" si="9"/>
        <v>9.614817376479845</v>
      </c>
      <c r="M19" s="130">
        <f t="shared" si="9"/>
        <v>11.111124603753032</v>
      </c>
      <c r="N19" s="130">
        <f t="shared" si="9"/>
        <v>4.6786765449439329</v>
      </c>
      <c r="O19" s="130">
        <f t="shared" si="9"/>
        <v>2.4829941575731764</v>
      </c>
      <c r="P19" s="130">
        <f t="shared" si="9"/>
        <v>2.549240972490296</v>
      </c>
      <c r="Q19" s="130">
        <f t="shared" si="9"/>
        <v>11.203907608401092</v>
      </c>
      <c r="R19" s="130">
        <f t="shared" ref="R19:W19" si="10">SUM(R20:R27)</f>
        <v>5.5045163444203196</v>
      </c>
      <c r="S19" s="130">
        <f t="shared" si="10"/>
        <v>6.7799341819403924</v>
      </c>
      <c r="T19" s="130">
        <f t="shared" si="10"/>
        <v>6.345422246373551</v>
      </c>
      <c r="U19" s="130">
        <f t="shared" si="10"/>
        <v>5.9580736896091562</v>
      </c>
      <c r="V19" s="130">
        <f t="shared" si="10"/>
        <v>5.7372243537417349</v>
      </c>
      <c r="W19" s="130">
        <f t="shared" si="10"/>
        <v>5.7506397192015459</v>
      </c>
      <c r="X19" s="130">
        <f t="shared" ref="X19:Y19" si="11">SUM(X20:X27)</f>
        <v>5.6353549153257418</v>
      </c>
      <c r="Y19" s="130">
        <f t="shared" si="11"/>
        <v>5.6619848894961819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0.48502993725226412</v>
      </c>
      <c r="D22" s="132">
        <v>0.3097288693287894</v>
      </c>
      <c r="E22" s="132">
        <v>0.21409645615098849</v>
      </c>
      <c r="F22" s="132">
        <v>0.13359540686651039</v>
      </c>
      <c r="G22" s="132">
        <v>0.57517928338832791</v>
      </c>
      <c r="H22" s="132">
        <v>0.86042194259240468</v>
      </c>
      <c r="I22" s="132">
        <v>1.0108684374210879</v>
      </c>
      <c r="J22" s="132">
        <v>0.69769649865306538</v>
      </c>
      <c r="K22" s="132">
        <v>0.14313592576467682</v>
      </c>
      <c r="L22" s="132">
        <v>0.4253493665400348</v>
      </c>
      <c r="M22" s="132">
        <v>0.5045023112145729</v>
      </c>
      <c r="N22" s="132">
        <v>0.24087896549073987</v>
      </c>
      <c r="O22" s="132">
        <v>0.14232137507995782</v>
      </c>
      <c r="P22" s="132">
        <v>0.17627405795941567</v>
      </c>
      <c r="Q22" s="132">
        <v>0.65039304285126731</v>
      </c>
      <c r="R22" s="132">
        <v>0.31659424671570141</v>
      </c>
      <c r="S22" s="132">
        <v>0.32437690328718377</v>
      </c>
      <c r="T22" s="132">
        <v>0.30546876119159011</v>
      </c>
      <c r="U22" s="132">
        <v>0.29776258950399664</v>
      </c>
      <c r="V22" s="132">
        <v>0.26319883485657775</v>
      </c>
      <c r="W22" s="132">
        <v>0.27818982974814971</v>
      </c>
      <c r="X22" s="132">
        <v>0.21151110722413624</v>
      </c>
      <c r="Y22" s="132">
        <v>0.24167898612439551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5.5927636481796057</v>
      </c>
      <c r="D23" s="132">
        <v>3.927403237506331</v>
      </c>
      <c r="E23" s="132">
        <v>1.9685669985532168</v>
      </c>
      <c r="F23" s="132">
        <v>1.1021671781194375</v>
      </c>
      <c r="G23" s="132">
        <v>4.4811757511942689</v>
      </c>
      <c r="H23" s="132">
        <v>6.9238267297248228</v>
      </c>
      <c r="I23" s="132">
        <v>7.5218168397421197</v>
      </c>
      <c r="J23" s="132">
        <v>5.1370287501871594</v>
      </c>
      <c r="K23" s="132">
        <v>1.1464449638139644</v>
      </c>
      <c r="L23" s="132">
        <v>3.8273154499113549</v>
      </c>
      <c r="M23" s="132">
        <v>4.5243177816694367</v>
      </c>
      <c r="N23" s="132">
        <v>2.1947970067993925</v>
      </c>
      <c r="O23" s="132">
        <v>0.97020608494256255</v>
      </c>
      <c r="P23" s="132">
        <v>0.45516668637047952</v>
      </c>
      <c r="Q23" s="132">
        <v>2.4933856548972146</v>
      </c>
      <c r="R23" s="132">
        <v>2.2279717109142343</v>
      </c>
      <c r="S23" s="132">
        <v>3.0836536735743705</v>
      </c>
      <c r="T23" s="132">
        <v>1.9336942690384396</v>
      </c>
      <c r="U23" s="132">
        <v>0.97764180874607221</v>
      </c>
      <c r="V23" s="132">
        <v>0.2344834490188574</v>
      </c>
      <c r="W23" s="132">
        <v>1.1077517941723298</v>
      </c>
      <c r="X23" s="132">
        <v>1.7215026481743156</v>
      </c>
      <c r="Y23" s="132">
        <v>2.2699504694622847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0.65342027878572584</v>
      </c>
      <c r="D25" s="132">
        <v>0.35801448433652933</v>
      </c>
      <c r="E25" s="132">
        <v>0.21545355222904186</v>
      </c>
      <c r="F25" s="132">
        <v>0.12652046124254826</v>
      </c>
      <c r="G25" s="132">
        <v>0.61986633304990424</v>
      </c>
      <c r="H25" s="132">
        <v>1.0162329235865475</v>
      </c>
      <c r="I25" s="132">
        <v>1.2738188424675894</v>
      </c>
      <c r="J25" s="132">
        <v>0.88202952318126737</v>
      </c>
      <c r="K25" s="132">
        <v>0.20161745700412947</v>
      </c>
      <c r="L25" s="132">
        <v>0.5746600173745301</v>
      </c>
      <c r="M25" s="132">
        <v>0.59393547290573667</v>
      </c>
      <c r="N25" s="132">
        <v>0.22390063021731782</v>
      </c>
      <c r="O25" s="132">
        <v>9.3199566964557778E-2</v>
      </c>
      <c r="P25" s="132">
        <v>0</v>
      </c>
      <c r="Q25" s="132">
        <v>0.22391253605723543</v>
      </c>
      <c r="R25" s="132">
        <v>0.26385614387928602</v>
      </c>
      <c r="S25" s="132">
        <v>0.35723601360851914</v>
      </c>
      <c r="T25" s="132">
        <v>0.35798355412344857</v>
      </c>
      <c r="U25" s="132">
        <v>0.30511491675040842</v>
      </c>
      <c r="V25" s="132">
        <v>0.31013773035268982</v>
      </c>
      <c r="W25" s="132">
        <v>0.28213006403232005</v>
      </c>
      <c r="X25" s="132">
        <v>0.31214284655172625</v>
      </c>
      <c r="Y25" s="132">
        <v>0.35327290758698188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6.9508940169776672</v>
      </c>
      <c r="D26" s="65">
        <v>3.7911670135725952</v>
      </c>
      <c r="E26" s="65">
        <v>2.6800738725506399</v>
      </c>
      <c r="F26" s="65">
        <v>1.1278128209898097</v>
      </c>
      <c r="G26" s="65">
        <v>7.0781159642691236</v>
      </c>
      <c r="H26" s="65">
        <v>10.867511306714119</v>
      </c>
      <c r="I26" s="65">
        <v>13.030862764991227</v>
      </c>
      <c r="J26" s="65">
        <v>7.8948567853571712</v>
      </c>
      <c r="K26" s="65">
        <v>0.63767947109516165</v>
      </c>
      <c r="L26" s="65">
        <v>4.7874925426539248</v>
      </c>
      <c r="M26" s="65">
        <v>4.7526152958199095</v>
      </c>
      <c r="N26" s="65">
        <v>1.8514839573030026</v>
      </c>
      <c r="O26" s="65">
        <v>0.87666432662506433</v>
      </c>
      <c r="P26" s="65">
        <v>1.4508599427854683</v>
      </c>
      <c r="Q26" s="65">
        <v>7.6029531997679474</v>
      </c>
      <c r="R26" s="65">
        <v>2.1635380673080693</v>
      </c>
      <c r="S26" s="65">
        <v>2.6468559513706857</v>
      </c>
      <c r="T26" s="65">
        <v>3.4604106074516672</v>
      </c>
      <c r="U26" s="65">
        <v>4.0345460426949415</v>
      </c>
      <c r="V26" s="65">
        <v>4.5653863248284487</v>
      </c>
      <c r="W26" s="65">
        <v>4.0825680312487425</v>
      </c>
      <c r="X26" s="65">
        <v>2.9564366707218781</v>
      </c>
      <c r="Y26" s="65">
        <v>2.3781562848030333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0.21149706937098189</v>
      </c>
      <c r="D27" s="147">
        <v>0.53925194518003572</v>
      </c>
      <c r="E27" s="147">
        <v>0.29849482536346</v>
      </c>
      <c r="F27" s="147">
        <v>0.29095047599251733</v>
      </c>
      <c r="G27" s="147">
        <v>0.43189305219846247</v>
      </c>
      <c r="H27" s="147">
        <v>0.34463498694638006</v>
      </c>
      <c r="I27" s="147">
        <v>0.69184694498314836</v>
      </c>
      <c r="J27" s="147">
        <v>6.5150924958282411E-2</v>
      </c>
      <c r="K27" s="147">
        <v>0.48852609497836474</v>
      </c>
      <c r="L27" s="147">
        <v>0</v>
      </c>
      <c r="M27" s="147">
        <v>0.73575374214337497</v>
      </c>
      <c r="N27" s="147">
        <v>0.16761598513348028</v>
      </c>
      <c r="O27" s="147">
        <v>0.40060280396103382</v>
      </c>
      <c r="P27" s="147">
        <v>0.46694028537493254</v>
      </c>
      <c r="Q27" s="147">
        <v>0.23326317482742878</v>
      </c>
      <c r="R27" s="147">
        <v>0.53255617560302893</v>
      </c>
      <c r="S27" s="147">
        <v>0.36781164009963357</v>
      </c>
      <c r="T27" s="147">
        <v>0.28786505456840583</v>
      </c>
      <c r="U27" s="147">
        <v>0.34300833191373764</v>
      </c>
      <c r="V27" s="147">
        <v>0.36401801468516159</v>
      </c>
      <c r="W27" s="147">
        <v>3.4110454561137644E-15</v>
      </c>
      <c r="X27" s="147">
        <v>0.43376164265368539</v>
      </c>
      <c r="Y27" s="147">
        <v>0.41892624151948571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12.105838370366952</v>
      </c>
      <c r="D29" s="130">
        <f t="shared" si="12"/>
        <v>7.9429679947582787</v>
      </c>
      <c r="E29" s="130">
        <f t="shared" si="12"/>
        <v>4.9191720709243292</v>
      </c>
      <c r="F29" s="130">
        <f t="shared" si="12"/>
        <v>2.6214194911415047</v>
      </c>
      <c r="G29" s="130">
        <f t="shared" si="12"/>
        <v>12.279976326986713</v>
      </c>
      <c r="H29" s="130">
        <f t="shared" si="12"/>
        <v>18.746518759934009</v>
      </c>
      <c r="I29" s="130">
        <f t="shared" si="12"/>
        <v>23.36993154356518</v>
      </c>
      <c r="J29" s="130">
        <f t="shared" si="12"/>
        <v>14.724890861990531</v>
      </c>
      <c r="K29" s="130">
        <f t="shared" si="12"/>
        <v>2.7835478879977997</v>
      </c>
      <c r="L29" s="130">
        <f t="shared" si="12"/>
        <v>9.835323666794082</v>
      </c>
      <c r="M29" s="130">
        <f t="shared" si="12"/>
        <v>11.603813922849955</v>
      </c>
      <c r="N29" s="130">
        <f t="shared" si="12"/>
        <v>4.8406946567781528</v>
      </c>
      <c r="O29" s="130">
        <f t="shared" si="12"/>
        <v>2.776189827732658</v>
      </c>
      <c r="P29" s="130">
        <f t="shared" si="12"/>
        <v>2.8712038094878549</v>
      </c>
      <c r="Q29" s="130">
        <f t="shared" si="12"/>
        <v>12.418819605751178</v>
      </c>
      <c r="R29" s="130">
        <f t="shared" ref="R29:W29" si="13">SUM(R30:R33)</f>
        <v>6.4059592971577537</v>
      </c>
      <c r="S29" s="130">
        <f t="shared" si="13"/>
        <v>7.536982416361294</v>
      </c>
      <c r="T29" s="130">
        <f t="shared" si="13"/>
        <v>6.9218130291912443</v>
      </c>
      <c r="U29" s="130">
        <f t="shared" si="13"/>
        <v>6.5174270041726698</v>
      </c>
      <c r="V29" s="130">
        <f t="shared" si="13"/>
        <v>6.736236030787663</v>
      </c>
      <c r="W29" s="130">
        <f t="shared" si="13"/>
        <v>7.1907473336828147</v>
      </c>
      <c r="X29" s="130">
        <f t="shared" ref="X29:Y29" si="14">SUM(X30:X33)</f>
        <v>7.0787983644476284</v>
      </c>
      <c r="Y29" s="130">
        <f t="shared" si="14"/>
        <v>6.9280288453751258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1.4684104077359279</v>
      </c>
      <c r="D30" s="132">
        <v>0.92027742627737608</v>
      </c>
      <c r="E30" s="132">
        <v>0.40015428117660812</v>
      </c>
      <c r="F30" s="132">
        <v>0.33069397644033721</v>
      </c>
      <c r="G30" s="132">
        <v>0.75172041485617558</v>
      </c>
      <c r="H30" s="132">
        <v>1.1844116490479657</v>
      </c>
      <c r="I30" s="132">
        <v>0</v>
      </c>
      <c r="J30" s="132">
        <v>0</v>
      </c>
      <c r="K30" s="132">
        <v>0.2560255891698125</v>
      </c>
      <c r="L30" s="132">
        <v>1.2697016761584026</v>
      </c>
      <c r="M30" s="132">
        <v>0</v>
      </c>
      <c r="N30" s="132">
        <v>0.11465296965542145</v>
      </c>
      <c r="O30" s="132">
        <v>0.10700728394355516</v>
      </c>
      <c r="P30" s="132">
        <v>5.8135600055639537E-2</v>
      </c>
      <c r="Q30" s="132">
        <v>0.99085962991765508</v>
      </c>
      <c r="R30" s="132">
        <v>0.78221766038225471</v>
      </c>
      <c r="S30" s="132">
        <v>0.6464509356399385</v>
      </c>
      <c r="T30" s="132">
        <v>0.28033823113620571</v>
      </c>
      <c r="U30" s="132">
        <v>0.31075946530067194</v>
      </c>
      <c r="V30" s="132">
        <v>0.35349503359222445</v>
      </c>
      <c r="W30" s="132">
        <v>0.57342604917070994</v>
      </c>
      <c r="X30" s="132">
        <v>0.15887096190332559</v>
      </c>
      <c r="Y30" s="132">
        <v>3.1337811649355847E-2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4.1665331930688225</v>
      </c>
      <c r="D31" s="132">
        <v>2.907864302967444</v>
      </c>
      <c r="E31" s="132">
        <v>1.9532915448112251</v>
      </c>
      <c r="F31" s="132">
        <v>0.94485571394092471</v>
      </c>
      <c r="G31" s="132">
        <v>4.3558889584521392</v>
      </c>
      <c r="H31" s="132">
        <v>6.4698813596371094</v>
      </c>
      <c r="I31" s="132">
        <v>10.107500130116994</v>
      </c>
      <c r="J31" s="132">
        <v>6.1370988689695718</v>
      </c>
      <c r="K31" s="132">
        <v>0.97283914022431528</v>
      </c>
      <c r="L31" s="132">
        <v>2.601028177477188</v>
      </c>
      <c r="M31" s="132">
        <v>4.3831876047024672</v>
      </c>
      <c r="N31" s="132">
        <v>1.8452049910630026</v>
      </c>
      <c r="O31" s="132">
        <v>1.0928865885030135</v>
      </c>
      <c r="P31" s="132">
        <v>1.2627894162909421</v>
      </c>
      <c r="Q31" s="132">
        <v>2.1144305795490199</v>
      </c>
      <c r="R31" s="132">
        <v>1.3815809455782389</v>
      </c>
      <c r="S31" s="132">
        <v>1.3424320897495252</v>
      </c>
      <c r="T31" s="132">
        <v>1.1914598265125953</v>
      </c>
      <c r="U31" s="132">
        <v>1.1551303656593155</v>
      </c>
      <c r="V31" s="132">
        <v>2.1326523810571465</v>
      </c>
      <c r="W31" s="132">
        <v>2.4850041210699305</v>
      </c>
      <c r="X31" s="132">
        <v>2.376764501097278</v>
      </c>
      <c r="Y31" s="132">
        <v>2.1295570393912566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6.470894769562201</v>
      </c>
      <c r="D33" s="68">
        <v>4.1148262655134591</v>
      </c>
      <c r="E33" s="68">
        <v>2.5657262449364957</v>
      </c>
      <c r="F33" s="68">
        <v>1.345869800760243</v>
      </c>
      <c r="G33" s="68">
        <v>7.1723669536783987</v>
      </c>
      <c r="H33" s="68">
        <v>11.092225751248934</v>
      </c>
      <c r="I33" s="68">
        <v>13.262431413448185</v>
      </c>
      <c r="J33" s="68">
        <v>8.587791993020959</v>
      </c>
      <c r="K33" s="68">
        <v>1.554683158603672</v>
      </c>
      <c r="L33" s="68">
        <v>5.9645938131584906</v>
      </c>
      <c r="M33" s="68">
        <v>7.2206263181474872</v>
      </c>
      <c r="N33" s="68">
        <v>2.8808366960597289</v>
      </c>
      <c r="O33" s="68">
        <v>1.5762959552860896</v>
      </c>
      <c r="P33" s="68">
        <v>1.5502787931412731</v>
      </c>
      <c r="Q33" s="68">
        <v>9.3135293962845029</v>
      </c>
      <c r="R33" s="68">
        <v>4.2421606911972605</v>
      </c>
      <c r="S33" s="68">
        <v>5.5480993909718306</v>
      </c>
      <c r="T33" s="68">
        <v>5.4500149715424433</v>
      </c>
      <c r="U33" s="68">
        <v>5.0515371732126821</v>
      </c>
      <c r="V33" s="68">
        <v>4.2500886161382923</v>
      </c>
      <c r="W33" s="68">
        <v>4.132317163442174</v>
      </c>
      <c r="X33" s="68">
        <v>4.5431629014470252</v>
      </c>
      <c r="Y33" s="68">
        <v>4.7671339943345137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80.381669893386913</v>
      </c>
      <c r="D3" s="125">
        <f t="shared" si="0"/>
        <v>52.066169744679165</v>
      </c>
      <c r="E3" s="125">
        <f t="shared" si="0"/>
        <v>33.299809674932348</v>
      </c>
      <c r="F3" s="125">
        <f t="shared" si="0"/>
        <v>18.02373047618936</v>
      </c>
      <c r="G3" s="125">
        <f t="shared" si="0"/>
        <v>80.341565182229317</v>
      </c>
      <c r="H3" s="125">
        <f t="shared" si="0"/>
        <v>125.71265836113291</v>
      </c>
      <c r="I3" s="125">
        <f t="shared" si="0"/>
        <v>142.80607985090302</v>
      </c>
      <c r="J3" s="125">
        <f t="shared" si="0"/>
        <v>91.465030925970737</v>
      </c>
      <c r="K3" s="125">
        <f t="shared" si="0"/>
        <v>17.452924706733853</v>
      </c>
      <c r="L3" s="125">
        <f t="shared" si="0"/>
        <v>65.53224023543379</v>
      </c>
      <c r="M3" s="125">
        <f t="shared" si="0"/>
        <v>67.865970746064747</v>
      </c>
      <c r="N3" s="125">
        <f t="shared" si="0"/>
        <v>29.336720135627349</v>
      </c>
      <c r="O3" s="125">
        <f t="shared" si="0"/>
        <v>16.344882516254575</v>
      </c>
      <c r="P3" s="125">
        <f t="shared" si="0"/>
        <v>14.966409074444066</v>
      </c>
      <c r="Q3" s="125">
        <f t="shared" si="0"/>
        <v>67.133770089419116</v>
      </c>
      <c r="R3" s="125">
        <f t="shared" ref="R3:W3" si="1">SUM(R4,R16,R19,R29)</f>
        <v>33.145339933913498</v>
      </c>
      <c r="S3" s="125">
        <f t="shared" si="1"/>
        <v>40.531709252573215</v>
      </c>
      <c r="T3" s="125">
        <f t="shared" si="1"/>
        <v>38.390747887320288</v>
      </c>
      <c r="U3" s="125">
        <f t="shared" si="1"/>
        <v>34.948799564936429</v>
      </c>
      <c r="V3" s="125">
        <f t="shared" si="1"/>
        <v>31.533669403860372</v>
      </c>
      <c r="W3" s="125">
        <f t="shared" si="1"/>
        <v>28.77772834244881</v>
      </c>
      <c r="X3" s="125">
        <f t="shared" ref="X3:Y3" si="2">SUM(X4,X16,X19,X29)</f>
        <v>25.120357130262512</v>
      </c>
      <c r="Y3" s="125">
        <f t="shared" si="2"/>
        <v>24.542806352895568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45.115201578320509</v>
      </c>
      <c r="D4" s="130">
        <f t="shared" si="3"/>
        <v>29.247334520581454</v>
      </c>
      <c r="E4" s="130">
        <f t="shared" si="3"/>
        <v>18.651654512161471</v>
      </c>
      <c r="F4" s="130">
        <f t="shared" si="3"/>
        <v>10.668256513102065</v>
      </c>
      <c r="G4" s="130">
        <f t="shared" si="3"/>
        <v>45.722663029980509</v>
      </c>
      <c r="H4" s="130">
        <f t="shared" si="3"/>
        <v>70.112122483330751</v>
      </c>
      <c r="I4" s="130">
        <f t="shared" si="3"/>
        <v>77.840046615809939</v>
      </c>
      <c r="J4" s="130">
        <f t="shared" si="3"/>
        <v>50.657977178378765</v>
      </c>
      <c r="K4" s="130">
        <f t="shared" si="3"/>
        <v>9.8411768554033774</v>
      </c>
      <c r="L4" s="130">
        <f t="shared" si="3"/>
        <v>38.28838114701427</v>
      </c>
      <c r="M4" s="130">
        <f t="shared" si="3"/>
        <v>35.986801373507923</v>
      </c>
      <c r="N4" s="130">
        <f t="shared" si="3"/>
        <v>16.050552829631854</v>
      </c>
      <c r="O4" s="130">
        <f t="shared" si="3"/>
        <v>8.8694997043681028</v>
      </c>
      <c r="P4" s="130">
        <f t="shared" si="3"/>
        <v>7.2189943209224667</v>
      </c>
      <c r="Q4" s="130">
        <f t="shared" si="3"/>
        <v>32.30679745840451</v>
      </c>
      <c r="R4" s="130">
        <f t="shared" ref="R4:W4" si="4">SUM(R5:R15)</f>
        <v>15.868235958102339</v>
      </c>
      <c r="S4" s="130">
        <f t="shared" si="4"/>
        <v>19.688667860278283</v>
      </c>
      <c r="T4" s="130">
        <f t="shared" si="4"/>
        <v>17.840972507309832</v>
      </c>
      <c r="U4" s="130">
        <f t="shared" si="4"/>
        <v>15.6527499468373</v>
      </c>
      <c r="V4" s="130">
        <f t="shared" si="4"/>
        <v>13.057687810456235</v>
      </c>
      <c r="W4" s="130">
        <f t="shared" si="4"/>
        <v>11.45266224388071</v>
      </c>
      <c r="X4" s="130">
        <f t="shared" ref="X4:Y4" si="5">SUM(X5:X15)</f>
        <v>8.4073770929746008</v>
      </c>
      <c r="Y4" s="130">
        <f t="shared" si="5"/>
        <v>7.9770651190458794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3.6984515865896746E-3</v>
      </c>
      <c r="D5" s="132">
        <v>9.3803859671831493E-3</v>
      </c>
      <c r="E5" s="132">
        <v>1.3689439108998632E-2</v>
      </c>
      <c r="F5" s="132">
        <v>8.707983031303459E-4</v>
      </c>
      <c r="G5" s="132">
        <v>4.4849656956435564E-2</v>
      </c>
      <c r="H5" s="132">
        <v>6.0868601256412823E-2</v>
      </c>
      <c r="I5" s="132">
        <v>0.1979296857865841</v>
      </c>
      <c r="J5" s="132">
        <v>0.11594777205441915</v>
      </c>
      <c r="K5" s="132">
        <v>1.7720578537461246E-2</v>
      </c>
      <c r="L5" s="132">
        <v>1.7594225687156465E-2</v>
      </c>
      <c r="M5" s="132">
        <v>1.2985499761212594E-2</v>
      </c>
      <c r="N5" s="132">
        <v>5.8026556792848977E-3</v>
      </c>
      <c r="O5" s="132">
        <v>3.4392087140130605E-3</v>
      </c>
      <c r="P5" s="132">
        <v>3.6317308730684796E-3</v>
      </c>
      <c r="Q5" s="132">
        <v>0.11707107384422634</v>
      </c>
      <c r="R5" s="132">
        <v>9.2550771562220815E-2</v>
      </c>
      <c r="S5" s="132">
        <v>3.4696166018474237E-2</v>
      </c>
      <c r="T5" s="132">
        <v>6.3806964055578073E-4</v>
      </c>
      <c r="U5" s="132">
        <v>0</v>
      </c>
      <c r="V5" s="132">
        <v>1.2867892750441137E-2</v>
      </c>
      <c r="W5" s="132">
        <v>1.4323618878997595E-2</v>
      </c>
      <c r="X5" s="132">
        <v>5.4448895916860043E-2</v>
      </c>
      <c r="Y5" s="132">
        <v>6.0147617614009018E-2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1.1092854968860753</v>
      </c>
      <c r="D7" s="132">
        <v>1.0312499804195192</v>
      </c>
      <c r="E7" s="132">
        <v>0.62468270496729461</v>
      </c>
      <c r="F7" s="132">
        <v>0.48231347071058051</v>
      </c>
      <c r="G7" s="132">
        <v>2.1754182532711397</v>
      </c>
      <c r="H7" s="132">
        <v>3.4426192914949492</v>
      </c>
      <c r="I7" s="132">
        <v>4.6558135541287893</v>
      </c>
      <c r="J7" s="132">
        <v>1.9273088592916612</v>
      </c>
      <c r="K7" s="132">
        <v>0.46984847838506666</v>
      </c>
      <c r="L7" s="132">
        <v>2.1513035901529771</v>
      </c>
      <c r="M7" s="132">
        <v>2.6224440668686237</v>
      </c>
      <c r="N7" s="132">
        <v>0.91920397924449626</v>
      </c>
      <c r="O7" s="132">
        <v>0.60768657808291571</v>
      </c>
      <c r="P7" s="132">
        <v>0.39977219007844883</v>
      </c>
      <c r="Q7" s="132">
        <v>1.898600910268667</v>
      </c>
      <c r="R7" s="132">
        <v>0.45453067331600583</v>
      </c>
      <c r="S7" s="132">
        <v>0.82104986237644717</v>
      </c>
      <c r="T7" s="132">
        <v>0.77257294651406894</v>
      </c>
      <c r="U7" s="132">
        <v>1.1620101342880671</v>
      </c>
      <c r="V7" s="132">
        <v>0.82229730254163047</v>
      </c>
      <c r="W7" s="132">
        <v>0.89410917887747909</v>
      </c>
      <c r="X7" s="132">
        <v>0.79014202288233382</v>
      </c>
      <c r="Y7" s="132">
        <v>0.6812317300811308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1.9516751588594523E-2</v>
      </c>
      <c r="D8" s="132">
        <v>1.7742174716129426E-2</v>
      </c>
      <c r="E8" s="132">
        <v>1.4906403856277152E-2</v>
      </c>
      <c r="F8" s="132">
        <v>7.1176051354689277E-3</v>
      </c>
      <c r="G8" s="132">
        <v>3.4726750099311886E-2</v>
      </c>
      <c r="H8" s="132">
        <v>5.4856943215432212E-2</v>
      </c>
      <c r="I8" s="132">
        <v>9.3812159667958181E-2</v>
      </c>
      <c r="J8" s="132">
        <v>5.2114188776642631E-2</v>
      </c>
      <c r="K8" s="132">
        <v>1.4226600902162869E-2</v>
      </c>
      <c r="L8" s="132">
        <v>4.3656848308560744E-2</v>
      </c>
      <c r="M8" s="132">
        <v>7.3073887010543001E-2</v>
      </c>
      <c r="N8" s="132">
        <v>3.0443549927525664E-2</v>
      </c>
      <c r="O8" s="132">
        <v>2.8681215337457131E-2</v>
      </c>
      <c r="P8" s="132">
        <v>9.2956951308630256E-2</v>
      </c>
      <c r="Q8" s="132">
        <v>0.24584774671529472</v>
      </c>
      <c r="R8" s="132">
        <v>8.6015095881605622E-2</v>
      </c>
      <c r="S8" s="132">
        <v>4.2195897139011417E-2</v>
      </c>
      <c r="T8" s="132">
        <v>5.2358917875057732E-2</v>
      </c>
      <c r="U8" s="132">
        <v>6.6854606705026243E-2</v>
      </c>
      <c r="V8" s="132">
        <v>8.1788082026720887E-2</v>
      </c>
      <c r="W8" s="132">
        <v>8.6393150647345943E-2</v>
      </c>
      <c r="X8" s="132">
        <v>7.7695333354681026E-2</v>
      </c>
      <c r="Y8" s="132">
        <v>7.8906646901877403E-2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27.976144134602869</v>
      </c>
      <c r="D9" s="132">
        <v>16.901325385662503</v>
      </c>
      <c r="E9" s="132">
        <v>11.862052966393755</v>
      </c>
      <c r="F9" s="132">
        <v>7.2126201840973101</v>
      </c>
      <c r="G9" s="132">
        <v>27.732949214219786</v>
      </c>
      <c r="H9" s="132">
        <v>43.616813112452668</v>
      </c>
      <c r="I9" s="132">
        <v>46.272326369199938</v>
      </c>
      <c r="J9" s="132">
        <v>35.69628674575457</v>
      </c>
      <c r="K9" s="132">
        <v>6.6261718372508973</v>
      </c>
      <c r="L9" s="132">
        <v>31.375050341050954</v>
      </c>
      <c r="M9" s="132">
        <v>24.725023156450856</v>
      </c>
      <c r="N9" s="132">
        <v>12.739854396590424</v>
      </c>
      <c r="O9" s="132">
        <v>6.7144193096244118</v>
      </c>
      <c r="P9" s="132">
        <v>4.7234199642513151</v>
      </c>
      <c r="Q9" s="132">
        <v>23.549357810690939</v>
      </c>
      <c r="R9" s="132">
        <v>10.607310617265043</v>
      </c>
      <c r="S9" s="132">
        <v>9.7018788647393901</v>
      </c>
      <c r="T9" s="132">
        <v>8.8168377715485722</v>
      </c>
      <c r="U9" s="132">
        <v>8.0317891750960033</v>
      </c>
      <c r="V9" s="132">
        <v>6.9269431223852838</v>
      </c>
      <c r="W9" s="132">
        <v>5.2359244269825949</v>
      </c>
      <c r="X9" s="132">
        <v>2.294994615430217</v>
      </c>
      <c r="Y9" s="132">
        <v>3.1894970102112428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1.5015249128689854</v>
      </c>
      <c r="D10" s="132">
        <v>0.48204777319365905</v>
      </c>
      <c r="E10" s="132">
        <v>0.27415960348293766</v>
      </c>
      <c r="F10" s="132">
        <v>0.24007721706734231</v>
      </c>
      <c r="G10" s="132">
        <v>1.4136102205293739</v>
      </c>
      <c r="H10" s="132">
        <v>2.7982476467642581</v>
      </c>
      <c r="I10" s="132">
        <v>2.9303903972081682</v>
      </c>
      <c r="J10" s="132">
        <v>1.7420378031437145</v>
      </c>
      <c r="K10" s="132">
        <v>0.15655307261460361</v>
      </c>
      <c r="L10" s="132">
        <v>0.43789436239501028</v>
      </c>
      <c r="M10" s="132">
        <v>0.63190324011331844</v>
      </c>
      <c r="N10" s="132">
        <v>0.27069120715119688</v>
      </c>
      <c r="O10" s="132">
        <v>0.20116495418629801</v>
      </c>
      <c r="P10" s="132">
        <v>0.38001415885792039</v>
      </c>
      <c r="Q10" s="132">
        <v>0.72091863762367436</v>
      </c>
      <c r="R10" s="132">
        <v>0.65698836038265085</v>
      </c>
      <c r="S10" s="132">
        <v>1.1924675462285013</v>
      </c>
      <c r="T10" s="132">
        <v>1.1445169279203649</v>
      </c>
      <c r="U10" s="132">
        <v>0.81350819280402986</v>
      </c>
      <c r="V10" s="132">
        <v>0.50467904778563133</v>
      </c>
      <c r="W10" s="132">
        <v>0.39189846045783633</v>
      </c>
      <c r="X10" s="132">
        <v>0.1600105119135353</v>
      </c>
      <c r="Y10" s="132">
        <v>0.20232247747369678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5.9533988372686641</v>
      </c>
      <c r="D12" s="132">
        <v>4.7676291748412805</v>
      </c>
      <c r="E12" s="132">
        <v>1.1457857330584031</v>
      </c>
      <c r="F12" s="132">
        <v>0</v>
      </c>
      <c r="G12" s="132">
        <v>1.5211459914490191</v>
      </c>
      <c r="H12" s="132">
        <v>4.8625618063920175</v>
      </c>
      <c r="I12" s="132">
        <v>8.4230098684032306</v>
      </c>
      <c r="J12" s="132">
        <v>3.8950819450227767</v>
      </c>
      <c r="K12" s="132">
        <v>1.0487398821168972</v>
      </c>
      <c r="L12" s="132">
        <v>0.68017604639394402</v>
      </c>
      <c r="M12" s="132">
        <v>0</v>
      </c>
      <c r="N12" s="132">
        <v>0</v>
      </c>
      <c r="O12" s="132">
        <v>0</v>
      </c>
      <c r="P12" s="132">
        <v>0</v>
      </c>
      <c r="Q12" s="132">
        <v>1.8640544946940354</v>
      </c>
      <c r="R12" s="132">
        <v>1.6512216437705021</v>
      </c>
      <c r="S12" s="132">
        <v>3.0189533946226397</v>
      </c>
      <c r="T12" s="132">
        <v>1.7631813014558813</v>
      </c>
      <c r="U12" s="132">
        <v>1.9137849210855178</v>
      </c>
      <c r="V12" s="132">
        <v>1.0045926303134325</v>
      </c>
      <c r="W12" s="132">
        <v>0.82456683461343838</v>
      </c>
      <c r="X12" s="132">
        <v>0.80611546162610193</v>
      </c>
      <c r="Y12" s="132">
        <v>0.43577778911951559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0.27824583668290803</v>
      </c>
      <c r="D13" s="132">
        <v>0.32545925450193569</v>
      </c>
      <c r="E13" s="132">
        <v>0.25468011999013529</v>
      </c>
      <c r="F13" s="132">
        <v>0.23921146883464592</v>
      </c>
      <c r="G13" s="132">
        <v>1.3453664935866063</v>
      </c>
      <c r="H13" s="132">
        <v>2.0472274850066174</v>
      </c>
      <c r="I13" s="132">
        <v>2.9414114589363107</v>
      </c>
      <c r="J13" s="132">
        <v>2.0185122391441457</v>
      </c>
      <c r="K13" s="132">
        <v>0.52977684591151908</v>
      </c>
      <c r="L13" s="132">
        <v>1.631881960198728</v>
      </c>
      <c r="M13" s="132">
        <v>2.320538150637792</v>
      </c>
      <c r="N13" s="132">
        <v>0.91236469140257193</v>
      </c>
      <c r="O13" s="132">
        <v>0.70641972184483603</v>
      </c>
      <c r="P13" s="132">
        <v>1.5319155692351931</v>
      </c>
      <c r="Q13" s="132">
        <v>3.4824151234667244</v>
      </c>
      <c r="R13" s="132">
        <v>1.8599406049215887</v>
      </c>
      <c r="S13" s="132">
        <v>1.7122721673329862</v>
      </c>
      <c r="T13" s="132">
        <v>2.1331059444145448</v>
      </c>
      <c r="U13" s="132">
        <v>2.1349723697458893</v>
      </c>
      <c r="V13" s="132">
        <v>2.1847959284449336</v>
      </c>
      <c r="W13" s="132">
        <v>1.6847144002157035</v>
      </c>
      <c r="X13" s="132">
        <v>1.6372541322199983</v>
      </c>
      <c r="Y13" s="132">
        <v>1.7015244080545431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7.6594062968076084</v>
      </c>
      <c r="D14" s="65">
        <v>5.3402889788131844</v>
      </c>
      <c r="E14" s="65">
        <v>4.2181023180884578</v>
      </c>
      <c r="F14" s="65">
        <v>2.3413226971576027</v>
      </c>
      <c r="G14" s="65">
        <v>10.889922027492606</v>
      </c>
      <c r="H14" s="65">
        <v>12.338475987672558</v>
      </c>
      <c r="I14" s="65">
        <v>11.361415465234467</v>
      </c>
      <c r="J14" s="65">
        <v>4.5226300581853716</v>
      </c>
      <c r="K14" s="65">
        <v>0.85018547201138073</v>
      </c>
      <c r="L14" s="65">
        <v>1.3748906258155149</v>
      </c>
      <c r="M14" s="65">
        <v>5.1358937196210839</v>
      </c>
      <c r="N14" s="65">
        <v>0.94272435571262836</v>
      </c>
      <c r="O14" s="65">
        <v>0.48527042011244415</v>
      </c>
      <c r="P14" s="65">
        <v>0</v>
      </c>
      <c r="Q14" s="65">
        <v>0</v>
      </c>
      <c r="R14" s="65">
        <v>0.2680988067348189</v>
      </c>
      <c r="S14" s="65">
        <v>2.9740282399873608</v>
      </c>
      <c r="T14" s="65">
        <v>2.9879088397036964</v>
      </c>
      <c r="U14" s="65">
        <v>1.368685457361456</v>
      </c>
      <c r="V14" s="65">
        <v>1.3876378791355537</v>
      </c>
      <c r="W14" s="65">
        <v>2.2160038870264835</v>
      </c>
      <c r="X14" s="65">
        <v>2.5325433302778362</v>
      </c>
      <c r="Y14" s="65">
        <v>1.5620346300678385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0.61398086002821217</v>
      </c>
      <c r="D15" s="134">
        <v>0.3722114124660586</v>
      </c>
      <c r="E15" s="134">
        <v>0.24359522321521154</v>
      </c>
      <c r="F15" s="134">
        <v>0.14472307179598567</v>
      </c>
      <c r="G15" s="134">
        <v>0.564674422376228</v>
      </c>
      <c r="H15" s="134">
        <v>0.89045160907584153</v>
      </c>
      <c r="I15" s="134">
        <v>0.9639376572444851</v>
      </c>
      <c r="J15" s="134">
        <v>0.68805756700546739</v>
      </c>
      <c r="K15" s="134">
        <v>0.12795408767338853</v>
      </c>
      <c r="L15" s="134">
        <v>0.57593314701142218</v>
      </c>
      <c r="M15" s="134">
        <v>0.4649396530444932</v>
      </c>
      <c r="N15" s="134">
        <v>0.22946799392372783</v>
      </c>
      <c r="O15" s="134">
        <v>0.12241829646572673</v>
      </c>
      <c r="P15" s="134">
        <v>8.7283756317890315E-2</v>
      </c>
      <c r="Q15" s="134">
        <v>0.42853166110094981</v>
      </c>
      <c r="R15" s="134">
        <v>0.19157938426790533</v>
      </c>
      <c r="S15" s="134">
        <v>0.19112572183346987</v>
      </c>
      <c r="T15" s="134">
        <v>0.16985178823708885</v>
      </c>
      <c r="U15" s="134">
        <v>0.16114508975130976</v>
      </c>
      <c r="V15" s="134">
        <v>0.13208592507260725</v>
      </c>
      <c r="W15" s="134">
        <v>0.10472828618082944</v>
      </c>
      <c r="X15" s="134">
        <v>5.4172789353037321E-2</v>
      </c>
      <c r="Y15" s="134">
        <v>6.5622809522025774E-2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16.756173433005163</v>
      </c>
      <c r="D16" s="130">
        <f t="shared" si="6"/>
        <v>10.742050150259736</v>
      </c>
      <c r="E16" s="130">
        <f t="shared" si="6"/>
        <v>7.2227644031294291</v>
      </c>
      <c r="F16" s="130">
        <f t="shared" si="6"/>
        <v>3.4297860515903715</v>
      </c>
      <c r="G16" s="130">
        <f t="shared" si="6"/>
        <v>16.031854054073182</v>
      </c>
      <c r="H16" s="130">
        <f t="shared" si="6"/>
        <v>27.269357389092125</v>
      </c>
      <c r="I16" s="130">
        <f t="shared" si="6"/>
        <v>30.54913781990739</v>
      </c>
      <c r="J16" s="130">
        <f t="shared" si="6"/>
        <v>19.232370269662827</v>
      </c>
      <c r="K16" s="130">
        <f t="shared" si="6"/>
        <v>3.5538712160880217</v>
      </c>
      <c r="L16" s="130">
        <f t="shared" si="6"/>
        <v>12.859878343849543</v>
      </c>
      <c r="M16" s="130">
        <f t="shared" si="6"/>
        <v>14.770017640770078</v>
      </c>
      <c r="N16" s="130">
        <f t="shared" si="6"/>
        <v>6.1240584285514492</v>
      </c>
      <c r="O16" s="130">
        <f t="shared" si="6"/>
        <v>3.4166906971996007</v>
      </c>
      <c r="P16" s="130">
        <f t="shared" si="6"/>
        <v>3.4941991070379204</v>
      </c>
      <c r="Q16" s="130">
        <f t="shared" si="6"/>
        <v>15.690778178322857</v>
      </c>
      <c r="R16" s="130">
        <f t="shared" ref="R16:W16" si="7">SUM(R17:R18)</f>
        <v>7.6237098691357783</v>
      </c>
      <c r="S16" s="130">
        <f t="shared" si="7"/>
        <v>8.9810561129452413</v>
      </c>
      <c r="T16" s="130">
        <f t="shared" si="7"/>
        <v>9.2719716603576821</v>
      </c>
      <c r="U16" s="130">
        <f t="shared" si="7"/>
        <v>8.5221440230053389</v>
      </c>
      <c r="V16" s="130">
        <f t="shared" si="7"/>
        <v>7.7954503404265711</v>
      </c>
      <c r="W16" s="130">
        <f t="shared" si="7"/>
        <v>6.3670376870070191</v>
      </c>
      <c r="X16" s="130">
        <f t="shared" ref="X16:Y16" si="8">SUM(X17:X18)</f>
        <v>5.7817328939910713</v>
      </c>
      <c r="Y16" s="130">
        <f t="shared" si="8"/>
        <v>5.6431074698115316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4.3943250971303936E-2</v>
      </c>
      <c r="D17" s="132">
        <v>4.2527864144036726E-2</v>
      </c>
      <c r="E17" s="132">
        <v>2.0906158082292948E-2</v>
      </c>
      <c r="F17" s="132">
        <v>2.2414721415108994E-2</v>
      </c>
      <c r="G17" s="132">
        <v>7.0272238556921718E-2</v>
      </c>
      <c r="H17" s="132">
        <v>0.16057997485429193</v>
      </c>
      <c r="I17" s="132">
        <v>0.21296803781195137</v>
      </c>
      <c r="J17" s="132">
        <v>0.13698774885115536</v>
      </c>
      <c r="K17" s="132">
        <v>2.507535090958659E-2</v>
      </c>
      <c r="L17" s="132">
        <v>8.6399533691010486E-2</v>
      </c>
      <c r="M17" s="132">
        <v>0.11691929351136453</v>
      </c>
      <c r="N17" s="132">
        <v>6.6449869759426655E-2</v>
      </c>
      <c r="O17" s="132">
        <v>5.7969880081549699E-2</v>
      </c>
      <c r="P17" s="132">
        <v>9.1876220979752871E-2</v>
      </c>
      <c r="Q17" s="132">
        <v>0.50501256905922143</v>
      </c>
      <c r="R17" s="132">
        <v>0.26338936049489065</v>
      </c>
      <c r="S17" s="132">
        <v>0.25836465132212533</v>
      </c>
      <c r="T17" s="132">
        <v>0.23287768373280426</v>
      </c>
      <c r="U17" s="132">
        <v>0.21245920294045118</v>
      </c>
      <c r="V17" s="132">
        <v>0.18038872963717553</v>
      </c>
      <c r="W17" s="132">
        <v>0.15036565544049149</v>
      </c>
      <c r="X17" s="132">
        <v>0.16576068773526093</v>
      </c>
      <c r="Y17" s="132">
        <v>0.15060774484185588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16.71223018203386</v>
      </c>
      <c r="D18" s="132">
        <v>10.6995222861157</v>
      </c>
      <c r="E18" s="132">
        <v>7.201858245047136</v>
      </c>
      <c r="F18" s="132">
        <v>3.4073713301752626</v>
      </c>
      <c r="G18" s="132">
        <v>15.96158181551626</v>
      </c>
      <c r="H18" s="132">
        <v>27.108777414237831</v>
      </c>
      <c r="I18" s="132">
        <v>30.336169782095439</v>
      </c>
      <c r="J18" s="132">
        <v>19.095382520811672</v>
      </c>
      <c r="K18" s="132">
        <v>3.5287958651784352</v>
      </c>
      <c r="L18" s="132">
        <v>12.773478810158533</v>
      </c>
      <c r="M18" s="132">
        <v>14.653098347258714</v>
      </c>
      <c r="N18" s="132">
        <v>6.0576085587920225</v>
      </c>
      <c r="O18" s="132">
        <v>3.3587208171180509</v>
      </c>
      <c r="P18" s="132">
        <v>3.4023228860581676</v>
      </c>
      <c r="Q18" s="132">
        <v>15.185765609263635</v>
      </c>
      <c r="R18" s="132">
        <v>7.3603205086408874</v>
      </c>
      <c r="S18" s="132">
        <v>8.7226914616231159</v>
      </c>
      <c r="T18" s="132">
        <v>9.0390939766248781</v>
      </c>
      <c r="U18" s="132">
        <v>8.3096848200648878</v>
      </c>
      <c r="V18" s="132">
        <v>7.6150616107893958</v>
      </c>
      <c r="W18" s="132">
        <v>6.216672031566528</v>
      </c>
      <c r="X18" s="132">
        <v>5.61597220625581</v>
      </c>
      <c r="Y18" s="132">
        <v>5.4924997249696759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9.8998535039635254</v>
      </c>
      <c r="D19" s="130">
        <f t="shared" si="9"/>
        <v>6.4471186211503255</v>
      </c>
      <c r="E19" s="130">
        <f t="shared" si="9"/>
        <v>3.9310464870343536</v>
      </c>
      <c r="F19" s="130">
        <f t="shared" si="9"/>
        <v>2.0669199914362304</v>
      </c>
      <c r="G19" s="130">
        <f t="shared" si="9"/>
        <v>9.6964260069002659</v>
      </c>
      <c r="H19" s="130">
        <f t="shared" si="9"/>
        <v>14.717344196782989</v>
      </c>
      <c r="I19" s="130">
        <f t="shared" si="9"/>
        <v>17.526375701039846</v>
      </c>
      <c r="J19" s="130">
        <f t="shared" si="9"/>
        <v>10.874924856936479</v>
      </c>
      <c r="K19" s="130">
        <f t="shared" si="9"/>
        <v>2.048511940054178</v>
      </c>
      <c r="L19" s="130">
        <f t="shared" si="9"/>
        <v>7.1844354910991486</v>
      </c>
      <c r="M19" s="130">
        <f t="shared" si="9"/>
        <v>8.5503895290044696</v>
      </c>
      <c r="N19" s="130">
        <f t="shared" si="9"/>
        <v>3.6108789916073669</v>
      </c>
      <c r="O19" s="130">
        <f t="shared" si="9"/>
        <v>2.0317040338504668</v>
      </c>
      <c r="P19" s="130">
        <f t="shared" si="9"/>
        <v>2.1648557137693563</v>
      </c>
      <c r="Q19" s="130">
        <f t="shared" si="9"/>
        <v>9.4935591169764493</v>
      </c>
      <c r="R19" s="130">
        <f t="shared" ref="R19:W19" si="10">SUM(R20:R27)</f>
        <v>4.7619521826204823</v>
      </c>
      <c r="S19" s="130">
        <f t="shared" si="10"/>
        <v>5.9117768904153873</v>
      </c>
      <c r="T19" s="130">
        <f t="shared" si="10"/>
        <v>5.6572950587241158</v>
      </c>
      <c r="U19" s="130">
        <f t="shared" si="10"/>
        <v>5.4391876510336923</v>
      </c>
      <c r="V19" s="130">
        <f t="shared" si="10"/>
        <v>5.362231901116763</v>
      </c>
      <c r="W19" s="130">
        <f t="shared" si="10"/>
        <v>5.354197329699578</v>
      </c>
      <c r="X19" s="130">
        <f t="shared" ref="X19:Y19" si="11">SUM(X20:X27)</f>
        <v>5.2510813514092503</v>
      </c>
      <c r="Y19" s="130">
        <f t="shared" si="11"/>
        <v>5.2452447595589486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0.28840893989643313</v>
      </c>
      <c r="D22" s="132">
        <v>0.18482020389642181</v>
      </c>
      <c r="E22" s="132">
        <v>0.12826573146265474</v>
      </c>
      <c r="F22" s="132">
        <v>8.0361471292169293E-2</v>
      </c>
      <c r="G22" s="132">
        <v>0.3475365930616458</v>
      </c>
      <c r="H22" s="132">
        <v>0.52241180266141085</v>
      </c>
      <c r="I22" s="132">
        <v>0.61702284421561548</v>
      </c>
      <c r="J22" s="132">
        <v>0.42848838915277709</v>
      </c>
      <c r="K22" s="132">
        <v>8.8548028974330742E-2</v>
      </c>
      <c r="L22" s="132">
        <v>0.26536970970170709</v>
      </c>
      <c r="M22" s="132">
        <v>0.32015928555287765</v>
      </c>
      <c r="N22" s="132">
        <v>0.15711841030848128</v>
      </c>
      <c r="O22" s="132">
        <v>9.6508024110604426E-2</v>
      </c>
      <c r="P22" s="132">
        <v>0.12505210500774946</v>
      </c>
      <c r="Q22" s="132">
        <v>0.47974122679117415</v>
      </c>
      <c r="R22" s="132">
        <v>0.23931743067970973</v>
      </c>
      <c r="S22" s="132">
        <v>0.25072591446085296</v>
      </c>
      <c r="T22" s="132">
        <v>0.2407758344708914</v>
      </c>
      <c r="U22" s="132">
        <v>0.23857444101626557</v>
      </c>
      <c r="V22" s="132">
        <v>0.21357597383139335</v>
      </c>
      <c r="W22" s="132">
        <v>0.22749133258649001</v>
      </c>
      <c r="X22" s="132">
        <v>0.17366619307558648</v>
      </c>
      <c r="Y22" s="132">
        <v>0.1988422866121736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3.6030437934837525</v>
      </c>
      <c r="D23" s="132">
        <v>2.5520361005301084</v>
      </c>
      <c r="E23" s="132">
        <v>1.2906396148274686</v>
      </c>
      <c r="F23" s="132">
        <v>0.72907287474898808</v>
      </c>
      <c r="G23" s="132">
        <v>2.9915753297978713</v>
      </c>
      <c r="H23" s="132">
        <v>4.6658967037857026</v>
      </c>
      <c r="I23" s="132">
        <v>5.118161818951954</v>
      </c>
      <c r="J23" s="132">
        <v>3.5313374429491167</v>
      </c>
      <c r="K23" s="132">
        <v>0.7967802693636139</v>
      </c>
      <c r="L23" s="132">
        <v>2.6913582195390977</v>
      </c>
      <c r="M23" s="132">
        <v>3.2387017947875623</v>
      </c>
      <c r="N23" s="132">
        <v>1.6112429219353588</v>
      </c>
      <c r="O23" s="132">
        <v>0.73625941148633911</v>
      </c>
      <c r="P23" s="132">
        <v>0.35851043994823173</v>
      </c>
      <c r="Q23" s="132">
        <v>2.0267280765931313</v>
      </c>
      <c r="R23" s="132">
        <v>1.8453020111327201</v>
      </c>
      <c r="S23" s="132">
        <v>2.5944594520612676</v>
      </c>
      <c r="T23" s="132">
        <v>1.6482719215824313</v>
      </c>
      <c r="U23" s="132">
        <v>0.84228563485209207</v>
      </c>
      <c r="V23" s="132">
        <v>0.2037637272828583</v>
      </c>
      <c r="W23" s="132">
        <v>0.96808051392578143</v>
      </c>
      <c r="X23" s="132">
        <v>1.5080522299984813</v>
      </c>
      <c r="Y23" s="132">
        <v>1.9912853669688235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0.58898143327805386</v>
      </c>
      <c r="D25" s="132">
        <v>0.32319375249496879</v>
      </c>
      <c r="E25" s="132">
        <v>0.19479867550747162</v>
      </c>
      <c r="F25" s="132">
        <v>0.11456829573300518</v>
      </c>
      <c r="G25" s="132">
        <v>0.56219658289220398</v>
      </c>
      <c r="H25" s="132">
        <v>0.92317332157455145</v>
      </c>
      <c r="I25" s="132">
        <v>1.1590820102122359</v>
      </c>
      <c r="J25" s="132">
        <v>0.80396390609089197</v>
      </c>
      <c r="K25" s="132">
        <v>0.18410708043176358</v>
      </c>
      <c r="L25" s="132">
        <v>0.52575954627773114</v>
      </c>
      <c r="M25" s="132">
        <v>0.54483795057452811</v>
      </c>
      <c r="N25" s="132">
        <v>0.20612799348372349</v>
      </c>
      <c r="O25" s="132">
        <v>8.620285362209032E-2</v>
      </c>
      <c r="P25" s="132">
        <v>0</v>
      </c>
      <c r="Q25" s="132">
        <v>0.20928658873982872</v>
      </c>
      <c r="R25" s="132">
        <v>0.24757830755122565</v>
      </c>
      <c r="S25" s="132">
        <v>0.33645815961981862</v>
      </c>
      <c r="T25" s="132">
        <v>0.33838191710053189</v>
      </c>
      <c r="U25" s="132">
        <v>0.28940324300415526</v>
      </c>
      <c r="V25" s="132">
        <v>0.29512638976008804</v>
      </c>
      <c r="W25" s="132">
        <v>0.26927798240039685</v>
      </c>
      <c r="X25" s="132">
        <v>0.29867861431478132</v>
      </c>
      <c r="Y25" s="132">
        <v>0.33885569711582875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5.207922267934304</v>
      </c>
      <c r="D26" s="65">
        <v>2.8478166190487912</v>
      </c>
      <c r="E26" s="65">
        <v>2.0188476398732984</v>
      </c>
      <c r="F26" s="65">
        <v>0.85196687366955026</v>
      </c>
      <c r="G26" s="65">
        <v>5.3632244489500822</v>
      </c>
      <c r="H26" s="65">
        <v>8.261227381814944</v>
      </c>
      <c r="I26" s="65">
        <v>9.9402620826768935</v>
      </c>
      <c r="J26" s="65">
        <v>6.0459841937854124</v>
      </c>
      <c r="K26" s="65">
        <v>0.49055046630610483</v>
      </c>
      <c r="L26" s="65">
        <v>3.701948015580613</v>
      </c>
      <c r="M26" s="65">
        <v>3.7109367559461273</v>
      </c>
      <c r="N26" s="65">
        <v>1.4687736807463232</v>
      </c>
      <c r="O26" s="65">
        <v>0.71213094067039906</v>
      </c>
      <c r="P26" s="65">
        <v>1.2143528834384425</v>
      </c>
      <c r="Q26" s="65">
        <v>6.5445400500248869</v>
      </c>
      <c r="R26" s="65">
        <v>1.8971982576537985</v>
      </c>
      <c r="S26" s="65">
        <v>2.3623217241738153</v>
      </c>
      <c r="T26" s="65">
        <v>3.1420003310018556</v>
      </c>
      <c r="U26" s="65">
        <v>3.7259160002474419</v>
      </c>
      <c r="V26" s="65">
        <v>4.2857477955572625</v>
      </c>
      <c r="W26" s="65">
        <v>3.8893475007869061</v>
      </c>
      <c r="X26" s="65">
        <v>2.8369226713667155</v>
      </c>
      <c r="Y26" s="65">
        <v>2.2973351673426365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0.21149706937098189</v>
      </c>
      <c r="D27" s="147">
        <v>0.53925194518003572</v>
      </c>
      <c r="E27" s="147">
        <v>0.29849482536346</v>
      </c>
      <c r="F27" s="147">
        <v>0.29095047599251733</v>
      </c>
      <c r="G27" s="147">
        <v>0.43189305219846247</v>
      </c>
      <c r="H27" s="147">
        <v>0.34463498694638006</v>
      </c>
      <c r="I27" s="147">
        <v>0.69184694498314836</v>
      </c>
      <c r="J27" s="147">
        <v>6.5150924958282411E-2</v>
      </c>
      <c r="K27" s="147">
        <v>0.48852609497836474</v>
      </c>
      <c r="L27" s="147">
        <v>0</v>
      </c>
      <c r="M27" s="147">
        <v>0.73575374214337497</v>
      </c>
      <c r="N27" s="147">
        <v>0.16761598513348028</v>
      </c>
      <c r="O27" s="147">
        <v>0.40060280396103382</v>
      </c>
      <c r="P27" s="147">
        <v>0.46694028537493254</v>
      </c>
      <c r="Q27" s="147">
        <v>0.23326317482742878</v>
      </c>
      <c r="R27" s="147">
        <v>0.53255617560302893</v>
      </c>
      <c r="S27" s="147">
        <v>0.36781164009963357</v>
      </c>
      <c r="T27" s="147">
        <v>0.28786505456840583</v>
      </c>
      <c r="U27" s="147">
        <v>0.34300833191373764</v>
      </c>
      <c r="V27" s="147">
        <v>0.36401801468516159</v>
      </c>
      <c r="W27" s="147">
        <v>3.4110454561137644E-15</v>
      </c>
      <c r="X27" s="147">
        <v>0.43376164265368539</v>
      </c>
      <c r="Y27" s="147">
        <v>0.41892624151948571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8.6104413780977112</v>
      </c>
      <c r="D29" s="130">
        <f t="shared" si="12"/>
        <v>5.6296664526876494</v>
      </c>
      <c r="E29" s="130">
        <f t="shared" si="12"/>
        <v>3.4943442726070959</v>
      </c>
      <c r="F29" s="130">
        <f t="shared" si="12"/>
        <v>1.8587679200606915</v>
      </c>
      <c r="G29" s="130">
        <f t="shared" si="12"/>
        <v>8.8906220912753664</v>
      </c>
      <c r="H29" s="130">
        <f t="shared" si="12"/>
        <v>13.613834291927045</v>
      </c>
      <c r="I29" s="130">
        <f t="shared" si="12"/>
        <v>16.890519714145864</v>
      </c>
      <c r="J29" s="130">
        <f t="shared" si="12"/>
        <v>10.699758620992663</v>
      </c>
      <c r="K29" s="130">
        <f t="shared" si="12"/>
        <v>2.0093646951882769</v>
      </c>
      <c r="L29" s="130">
        <f t="shared" si="12"/>
        <v>7.1995452534708182</v>
      </c>
      <c r="M29" s="130">
        <f t="shared" si="12"/>
        <v>8.5587622027822743</v>
      </c>
      <c r="N29" s="130">
        <f t="shared" si="12"/>
        <v>3.5512298858366762</v>
      </c>
      <c r="O29" s="130">
        <f t="shared" si="12"/>
        <v>2.0269880808364045</v>
      </c>
      <c r="P29" s="130">
        <f t="shared" si="12"/>
        <v>2.0883599327143232</v>
      </c>
      <c r="Q29" s="130">
        <f t="shared" si="12"/>
        <v>9.6426353357152941</v>
      </c>
      <c r="R29" s="130">
        <f t="shared" ref="R29:W29" si="13">SUM(R30:R33)</f>
        <v>4.8914419240548943</v>
      </c>
      <c r="S29" s="130">
        <f t="shared" si="13"/>
        <v>5.950208388934298</v>
      </c>
      <c r="T29" s="130">
        <f t="shared" si="13"/>
        <v>5.6205086609286532</v>
      </c>
      <c r="U29" s="130">
        <f t="shared" si="13"/>
        <v>5.3347179440601007</v>
      </c>
      <c r="V29" s="130">
        <f t="shared" si="13"/>
        <v>5.3182993518608024</v>
      </c>
      <c r="W29" s="130">
        <f t="shared" si="13"/>
        <v>5.6038310818615047</v>
      </c>
      <c r="X29" s="130">
        <f t="shared" ref="X29:Y29" si="14">SUM(X30:X33)</f>
        <v>5.6801657918875872</v>
      </c>
      <c r="Y29" s="130">
        <f t="shared" si="14"/>
        <v>5.6773890044792106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0.88406408485505661</v>
      </c>
      <c r="D30" s="132">
        <v>0.5542539858121458</v>
      </c>
      <c r="E30" s="132">
        <v>0.24108558558519805</v>
      </c>
      <c r="F30" s="132">
        <v>0.19930754076437715</v>
      </c>
      <c r="G30" s="132">
        <v>0.45321827993011554</v>
      </c>
      <c r="H30" s="132">
        <v>0.71434387945588163</v>
      </c>
      <c r="I30" s="132">
        <v>0</v>
      </c>
      <c r="J30" s="132">
        <v>0</v>
      </c>
      <c r="K30" s="132">
        <v>0.15457832116808365</v>
      </c>
      <c r="L30" s="132">
        <v>0.76686758797211674</v>
      </c>
      <c r="M30" s="132">
        <v>0</v>
      </c>
      <c r="N30" s="132">
        <v>6.9276451665921029E-2</v>
      </c>
      <c r="O30" s="132">
        <v>6.4662513432575924E-2</v>
      </c>
      <c r="P30" s="132">
        <v>3.5139045773999074E-2</v>
      </c>
      <c r="Q30" s="132">
        <v>0.59951704918956217</v>
      </c>
      <c r="R30" s="132">
        <v>0.47454222015156799</v>
      </c>
      <c r="S30" s="132">
        <v>0.39365052990195615</v>
      </c>
      <c r="T30" s="132">
        <v>0.1714102847982395</v>
      </c>
      <c r="U30" s="132">
        <v>0.19071947831100156</v>
      </c>
      <c r="V30" s="132">
        <v>0.21751895232096352</v>
      </c>
      <c r="W30" s="132">
        <v>0.3532966494596087</v>
      </c>
      <c r="X30" s="132">
        <v>9.7945649210795863E-2</v>
      </c>
      <c r="Y30" s="132">
        <v>1.9321335094546706E-2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2.5399013153728629</v>
      </c>
      <c r="D31" s="132">
        <v>1.7735260456984374</v>
      </c>
      <c r="E31" s="132">
        <v>1.1919330161756727</v>
      </c>
      <c r="F31" s="132">
        <v>0.57686143798340372</v>
      </c>
      <c r="G31" s="132">
        <v>2.6607492906431593</v>
      </c>
      <c r="H31" s="132">
        <v>3.9540714824542658</v>
      </c>
      <c r="I31" s="132">
        <v>6.1803476776132982</v>
      </c>
      <c r="J31" s="132">
        <v>3.7545089786174723</v>
      </c>
      <c r="K31" s="132">
        <v>0.59545901619301023</v>
      </c>
      <c r="L31" s="132">
        <v>1.5928564957270948</v>
      </c>
      <c r="M31" s="132">
        <v>2.6852778407334452</v>
      </c>
      <c r="N31" s="132">
        <v>1.1306740573735545</v>
      </c>
      <c r="O31" s="132">
        <v>0.66976717479066117</v>
      </c>
      <c r="P31" s="132">
        <v>0.77416902743554994</v>
      </c>
      <c r="Q31" s="132">
        <v>1.2981744605107632</v>
      </c>
      <c r="R31" s="132">
        <v>0.85148880726321263</v>
      </c>
      <c r="S31" s="132">
        <v>0.83182119353223194</v>
      </c>
      <c r="T31" s="132">
        <v>0.74261668475331</v>
      </c>
      <c r="U31" s="132">
        <v>0.72381313629798583</v>
      </c>
      <c r="V31" s="132">
        <v>1.3413660115119159</v>
      </c>
      <c r="W31" s="132">
        <v>1.5658004082804835</v>
      </c>
      <c r="X31" s="132">
        <v>1.4985679854377254</v>
      </c>
      <c r="Y31" s="132">
        <v>1.342788663176357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5.186475977869792</v>
      </c>
      <c r="D33" s="68">
        <v>3.3018864211770662</v>
      </c>
      <c r="E33" s="68">
        <v>2.0613256708462253</v>
      </c>
      <c r="F33" s="68">
        <v>1.0825989413129105</v>
      </c>
      <c r="G33" s="68">
        <v>5.776654520702091</v>
      </c>
      <c r="H33" s="68">
        <v>8.9454189300168974</v>
      </c>
      <c r="I33" s="68">
        <v>10.710172036532565</v>
      </c>
      <c r="J33" s="68">
        <v>6.9452496423751908</v>
      </c>
      <c r="K33" s="68">
        <v>1.2593273578271829</v>
      </c>
      <c r="L33" s="68">
        <v>4.8398211697716063</v>
      </c>
      <c r="M33" s="68">
        <v>5.8734843620488286</v>
      </c>
      <c r="N33" s="68">
        <v>2.3512793767972009</v>
      </c>
      <c r="O33" s="68">
        <v>1.2925583926131672</v>
      </c>
      <c r="P33" s="68">
        <v>1.2790518595047742</v>
      </c>
      <c r="Q33" s="68">
        <v>7.7449438260149694</v>
      </c>
      <c r="R33" s="68">
        <v>3.5654108966401137</v>
      </c>
      <c r="S33" s="68">
        <v>4.7247366655001102</v>
      </c>
      <c r="T33" s="68">
        <v>4.7064816913771041</v>
      </c>
      <c r="U33" s="68">
        <v>4.4201853294511135</v>
      </c>
      <c r="V33" s="68">
        <v>3.7594143880279232</v>
      </c>
      <c r="W33" s="68">
        <v>3.6847340241214126</v>
      </c>
      <c r="X33" s="68">
        <v>4.083652157239066</v>
      </c>
      <c r="Y33" s="68">
        <v>4.3152790062083071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0.7969167576564844</v>
      </c>
      <c r="D3" s="126">
        <f>IF(SER_hh_tes_in!D3=0,"",SER_hh_tes_in!D3/SER_hh_fec_in!D3)</f>
        <v>0.81243690246662092</v>
      </c>
      <c r="E3" s="126">
        <f>IF(SER_hh_tes_in!E3=0,"",SER_hh_tes_in!E3/SER_hh_fec_in!E3)</f>
        <v>0.81570333612917645</v>
      </c>
      <c r="F3" s="126">
        <f>IF(SER_hh_tes_in!F3=0,"",SER_hh_tes_in!F3/SER_hh_fec_in!F3)</f>
        <v>0.79295167086706653</v>
      </c>
      <c r="G3" s="126">
        <f>IF(SER_hh_tes_in!G3=0,"",SER_hh_tes_in!G3/SER_hh_fec_in!G3)</f>
        <v>0.8196050280986672</v>
      </c>
      <c r="H3" s="126">
        <f>IF(SER_hh_tes_in!H3=0,"",SER_hh_tes_in!H3/SER_hh_fec_in!H3)</f>
        <v>0.83632880782551777</v>
      </c>
      <c r="I3" s="126">
        <f>IF(SER_hh_tes_in!I3=0,"",SER_hh_tes_in!I3/SER_hh_fec_in!I3)</f>
        <v>0.84867958213003047</v>
      </c>
      <c r="J3" s="126">
        <f>IF(SER_hh_tes_in!J3=0,"",SER_hh_tes_in!J3/SER_hh_fec_in!J3)</f>
        <v>0.84059822670422013</v>
      </c>
      <c r="K3" s="126">
        <f>IF(SER_hh_tes_in!K3=0,"",SER_hh_tes_in!K3/SER_hh_fec_in!K3)</f>
        <v>0.86014194174648373</v>
      </c>
      <c r="L3" s="126">
        <f>IF(SER_hh_tes_in!L3=0,"",SER_hh_tes_in!L3/SER_hh_fec_in!L3)</f>
        <v>0.83018999160818774</v>
      </c>
      <c r="M3" s="126">
        <f>IF(SER_hh_tes_in!M3=0,"",SER_hh_tes_in!M3/SER_hh_fec_in!M3)</f>
        <v>0.8883263197931951</v>
      </c>
      <c r="N3" s="126">
        <f>IF(SER_hh_tes_in!N3=0,"",SER_hh_tes_in!N3/SER_hh_fec_in!N3)</f>
        <v>0.88792367190965915</v>
      </c>
      <c r="O3" s="126">
        <f>IF(SER_hh_tes_in!O3=0,"",SER_hh_tes_in!O3/SER_hh_fec_in!O3)</f>
        <v>0.93298637138166474</v>
      </c>
      <c r="P3" s="126">
        <f>IF(SER_hh_tes_in!P3=0,"",SER_hh_tes_in!P3/SER_hh_fec_in!P3)</f>
        <v>1.053080466583677</v>
      </c>
      <c r="Q3" s="126">
        <f>IF(SER_hh_tes_in!Q3=0,"",SER_hh_tes_in!Q3/SER_hh_fec_in!Q3)</f>
        <v>1.0469059517596391</v>
      </c>
      <c r="R3" s="126">
        <f>IF(SER_hh_tes_in!R3=0,"",SER_hh_tes_in!R3/SER_hh_fec_in!R3)</f>
        <v>1.0608621210353022</v>
      </c>
      <c r="S3" s="126">
        <f>IF(SER_hh_tes_in!S3=0,"",SER_hh_tes_in!S3/SER_hh_fec_in!S3)</f>
        <v>1.0553123380225906</v>
      </c>
      <c r="T3" s="126">
        <f>IF(SER_hh_tes_in!T3=0,"",SER_hh_tes_in!T3/SER_hh_fec_in!T3)</f>
        <v>1.1073829209928625</v>
      </c>
      <c r="U3" s="126">
        <f>IF(SER_hh_tes_in!U3=0,"",SER_hh_tes_in!U3/SER_hh_fec_in!U3)</f>
        <v>1.1298428332250465</v>
      </c>
      <c r="V3" s="126">
        <f>IF(SER_hh_tes_in!V3=0,"",SER_hh_tes_in!V3/SER_hh_fec_in!V3)</f>
        <v>1.1502869202781028</v>
      </c>
      <c r="W3" s="126">
        <f>IF(SER_hh_tes_in!W3=0,"",SER_hh_tes_in!W3/SER_hh_fec_in!W3)</f>
        <v>1.1082513644045877</v>
      </c>
      <c r="X3" s="126">
        <f>IF(SER_hh_tes_in!X3=0,"",SER_hh_tes_in!X3/SER_hh_fec_in!X3)</f>
        <v>1.143922600684923</v>
      </c>
      <c r="Y3" s="126">
        <f>IF(SER_hh_tes_in!Y3=0,"",SER_hh_tes_in!Y3/SER_hh_fec_in!Y3)</f>
        <v>1.1495100614684923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0.66010221444859685</v>
      </c>
      <c r="D4" s="135">
        <f>IF(SER_hh_tes_in!D4=0,"",SER_hh_tes_in!D4/SER_hh_fec_in!D4)</f>
        <v>0.676788131506461</v>
      </c>
      <c r="E4" s="135">
        <f>IF(SER_hh_tes_in!E4=0,"",SER_hh_tes_in!E4/SER_hh_fec_in!E4)</f>
        <v>0.66723280030637078</v>
      </c>
      <c r="F4" s="135">
        <f>IF(SER_hh_tes_in!F4=0,"",SER_hh_tes_in!F4/SER_hh_fec_in!F4)</f>
        <v>0.66056334427646812</v>
      </c>
      <c r="G4" s="135">
        <f>IF(SER_hh_tes_in!G4=0,"",SER_hh_tes_in!G4/SER_hh_fec_in!G4)</f>
        <v>0.67948925222556533</v>
      </c>
      <c r="H4" s="135">
        <f>IF(SER_hh_tes_in!H4=0,"",SER_hh_tes_in!H4/SER_hh_fec_in!H4)</f>
        <v>0.68119898070519647</v>
      </c>
      <c r="I4" s="135">
        <f>IF(SER_hh_tes_in!I4=0,"",SER_hh_tes_in!I4/SER_hh_fec_in!I4)</f>
        <v>0.69468050816651228</v>
      </c>
      <c r="J4" s="135">
        <f>IF(SER_hh_tes_in!J4=0,"",SER_hh_tes_in!J4/SER_hh_fec_in!J4)</f>
        <v>0.6868173125162772</v>
      </c>
      <c r="K4" s="135">
        <f>IF(SER_hh_tes_in!K4=0,"",SER_hh_tes_in!K4/SER_hh_fec_in!K4)</f>
        <v>0.70882158153487573</v>
      </c>
      <c r="L4" s="135">
        <f>IF(SER_hh_tes_in!L4=0,"",SER_hh_tes_in!L4/SER_hh_fec_in!L4)</f>
        <v>0.68398043530540875</v>
      </c>
      <c r="M4" s="135">
        <f>IF(SER_hh_tes_in!M4=0,"",SER_hh_tes_in!M4/SER_hh_fec_in!M4)</f>
        <v>0.72254395350239742</v>
      </c>
      <c r="N4" s="135">
        <f>IF(SER_hh_tes_in!N4=0,"",SER_hh_tes_in!N4/SER_hh_fec_in!N4)</f>
        <v>0.73038829904852065</v>
      </c>
      <c r="O4" s="135">
        <f>IF(SER_hh_tes_in!O4=0,"",SER_hh_tes_in!O4/SER_hh_fec_in!O4)</f>
        <v>0.77602799738761663</v>
      </c>
      <c r="P4" s="135">
        <f>IF(SER_hh_tes_in!P4=0,"",SER_hh_tes_in!P4/SER_hh_fec_in!P4)</f>
        <v>0.90610923689968981</v>
      </c>
      <c r="Q4" s="135">
        <f>IF(SER_hh_tes_in!Q4=0,"",SER_hh_tes_in!Q4/SER_hh_fec_in!Q4)</f>
        <v>0.87591171270199852</v>
      </c>
      <c r="R4" s="135">
        <f>IF(SER_hh_tes_in!R4=0,"",SER_hh_tes_in!R4/SER_hh_fec_in!R4)</f>
        <v>0.9007081386776109</v>
      </c>
      <c r="S4" s="135">
        <f>IF(SER_hh_tes_in!S4=0,"",SER_hh_tes_in!S4/SER_hh_fec_in!S4)</f>
        <v>0.8900124461631439</v>
      </c>
      <c r="T4" s="135">
        <f>IF(SER_hh_tes_in!T4=0,"",SER_hh_tes_in!T4/SER_hh_fec_in!T4)</f>
        <v>0.91948343097901319</v>
      </c>
      <c r="U4" s="135">
        <f>IF(SER_hh_tes_in!U4=0,"",SER_hh_tes_in!U4/SER_hh_fec_in!U4)</f>
        <v>0.94092210890880323</v>
      </c>
      <c r="V4" s="135">
        <f>IF(SER_hh_tes_in!V4=0,"",SER_hh_tes_in!V4/SER_hh_fec_in!V4)</f>
        <v>0.98238722265769041</v>
      </c>
      <c r="W4" s="135">
        <f>IF(SER_hh_tes_in!W4=0,"",SER_hh_tes_in!W4/SER_hh_fec_in!W4)</f>
        <v>0.97989565711711657</v>
      </c>
      <c r="X4" s="135">
        <f>IF(SER_hh_tes_in!X4=0,"",SER_hh_tes_in!X4/SER_hh_fec_in!X4)</f>
        <v>1.0475254194803345</v>
      </c>
      <c r="Y4" s="135">
        <f>IF(SER_hh_tes_in!Y4=0,"",SER_hh_tes_in!Y4/SER_hh_fec_in!Y4)</f>
        <v>1.0525065134465272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0.66689170583993151</v>
      </c>
      <c r="D5" s="136">
        <f>IF(SER_hh_tes_in!D5=0,"",SER_hh_tes_in!D5/SER_hh_fec_in!D5)</f>
        <v>0.67302951091313035</v>
      </c>
      <c r="E5" s="136">
        <f>IF(SER_hh_tes_in!E5=0,"",SER_hh_tes_in!E5/SER_hh_fec_in!E5)</f>
        <v>0.67914944479284489</v>
      </c>
      <c r="F5" s="136">
        <f>IF(SER_hh_tes_in!F5=0,"",SER_hh_tes_in!F5/SER_hh_fec_in!F5)</f>
        <v>0.68526694169162972</v>
      </c>
      <c r="G5" s="136">
        <f>IF(SER_hh_tes_in!G5=0,"",SER_hh_tes_in!G5/SER_hh_fec_in!G5)</f>
        <v>0.69136798027238244</v>
      </c>
      <c r="H5" s="136">
        <f>IF(SER_hh_tes_in!H5=0,"",SER_hh_tes_in!H5/SER_hh_fec_in!H5)</f>
        <v>0.69745427656826287</v>
      </c>
      <c r="I5" s="136">
        <f>IF(SER_hh_tes_in!I5=0,"",SER_hh_tes_in!I5/SER_hh_fec_in!I5)</f>
        <v>0.70352237572139997</v>
      </c>
      <c r="J5" s="136">
        <f>IF(SER_hh_tes_in!J5=0,"",SER_hh_tes_in!J5/SER_hh_fec_in!J5)</f>
        <v>0.70955812439854915</v>
      </c>
      <c r="K5" s="136">
        <f>IF(SER_hh_tes_in!K5=0,"",SER_hh_tes_in!K5/SER_hh_fec_in!K5)</f>
        <v>0.71554948854368028</v>
      </c>
      <c r="L5" s="136">
        <f>IF(SER_hh_tes_in!L5=0,"",SER_hh_tes_in!L5/SER_hh_fec_in!L5)</f>
        <v>0.72149324855343422</v>
      </c>
      <c r="M5" s="136">
        <f>IF(SER_hh_tes_in!M5=0,"",SER_hh_tes_in!M5/SER_hh_fec_in!M5)</f>
        <v>0.72698672702579792</v>
      </c>
      <c r="N5" s="136">
        <f>IF(SER_hh_tes_in!N5=0,"",SER_hh_tes_in!N5/SER_hh_fec_in!N5)</f>
        <v>0.73189348874266835</v>
      </c>
      <c r="O5" s="136">
        <f>IF(SER_hh_tes_in!O5=0,"",SER_hh_tes_in!O5/SER_hh_fec_in!O5)</f>
        <v>0.7362173397440761</v>
      </c>
      <c r="P5" s="136">
        <f>IF(SER_hh_tes_in!P5=0,"",SER_hh_tes_in!P5/SER_hh_fec_in!P5)</f>
        <v>0.74041946581862694</v>
      </c>
      <c r="Q5" s="136">
        <f>IF(SER_hh_tes_in!Q5=0,"",SER_hh_tes_in!Q5/SER_hh_fec_in!Q5)</f>
        <v>0.7458463407022089</v>
      </c>
      <c r="R5" s="136">
        <f>IF(SER_hh_tes_in!R5=0,"",SER_hh_tes_in!R5/SER_hh_fec_in!R5)</f>
        <v>0.75416953834494393</v>
      </c>
      <c r="S5" s="136">
        <f>IF(SER_hh_tes_in!S5=0,"",SER_hh_tes_in!S5/SER_hh_fec_in!S5)</f>
        <v>0.76410686761470659</v>
      </c>
      <c r="T5" s="136">
        <f>IF(SER_hh_tes_in!T5=0,"",SER_hh_tes_in!T5/SER_hh_fec_in!T5)</f>
        <v>0.77461596676042666</v>
      </c>
      <c r="U5" s="136" t="str">
        <f>IF(SER_hh_tes_in!U5=0,"",SER_hh_tes_in!U5/SER_hh_fec_in!U5)</f>
        <v/>
      </c>
      <c r="V5" s="136">
        <f>IF(SER_hh_tes_in!V5=0,"",SER_hh_tes_in!V5/SER_hh_fec_in!V5)</f>
        <v>0.79318002767556461</v>
      </c>
      <c r="W5" s="136">
        <f>IF(SER_hh_tes_in!W5=0,"",SER_hh_tes_in!W5/SER_hh_fec_in!W5)</f>
        <v>0.79979644408160711</v>
      </c>
      <c r="X5" s="136">
        <f>IF(SER_hh_tes_in!X5=0,"",SER_hh_tes_in!X5/SER_hh_fec_in!X5)</f>
        <v>0.80497337183625883</v>
      </c>
      <c r="Y5" s="136">
        <f>IF(SER_hh_tes_in!Y5=0,"",SER_hh_tes_in!Y5/SER_hh_fec_in!Y5)</f>
        <v>0.80964041392176922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0.55881467205786495</v>
      </c>
      <c r="D7" s="136">
        <f>IF(SER_hh_tes_in!D7=0,"",SER_hh_tes_in!D7/SER_hh_fec_in!D7)</f>
        <v>0.56308747965351569</v>
      </c>
      <c r="E7" s="136">
        <f>IF(SER_hh_tes_in!E7=0,"",SER_hh_tes_in!E7/SER_hh_fec_in!E7)</f>
        <v>0.56758775169317832</v>
      </c>
      <c r="F7" s="136">
        <f>IF(SER_hh_tes_in!F7=0,"",SER_hh_tes_in!F7/SER_hh_fec_in!F7)</f>
        <v>0.57206343644805846</v>
      </c>
      <c r="G7" s="136">
        <f>IF(SER_hh_tes_in!G7=0,"",SER_hh_tes_in!G7/SER_hh_fec_in!G7)</f>
        <v>0.57673929329712192</v>
      </c>
      <c r="H7" s="136">
        <f>IF(SER_hh_tes_in!H7=0,"",SER_hh_tes_in!H7/SER_hh_fec_in!H7)</f>
        <v>0.58158484385449238</v>
      </c>
      <c r="I7" s="136">
        <f>IF(SER_hh_tes_in!I7=0,"",SER_hh_tes_in!I7/SER_hh_fec_in!I7)</f>
        <v>0.58665239839574024</v>
      </c>
      <c r="J7" s="136">
        <f>IF(SER_hh_tes_in!J7=0,"",SER_hh_tes_in!J7/SER_hh_fec_in!J7)</f>
        <v>0.5921631413687759</v>
      </c>
      <c r="K7" s="136">
        <f>IF(SER_hh_tes_in!K7=0,"",SER_hh_tes_in!K7/SER_hh_fec_in!K7)</f>
        <v>0.59830095259099103</v>
      </c>
      <c r="L7" s="136">
        <f>IF(SER_hh_tes_in!L7=0,"",SER_hh_tes_in!L7/SER_hh_fec_in!L7)</f>
        <v>0.60510750659980705</v>
      </c>
      <c r="M7" s="136">
        <f>IF(SER_hh_tes_in!M7=0,"",SER_hh_tes_in!M7/SER_hh_fec_in!M7)</f>
        <v>0.61742316670754094</v>
      </c>
      <c r="N7" s="136">
        <f>IF(SER_hh_tes_in!N7=0,"",SER_hh_tes_in!N7/SER_hh_fec_in!N7)</f>
        <v>0.6366965313512547</v>
      </c>
      <c r="O7" s="136">
        <f>IF(SER_hh_tes_in!O7=0,"",SER_hh_tes_in!O7/SER_hh_fec_in!O7)</f>
        <v>0.6636649175492747</v>
      </c>
      <c r="P7" s="136">
        <f>IF(SER_hh_tes_in!P7=0,"",SER_hh_tes_in!P7/SER_hh_fec_in!P7)</f>
        <v>0.69474474578506773</v>
      </c>
      <c r="Q7" s="136">
        <f>IF(SER_hh_tes_in!Q7=0,"",SER_hh_tes_in!Q7/SER_hh_fec_in!Q7)</f>
        <v>0.71956235711542049</v>
      </c>
      <c r="R7" s="136">
        <f>IF(SER_hh_tes_in!R7=0,"",SER_hh_tes_in!R7/SER_hh_fec_in!R7)</f>
        <v>0.72901728006605282</v>
      </c>
      <c r="S7" s="136">
        <f>IF(SER_hh_tes_in!S7=0,"",SER_hh_tes_in!S7/SER_hh_fec_in!S7)</f>
        <v>0.73346763433740203</v>
      </c>
      <c r="T7" s="136">
        <f>IF(SER_hh_tes_in!T7=0,"",SER_hh_tes_in!T7/SER_hh_fec_in!T7)</f>
        <v>0.73494491915924809</v>
      </c>
      <c r="U7" s="136">
        <f>IF(SER_hh_tes_in!U7=0,"",SER_hh_tes_in!U7/SER_hh_fec_in!U7)</f>
        <v>0.73537789645273421</v>
      </c>
      <c r="V7" s="136">
        <f>IF(SER_hh_tes_in!V7=0,"",SER_hh_tes_in!V7/SER_hh_fec_in!V7)</f>
        <v>0.73662131036665524</v>
      </c>
      <c r="W7" s="136">
        <f>IF(SER_hh_tes_in!W7=0,"",SER_hh_tes_in!W7/SER_hh_fec_in!W7)</f>
        <v>0.73834184152500881</v>
      </c>
      <c r="X7" s="136">
        <f>IF(SER_hh_tes_in!X7=0,"",SER_hh_tes_in!X7/SER_hh_fec_in!X7)</f>
        <v>0.73950715614023499</v>
      </c>
      <c r="Y7" s="136">
        <f>IF(SER_hh_tes_in!Y7=0,"",SER_hh_tes_in!Y7/SER_hh_fec_in!Y7)</f>
        <v>0.7402539633889712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1.4551065848952227</v>
      </c>
      <c r="D8" s="136">
        <f>IF(SER_hh_tes_in!D8=0,"",SER_hh_tes_in!D8/SER_hh_fec_in!D8)</f>
        <v>1.5124854649191153</v>
      </c>
      <c r="E8" s="136">
        <f>IF(SER_hh_tes_in!E8=0,"",SER_hh_tes_in!E8/SER_hh_fec_in!E8)</f>
        <v>1.5707343326219954</v>
      </c>
      <c r="F8" s="136">
        <f>IF(SER_hh_tes_in!F8=0,"",SER_hh_tes_in!F8/SER_hh_fec_in!F8)</f>
        <v>1.6292280908714221</v>
      </c>
      <c r="G8" s="136">
        <f>IF(SER_hh_tes_in!G8=0,"",SER_hh_tes_in!G8/SER_hh_fec_in!G8)</f>
        <v>1.6885464653817985</v>
      </c>
      <c r="H8" s="136">
        <f>IF(SER_hh_tes_in!H8=0,"",SER_hh_tes_in!H8/SER_hh_fec_in!H8)</f>
        <v>1.7486254781410231</v>
      </c>
      <c r="I8" s="136">
        <f>IF(SER_hh_tes_in!I8=0,"",SER_hh_tes_in!I8/SER_hh_fec_in!I8)</f>
        <v>1.8096133357029791</v>
      </c>
      <c r="J8" s="136">
        <f>IF(SER_hh_tes_in!J8=0,"",SER_hh_tes_in!J8/SER_hh_fec_in!J8)</f>
        <v>1.8720999025041916</v>
      </c>
      <c r="K8" s="136">
        <f>IF(SER_hh_tes_in!K8=0,"",SER_hh_tes_in!K8/SER_hh_fec_in!K8)</f>
        <v>1.9365910393535768</v>
      </c>
      <c r="L8" s="136">
        <f>IF(SER_hh_tes_in!L8=0,"",SER_hh_tes_in!L8/SER_hh_fec_in!L8)</f>
        <v>2.003231137981043</v>
      </c>
      <c r="M8" s="136">
        <f>IF(SER_hh_tes_in!M8=0,"",SER_hh_tes_in!M8/SER_hh_fec_in!M8)</f>
        <v>2.0862144788428849</v>
      </c>
      <c r="N8" s="136">
        <f>IF(SER_hh_tes_in!N8=0,"",SER_hh_tes_in!N8/SER_hh_fec_in!N8)</f>
        <v>2.1904098419927678</v>
      </c>
      <c r="O8" s="136">
        <f>IF(SER_hh_tes_in!O8=0,"",SER_hh_tes_in!O8/SER_hh_fec_in!O8)</f>
        <v>2.317711276064538</v>
      </c>
      <c r="P8" s="136">
        <f>IF(SER_hh_tes_in!P8=0,"",SER_hh_tes_in!P8/SER_hh_fec_in!P8)</f>
        <v>2.4551185406850391</v>
      </c>
      <c r="Q8" s="136">
        <f>IF(SER_hh_tes_in!Q8=0,"",SER_hh_tes_in!Q8/SER_hh_fec_in!Q8)</f>
        <v>2.562829185770175</v>
      </c>
      <c r="R8" s="136">
        <f>IF(SER_hh_tes_in!R8=0,"",SER_hh_tes_in!R8/SER_hh_fec_in!R8)</f>
        <v>2.6770286499805511</v>
      </c>
      <c r="S8" s="136">
        <f>IF(SER_hh_tes_in!S8=0,"",SER_hh_tes_in!S8/SER_hh_fec_in!S8)</f>
        <v>2.7515649225974568</v>
      </c>
      <c r="T8" s="136">
        <f>IF(SER_hh_tes_in!T8=0,"",SER_hh_tes_in!T8/SER_hh_fec_in!T8)</f>
        <v>2.7988342384631406</v>
      </c>
      <c r="U8" s="136">
        <f>IF(SER_hh_tes_in!U8=0,"",SER_hh_tes_in!U8/SER_hh_fec_in!U8)</f>
        <v>2.8313347537999864</v>
      </c>
      <c r="V8" s="136">
        <f>IF(SER_hh_tes_in!V8=0,"",SER_hh_tes_in!V8/SER_hh_fec_in!V8)</f>
        <v>2.8611914106926317</v>
      </c>
      <c r="W8" s="136">
        <f>IF(SER_hh_tes_in!W8=0,"",SER_hh_tes_in!W8/SER_hh_fec_in!W8)</f>
        <v>2.8903366676486262</v>
      </c>
      <c r="X8" s="136">
        <f>IF(SER_hh_tes_in!X8=0,"",SER_hh_tes_in!X8/SER_hh_fec_in!X8)</f>
        <v>2.9139815891704437</v>
      </c>
      <c r="Y8" s="136">
        <f>IF(SER_hh_tes_in!Y8=0,"",SER_hh_tes_in!Y8/SER_hh_fec_in!Y8)</f>
        <v>2.9340808520579529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0.59827617838050673</v>
      </c>
      <c r="D9" s="136">
        <f>IF(SER_hh_tes_in!D9=0,"",SER_hh_tes_in!D9/SER_hh_fec_in!D9)</f>
        <v>0.60317421965511142</v>
      </c>
      <c r="E9" s="136">
        <f>IF(SER_hh_tes_in!E9=0,"",SER_hh_tes_in!E9/SER_hh_fec_in!E9)</f>
        <v>0.6083804071190515</v>
      </c>
      <c r="F9" s="136">
        <f>IF(SER_hh_tes_in!F9=0,"",SER_hh_tes_in!F9/SER_hh_fec_in!F9)</f>
        <v>0.61356749928629595</v>
      </c>
      <c r="G9" s="136">
        <f>IF(SER_hh_tes_in!G9=0,"",SER_hh_tes_in!G9/SER_hh_fec_in!G9)</f>
        <v>0.61903054728162976</v>
      </c>
      <c r="H9" s="136">
        <f>IF(SER_hh_tes_in!H9=0,"",SER_hh_tes_in!H9/SER_hh_fec_in!H9)</f>
        <v>0.62473184365669499</v>
      </c>
      <c r="I9" s="136">
        <f>IF(SER_hh_tes_in!I9=0,"",SER_hh_tes_in!I9/SER_hh_fec_in!I9)</f>
        <v>0.63074241178594703</v>
      </c>
      <c r="J9" s="136">
        <f>IF(SER_hh_tes_in!J9=0,"",SER_hh_tes_in!J9/SER_hh_fec_in!J9)</f>
        <v>0.63735691627214419</v>
      </c>
      <c r="K9" s="136">
        <f>IF(SER_hh_tes_in!K9=0,"",SER_hh_tes_in!K9/SER_hh_fec_in!K9)</f>
        <v>0.64482346958057468</v>
      </c>
      <c r="L9" s="136">
        <f>IF(SER_hh_tes_in!L9=0,"",SER_hh_tes_in!L9/SER_hh_fec_in!L9)</f>
        <v>0.6532040158363992</v>
      </c>
      <c r="M9" s="136">
        <f>IF(SER_hh_tes_in!M9=0,"",SER_hh_tes_in!M9/SER_hh_fec_in!M9)</f>
        <v>0.66870533898605955</v>
      </c>
      <c r="N9" s="136">
        <f>IF(SER_hh_tes_in!N9=0,"",SER_hh_tes_in!N9/SER_hh_fec_in!N9)</f>
        <v>0.69325763676461671</v>
      </c>
      <c r="O9" s="136">
        <f>IF(SER_hh_tes_in!O9=0,"",SER_hh_tes_in!O9/SER_hh_fec_in!O9)</f>
        <v>0.72814469301261164</v>
      </c>
      <c r="P9" s="136">
        <f>IF(SER_hh_tes_in!P9=0,"",SER_hh_tes_in!P9/SER_hh_fec_in!P9)</f>
        <v>0.76922839000665766</v>
      </c>
      <c r="Q9" s="136">
        <f>IF(SER_hh_tes_in!Q9=0,"",SER_hh_tes_in!Q9/SER_hh_fec_in!Q9)</f>
        <v>0.80385633239379295</v>
      </c>
      <c r="R9" s="136">
        <f>IF(SER_hh_tes_in!R9=0,"",SER_hh_tes_in!R9/SER_hh_fec_in!R9)</f>
        <v>0.82141013570907129</v>
      </c>
      <c r="S9" s="136">
        <f>IF(SER_hh_tes_in!S9=0,"",SER_hh_tes_in!S9/SER_hh_fec_in!S9)</f>
        <v>0.83482111366264644</v>
      </c>
      <c r="T9" s="136">
        <f>IF(SER_hh_tes_in!T9=0,"",SER_hh_tes_in!T9/SER_hh_fec_in!T9)</f>
        <v>0.84569510684192495</v>
      </c>
      <c r="U9" s="136">
        <f>IF(SER_hh_tes_in!U9=0,"",SER_hh_tes_in!U9/SER_hh_fec_in!U9)</f>
        <v>0.85514085491653968</v>
      </c>
      <c r="V9" s="136">
        <f>IF(SER_hh_tes_in!V9=0,"",SER_hh_tes_in!V9/SER_hh_fec_in!V9)</f>
        <v>0.86370590872585373</v>
      </c>
      <c r="W9" s="136">
        <f>IF(SER_hh_tes_in!W9=0,"",SER_hh_tes_in!W9/SER_hh_fec_in!W9)</f>
        <v>0.87007648967995388</v>
      </c>
      <c r="X9" s="136">
        <f>IF(SER_hh_tes_in!X9=0,"",SER_hh_tes_in!X9/SER_hh_fec_in!X9)</f>
        <v>0.87307333899309514</v>
      </c>
      <c r="Y9" s="136">
        <f>IF(SER_hh_tes_in!Y9=0,"",SER_hh_tes_in!Y9/SER_hh_fec_in!Y9)</f>
        <v>0.87511902481865689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0.57668440280196209</v>
      </c>
      <c r="D10" s="136">
        <f>IF(SER_hh_tes_in!D10=0,"",SER_hh_tes_in!D10/SER_hh_fec_in!D10)</f>
        <v>0.57697568234910013</v>
      </c>
      <c r="E10" s="136">
        <f>IF(SER_hh_tes_in!E10=0,"",SER_hh_tes_in!E10/SER_hh_fec_in!E10)</f>
        <v>0.57726973484329658</v>
      </c>
      <c r="F10" s="136">
        <f>IF(SER_hh_tes_in!F10=0,"",SER_hh_tes_in!F10/SER_hh_fec_in!F10)</f>
        <v>0.57756627268654304</v>
      </c>
      <c r="G10" s="136">
        <f>IF(SER_hh_tes_in!G10=0,"",SER_hh_tes_in!G10/SER_hh_fec_in!G10)</f>
        <v>0.57786500329916435</v>
      </c>
      <c r="H10" s="136">
        <f>IF(SER_hh_tes_in!H10=0,"",SER_hh_tes_in!H10/SER_hh_fec_in!H10)</f>
        <v>0.57816558212511793</v>
      </c>
      <c r="I10" s="136">
        <f>IF(SER_hh_tes_in!I10=0,"",SER_hh_tes_in!I10/SER_hh_fec_in!I10)</f>
        <v>0.5784675546565945</v>
      </c>
      <c r="J10" s="136">
        <f>IF(SER_hh_tes_in!J10=0,"",SER_hh_tes_in!J10/SER_hh_fec_in!J10)</f>
        <v>0.57876993909735741</v>
      </c>
      <c r="K10" s="136">
        <f>IF(SER_hh_tes_in!K10=0,"",SER_hh_tes_in!K10/SER_hh_fec_in!K10)</f>
        <v>0.57907143722191967</v>
      </c>
      <c r="L10" s="136">
        <f>IF(SER_hh_tes_in!L10=0,"",SER_hh_tes_in!L10/SER_hh_fec_in!L10)</f>
        <v>0.57937089678553011</v>
      </c>
      <c r="M10" s="136">
        <f>IF(SER_hh_tes_in!M10=0,"",SER_hh_tes_in!M10/SER_hh_fec_in!M10)</f>
        <v>0.57964597502685788</v>
      </c>
      <c r="N10" s="136">
        <f>IF(SER_hh_tes_in!N10=0,"",SER_hh_tes_in!N10/SER_hh_fec_in!N10)</f>
        <v>0.57988444641599446</v>
      </c>
      <c r="O10" s="136">
        <f>IF(SER_hh_tes_in!O10=0,"",SER_hh_tes_in!O10/SER_hh_fec_in!O10)</f>
        <v>0.58007925004111027</v>
      </c>
      <c r="P10" s="136">
        <f>IF(SER_hh_tes_in!P10=0,"",SER_hh_tes_in!P10/SER_hh_fec_in!P10)</f>
        <v>0.58024726176056074</v>
      </c>
      <c r="Q10" s="136">
        <f>IF(SER_hh_tes_in!Q10=0,"",SER_hh_tes_in!Q10/SER_hh_fec_in!Q10)</f>
        <v>0.58044773115406856</v>
      </c>
      <c r="R10" s="136">
        <f>IF(SER_hh_tes_in!R10=0,"",SER_hh_tes_in!R10/SER_hh_fec_in!R10)</f>
        <v>0.58074800837946416</v>
      </c>
      <c r="S10" s="136">
        <f>IF(SER_hh_tes_in!S10=0,"",SER_hh_tes_in!S10/SER_hh_fec_in!S10)</f>
        <v>0.5810859668096775</v>
      </c>
      <c r="T10" s="136">
        <f>IF(SER_hh_tes_in!T10=0,"",SER_hh_tes_in!T10/SER_hh_fec_in!T10)</f>
        <v>0.58142685887198897</v>
      </c>
      <c r="U10" s="136">
        <f>IF(SER_hh_tes_in!U10=0,"",SER_hh_tes_in!U10/SER_hh_fec_in!U10)</f>
        <v>0.58174175756088475</v>
      </c>
      <c r="V10" s="136">
        <f>IF(SER_hh_tes_in!V10=0,"",SER_hh_tes_in!V10/SER_hh_fec_in!V10)</f>
        <v>0.58200590162718724</v>
      </c>
      <c r="W10" s="136">
        <f>IF(SER_hh_tes_in!W10=0,"",SER_hh_tes_in!W10/SER_hh_fec_in!W10)</f>
        <v>0.58221809546034353</v>
      </c>
      <c r="X10" s="136">
        <f>IF(SER_hh_tes_in!X10=0,"",SER_hh_tes_in!X10/SER_hh_fec_in!X10)</f>
        <v>0.58781693567267179</v>
      </c>
      <c r="Y10" s="136">
        <f>IF(SER_hh_tes_in!Y10=0,"",SER_hh_tes_in!Y10/SER_hh_fec_in!Y10)</f>
        <v>0.59309330228477264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0.88831872655007194</v>
      </c>
      <c r="D12" s="136">
        <f>IF(SER_hh_tes_in!D12=0,"",SER_hh_tes_in!D12/SER_hh_fec_in!D12)</f>
        <v>0.88989483019133064</v>
      </c>
      <c r="E12" s="136">
        <f>IF(SER_hh_tes_in!E12=0,"",SER_hh_tes_in!E12/SER_hh_fec_in!E12)</f>
        <v>0.89151348451898382</v>
      </c>
      <c r="F12" s="136" t="str">
        <f>IF(SER_hh_tes_in!F12=0,"",SER_hh_tes_in!F12/SER_hh_fec_in!F12)</f>
        <v/>
      </c>
      <c r="G12" s="136">
        <f>IF(SER_hh_tes_in!G12=0,"",SER_hh_tes_in!G12/SER_hh_fec_in!G12)</f>
        <v>0.89480158458632231</v>
      </c>
      <c r="H12" s="136">
        <f>IF(SER_hh_tes_in!H12=0,"",SER_hh_tes_in!H12/SER_hh_fec_in!H12)</f>
        <v>0.89650032882414843</v>
      </c>
      <c r="I12" s="136">
        <f>IF(SER_hh_tes_in!I12=0,"",SER_hh_tes_in!I12/SER_hh_fec_in!I12)</f>
        <v>0.89824239982215359</v>
      </c>
      <c r="J12" s="136">
        <f>IF(SER_hh_tes_in!J12=0,"",SER_hh_tes_in!J12/SER_hh_fec_in!J12)</f>
        <v>0.90006149617158859</v>
      </c>
      <c r="K12" s="136">
        <f>IF(SER_hh_tes_in!K12=0,"",SER_hh_tes_in!K12/SER_hh_fec_in!K12)</f>
        <v>0.90198627053879932</v>
      </c>
      <c r="L12" s="136">
        <f>IF(SER_hh_tes_in!L12=0,"",SER_hh_tes_in!L12/SER_hh_fec_in!L12)</f>
        <v>0.9040243886867334</v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>
        <f>IF(SER_hh_tes_in!Q12=0,"",SER_hh_tes_in!Q12/SER_hh_fec_in!Q12)</f>
        <v>0.92699054219714316</v>
      </c>
      <c r="R12" s="136">
        <f>IF(SER_hh_tes_in!R12=0,"",SER_hh_tes_in!R12/SER_hh_fec_in!R12)</f>
        <v>0.93120386499495655</v>
      </c>
      <c r="S12" s="136">
        <f>IF(SER_hh_tes_in!S12=0,"",SER_hh_tes_in!S12/SER_hh_fec_in!S12)</f>
        <v>0.9353027237432</v>
      </c>
      <c r="T12" s="136">
        <f>IF(SER_hh_tes_in!T12=0,"",SER_hh_tes_in!T12/SER_hh_fec_in!T12)</f>
        <v>0.93925973162520793</v>
      </c>
      <c r="U12" s="136">
        <f>IF(SER_hh_tes_in!U12=0,"",SER_hh_tes_in!U12/SER_hh_fec_in!U12)</f>
        <v>0.94304750182432795</v>
      </c>
      <c r="V12" s="136">
        <f>IF(SER_hh_tes_in!V12=0,"",SER_hh_tes_in!V12/SER_hh_fec_in!V12)</f>
        <v>0.94663864752390248</v>
      </c>
      <c r="W12" s="136">
        <f>IF(SER_hh_tes_in!W12=0,"",SER_hh_tes_in!W12/SER_hh_fec_in!W12)</f>
        <v>0.94994678488916851</v>
      </c>
      <c r="X12" s="136">
        <f>IF(SER_hh_tes_in!X12=0,"",SER_hh_tes_in!X12/SER_hh_fec_in!X12)</f>
        <v>0.95234174100797897</v>
      </c>
      <c r="Y12" s="136">
        <f>IF(SER_hh_tes_in!Y12=0,"",SER_hh_tes_in!Y12/SER_hh_fec_in!Y12)</f>
        <v>0.95464316326263643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1.8904964480622339</v>
      </c>
      <c r="D13" s="136">
        <f>IF(SER_hh_tes_in!D13=0,"",SER_hh_tes_in!D13/SER_hh_fec_in!D13)</f>
        <v>1.9716073062973063</v>
      </c>
      <c r="E13" s="136">
        <f>IF(SER_hh_tes_in!E13=0,"",SER_hh_tes_in!E13/SER_hh_fec_in!E13)</f>
        <v>2.0540837727132146</v>
      </c>
      <c r="F13" s="136">
        <f>IF(SER_hh_tes_in!F13=0,"",SER_hh_tes_in!F13/SER_hh_fec_in!F13)</f>
        <v>2.1371307130524944</v>
      </c>
      <c r="G13" s="136">
        <f>IF(SER_hh_tes_in!G13=0,"",SER_hh_tes_in!G13/SER_hh_fec_in!G13)</f>
        <v>2.2214725964158952</v>
      </c>
      <c r="H13" s="136">
        <f>IF(SER_hh_tes_in!H13=0,"",SER_hh_tes_in!H13/SER_hh_fec_in!H13)</f>
        <v>2.3070222701708678</v>
      </c>
      <c r="I13" s="136">
        <f>IF(SER_hh_tes_in!I13=0,"",SER_hh_tes_in!I13/SER_hh_fec_in!I13)</f>
        <v>2.3939598280623495</v>
      </c>
      <c r="J13" s="136">
        <f>IF(SER_hh_tes_in!J13=0,"",SER_hh_tes_in!J13/SER_hh_fec_in!J13)</f>
        <v>2.4830195389324041</v>
      </c>
      <c r="K13" s="136">
        <f>IF(SER_hh_tes_in!K13=0,"",SER_hh_tes_in!K13/SER_hh_fec_in!K13)</f>
        <v>2.5748279951607529</v>
      </c>
      <c r="L13" s="136">
        <f>IF(SER_hh_tes_in!L13=0,"",SER_hh_tes_in!L13/SER_hh_fec_in!L13)</f>
        <v>2.6695569700267026</v>
      </c>
      <c r="M13" s="136">
        <f>IF(SER_hh_tes_in!M13=0,"",SER_hh_tes_in!M13/SER_hh_fec_in!M13)</f>
        <v>2.7853908998360177</v>
      </c>
      <c r="N13" s="136">
        <f>IF(SER_hh_tes_in!N13=0,"",SER_hh_tes_in!N13/SER_hh_fec_in!N13)</f>
        <v>2.928600493097723</v>
      </c>
      <c r="O13" s="136">
        <f>IF(SER_hh_tes_in!O13=0,"",SER_hh_tes_in!O13/SER_hh_fec_in!O13)</f>
        <v>3.1013400755413381</v>
      </c>
      <c r="P13" s="136">
        <f>IF(SER_hh_tes_in!P13=0,"",SER_hh_tes_in!P13/SER_hh_fec_in!P13)</f>
        <v>3.2861920468554535</v>
      </c>
      <c r="Q13" s="136">
        <f>IF(SER_hh_tes_in!Q13=0,"",SER_hh_tes_in!Q13/SER_hh_fec_in!Q13)</f>
        <v>3.4299455139993591</v>
      </c>
      <c r="R13" s="136">
        <f>IF(SER_hh_tes_in!R13=0,"",SER_hh_tes_in!R13/SER_hh_fec_in!R13)</f>
        <v>3.5914434360162555</v>
      </c>
      <c r="S13" s="136">
        <f>IF(SER_hh_tes_in!S13=0,"",SER_hh_tes_in!S13/SER_hh_fec_in!S13)</f>
        <v>3.6960351851248907</v>
      </c>
      <c r="T13" s="136">
        <f>IF(SER_hh_tes_in!T13=0,"",SER_hh_tes_in!T13/SER_hh_fec_in!T13)</f>
        <v>3.7612353503996196</v>
      </c>
      <c r="U13" s="136">
        <f>IF(SER_hh_tes_in!U13=0,"",SER_hh_tes_in!U13/SER_hh_fec_in!U13)</f>
        <v>3.805096538137962</v>
      </c>
      <c r="V13" s="136">
        <f>IF(SER_hh_tes_in!V13=0,"",SER_hh_tes_in!V13/SER_hh_fec_in!V13)</f>
        <v>3.8454453008461282</v>
      </c>
      <c r="W13" s="136">
        <f>IF(SER_hh_tes_in!W13=0,"",SER_hh_tes_in!W13/SER_hh_fec_in!W13)</f>
        <v>3.8858174305985722</v>
      </c>
      <c r="X13" s="136">
        <f>IF(SER_hh_tes_in!X13=0,"",SER_hh_tes_in!X13/SER_hh_fec_in!X13)</f>
        <v>3.9196510080412597</v>
      </c>
      <c r="Y13" s="136">
        <f>IF(SER_hh_tes_in!Y13=0,"",SER_hh_tes_in!Y13/SER_hh_fec_in!Y13)</f>
        <v>3.9486704365373377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0.80508841534884923</v>
      </c>
      <c r="D14" s="137">
        <f>IF(SER_hh_tes_in!D14=0,"",SER_hh_tes_in!D14/SER_hh_fec_in!D14)</f>
        <v>0.80828939359368057</v>
      </c>
      <c r="E14" s="137">
        <f>IF(SER_hh_tes_in!E14=0,"",SER_hh_tes_in!E14/SER_hh_fec_in!E14)</f>
        <v>0.81148145607290323</v>
      </c>
      <c r="F14" s="137">
        <f>IF(SER_hh_tes_in!F14=0,"",SER_hh_tes_in!F14/SER_hh_fec_in!F14)</f>
        <v>0.81467199197368045</v>
      </c>
      <c r="G14" s="137">
        <f>IF(SER_hh_tes_in!G14=0,"",SER_hh_tes_in!G14/SER_hh_fec_in!G14)</f>
        <v>0.81785432286822501</v>
      </c>
      <c r="H14" s="137">
        <f>IF(SER_hh_tes_in!H14=0,"",SER_hh_tes_in!H14/SER_hh_fec_in!H14)</f>
        <v>0.82102929139972769</v>
      </c>
      <c r="I14" s="137">
        <f>IF(SER_hh_tes_in!I14=0,"",SER_hh_tes_in!I14/SER_hh_fec_in!I14)</f>
        <v>0.82419527937898396</v>
      </c>
      <c r="J14" s="137">
        <f>IF(SER_hh_tes_in!J14=0,"",SER_hh_tes_in!J14/SER_hh_fec_in!J14)</f>
        <v>0.82734559882309999</v>
      </c>
      <c r="K14" s="137">
        <f>IF(SER_hh_tes_in!K14=0,"",SER_hh_tes_in!K14/SER_hh_fec_in!K14)</f>
        <v>0.83047460717764732</v>
      </c>
      <c r="L14" s="137">
        <f>IF(SER_hh_tes_in!L14=0,"",SER_hh_tes_in!L14/SER_hh_fec_in!L14)</f>
        <v>0.83358087710235584</v>
      </c>
      <c r="M14" s="137">
        <f>IF(SER_hh_tes_in!M14=0,"",SER_hh_tes_in!M14/SER_hh_fec_in!M14)</f>
        <v>0.83609292202775654</v>
      </c>
      <c r="N14" s="137">
        <f>IF(SER_hh_tes_in!N14=0,"",SER_hh_tes_in!N14/SER_hh_fec_in!N14)</f>
        <v>0.83780426128462715</v>
      </c>
      <c r="O14" s="137">
        <f>IF(SER_hh_tes_in!O14=0,"",SER_hh_tes_in!O14/SER_hh_fec_in!O14)</f>
        <v>0.83898795341442201</v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>
        <f>IF(SER_hh_tes_in!R14=0,"",SER_hh_tes_in!R14/SER_hh_fec_in!R14)</f>
        <v>0.86014996305312574</v>
      </c>
      <c r="S14" s="137">
        <f>IF(SER_hh_tes_in!S14=0,"",SER_hh_tes_in!S14/SER_hh_fec_in!S14)</f>
        <v>0.87837879845871936</v>
      </c>
      <c r="T14" s="137">
        <f>IF(SER_hh_tes_in!T14=0,"",SER_hh_tes_in!T14/SER_hh_fec_in!T14)</f>
        <v>0.8988006420925112</v>
      </c>
      <c r="U14" s="137">
        <f>IF(SER_hh_tes_in!U14=0,"",SER_hh_tes_in!U14/SER_hh_fec_in!U14)</f>
        <v>0.91893362834852987</v>
      </c>
      <c r="V14" s="137">
        <f>IF(SER_hh_tes_in!V14=0,"",SER_hh_tes_in!V14/SER_hh_fec_in!V14)</f>
        <v>0.93629344790637703</v>
      </c>
      <c r="W14" s="137">
        <f>IF(SER_hh_tes_in!W14=0,"",SER_hh_tes_in!W14/SER_hh_fec_in!W14)</f>
        <v>0.9503887466632035</v>
      </c>
      <c r="X14" s="137">
        <f>IF(SER_hh_tes_in!X14=0,"",SER_hh_tes_in!X14/SER_hh_fec_in!X14)</f>
        <v>0.9578516524254248</v>
      </c>
      <c r="Y14" s="137">
        <f>IF(SER_hh_tes_in!Y14=0,"",SER_hh_tes_in!Y14/SER_hh_fec_in!Y14)</f>
        <v>0.96489087225139047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2.5697268014794497</v>
      </c>
      <c r="D16" s="135">
        <f>IF(SER_hh_tes_in!D16=0,"",SER_hh_tes_in!D16/SER_hh_fec_in!D16)</f>
        <v>2.6835143785572813</v>
      </c>
      <c r="E16" s="135">
        <f>IF(SER_hh_tes_in!E16=0,"",SER_hh_tes_in!E16/SER_hh_fec_in!E16)</f>
        <v>2.8062312551720545</v>
      </c>
      <c r="F16" s="135">
        <f>IF(SER_hh_tes_in!F16=0,"",SER_hh_tes_in!F16/SER_hh_fec_in!F16)</f>
        <v>2.913468991937469</v>
      </c>
      <c r="G16" s="135">
        <f>IF(SER_hh_tes_in!G16=0,"",SER_hh_tes_in!G16/SER_hh_fec_in!G16)</f>
        <v>3.0428042429481796</v>
      </c>
      <c r="H16" s="135">
        <f>IF(SER_hh_tes_in!H16=0,"",SER_hh_tes_in!H16/SER_hh_fec_in!H16)</f>
        <v>3.1594151181936256</v>
      </c>
      <c r="I16" s="135">
        <f>IF(SER_hh_tes_in!I16=0,"",SER_hh_tes_in!I16/SER_hh_fec_in!I16)</f>
        <v>3.278569944110119</v>
      </c>
      <c r="J16" s="135">
        <f>IF(SER_hh_tes_in!J16=0,"",SER_hh_tes_in!J16/SER_hh_fec_in!J16)</f>
        <v>3.4038236723550792</v>
      </c>
      <c r="K16" s="135">
        <f>IF(SER_hh_tes_in!K16=0,"",SER_hh_tes_in!K16/SER_hh_fec_in!K16)</f>
        <v>3.5328802083632156</v>
      </c>
      <c r="L16" s="135">
        <f>IF(SER_hh_tes_in!L16=0,"",SER_hh_tes_in!L16/SER_hh_fec_in!L16)</f>
        <v>3.6663633762932557</v>
      </c>
      <c r="M16" s="135">
        <f>IF(SER_hh_tes_in!M16=0,"",SER_hh_tes_in!M16/SER_hh_fec_in!M16)</f>
        <v>3.8097119534105395</v>
      </c>
      <c r="N16" s="135">
        <f>IF(SER_hh_tes_in!N16=0,"",SER_hh_tes_in!N16/SER_hh_fec_in!N16)</f>
        <v>3.9639301078653291</v>
      </c>
      <c r="O16" s="135">
        <f>IF(SER_hh_tes_in!O16=0,"",SER_hh_tes_in!O16/SER_hh_fec_in!O16)</f>
        <v>4.1147725726456681</v>
      </c>
      <c r="P16" s="135">
        <f>IF(SER_hh_tes_in!P16=0,"",SER_hh_tes_in!P16/SER_hh_fec_in!P16)</f>
        <v>4.237658581886139</v>
      </c>
      <c r="Q16" s="135">
        <f>IF(SER_hh_tes_in!Q16=0,"",SER_hh_tes_in!Q16/SER_hh_fec_in!Q16)</f>
        <v>4.3350269660838938</v>
      </c>
      <c r="R16" s="135">
        <f>IF(SER_hh_tes_in!R16=0,"",SER_hh_tes_in!R16/SER_hh_fec_in!R16)</f>
        <v>4.4432644284023386</v>
      </c>
      <c r="S16" s="135">
        <f>IF(SER_hh_tes_in!S16=0,"",SER_hh_tes_in!S16/SER_hh_fec_in!S16)</f>
        <v>4.5621419999287411</v>
      </c>
      <c r="T16" s="135">
        <f>IF(SER_hh_tes_in!T16=0,"",SER_hh_tes_in!T16/SER_hh_fec_in!T16)</f>
        <v>4.6417748172162989</v>
      </c>
      <c r="U16" s="135">
        <f>IF(SER_hh_tes_in!U16=0,"",SER_hh_tes_in!U16/SER_hh_fec_in!U16)</f>
        <v>4.6788974496950049</v>
      </c>
      <c r="V16" s="135">
        <f>IF(SER_hh_tes_in!V16=0,"",SER_hh_tes_in!V16/SER_hh_fec_in!V16)</f>
        <v>4.7288461642699922</v>
      </c>
      <c r="W16" s="135">
        <f>IF(SER_hh_tes_in!W16=0,"",SER_hh_tes_in!W16/SER_hh_fec_in!W16)</f>
        <v>4.759453342448154</v>
      </c>
      <c r="X16" s="135">
        <f>IF(SER_hh_tes_in!X16=0,"",SER_hh_tes_in!X16/SER_hh_fec_in!X16)</f>
        <v>4.740113361982476</v>
      </c>
      <c r="Y16" s="135">
        <f>IF(SER_hh_tes_in!Y16=0,"",SER_hh_tes_in!Y16/SER_hh_fec_in!Y16)</f>
        <v>4.7760582617683403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1.2419322453455752</v>
      </c>
      <c r="D17" s="136">
        <f>IF(SER_hh_tes_in!D17=0,"",SER_hh_tes_in!D17/SER_hh_fec_in!D17)</f>
        <v>1.2641141304158401</v>
      </c>
      <c r="E17" s="136">
        <f>IF(SER_hh_tes_in!E17=0,"",SER_hh_tes_in!E17/SER_hh_fec_in!E17)</f>
        <v>1.2858994481326707</v>
      </c>
      <c r="F17" s="136">
        <f>IF(SER_hh_tes_in!F17=0,"",SER_hh_tes_in!F17/SER_hh_fec_in!F17)</f>
        <v>1.3071401438942591</v>
      </c>
      <c r="G17" s="136">
        <f>IF(SER_hh_tes_in!G17=0,"",SER_hh_tes_in!G17/SER_hh_fec_in!G17)</f>
        <v>1.328029056987877</v>
      </c>
      <c r="H17" s="136">
        <f>IF(SER_hh_tes_in!H17=0,"",SER_hh_tes_in!H17/SER_hh_fec_in!H17)</f>
        <v>1.3485737032017961</v>
      </c>
      <c r="I17" s="136">
        <f>IF(SER_hh_tes_in!I17=0,"",SER_hh_tes_in!I17/SER_hh_fec_in!I17)</f>
        <v>1.3688328575139879</v>
      </c>
      <c r="J17" s="136">
        <f>IF(SER_hh_tes_in!J17=0,"",SER_hh_tes_in!J17/SER_hh_fec_in!J17)</f>
        <v>1.3889661529532549</v>
      </c>
      <c r="K17" s="136">
        <f>IF(SER_hh_tes_in!K17=0,"",SER_hh_tes_in!K17/SER_hh_fec_in!K17)</f>
        <v>1.4091002128291563</v>
      </c>
      <c r="L17" s="136">
        <f>IF(SER_hh_tes_in!L17=0,"",SER_hh_tes_in!L17/SER_hh_fec_in!L17)</f>
        <v>1.4292674271841466</v>
      </c>
      <c r="M17" s="136">
        <f>IF(SER_hh_tes_in!M17=0,"",SER_hh_tes_in!M17/SER_hh_fec_in!M17)</f>
        <v>1.4526214875952881</v>
      </c>
      <c r="N17" s="136">
        <f>IF(SER_hh_tes_in!N17=0,"",SER_hh_tes_in!N17/SER_hh_fec_in!N17)</f>
        <v>1.479193095758335</v>
      </c>
      <c r="O17" s="136">
        <f>IF(SER_hh_tes_in!O17=0,"",SER_hh_tes_in!O17/SER_hh_fec_in!O17)</f>
        <v>1.5084434062470959</v>
      </c>
      <c r="P17" s="136">
        <f>IF(SER_hh_tes_in!P17=0,"",SER_hh_tes_in!P17/SER_hh_fec_in!P17)</f>
        <v>1.5373539678657777</v>
      </c>
      <c r="Q17" s="136">
        <f>IF(SER_hh_tes_in!Q17=0,"",SER_hh_tes_in!Q17/SER_hh_fec_in!Q17)</f>
        <v>1.5591349927986815</v>
      </c>
      <c r="R17" s="136">
        <f>IF(SER_hh_tes_in!R17=0,"",SER_hh_tes_in!R17/SER_hh_fec_in!R17)</f>
        <v>1.5848903718459879</v>
      </c>
      <c r="S17" s="136">
        <f>IF(SER_hh_tes_in!S17=0,"",SER_hh_tes_in!S17/SER_hh_fec_in!S17)</f>
        <v>1.616637993808973</v>
      </c>
      <c r="T17" s="136">
        <f>IF(SER_hh_tes_in!T17=0,"",SER_hh_tes_in!T17/SER_hh_fec_in!T17)</f>
        <v>1.6504820220882641</v>
      </c>
      <c r="U17" s="136">
        <f>IF(SER_hh_tes_in!U17=0,"",SER_hh_tes_in!U17/SER_hh_fec_in!U17)</f>
        <v>1.6814432036392573</v>
      </c>
      <c r="V17" s="136">
        <f>IF(SER_hh_tes_in!V17=0,"",SER_hh_tes_in!V17/SER_hh_fec_in!V17)</f>
        <v>1.7095514074169853</v>
      </c>
      <c r="W17" s="136">
        <f>IF(SER_hh_tes_in!W17=0,"",SER_hh_tes_in!W17/SER_hh_fec_in!W17)</f>
        <v>1.7314748999069896</v>
      </c>
      <c r="X17" s="136">
        <f>IF(SER_hh_tes_in!X17=0,"",SER_hh_tes_in!X17/SER_hh_fec_in!X17)</f>
        <v>1.7397819224882423</v>
      </c>
      <c r="Y17" s="136">
        <f>IF(SER_hh_tes_in!Y17=0,"",SER_hh_tes_in!Y17/SER_hh_fec_in!Y17)</f>
        <v>1.7411323780633436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2.5769711663265897</v>
      </c>
      <c r="D18" s="136">
        <f>IF(SER_hh_tes_in!D18=0,"",SER_hh_tes_in!D18/SER_hh_fec_in!D18)</f>
        <v>2.6955446187962697</v>
      </c>
      <c r="E18" s="136">
        <f>IF(SER_hh_tes_in!E18=0,"",SER_hh_tes_in!E18/SER_hh_fec_in!E18)</f>
        <v>2.8158957153234097</v>
      </c>
      <c r="F18" s="136">
        <f>IF(SER_hh_tes_in!F18=0,"",SER_hh_tes_in!F18/SER_hh_fec_in!F18)</f>
        <v>2.9372134187703933</v>
      </c>
      <c r="G18" s="136">
        <f>IF(SER_hh_tes_in!G18=0,"",SER_hh_tes_in!G18/SER_hh_fec_in!G18)</f>
        <v>3.0602005619781547</v>
      </c>
      <c r="H18" s="136">
        <f>IF(SER_hh_tes_in!H18=0,"",SER_hh_tes_in!H18/SER_hh_fec_in!H18)</f>
        <v>3.1847466866027494</v>
      </c>
      <c r="I18" s="136">
        <f>IF(SER_hh_tes_in!I18=0,"",SER_hh_tes_in!I18/SER_hh_fec_in!I18)</f>
        <v>3.3109991197666346</v>
      </c>
      <c r="J18" s="136">
        <f>IF(SER_hh_tes_in!J18=0,"",SER_hh_tes_in!J18/SER_hh_fec_in!J18)</f>
        <v>3.4396181705561966</v>
      </c>
      <c r="K18" s="136">
        <f>IF(SER_hh_tes_in!K18=0,"",SER_hh_tes_in!K18/SER_hh_fec_in!K18)</f>
        <v>3.5711268588243019</v>
      </c>
      <c r="L18" s="136">
        <f>IF(SER_hh_tes_in!L18=0,"",SER_hh_tes_in!L18/SER_hh_fec_in!L18)</f>
        <v>3.7055945426325017</v>
      </c>
      <c r="M18" s="136">
        <f>IF(SER_hh_tes_in!M18=0,"",SER_hh_tes_in!M18/SER_hh_fec_in!M18)</f>
        <v>3.8596845966844779</v>
      </c>
      <c r="N18" s="136">
        <f>IF(SER_hh_tes_in!N18=0,"",SER_hh_tes_in!N18/SER_hh_fec_in!N18)</f>
        <v>4.0383436119123193</v>
      </c>
      <c r="O18" s="136">
        <f>IF(SER_hh_tes_in!O18=0,"",SER_hh_tes_in!O18/SER_hh_fec_in!O18)</f>
        <v>4.2412528783033885</v>
      </c>
      <c r="P18" s="136">
        <f>IF(SER_hh_tes_in!P18=0,"",SER_hh_tes_in!P18/SER_hh_fec_in!P18)</f>
        <v>4.4486652654090246</v>
      </c>
      <c r="Q18" s="136">
        <f>IF(SER_hh_tes_in!Q18=0,"",SER_hh_tes_in!Q18/SER_hh_fec_in!Q18)</f>
        <v>4.6078510924248839</v>
      </c>
      <c r="R18" s="136">
        <f>IF(SER_hh_tes_in!R18=0,"",SER_hh_tes_in!R18/SER_hh_fec_in!R18)</f>
        <v>4.7498119065387581</v>
      </c>
      <c r="S18" s="136">
        <f>IF(SER_hh_tes_in!S18=0,"",SER_hh_tes_in!S18/SER_hh_fec_in!S18)</f>
        <v>4.8223927550266028</v>
      </c>
      <c r="T18" s="136">
        <f>IF(SER_hh_tes_in!T18=0,"",SER_hh_tes_in!T18/SER_hh_fec_in!T18)</f>
        <v>4.8691286870082831</v>
      </c>
      <c r="U18" s="136">
        <f>IF(SER_hh_tes_in!U18=0,"",SER_hh_tes_in!U18/SER_hh_fec_in!U18)</f>
        <v>4.9023394099189659</v>
      </c>
      <c r="V18" s="136">
        <f>IF(SER_hh_tes_in!V18=0,"",SER_hh_tes_in!V18/SER_hh_fec_in!V18)</f>
        <v>4.935324772244658</v>
      </c>
      <c r="W18" s="136">
        <f>IF(SER_hh_tes_in!W18=0,"",SER_hh_tes_in!W18/SER_hh_fec_in!W18)</f>
        <v>4.969663782896987</v>
      </c>
      <c r="X18" s="136">
        <f>IF(SER_hh_tes_in!X18=0,"",SER_hh_tes_in!X18/SER_hh_fec_in!X18)</f>
        <v>4.9943326354431976</v>
      </c>
      <c r="Y18" s="136">
        <f>IF(SER_hh_tes_in!Y18=0,"",SER_hh_tes_in!Y18/SER_hh_fec_in!Y18)</f>
        <v>5.0157942727845599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0.71254750219165042</v>
      </c>
      <c r="D19" s="135">
        <f>IF(SER_hh_tes_in!D19=0,"",SER_hh_tes_in!D19/SER_hh_fec_in!D19)</f>
        <v>0.72232046082559087</v>
      </c>
      <c r="E19" s="135">
        <f>IF(SER_hh_tes_in!E19=0,"",SER_hh_tes_in!E19/SER_hh_fec_in!E19)</f>
        <v>0.73112818989778805</v>
      </c>
      <c r="F19" s="135">
        <f>IF(SER_hh_tes_in!F19=0,"",SER_hh_tes_in!F19/SER_hh_fec_in!F19)</f>
        <v>0.74321666608758941</v>
      </c>
      <c r="G19" s="135">
        <f>IF(SER_hh_tes_in!G19=0,"",SER_hh_tes_in!G19/SER_hh_fec_in!G19)</f>
        <v>0.73534480472843733</v>
      </c>
      <c r="H19" s="135">
        <f>IF(SER_hh_tes_in!H19=0,"",SER_hh_tes_in!H19/SER_hh_fec_in!H19)</f>
        <v>0.73540288052112579</v>
      </c>
      <c r="I19" s="135">
        <f>IF(SER_hh_tes_in!I19=0,"",SER_hh_tes_in!I19/SER_hh_fec_in!I19)</f>
        <v>0.7448772333815773</v>
      </c>
      <c r="J19" s="135">
        <f>IF(SER_hh_tes_in!J19=0,"",SER_hh_tes_in!J19/SER_hh_fec_in!J19)</f>
        <v>0.74096210727836842</v>
      </c>
      <c r="K19" s="135">
        <f>IF(SER_hh_tes_in!K19=0,"",SER_hh_tes_in!K19/SER_hh_fec_in!K19)</f>
        <v>0.78265029334934633</v>
      </c>
      <c r="L19" s="135">
        <f>IF(SER_hh_tes_in!L19=0,"",SER_hh_tes_in!L19/SER_hh_fec_in!L19)</f>
        <v>0.74722537202568251</v>
      </c>
      <c r="M19" s="135">
        <f>IF(SER_hh_tes_in!M19=0,"",SER_hh_tes_in!M19/SER_hh_fec_in!M19)</f>
        <v>0.76953412313604908</v>
      </c>
      <c r="N19" s="135">
        <f>IF(SER_hh_tes_in!N19=0,"",SER_hh_tes_in!N19/SER_hh_fec_in!N19)</f>
        <v>0.77177358958688991</v>
      </c>
      <c r="O19" s="135">
        <f>IF(SER_hh_tes_in!O19=0,"",SER_hh_tes_in!O19/SER_hh_fec_in!O19)</f>
        <v>0.81824760950553721</v>
      </c>
      <c r="P19" s="135">
        <f>IF(SER_hh_tes_in!P19=0,"",SER_hh_tes_in!P19/SER_hh_fec_in!P19)</f>
        <v>0.84921580075443304</v>
      </c>
      <c r="Q19" s="135">
        <f>IF(SER_hh_tes_in!Q19=0,"",SER_hh_tes_in!Q19/SER_hh_fec_in!Q19)</f>
        <v>0.84734357411675176</v>
      </c>
      <c r="R19" s="135">
        <f>IF(SER_hh_tes_in!R19=0,"",SER_hh_tes_in!R19/SER_hh_fec_in!R19)</f>
        <v>0.8650991085615467</v>
      </c>
      <c r="S19" s="135">
        <f>IF(SER_hh_tes_in!S19=0,"",SER_hh_tes_in!S19/SER_hh_fec_in!S19)</f>
        <v>0.87195195879076492</v>
      </c>
      <c r="T19" s="135">
        <f>IF(SER_hh_tes_in!T19=0,"",SER_hh_tes_in!T19/SER_hh_fec_in!T19)</f>
        <v>0.89155533533758069</v>
      </c>
      <c r="U19" s="135">
        <f>IF(SER_hh_tes_in!U19=0,"",SER_hh_tes_in!U19/SER_hh_fec_in!U19)</f>
        <v>0.91291043622364088</v>
      </c>
      <c r="V19" s="135">
        <f>IF(SER_hh_tes_in!V19=0,"",SER_hh_tes_in!V19/SER_hh_fec_in!V19)</f>
        <v>0.93463869817459599</v>
      </c>
      <c r="W19" s="135">
        <f>IF(SER_hh_tes_in!W19=0,"",SER_hh_tes_in!W19/SER_hh_fec_in!W19)</f>
        <v>0.93106116730313748</v>
      </c>
      <c r="X19" s="135">
        <f>IF(SER_hh_tes_in!X19=0,"",SER_hh_tes_in!X19/SER_hh_fec_in!X19)</f>
        <v>0.93181022851436868</v>
      </c>
      <c r="Y19" s="135">
        <f>IF(SER_hh_tes_in!Y19=0,"",SER_hh_tes_in!Y19/SER_hh_fec_in!Y19)</f>
        <v>0.92639681347254255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0.59462090428952552</v>
      </c>
      <c r="D22" s="136">
        <f>IF(SER_hh_tes_in!D22=0,"",SER_hh_tes_in!D22/SER_hh_fec_in!D22)</f>
        <v>0.59671610301275435</v>
      </c>
      <c r="E22" s="136">
        <f>IF(SER_hh_tes_in!E22=0,"",SER_hh_tes_in!E22/SER_hh_fec_in!E22)</f>
        <v>0.59910254363200277</v>
      </c>
      <c r="F22" s="136">
        <f>IF(SER_hh_tes_in!F22=0,"",SER_hh_tes_in!F22/SER_hh_fec_in!F22)</f>
        <v>0.60152869905525364</v>
      </c>
      <c r="G22" s="136">
        <f>IF(SER_hh_tes_in!G22=0,"",SER_hh_tes_in!G22/SER_hh_fec_in!G22)</f>
        <v>0.60422307113416862</v>
      </c>
      <c r="H22" s="136">
        <f>IF(SER_hh_tes_in!H22=0,"",SER_hh_tes_in!H22/SER_hh_fec_in!H22)</f>
        <v>0.60715769415109566</v>
      </c>
      <c r="I22" s="136">
        <f>IF(SER_hh_tes_in!I22=0,"",SER_hh_tes_in!I22/SER_hh_fec_in!I22)</f>
        <v>0.61038887096896088</v>
      </c>
      <c r="J22" s="136">
        <f>IF(SER_hh_tes_in!J22=0,"",SER_hh_tes_in!J22/SER_hh_fec_in!J22)</f>
        <v>0.61414725454405072</v>
      </c>
      <c r="K22" s="136">
        <f>IF(SER_hh_tes_in!K22=0,"",SER_hh_tes_in!K22/SER_hh_fec_in!K22)</f>
        <v>0.61862896055815142</v>
      </c>
      <c r="L22" s="136">
        <f>IF(SER_hh_tes_in!L22=0,"",SER_hh_tes_in!L22/SER_hh_fec_in!L22)</f>
        <v>0.62388645799647602</v>
      </c>
      <c r="M22" s="136">
        <f>IF(SER_hh_tes_in!M22=0,"",SER_hh_tes_in!M22/SER_hh_fec_in!M22)</f>
        <v>0.63460419989376182</v>
      </c>
      <c r="N22" s="136">
        <f>IF(SER_hh_tes_in!N22=0,"",SER_hh_tes_in!N22/SER_hh_fec_in!N22)</f>
        <v>0.65227119349498119</v>
      </c>
      <c r="O22" s="136">
        <f>IF(SER_hh_tes_in!O22=0,"",SER_hh_tes_in!O22/SER_hh_fec_in!O22)</f>
        <v>0.678099295038325</v>
      </c>
      <c r="P22" s="136">
        <f>IF(SER_hh_tes_in!P22=0,"",SER_hh_tes_in!P22/SER_hh_fec_in!P22)</f>
        <v>0.70941865442583019</v>
      </c>
      <c r="Q22" s="136">
        <f>IF(SER_hh_tes_in!Q22=0,"",SER_hh_tes_in!Q22/SER_hh_fec_in!Q22)</f>
        <v>0.73761740237569229</v>
      </c>
      <c r="R22" s="136">
        <f>IF(SER_hh_tes_in!R22=0,"",SER_hh_tes_in!R22/SER_hh_fec_in!R22)</f>
        <v>0.75591212778612016</v>
      </c>
      <c r="S22" s="136">
        <f>IF(SER_hh_tes_in!S22=0,"",SER_hh_tes_in!S22/SER_hh_fec_in!S22)</f>
        <v>0.77294626072336392</v>
      </c>
      <c r="T22" s="136">
        <f>IF(SER_hh_tes_in!T22=0,"",SER_hh_tes_in!T22/SER_hh_fec_in!T22)</f>
        <v>0.78821753665304162</v>
      </c>
      <c r="U22" s="136">
        <f>IF(SER_hh_tes_in!U22=0,"",SER_hh_tes_in!U22/SER_hh_fec_in!U22)</f>
        <v>0.80122369104082281</v>
      </c>
      <c r="V22" s="136">
        <f>IF(SER_hh_tes_in!V22=0,"",SER_hh_tes_in!V22/SER_hh_fec_in!V22)</f>
        <v>0.81146245935235661</v>
      </c>
      <c r="W22" s="136">
        <f>IF(SER_hh_tes_in!W22=0,"",SER_hh_tes_in!W22/SER_hh_fec_in!W22)</f>
        <v>0.81775574898781178</v>
      </c>
      <c r="X22" s="136">
        <f>IF(SER_hh_tes_in!X22=0,"",SER_hh_tes_in!X22/SER_hh_fec_in!X22)</f>
        <v>0.82107363227763785</v>
      </c>
      <c r="Y22" s="136">
        <f>IF(SER_hh_tes_in!Y22=0,"",SER_hh_tes_in!Y22/SER_hh_fec_in!Y22)</f>
        <v>0.82275372716859518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0.64423315915674551</v>
      </c>
      <c r="D23" s="136">
        <f>IF(SER_hh_tes_in!D23=0,"",SER_hh_tes_in!D23/SER_hh_fec_in!D23)</f>
        <v>0.64980241299350272</v>
      </c>
      <c r="E23" s="136">
        <f>IF(SER_hh_tes_in!E23=0,"",SER_hh_tes_in!E23/SER_hh_fec_in!E23)</f>
        <v>0.65562392124627422</v>
      </c>
      <c r="F23" s="136">
        <f>IF(SER_hh_tes_in!F23=0,"",SER_hh_tes_in!F23/SER_hh_fec_in!F23)</f>
        <v>0.66149027953541661</v>
      </c>
      <c r="G23" s="136">
        <f>IF(SER_hh_tes_in!G23=0,"",SER_hh_tes_in!G23/SER_hh_fec_in!G23)</f>
        <v>0.66758714585130763</v>
      </c>
      <c r="H23" s="136">
        <f>IF(SER_hh_tes_in!H23=0,"",SER_hh_tes_in!H23/SER_hh_fec_in!H23)</f>
        <v>0.6738898712982585</v>
      </c>
      <c r="I23" s="136">
        <f>IF(SER_hh_tes_in!I23=0,"",SER_hh_tes_in!I23/SER_hh_fec_in!I23)</f>
        <v>0.68044222931748854</v>
      </c>
      <c r="J23" s="136">
        <f>IF(SER_hh_tes_in!J23=0,"",SER_hh_tes_in!J23/SER_hh_fec_in!J23)</f>
        <v>0.68742800842227292</v>
      </c>
      <c r="K23" s="136">
        <f>IF(SER_hh_tes_in!K23=0,"",SER_hh_tes_in!K23/SER_hh_fec_in!K23)</f>
        <v>0.69500088928203341</v>
      </c>
      <c r="L23" s="136">
        <f>IF(SER_hh_tes_in!L23=0,"",SER_hh_tes_in!L23/SER_hh_fec_in!L23)</f>
        <v>0.70319738593834291</v>
      </c>
      <c r="M23" s="136">
        <f>IF(SER_hh_tes_in!M23=0,"",SER_hh_tes_in!M23/SER_hh_fec_in!M23)</f>
        <v>0.715843128418028</v>
      </c>
      <c r="N23" s="136">
        <f>IF(SER_hh_tes_in!N23=0,"",SER_hh_tes_in!N23/SER_hh_fec_in!N23)</f>
        <v>0.73411933629569992</v>
      </c>
      <c r="O23" s="136">
        <f>IF(SER_hh_tes_in!O23=0,"",SER_hh_tes_in!O23/SER_hh_fec_in!O23)</f>
        <v>0.75886909277622872</v>
      </c>
      <c r="P23" s="136">
        <f>IF(SER_hh_tes_in!P23=0,"",SER_hh_tes_in!P23/SER_hh_fec_in!P23)</f>
        <v>0.78764648354872091</v>
      </c>
      <c r="Q23" s="136">
        <f>IF(SER_hh_tes_in!Q23=0,"",SER_hh_tes_in!Q23/SER_hh_fec_in!Q23)</f>
        <v>0.81284179710125082</v>
      </c>
      <c r="R23" s="136">
        <f>IF(SER_hh_tes_in!R23=0,"",SER_hh_tes_in!R23/SER_hh_fec_in!R23)</f>
        <v>0.82824301677309531</v>
      </c>
      <c r="S23" s="136">
        <f>IF(SER_hh_tes_in!S23=0,"",SER_hh_tes_in!S23/SER_hh_fec_in!S23)</f>
        <v>0.84135889652418039</v>
      </c>
      <c r="T23" s="136">
        <f>IF(SER_hh_tes_in!T23=0,"",SER_hh_tes_in!T23/SER_hh_fec_in!T23)</f>
        <v>0.85239530776603112</v>
      </c>
      <c r="U23" s="136">
        <f>IF(SER_hh_tes_in!U23=0,"",SER_hh_tes_in!U23/SER_hh_fec_in!U23)</f>
        <v>0.86154829643835651</v>
      </c>
      <c r="V23" s="136">
        <f>IF(SER_hh_tes_in!V23=0,"",SER_hh_tes_in!V23/SER_hh_fec_in!V23)</f>
        <v>0.86898980774746026</v>
      </c>
      <c r="W23" s="136">
        <f>IF(SER_hh_tes_in!W23=0,"",SER_hh_tes_in!W23/SER_hh_fec_in!W23)</f>
        <v>0.87391464317067025</v>
      </c>
      <c r="X23" s="136">
        <f>IF(SER_hh_tes_in!X23=0,"",SER_hh_tes_in!X23/SER_hh_fec_in!X23)</f>
        <v>0.87600924204084007</v>
      </c>
      <c r="Y23" s="136">
        <f>IF(SER_hh_tes_in!Y23=0,"",SER_hh_tes_in!Y23/SER_hh_fec_in!Y23)</f>
        <v>0.8772373643203446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0.90138223804834927</v>
      </c>
      <c r="D25" s="136">
        <f>IF(SER_hh_tes_in!D25=0,"",SER_hh_tes_in!D25/SER_hh_fec_in!D25)</f>
        <v>0.90273932099118803</v>
      </c>
      <c r="E25" s="136">
        <f>IF(SER_hh_tes_in!E25=0,"",SER_hh_tes_in!E25/SER_hh_fec_in!E25)</f>
        <v>0.90413304163297015</v>
      </c>
      <c r="F25" s="136">
        <f>IF(SER_hh_tes_in!F25=0,"",SER_hh_tes_in!F25/SER_hh_fec_in!F25)</f>
        <v>0.9055317583246083</v>
      </c>
      <c r="G25" s="136">
        <f>IF(SER_hh_tes_in!G25=0,"",SER_hh_tes_in!G25/SER_hh_fec_in!G25)</f>
        <v>0.90696421618197909</v>
      </c>
      <c r="H25" s="136">
        <f>IF(SER_hh_tes_in!H25=0,"",SER_hh_tes_in!H25/SER_hh_fec_in!H25)</f>
        <v>0.90842689716884517</v>
      </c>
      <c r="I25" s="136">
        <f>IF(SER_hh_tes_in!I25=0,"",SER_hh_tes_in!I25/SER_hh_fec_in!I25)</f>
        <v>0.90992688408259847</v>
      </c>
      <c r="J25" s="136">
        <f>IF(SER_hh_tes_in!J25=0,"",SER_hh_tes_in!J25/SER_hh_fec_in!J25)</f>
        <v>0.91149319264415141</v>
      </c>
      <c r="K25" s="136">
        <f>IF(SER_hh_tes_in!K25=0,"",SER_hh_tes_in!K25/SER_hh_fec_in!K25)</f>
        <v>0.91315049384832159</v>
      </c>
      <c r="L25" s="136">
        <f>IF(SER_hh_tes_in!L25=0,"",SER_hh_tes_in!L25/SER_hh_fec_in!L25)</f>
        <v>0.91490538819768197</v>
      </c>
      <c r="M25" s="136">
        <f>IF(SER_hh_tes_in!M25=0,"",SER_hh_tes_in!M25/SER_hh_fec_in!M25)</f>
        <v>0.91733525850711262</v>
      </c>
      <c r="N25" s="136">
        <f>IF(SER_hh_tes_in!N25=0,"",SER_hh_tes_in!N25/SER_hh_fec_in!N25)</f>
        <v>0.92062265873774352</v>
      </c>
      <c r="O25" s="136">
        <f>IF(SER_hh_tes_in!O25=0,"",SER_hh_tes_in!O25/SER_hh_fec_in!O25)</f>
        <v>0.92492761961943248</v>
      </c>
      <c r="P25" s="136" t="str">
        <f>IF(SER_hh_tes_in!P25=0,"",SER_hh_tes_in!P25/SER_hh_fec_in!P25)</f>
        <v/>
      </c>
      <c r="Q25" s="136">
        <f>IF(SER_hh_tes_in!Q25=0,"",SER_hh_tes_in!Q25/SER_hh_fec_in!Q25)</f>
        <v>0.93468008725662377</v>
      </c>
      <c r="R25" s="136">
        <f>IF(SER_hh_tes_in!R25=0,"",SER_hh_tes_in!R25/SER_hh_fec_in!R25)</f>
        <v>0.93830791245282708</v>
      </c>
      <c r="S25" s="136">
        <f>IF(SER_hh_tes_in!S25=0,"",SER_hh_tes_in!S25/SER_hh_fec_in!S25)</f>
        <v>0.94183717991134519</v>
      </c>
      <c r="T25" s="136">
        <f>IF(SER_hh_tes_in!T25=0,"",SER_hh_tes_in!T25/SER_hh_fec_in!T25)</f>
        <v>0.94524430858028419</v>
      </c>
      <c r="U25" s="136">
        <f>IF(SER_hh_tes_in!U25=0,"",SER_hh_tes_in!U25/SER_hh_fec_in!U25)</f>
        <v>0.94850571740776057</v>
      </c>
      <c r="V25" s="136">
        <f>IF(SER_hh_tes_in!V25=0,"",SER_hh_tes_in!V25/SER_hh_fec_in!V25)</f>
        <v>0.95159782534188653</v>
      </c>
      <c r="W25" s="136">
        <f>IF(SER_hh_tes_in!W25=0,"",SER_hh_tes_in!W25/SER_hh_fec_in!W25)</f>
        <v>0.95444625273806016</v>
      </c>
      <c r="X25" s="136">
        <f>IF(SER_hh_tes_in!X25=0,"",SER_hh_tes_in!X25/SER_hh_fec_in!X25)</f>
        <v>0.95686515841805864</v>
      </c>
      <c r="Y25" s="136">
        <f>IF(SER_hh_tes_in!Y25=0,"",SER_hh_tes_in!Y25/SER_hh_fec_in!Y25)</f>
        <v>0.95918959489526279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0.74924495398920954</v>
      </c>
      <c r="D26" s="137">
        <f>IF(SER_hh_tes_in!D26=0,"",SER_hh_tes_in!D26/SER_hh_fec_in!D26)</f>
        <v>0.75117150177068026</v>
      </c>
      <c r="E26" s="137">
        <f>IF(SER_hh_tes_in!E26=0,"",SER_hh_tes_in!E26/SER_hh_fec_in!E26)</f>
        <v>0.75328059444568629</v>
      </c>
      <c r="F26" s="137">
        <f>IF(SER_hh_tes_in!F26=0,"",SER_hh_tes_in!F26/SER_hh_fec_in!F26)</f>
        <v>0.75541513433216079</v>
      </c>
      <c r="G26" s="137">
        <f>IF(SER_hh_tes_in!G26=0,"",SER_hh_tes_in!G26/SER_hh_fec_in!G26)</f>
        <v>0.75771921172583967</v>
      </c>
      <c r="H26" s="137">
        <f>IF(SER_hh_tes_in!H26=0,"",SER_hh_tes_in!H26/SER_hh_fec_in!H26)</f>
        <v>0.76017656192462646</v>
      </c>
      <c r="I26" s="137">
        <f>IF(SER_hh_tes_in!I26=0,"",SER_hh_tes_in!I26/SER_hh_fec_in!I26)</f>
        <v>0.76282455444028197</v>
      </c>
      <c r="J26" s="137">
        <f>IF(SER_hh_tes_in!J26=0,"",SER_hh_tes_in!J26/SER_hh_fec_in!J26)</f>
        <v>0.76581302969283516</v>
      </c>
      <c r="K26" s="137">
        <f>IF(SER_hh_tes_in!K26=0,"",SER_hh_tes_in!K26/SER_hh_fec_in!K26)</f>
        <v>0.76927435889323059</v>
      </c>
      <c r="L26" s="137">
        <f>IF(SER_hh_tes_in!L26=0,"",SER_hh_tes_in!L26/SER_hh_fec_in!L26)</f>
        <v>0.77325405368223399</v>
      </c>
      <c r="M26" s="137">
        <f>IF(SER_hh_tes_in!M26=0,"",SER_hh_tes_in!M26/SER_hh_fec_in!M26)</f>
        <v>0.7808199328083687</v>
      </c>
      <c r="N26" s="137">
        <f>IF(SER_hh_tes_in!N26=0,"",SER_hh_tes_in!N26/SER_hh_fec_in!N26)</f>
        <v>0.79329538608902594</v>
      </c>
      <c r="O26" s="137">
        <f>IF(SER_hh_tes_in!O26=0,"",SER_hh_tes_in!O26/SER_hh_fec_in!O26)</f>
        <v>0.8123188306428788</v>
      </c>
      <c r="P26" s="137">
        <f>IF(SER_hh_tes_in!P26=0,"",SER_hh_tes_in!P26/SER_hh_fec_in!P26)</f>
        <v>0.83698835954285011</v>
      </c>
      <c r="Q26" s="137">
        <f>IF(SER_hh_tes_in!Q26=0,"",SER_hh_tes_in!Q26/SER_hh_fec_in!Q26)</f>
        <v>0.86078920625535815</v>
      </c>
      <c r="R26" s="137">
        <f>IF(SER_hh_tes_in!R26=0,"",SER_hh_tes_in!R26/SER_hh_fec_in!R26)</f>
        <v>0.87689617590798496</v>
      </c>
      <c r="S26" s="137">
        <f>IF(SER_hh_tes_in!S26=0,"",SER_hh_tes_in!S26/SER_hh_fec_in!S26)</f>
        <v>0.89250105316478467</v>
      </c>
      <c r="T26" s="137">
        <f>IF(SER_hh_tes_in!T26=0,"",SER_hh_tes_in!T26/SER_hh_fec_in!T26)</f>
        <v>0.90798482822698989</v>
      </c>
      <c r="U26" s="137">
        <f>IF(SER_hh_tes_in!U26=0,"",SER_hh_tes_in!U26/SER_hh_fec_in!U26)</f>
        <v>0.92350315520470672</v>
      </c>
      <c r="V26" s="137">
        <f>IF(SER_hh_tes_in!V26=0,"",SER_hh_tes_in!V26/SER_hh_fec_in!V26)</f>
        <v>0.93874811256379398</v>
      </c>
      <c r="W26" s="137">
        <f>IF(SER_hh_tes_in!W26=0,"",SER_hh_tes_in!W26/SER_hh_fec_in!W26)</f>
        <v>0.95267181612580853</v>
      </c>
      <c r="X26" s="137">
        <f>IF(SER_hh_tes_in!X26=0,"",SER_hh_tes_in!X26/SER_hh_fec_in!X26)</f>
        <v>0.9595749841223622</v>
      </c>
      <c r="Y26" s="137">
        <f>IF(SER_hh_tes_in!Y26=0,"",SER_hh_tes_in!Y26/SER_hh_fec_in!Y26)</f>
        <v>0.96601522028772357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 t="str">
        <f>IF(SER_hh_tes_in!L27=0,"",SER_hh_tes_in!L27/SER_hh_fec_in!L27)</f>
        <v/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0.71126353373217155</v>
      </c>
      <c r="D29" s="135">
        <f>IF(SER_hh_tes_in!D29=0,"",SER_hh_tes_in!D29/SER_hh_fec_in!D29)</f>
        <v>0.70876106468045408</v>
      </c>
      <c r="E29" s="135">
        <f>IF(SER_hh_tes_in!E29=0,"",SER_hh_tes_in!E29/SER_hh_fec_in!E29)</f>
        <v>0.71035211255590347</v>
      </c>
      <c r="F29" s="135">
        <f>IF(SER_hh_tes_in!F29=0,"",SER_hh_tes_in!F29/SER_hh_fec_in!F29)</f>
        <v>0.70906923761800733</v>
      </c>
      <c r="G29" s="135">
        <f>IF(SER_hh_tes_in!G29=0,"",SER_hh_tes_in!G29/SER_hh_fec_in!G29)</f>
        <v>0.72399342266948541</v>
      </c>
      <c r="H29" s="135">
        <f>IF(SER_hh_tes_in!H29=0,"",SER_hh_tes_in!H29/SER_hh_fec_in!H29)</f>
        <v>0.72620599409759257</v>
      </c>
      <c r="I29" s="135">
        <f>IF(SER_hh_tes_in!I29=0,"",SER_hh_tes_in!I29/SER_hh_fec_in!I29)</f>
        <v>0.72274579335670341</v>
      </c>
      <c r="J29" s="135">
        <f>IF(SER_hh_tes_in!J29=0,"",SER_hh_tes_in!J29/SER_hh_fec_in!J29)</f>
        <v>0.72664434129097888</v>
      </c>
      <c r="K29" s="135">
        <f>IF(SER_hh_tes_in!K29=0,"",SER_hh_tes_in!K29/SER_hh_fec_in!K29)</f>
        <v>0.72187178954323961</v>
      </c>
      <c r="L29" s="135">
        <f>IF(SER_hh_tes_in!L29=0,"",SER_hh_tes_in!L29/SER_hh_fec_in!L29)</f>
        <v>0.73200898083078325</v>
      </c>
      <c r="M29" s="135">
        <f>IF(SER_hh_tes_in!M29=0,"",SER_hh_tes_in!M29/SER_hh_fec_in!M29)</f>
        <v>0.73758182091567004</v>
      </c>
      <c r="N29" s="135">
        <f>IF(SER_hh_tes_in!N29=0,"",SER_hh_tes_in!N29/SER_hh_fec_in!N29)</f>
        <v>0.73361989086919344</v>
      </c>
      <c r="O29" s="135">
        <f>IF(SER_hh_tes_in!O29=0,"",SER_hh_tes_in!O29/SER_hh_fec_in!O29)</f>
        <v>0.73013309846029728</v>
      </c>
      <c r="P29" s="135">
        <f>IF(SER_hh_tes_in!P29=0,"",SER_hh_tes_in!P29/SER_hh_fec_in!P29)</f>
        <v>0.72734646207049647</v>
      </c>
      <c r="Q29" s="135">
        <f>IF(SER_hh_tes_in!Q29=0,"",SER_hh_tes_in!Q29/SER_hh_fec_in!Q29)</f>
        <v>0.77645345063630455</v>
      </c>
      <c r="R29" s="135">
        <f>IF(SER_hh_tes_in!R29=0,"",SER_hh_tes_in!R29/SER_hh_fec_in!R29)</f>
        <v>0.76357680359055169</v>
      </c>
      <c r="S29" s="135">
        <f>IF(SER_hh_tes_in!S29=0,"",SER_hh_tes_in!S29/SER_hh_fec_in!S29)</f>
        <v>0.78946825934177256</v>
      </c>
      <c r="T29" s="135">
        <f>IF(SER_hh_tes_in!T29=0,"",SER_hh_tes_in!T29/SER_hh_fec_in!T29)</f>
        <v>0.81199949163974494</v>
      </c>
      <c r="U29" s="135">
        <f>IF(SER_hh_tes_in!U29=0,"",SER_hh_tes_in!U29/SER_hh_fec_in!U29)</f>
        <v>0.81853129166535199</v>
      </c>
      <c r="V29" s="135">
        <f>IF(SER_hh_tes_in!V29=0,"",SER_hh_tes_in!V29/SER_hh_fec_in!V29)</f>
        <v>0.78950608730955318</v>
      </c>
      <c r="W29" s="135">
        <f>IF(SER_hh_tes_in!W29=0,"",SER_hh_tes_in!W29/SER_hh_fec_in!W29)</f>
        <v>0.77931135969860943</v>
      </c>
      <c r="X29" s="135">
        <f>IF(SER_hh_tes_in!X29=0,"",SER_hh_tes_in!X29/SER_hh_fec_in!X29)</f>
        <v>0.80241949260986201</v>
      </c>
      <c r="Y29" s="135">
        <f>IF(SER_hh_tes_in!Y29=0,"",SER_hh_tes_in!Y29/SER_hh_fec_in!Y29)</f>
        <v>0.81948114408750017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0.60205517490042371</v>
      </c>
      <c r="D30" s="136">
        <f>IF(SER_hh_tes_in!D30=0,"",SER_hh_tes_in!D30/SER_hh_fec_in!D30)</f>
        <v>0.602268370369753</v>
      </c>
      <c r="E30" s="136">
        <f>IF(SER_hh_tes_in!E30=0,"",SER_hh_tes_in!E30/SER_hh_fec_in!E30)</f>
        <v>0.60248158504343208</v>
      </c>
      <c r="F30" s="136">
        <f>IF(SER_hh_tes_in!F30=0,"",SER_hh_tes_in!F30/SER_hh_fec_in!F30)</f>
        <v>0.6026948023358859</v>
      </c>
      <c r="G30" s="136">
        <f>IF(SER_hh_tes_in!G30=0,"",SER_hh_tes_in!G30/SER_hh_fec_in!G30)</f>
        <v>0.60290803731441622</v>
      </c>
      <c r="H30" s="136">
        <f>IF(SER_hh_tes_in!H30=0,"",SER_hh_tes_in!H30/SER_hh_fec_in!H30)</f>
        <v>0.60312128813497723</v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>
        <f>IF(SER_hh_tes_in!K30=0,"",SER_hh_tes_in!K30/SER_hh_fec_in!K30)</f>
        <v>0.60376121648355019</v>
      </c>
      <c r="L30" s="136">
        <f>IF(SER_hh_tes_in!L30=0,"",SER_hh_tes_in!L30/SER_hh_fec_in!L30)</f>
        <v>0.60397462047332573</v>
      </c>
      <c r="M30" s="136" t="str">
        <f>IF(SER_hh_tes_in!M30=0,"",SER_hh_tes_in!M30/SER_hh_fec_in!M30)</f>
        <v/>
      </c>
      <c r="N30" s="136">
        <f>IF(SER_hh_tes_in!N30=0,"",SER_hh_tes_in!N30/SER_hh_fec_in!N30)</f>
        <v>0.60422727709648338</v>
      </c>
      <c r="O30" s="136">
        <f>IF(SER_hh_tes_in!O30=0,"",SER_hh_tes_in!O30/SER_hh_fec_in!O30)</f>
        <v>0.6042814194469649</v>
      </c>
      <c r="P30" s="136">
        <f>IF(SER_hh_tes_in!P30=0,"",SER_hh_tes_in!P30/SER_hh_fec_in!P30)</f>
        <v>0.60443249472558513</v>
      </c>
      <c r="Q30" s="136">
        <f>IF(SER_hh_tes_in!Q30=0,"",SER_hh_tes_in!Q30/SER_hh_fec_in!Q30)</f>
        <v>0.60504740640143417</v>
      </c>
      <c r="R30" s="136">
        <f>IF(SER_hh_tes_in!R30=0,"",SER_hh_tes_in!R30/SER_hh_fec_in!R30)</f>
        <v>0.60666262625631384</v>
      </c>
      <c r="S30" s="136">
        <f>IF(SER_hh_tes_in!S30=0,"",SER_hh_tes_in!S30/SER_hh_fec_in!S30)</f>
        <v>0.60894107843199474</v>
      </c>
      <c r="T30" s="136">
        <f>IF(SER_hh_tes_in!T30=0,"",SER_hh_tes_in!T30/SER_hh_fec_in!T30)</f>
        <v>0.6114409872086185</v>
      </c>
      <c r="U30" s="136">
        <f>IF(SER_hh_tes_in!U30=0,"",SER_hh_tes_in!U30/SER_hh_fec_in!U30)</f>
        <v>0.61372057686633297</v>
      </c>
      <c r="V30" s="136">
        <f>IF(SER_hh_tes_in!V30=0,"",SER_hh_tes_in!V30/SER_hh_fec_in!V30)</f>
        <v>0.61533807168528243</v>
      </c>
      <c r="W30" s="136">
        <f>IF(SER_hh_tes_in!W30=0,"",SER_hh_tes_in!W30/SER_hh_fec_in!W30)</f>
        <v>0.61611545197597339</v>
      </c>
      <c r="X30" s="136">
        <f>IF(SER_hh_tes_in!X30=0,"",SER_hh_tes_in!X30/SER_hh_fec_in!X30)</f>
        <v>0.61651070804491426</v>
      </c>
      <c r="Y30" s="136">
        <f>IF(SER_hh_tes_in!Y30=0,"",SER_hh_tes_in!Y30/SER_hh_fec_in!Y30)</f>
        <v>0.61655023365180828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0.60959584327759109</v>
      </c>
      <c r="D31" s="136">
        <f>IF(SER_hh_tes_in!D31=0,"",SER_hh_tes_in!D31/SER_hh_fec_in!D31)</f>
        <v>0.60990674285886493</v>
      </c>
      <c r="E31" s="136">
        <f>IF(SER_hh_tes_in!E31=0,"",SER_hh_tes_in!E31/SER_hh_fec_in!E31)</f>
        <v>0.61021767044553832</v>
      </c>
      <c r="F31" s="136">
        <f>IF(SER_hh_tes_in!F31=0,"",SER_hh_tes_in!F31/SER_hh_fec_in!F31)</f>
        <v>0.61052860185112967</v>
      </c>
      <c r="G31" s="136">
        <f>IF(SER_hh_tes_in!G31=0,"",SER_hh_tes_in!G31/SER_hh_fec_in!G31)</f>
        <v>0.61083955904804654</v>
      </c>
      <c r="H31" s="136">
        <f>IF(SER_hh_tes_in!H31=0,"",SER_hh_tes_in!H31/SER_hh_fec_in!H31)</f>
        <v>0.61115053934714603</v>
      </c>
      <c r="I31" s="136">
        <f>IF(SER_hh_tes_in!I31=0,"",SER_hh_tes_in!I31/SER_hh_fec_in!I31)</f>
        <v>0.61146154816242981</v>
      </c>
      <c r="J31" s="136">
        <f>IF(SER_hh_tes_in!J31=0,"",SER_hh_tes_in!J31/SER_hh_fec_in!J31)</f>
        <v>0.61177260767315289</v>
      </c>
      <c r="K31" s="136">
        <f>IF(SER_hh_tes_in!K31=0,"",SER_hh_tes_in!K31/SER_hh_fec_in!K31)</f>
        <v>0.61208373673751504</v>
      </c>
      <c r="L31" s="136">
        <f>IF(SER_hh_tes_in!L31=0,"",SER_hh_tes_in!L31/SER_hh_fec_in!L31)</f>
        <v>0.61239494040085796</v>
      </c>
      <c r="M31" s="136">
        <f>IF(SER_hh_tes_in!M31=0,"",SER_hh_tes_in!M31/SER_hh_fec_in!M31)</f>
        <v>0.61263128182160553</v>
      </c>
      <c r="N31" s="136">
        <f>IF(SER_hh_tes_in!N31=0,"",SER_hh_tes_in!N31/SER_hh_fec_in!N31)</f>
        <v>0.61276338555868826</v>
      </c>
      <c r="O31" s="136">
        <f>IF(SER_hh_tes_in!O31=0,"",SER_hh_tes_in!O31/SER_hh_fec_in!O31)</f>
        <v>0.6128423404921437</v>
      </c>
      <c r="P31" s="136">
        <f>IF(SER_hh_tes_in!P31=0,"",SER_hh_tes_in!P31/SER_hh_fec_in!P31)</f>
        <v>0.61306265118172654</v>
      </c>
      <c r="Q31" s="136">
        <f>IF(SER_hh_tes_in!Q31=0,"",SER_hh_tes_in!Q31/SER_hh_fec_in!Q31)</f>
        <v>0.61395936715389665</v>
      </c>
      <c r="R31" s="136">
        <f>IF(SER_hh_tes_in!R31=0,"",SER_hh_tes_in!R31/SER_hh_fec_in!R31)</f>
        <v>0.6163148167238478</v>
      </c>
      <c r="S31" s="136">
        <f>IF(SER_hh_tes_in!S31=0,"",SER_hh_tes_in!S31/SER_hh_fec_in!S31)</f>
        <v>0.61963744749832039</v>
      </c>
      <c r="T31" s="136">
        <f>IF(SER_hh_tes_in!T31=0,"",SER_hh_tes_in!T31/SER_hh_fec_in!T31)</f>
        <v>0.62328302493165055</v>
      </c>
      <c r="U31" s="136">
        <f>IF(SER_hh_tes_in!U31=0,"",SER_hh_tes_in!U31/SER_hh_fec_in!U31)</f>
        <v>0.62660731447818352</v>
      </c>
      <c r="V31" s="136">
        <f>IF(SER_hh_tes_in!V31=0,"",SER_hh_tes_in!V31/SER_hh_fec_in!V31)</f>
        <v>0.62896608159225964</v>
      </c>
      <c r="W31" s="136">
        <f>IF(SER_hh_tes_in!W31=0,"",SER_hh_tes_in!W31/SER_hh_fec_in!W31)</f>
        <v>0.630099722976041</v>
      </c>
      <c r="X31" s="136">
        <f>IF(SER_hh_tes_in!X31=0,"",SER_hh_tes_in!X31/SER_hh_fec_in!X31)</f>
        <v>0.63050755964500615</v>
      </c>
      <c r="Y31" s="136">
        <f>IF(SER_hh_tes_in!Y31=0,"",SER_hh_tes_in!Y31/SER_hh_fec_in!Y31)</f>
        <v>0.63054834331190268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0.80150831725249827</v>
      </c>
      <c r="D33" s="149">
        <f>IF(SER_hh_tes_in!D33=0,"",SER_hh_tes_in!D33/SER_hh_fec_in!D33)</f>
        <v>0.80243641119196751</v>
      </c>
      <c r="E33" s="149">
        <f>IF(SER_hh_tes_in!E33=0,"",SER_hh_tes_in!E33/SER_hh_fec_in!E33)</f>
        <v>0.80340826497537943</v>
      </c>
      <c r="F33" s="149">
        <f>IF(SER_hh_tes_in!F33=0,"",SER_hh_tes_in!F33/SER_hh_fec_in!F33)</f>
        <v>0.80438608601023787</v>
      </c>
      <c r="G33" s="149">
        <f>IF(SER_hh_tes_in!G33=0,"",SER_hh_tes_in!G33/SER_hh_fec_in!G33)</f>
        <v>0.80540420728745521</v>
      </c>
      <c r="H33" s="149">
        <f>IF(SER_hh_tes_in!H33=0,"",SER_hh_tes_in!H33/SER_hh_fec_in!H33)</f>
        <v>0.80645842688602731</v>
      </c>
      <c r="I33" s="149">
        <f>IF(SER_hh_tes_in!I33=0,"",SER_hh_tes_in!I33/SER_hh_fec_in!I33)</f>
        <v>0.80755720445591794</v>
      </c>
      <c r="J33" s="149">
        <f>IF(SER_hh_tes_in!J33=0,"",SER_hh_tes_in!J33/SER_hh_fec_in!J33)</f>
        <v>0.80873519619704193</v>
      </c>
      <c r="K33" s="149">
        <f>IF(SER_hh_tes_in!K33=0,"",SER_hh_tes_in!K33/SER_hh_fec_in!K33)</f>
        <v>0.81002186899499129</v>
      </c>
      <c r="L33" s="149">
        <f>IF(SER_hh_tes_in!L33=0,"",SER_hh_tes_in!L33/SER_hh_fec_in!L33)</f>
        <v>0.81142510644974297</v>
      </c>
      <c r="M33" s="149">
        <f>IF(SER_hh_tes_in!M33=0,"",SER_hh_tes_in!M33/SER_hh_fec_in!M33)</f>
        <v>0.81343142592590512</v>
      </c>
      <c r="N33" s="149">
        <f>IF(SER_hh_tes_in!N33=0,"",SER_hh_tes_in!N33/SER_hh_fec_in!N33)</f>
        <v>0.81617933429311307</v>
      </c>
      <c r="O33" s="149">
        <f>IF(SER_hh_tes_in!O33=0,"",SER_hh_tes_in!O33/SER_hh_fec_in!O33)</f>
        <v>0.81999727797219046</v>
      </c>
      <c r="P33" s="149">
        <f>IF(SER_hh_tes_in!P33=0,"",SER_hh_tes_in!P33/SER_hh_fec_in!P33)</f>
        <v>0.8250463498330376</v>
      </c>
      <c r="Q33" s="149">
        <f>IF(SER_hh_tes_in!Q33=0,"",SER_hh_tes_in!Q33/SER_hh_fec_in!Q33)</f>
        <v>0.83157989806793353</v>
      </c>
      <c r="R33" s="149">
        <f>IF(SER_hh_tes_in!R33=0,"",SER_hh_tes_in!R33/SER_hh_fec_in!R33)</f>
        <v>0.84047049515086891</v>
      </c>
      <c r="S33" s="149">
        <f>IF(SER_hh_tes_in!S33=0,"",SER_hh_tes_in!S33/SER_hh_fec_in!S33)</f>
        <v>0.85159553435334245</v>
      </c>
      <c r="T33" s="149">
        <f>IF(SER_hh_tes_in!T33=0,"",SER_hh_tes_in!T33/SER_hh_fec_in!T33)</f>
        <v>0.86357224997587356</v>
      </c>
      <c r="U33" s="149">
        <f>IF(SER_hh_tes_in!U33=0,"",SER_hh_tes_in!U33/SER_hh_fec_in!U33)</f>
        <v>0.8750178763190134</v>
      </c>
      <c r="V33" s="149">
        <f>IF(SER_hh_tes_in!V33=0,"",SER_hh_tes_in!V33/SER_hh_fec_in!V33)</f>
        <v>0.88454964768329825</v>
      </c>
      <c r="W33" s="149">
        <f>IF(SER_hh_tes_in!W33=0,"",SER_hh_tes_in!W33/SER_hh_fec_in!W33)</f>
        <v>0.89168712816130269</v>
      </c>
      <c r="X33" s="149">
        <f>IF(SER_hh_tes_in!X33=0,"",SER_hh_tes_in!X33/SER_hh_fec_in!X33)</f>
        <v>0.89885664366963325</v>
      </c>
      <c r="Y33" s="149">
        <f>IF(SER_hh_tes_in!Y33=0,"",SER_hh_tes_in!Y33/SER_hh_fec_in!Y33)</f>
        <v>0.9052145400856757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145.94114198209166</v>
      </c>
      <c r="D3" s="125">
        <f t="shared" si="0"/>
        <v>91.119964610532776</v>
      </c>
      <c r="E3" s="125">
        <f t="shared" si="0"/>
        <v>60.296611617203361</v>
      </c>
      <c r="F3" s="125">
        <f t="shared" si="0"/>
        <v>36.607223096466143</v>
      </c>
      <c r="G3" s="125">
        <f t="shared" si="0"/>
        <v>144.14454144897542</v>
      </c>
      <c r="H3" s="125">
        <f t="shared" si="0"/>
        <v>225.48804716671376</v>
      </c>
      <c r="I3" s="125">
        <f t="shared" si="0"/>
        <v>248.0065295055789</v>
      </c>
      <c r="J3" s="125">
        <f t="shared" si="0"/>
        <v>173.89705031953909</v>
      </c>
      <c r="K3" s="125">
        <f t="shared" si="0"/>
        <v>32.947688082364593</v>
      </c>
      <c r="L3" s="125">
        <f t="shared" si="0"/>
        <v>143.82890212848767</v>
      </c>
      <c r="M3" s="125">
        <f t="shared" si="0"/>
        <v>123.04673422916893</v>
      </c>
      <c r="N3" s="125">
        <f t="shared" si="0"/>
        <v>58.300951789250732</v>
      </c>
      <c r="O3" s="125">
        <f t="shared" si="0"/>
        <v>30.304609627011445</v>
      </c>
      <c r="P3" s="125">
        <f t="shared" si="0"/>
        <v>21.689289249195152</v>
      </c>
      <c r="Q3" s="125">
        <f t="shared" si="0"/>
        <v>94.405144673173226</v>
      </c>
      <c r="R3" s="125">
        <f t="shared" ref="R3:W3" si="1">SUM(R4,R16,R19,R29)</f>
        <v>45.490007212150182</v>
      </c>
      <c r="S3" s="125">
        <f t="shared" si="1"/>
        <v>45.486920774928244</v>
      </c>
      <c r="T3" s="125">
        <f t="shared" si="1"/>
        <v>38.240939060867618</v>
      </c>
      <c r="U3" s="125">
        <f t="shared" si="1"/>
        <v>34.449532253395518</v>
      </c>
      <c r="V3" s="125">
        <f t="shared" si="1"/>
        <v>29.929522196684765</v>
      </c>
      <c r="W3" s="125">
        <f t="shared" si="1"/>
        <v>28.963894821745953</v>
      </c>
      <c r="X3" s="125">
        <f t="shared" ref="X3:Y3" si="2">SUM(X4,X16,X19,X29)</f>
        <v>20.539779660735938</v>
      </c>
      <c r="Y3" s="125">
        <f t="shared" si="2"/>
        <v>22.824180096199935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117.8174726165971</v>
      </c>
      <c r="D4" s="130">
        <f t="shared" si="3"/>
        <v>71.782554190690817</v>
      </c>
      <c r="E4" s="130">
        <f t="shared" si="3"/>
        <v>49.421476454720327</v>
      </c>
      <c r="F4" s="130">
        <f t="shared" si="3"/>
        <v>30.518622623442067</v>
      </c>
      <c r="G4" s="130">
        <f t="shared" si="3"/>
        <v>119.70809251182011</v>
      </c>
      <c r="H4" s="130">
        <f t="shared" si="3"/>
        <v>188.26360873284821</v>
      </c>
      <c r="I4" s="130">
        <f t="shared" si="3"/>
        <v>203.53130253491287</v>
      </c>
      <c r="J4" s="130">
        <f t="shared" si="3"/>
        <v>145.2863893343891</v>
      </c>
      <c r="K4" s="130">
        <f t="shared" si="3"/>
        <v>26.858943532582227</v>
      </c>
      <c r="L4" s="130">
        <f t="shared" si="3"/>
        <v>124.0587941226073</v>
      </c>
      <c r="M4" s="130">
        <f t="shared" si="3"/>
        <v>100.62761783789971</v>
      </c>
      <c r="N4" s="130">
        <f t="shared" si="3"/>
        <v>47.766744492543872</v>
      </c>
      <c r="O4" s="130">
        <f t="shared" si="3"/>
        <v>24.707265109289732</v>
      </c>
      <c r="P4" s="130">
        <f t="shared" si="3"/>
        <v>16.888161805499571</v>
      </c>
      <c r="Q4" s="130">
        <f t="shared" si="3"/>
        <v>78.358236640149471</v>
      </c>
      <c r="R4" s="130">
        <f t="shared" ref="R4:W4" si="4">SUM(R5:R15)</f>
        <v>33.703344512302259</v>
      </c>
      <c r="S4" s="130">
        <f t="shared" si="4"/>
        <v>32.162963284242444</v>
      </c>
      <c r="T4" s="130">
        <f t="shared" si="4"/>
        <v>29.036816327555073</v>
      </c>
      <c r="U4" s="130">
        <f t="shared" si="4"/>
        <v>27.531008746598467</v>
      </c>
      <c r="V4" s="130">
        <f t="shared" si="4"/>
        <v>22.527823148719122</v>
      </c>
      <c r="W4" s="130">
        <f t="shared" si="4"/>
        <v>18.135306382746485</v>
      </c>
      <c r="X4" s="130">
        <f t="shared" ref="X4:Y4" si="5">SUM(X5:X15)</f>
        <v>9.8467529565424901</v>
      </c>
      <c r="Y4" s="130">
        <f t="shared" si="5"/>
        <v>11.74710800097464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2.2638698371799902E-2</v>
      </c>
      <c r="D5" s="132">
        <v>5.6894912254686875E-2</v>
      </c>
      <c r="E5" s="132">
        <v>8.2282435034695262E-2</v>
      </c>
      <c r="F5" s="132">
        <v>5.1873389198994835E-3</v>
      </c>
      <c r="G5" s="132">
        <v>0.2648114106751725</v>
      </c>
      <c r="H5" s="132">
        <v>0.35625782448338233</v>
      </c>
      <c r="I5" s="132">
        <v>1.1484705193796891</v>
      </c>
      <c r="J5" s="132">
        <v>0.6670544138124086</v>
      </c>
      <c r="K5" s="132">
        <v>0.10109392351373458</v>
      </c>
      <c r="L5" s="132">
        <v>9.9546207325310651E-2</v>
      </c>
      <c r="M5" s="132">
        <v>7.2915358932485339E-2</v>
      </c>
      <c r="N5" s="132">
        <v>3.2364265009068312E-2</v>
      </c>
      <c r="O5" s="132">
        <v>1.9069500689313408E-2</v>
      </c>
      <c r="P5" s="132">
        <v>2.0022700959770039E-2</v>
      </c>
      <c r="Q5" s="132">
        <v>0.65984265741019021</v>
      </c>
      <c r="R5" s="132">
        <v>0.51282072932777512</v>
      </c>
      <c r="S5" s="132">
        <v>0.18960819488940303</v>
      </c>
      <c r="T5" s="132">
        <v>3.4419301864848386E-3</v>
      </c>
      <c r="U5" s="132">
        <v>0</v>
      </c>
      <c r="V5" s="132">
        <v>6.8313743318835662E-2</v>
      </c>
      <c r="W5" s="132">
        <v>7.5160665300740434E-2</v>
      </c>
      <c r="X5" s="132">
        <v>0.28602971459010207</v>
      </c>
      <c r="Y5" s="132">
        <v>0.31414477526954654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6.1176450355811873</v>
      </c>
      <c r="D7" s="132">
        <v>5.6393229797350104</v>
      </c>
      <c r="E7" s="132">
        <v>3.3908901698970872</v>
      </c>
      <c r="F7" s="132">
        <v>2.5982367989380237</v>
      </c>
      <c r="G7" s="132">
        <v>11.618591987131428</v>
      </c>
      <c r="H7" s="132">
        <v>18.268792526765793</v>
      </c>
      <c r="I7" s="132">
        <v>24.488771330191707</v>
      </c>
      <c r="J7" s="132">
        <v>10.033589657187278</v>
      </c>
      <c r="K7" s="132">
        <v>2.4208498394043461</v>
      </c>
      <c r="L7" s="132">
        <v>10.965208167552435</v>
      </c>
      <c r="M7" s="132">
        <v>13.106984717011642</v>
      </c>
      <c r="N7" s="132">
        <v>4.4563857369259674</v>
      </c>
      <c r="O7" s="132">
        <v>2.8265298623014514</v>
      </c>
      <c r="P7" s="132">
        <v>1.7756716660280449</v>
      </c>
      <c r="Q7" s="132">
        <v>8.1233431690272617</v>
      </c>
      <c r="R7" s="132">
        <v>1.9192273864529559</v>
      </c>
      <c r="S7" s="132">
        <v>3.4473156604122202</v>
      </c>
      <c r="T7" s="132">
        <v>3.1173834827090263</v>
      </c>
      <c r="U7" s="132">
        <v>4.6842034417105127</v>
      </c>
      <c r="V7" s="132">
        <v>3.3062670879239966</v>
      </c>
      <c r="W7" s="132">
        <v>3.5968910906241738</v>
      </c>
      <c r="X7" s="132">
        <v>3.1941105114976232</v>
      </c>
      <c r="Y7" s="132">
        <v>2.7635774055357079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3.1152656102718525E-2</v>
      </c>
      <c r="D8" s="132">
        <v>2.7242995441456721E-2</v>
      </c>
      <c r="E8" s="132">
        <v>2.2069833012752327E-2</v>
      </c>
      <c r="F8" s="132">
        <v>1.0165791012908414E-2</v>
      </c>
      <c r="G8" s="132">
        <v>4.7838266590745256E-2</v>
      </c>
      <c r="H8" s="132">
        <v>7.2991271635276009E-2</v>
      </c>
      <c r="I8" s="132">
        <v>0.12054811814439717</v>
      </c>
      <c r="J8" s="132">
        <v>6.4766115706071645E-2</v>
      </c>
      <c r="K8" s="132">
        <v>1.7088200722062928E-2</v>
      </c>
      <c r="L8" s="132">
        <v>5.072765374440924E-2</v>
      </c>
      <c r="M8" s="132">
        <v>8.1302197038897794E-2</v>
      </c>
      <c r="N8" s="132">
        <v>3.2281230654083462E-2</v>
      </c>
      <c r="O8" s="132">
        <v>2.8708241147259516E-2</v>
      </c>
      <c r="P8" s="132">
        <v>8.7399666538547874E-2</v>
      </c>
      <c r="Q8" s="132">
        <v>0.22226598057705788</v>
      </c>
      <c r="R8" s="132">
        <v>7.4423293266986268E-2</v>
      </c>
      <c r="S8" s="132">
        <v>3.5503773433256051E-2</v>
      </c>
      <c r="T8" s="132">
        <v>4.3286164581081164E-2</v>
      </c>
      <c r="U8" s="132">
        <v>5.4505616185252508E-2</v>
      </c>
      <c r="V8" s="132">
        <v>6.5759753887347339E-2</v>
      </c>
      <c r="W8" s="132">
        <v>6.8945171783641429E-2</v>
      </c>
      <c r="X8" s="132">
        <v>6.1298474759355168E-2</v>
      </c>
      <c r="Y8" s="132">
        <v>6.1558667653010893E-2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108.60967109841147</v>
      </c>
      <c r="D9" s="132">
        <v>65.075454157596042</v>
      </c>
      <c r="E9" s="132">
        <v>45.343343438382391</v>
      </c>
      <c r="F9" s="132">
        <v>27.353940116726648</v>
      </c>
      <c r="G9" s="132">
        <v>104.20973335143843</v>
      </c>
      <c r="H9" s="132">
        <v>162.44128456453768</v>
      </c>
      <c r="I9" s="132">
        <v>170.5911076769361</v>
      </c>
      <c r="J9" s="132">
        <v>130.30504451338757</v>
      </c>
      <c r="K9" s="132">
        <v>23.903140516798018</v>
      </c>
      <c r="L9" s="132">
        <v>111.80443814556155</v>
      </c>
      <c r="M9" s="132">
        <v>85.822457044690793</v>
      </c>
      <c r="N9" s="132">
        <v>42.682512329537545</v>
      </c>
      <c r="O9" s="132">
        <v>21.392381730810584</v>
      </c>
      <c r="P9" s="132">
        <v>14.174300193795755</v>
      </c>
      <c r="Q9" s="132">
        <v>67.877690300127682</v>
      </c>
      <c r="R9" s="132">
        <v>29.91110478791655</v>
      </c>
      <c r="S9" s="132">
        <v>26.905835106935914</v>
      </c>
      <c r="T9" s="132">
        <v>24.123185382659408</v>
      </c>
      <c r="U9" s="132">
        <v>21.680823795805626</v>
      </c>
      <c r="V9" s="132">
        <v>18.449848267162675</v>
      </c>
      <c r="W9" s="132">
        <v>13.880621560577643</v>
      </c>
      <c r="X9" s="132">
        <v>6.043276736678477</v>
      </c>
      <c r="Y9" s="132">
        <v>8.3426259910102161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3.0363651281299235</v>
      </c>
      <c r="D10" s="132">
        <v>0.98363914566361421</v>
      </c>
      <c r="E10" s="132">
        <v>0.58289057839340197</v>
      </c>
      <c r="F10" s="132">
        <v>0.55109257784458843</v>
      </c>
      <c r="G10" s="132">
        <v>3.5671174959843346</v>
      </c>
      <c r="H10" s="132">
        <v>7.1242825454260768</v>
      </c>
      <c r="I10" s="132">
        <v>7.1824048902609565</v>
      </c>
      <c r="J10" s="132">
        <v>4.215934634295774</v>
      </c>
      <c r="K10" s="132">
        <v>0.41677105214406812</v>
      </c>
      <c r="L10" s="132">
        <v>1.1388739484235877</v>
      </c>
      <c r="M10" s="132">
        <v>1.5439585202258912</v>
      </c>
      <c r="N10" s="132">
        <v>0.56320093041721175</v>
      </c>
      <c r="O10" s="132">
        <v>0.44057577434112372</v>
      </c>
      <c r="P10" s="132">
        <v>0.83076757817745328</v>
      </c>
      <c r="Q10" s="132">
        <v>1.4750945330072809</v>
      </c>
      <c r="R10" s="132">
        <v>1.2857683153379869</v>
      </c>
      <c r="S10" s="132">
        <v>1.5847005485716479</v>
      </c>
      <c r="T10" s="132">
        <v>1.7495193674190719</v>
      </c>
      <c r="U10" s="132">
        <v>1.1114758928970774</v>
      </c>
      <c r="V10" s="132">
        <v>0.63763429642626546</v>
      </c>
      <c r="W10" s="132">
        <v>0.51368789446028795</v>
      </c>
      <c r="X10" s="132">
        <v>0.26203751901693406</v>
      </c>
      <c r="Y10" s="132">
        <v>0.26520116150615941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8.2181986108726734E-2</v>
      </c>
      <c r="D16" s="130">
        <f t="shared" si="6"/>
        <v>7.8131561100965502E-2</v>
      </c>
      <c r="E16" s="130">
        <f t="shared" si="6"/>
        <v>3.7809080917270907E-2</v>
      </c>
      <c r="F16" s="130">
        <f t="shared" si="6"/>
        <v>3.9902524124832771E-2</v>
      </c>
      <c r="G16" s="130">
        <f t="shared" si="6"/>
        <v>0.12308369346346859</v>
      </c>
      <c r="H16" s="130">
        <f t="shared" si="6"/>
        <v>0.27704660129385555</v>
      </c>
      <c r="I16" s="130">
        <f t="shared" si="6"/>
        <v>0.36178545030534298</v>
      </c>
      <c r="J16" s="130">
        <f t="shared" si="6"/>
        <v>0.22946209603399592</v>
      </c>
      <c r="K16" s="130">
        <f t="shared" si="6"/>
        <v>4.1394080997266582E-2</v>
      </c>
      <c r="L16" s="130">
        <f t="shared" si="6"/>
        <v>0.14070883278561205</v>
      </c>
      <c r="M16" s="130">
        <f t="shared" si="6"/>
        <v>0.18682403426565578</v>
      </c>
      <c r="N16" s="130">
        <f t="shared" si="6"/>
        <v>0.10433966435828962</v>
      </c>
      <c r="O16" s="130">
        <f t="shared" si="6"/>
        <v>8.9154188258469713E-2</v>
      </c>
      <c r="P16" s="130">
        <f t="shared" si="6"/>
        <v>0.13795251435268599</v>
      </c>
      <c r="Q16" s="130">
        <f t="shared" si="6"/>
        <v>0.75048997134407969</v>
      </c>
      <c r="R16" s="130">
        <f t="shared" ref="R16:W16" si="7">SUM(R17:R18)</f>
        <v>0.3849339585757301</v>
      </c>
      <c r="S16" s="130">
        <f t="shared" si="7"/>
        <v>0.37000225089439309</v>
      </c>
      <c r="T16" s="130">
        <f t="shared" si="7"/>
        <v>0.32647707958071559</v>
      </c>
      <c r="U16" s="130">
        <f t="shared" si="7"/>
        <v>0.29167182628324423</v>
      </c>
      <c r="V16" s="130">
        <f t="shared" si="7"/>
        <v>0.24274165193736133</v>
      </c>
      <c r="W16" s="130">
        <f t="shared" si="7"/>
        <v>0.20031129080071841</v>
      </c>
      <c r="X16" s="130">
        <f t="shared" ref="X16:Y16" si="8">SUM(X17:X18)</f>
        <v>0.21904243749057123</v>
      </c>
      <c r="Y16" s="130">
        <f t="shared" si="8"/>
        <v>0.19799909898129783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8.2181986108726734E-2</v>
      </c>
      <c r="D17" s="132">
        <v>7.8131561100965502E-2</v>
      </c>
      <c r="E17" s="132">
        <v>3.7809080917270907E-2</v>
      </c>
      <c r="F17" s="132">
        <v>3.9902524124832771E-2</v>
      </c>
      <c r="G17" s="132">
        <v>0.12308369346346859</v>
      </c>
      <c r="H17" s="132">
        <v>0.27704660129385555</v>
      </c>
      <c r="I17" s="132">
        <v>0.36178545030534298</v>
      </c>
      <c r="J17" s="132">
        <v>0.22946209603399592</v>
      </c>
      <c r="K17" s="132">
        <v>4.1394080997266582E-2</v>
      </c>
      <c r="L17" s="132">
        <v>0.14070883278561205</v>
      </c>
      <c r="M17" s="132">
        <v>0.18682403426565578</v>
      </c>
      <c r="N17" s="132">
        <v>0.10433966435828962</v>
      </c>
      <c r="O17" s="132">
        <v>8.9154188258469713E-2</v>
      </c>
      <c r="P17" s="132">
        <v>0.13795251435268599</v>
      </c>
      <c r="Q17" s="132">
        <v>0.75048997134407969</v>
      </c>
      <c r="R17" s="132">
        <v>0.3849339585757301</v>
      </c>
      <c r="S17" s="132">
        <v>0.37000225089439309</v>
      </c>
      <c r="T17" s="132">
        <v>0.32647707958071559</v>
      </c>
      <c r="U17" s="132">
        <v>0.29167182628324423</v>
      </c>
      <c r="V17" s="132">
        <v>0.24274165193736133</v>
      </c>
      <c r="W17" s="132">
        <v>0.20031129080071841</v>
      </c>
      <c r="X17" s="132">
        <v>0.21904243749057123</v>
      </c>
      <c r="Y17" s="132">
        <v>0.19799909898129783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14.484770085317976</v>
      </c>
      <c r="D19" s="130">
        <f t="shared" si="9"/>
        <v>10.07476664015805</v>
      </c>
      <c r="E19" s="130">
        <f t="shared" si="9"/>
        <v>5.2376593498764681</v>
      </c>
      <c r="F19" s="130">
        <f t="shared" si="9"/>
        <v>2.9764044306909812</v>
      </c>
      <c r="G19" s="130">
        <f t="shared" si="9"/>
        <v>12.19527873234971</v>
      </c>
      <c r="H19" s="130">
        <f t="shared" si="9"/>
        <v>18.765004045261264</v>
      </c>
      <c r="I19" s="130">
        <f t="shared" si="9"/>
        <v>20.61003324787497</v>
      </c>
      <c r="J19" s="130">
        <f t="shared" si="9"/>
        <v>14.102652064952014</v>
      </c>
      <c r="K19" s="130">
        <f t="shared" si="9"/>
        <v>3.1080181965843741</v>
      </c>
      <c r="L19" s="130">
        <f t="shared" si="9"/>
        <v>10.220647568041695</v>
      </c>
      <c r="M19" s="130">
        <f t="shared" si="9"/>
        <v>12.058354353139984</v>
      </c>
      <c r="N19" s="130">
        <f t="shared" si="9"/>
        <v>5.8412394391727602</v>
      </c>
      <c r="O19" s="130">
        <f t="shared" si="9"/>
        <v>2.6901085433726979</v>
      </c>
      <c r="P19" s="130">
        <f t="shared" si="9"/>
        <v>1.5946368865309402</v>
      </c>
      <c r="Q19" s="130">
        <f t="shared" si="9"/>
        <v>7.7795548745629457</v>
      </c>
      <c r="R19" s="130">
        <f t="shared" ref="R19:W19" si="10">SUM(R20:R27)</f>
        <v>6.1351106693598743</v>
      </c>
      <c r="S19" s="130">
        <f t="shared" si="10"/>
        <v>8.1381485393796567</v>
      </c>
      <c r="T19" s="130">
        <f t="shared" si="10"/>
        <v>5.3801662766825231</v>
      </c>
      <c r="U19" s="130">
        <f t="shared" si="10"/>
        <v>3.1394233575821753</v>
      </c>
      <c r="V19" s="130">
        <f t="shared" si="10"/>
        <v>1.3189607874419853</v>
      </c>
      <c r="W19" s="130">
        <f t="shared" si="10"/>
        <v>3.3814399954342997</v>
      </c>
      <c r="X19" s="130">
        <f t="shared" ref="X19:Y19" si="11">SUM(X20:X27)</f>
        <v>4.590053834518427</v>
      </c>
      <c r="Y19" s="130">
        <f t="shared" si="11"/>
        <v>5.921705074245077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1.4947800220366847</v>
      </c>
      <c r="D22" s="132">
        <v>0.95371930408711036</v>
      </c>
      <c r="E22" s="132">
        <v>0.65962443437127427</v>
      </c>
      <c r="F22" s="132">
        <v>0.41170397045175078</v>
      </c>
      <c r="G22" s="132">
        <v>1.7717135588815711</v>
      </c>
      <c r="H22" s="132">
        <v>2.6554944808323393</v>
      </c>
      <c r="I22" s="132">
        <v>3.1192264351650003</v>
      </c>
      <c r="J22" s="132">
        <v>2.1508639134700518</v>
      </c>
      <c r="K22" s="132">
        <v>0.44124355269757165</v>
      </c>
      <c r="L22" s="132">
        <v>1.3118781835517632</v>
      </c>
      <c r="M22" s="132">
        <v>1.556835191354756</v>
      </c>
      <c r="N22" s="132">
        <v>0.74353641140295501</v>
      </c>
      <c r="O22" s="132">
        <v>0.43933208930889139</v>
      </c>
      <c r="P22" s="132">
        <v>0.54395598408478163</v>
      </c>
      <c r="Q22" s="132">
        <v>2.0023751104669372</v>
      </c>
      <c r="R22" s="132">
        <v>0.97454989036096495</v>
      </c>
      <c r="S22" s="132">
        <v>0.99894688645549368</v>
      </c>
      <c r="T22" s="132">
        <v>0.90588345812992643</v>
      </c>
      <c r="U22" s="132">
        <v>0.88268660838852064</v>
      </c>
      <c r="V22" s="132">
        <v>0.77953803414310774</v>
      </c>
      <c r="W22" s="132">
        <v>0.8262956451688106</v>
      </c>
      <c r="X22" s="132">
        <v>0.63229585932069488</v>
      </c>
      <c r="Y22" s="132">
        <v>0.72576562891385488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12.989990063281292</v>
      </c>
      <c r="D23" s="132">
        <v>9.121047336070939</v>
      </c>
      <c r="E23" s="132">
        <v>4.578034915505194</v>
      </c>
      <c r="F23" s="132">
        <v>2.5647004602392305</v>
      </c>
      <c r="G23" s="132">
        <v>10.423565173468139</v>
      </c>
      <c r="H23" s="132">
        <v>16.109509564428926</v>
      </c>
      <c r="I23" s="132">
        <v>17.49080681270997</v>
      </c>
      <c r="J23" s="132">
        <v>11.951788151481962</v>
      </c>
      <c r="K23" s="132">
        <v>2.6667746438868023</v>
      </c>
      <c r="L23" s="132">
        <v>8.9087693844899327</v>
      </c>
      <c r="M23" s="132">
        <v>10.501519161785229</v>
      </c>
      <c r="N23" s="132">
        <v>5.0977030277698052</v>
      </c>
      <c r="O23" s="132">
        <v>2.2507764540638067</v>
      </c>
      <c r="P23" s="132">
        <v>1.0506809024461585</v>
      </c>
      <c r="Q23" s="132">
        <v>5.777179764096009</v>
      </c>
      <c r="R23" s="132">
        <v>5.1605607789989092</v>
      </c>
      <c r="S23" s="132">
        <v>7.1392016529241626</v>
      </c>
      <c r="T23" s="132">
        <v>4.4742828185525969</v>
      </c>
      <c r="U23" s="132">
        <v>2.2567367491936547</v>
      </c>
      <c r="V23" s="132">
        <v>0.53942275329887757</v>
      </c>
      <c r="W23" s="132">
        <v>2.5551443502654894</v>
      </c>
      <c r="X23" s="132">
        <v>3.9577579751977319</v>
      </c>
      <c r="Y23" s="132">
        <v>5.1959394453312218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13.556717294067871</v>
      </c>
      <c r="D29" s="130">
        <f t="shared" si="12"/>
        <v>9.1845122185829471</v>
      </c>
      <c r="E29" s="130">
        <f t="shared" si="12"/>
        <v>5.5996667316892959</v>
      </c>
      <c r="F29" s="130">
        <f t="shared" si="12"/>
        <v>3.0722935182082614</v>
      </c>
      <c r="G29" s="130">
        <f t="shared" si="12"/>
        <v>12.118086511342119</v>
      </c>
      <c r="H29" s="130">
        <f t="shared" si="12"/>
        <v>18.182387787310429</v>
      </c>
      <c r="I29" s="130">
        <f t="shared" si="12"/>
        <v>23.503408272485704</v>
      </c>
      <c r="J29" s="130">
        <f t="shared" si="12"/>
        <v>14.278546824163971</v>
      </c>
      <c r="K29" s="130">
        <f t="shared" si="12"/>
        <v>2.9393322722007191</v>
      </c>
      <c r="L29" s="130">
        <f t="shared" si="12"/>
        <v>9.4087516050530855</v>
      </c>
      <c r="M29" s="130">
        <f t="shared" si="12"/>
        <v>10.173938003863581</v>
      </c>
      <c r="N29" s="130">
        <f t="shared" si="12"/>
        <v>4.5886281931758059</v>
      </c>
      <c r="O29" s="130">
        <f t="shared" si="12"/>
        <v>2.818081786090544</v>
      </c>
      <c r="P29" s="130">
        <f t="shared" si="12"/>
        <v>3.0685380428119537</v>
      </c>
      <c r="Q29" s="130">
        <f t="shared" si="12"/>
        <v>7.5168631871167264</v>
      </c>
      <c r="R29" s="130">
        <f t="shared" ref="R29:W29" si="13">SUM(R30:R33)</f>
        <v>5.266618071912319</v>
      </c>
      <c r="S29" s="130">
        <f t="shared" si="13"/>
        <v>4.8158067004117502</v>
      </c>
      <c r="T29" s="130">
        <f t="shared" si="13"/>
        <v>3.4974793770493013</v>
      </c>
      <c r="U29" s="130">
        <f t="shared" si="13"/>
        <v>3.4874283229316343</v>
      </c>
      <c r="V29" s="130">
        <f t="shared" si="13"/>
        <v>5.8399966085862962</v>
      </c>
      <c r="W29" s="130">
        <f t="shared" si="13"/>
        <v>7.2468371527644475</v>
      </c>
      <c r="X29" s="130">
        <f t="shared" ref="X29:Y29" si="14">SUM(X30:X33)</f>
        <v>5.8839304321844477</v>
      </c>
      <c r="Y29" s="130">
        <f t="shared" si="14"/>
        <v>4.9573679219989195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3.8793505786136429</v>
      </c>
      <c r="D30" s="132">
        <v>2.4312540603813528</v>
      </c>
      <c r="E30" s="132">
        <v>1.0571559109354709</v>
      </c>
      <c r="F30" s="132">
        <v>0.87365076009361498</v>
      </c>
      <c r="G30" s="132">
        <v>1.9859482137724167</v>
      </c>
      <c r="H30" s="132">
        <v>3.1290625507996688</v>
      </c>
      <c r="I30" s="132">
        <v>0</v>
      </c>
      <c r="J30" s="132">
        <v>0</v>
      </c>
      <c r="K30" s="132">
        <v>0.67638652808052402</v>
      </c>
      <c r="L30" s="132">
        <v>3.3543877829539404</v>
      </c>
      <c r="M30" s="132">
        <v>0</v>
      </c>
      <c r="N30" s="132">
        <v>0.30289833266594401</v>
      </c>
      <c r="O30" s="132">
        <v>0.28269941883778726</v>
      </c>
      <c r="P30" s="132">
        <v>0.15358674422747251</v>
      </c>
      <c r="Q30" s="132">
        <v>2.6177231231782598</v>
      </c>
      <c r="R30" s="132">
        <v>2.0665179962081961</v>
      </c>
      <c r="S30" s="132">
        <v>1.7078398504998331</v>
      </c>
      <c r="T30" s="132">
        <v>0.74061738696239277</v>
      </c>
      <c r="U30" s="132">
        <v>0.82098635720145852</v>
      </c>
      <c r="V30" s="132">
        <v>0.93388820719231702</v>
      </c>
      <c r="W30" s="132">
        <v>1.514917535263463</v>
      </c>
      <c r="X30" s="132">
        <v>0.41971655522030837</v>
      </c>
      <c r="Y30" s="132">
        <v>8.2790449532333069E-2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9.6773667154542284</v>
      </c>
      <c r="D31" s="132">
        <v>6.7532581582015947</v>
      </c>
      <c r="E31" s="132">
        <v>4.542510820753825</v>
      </c>
      <c r="F31" s="132">
        <v>2.1986427581146462</v>
      </c>
      <c r="G31" s="132">
        <v>10.132138297569702</v>
      </c>
      <c r="H31" s="132">
        <v>15.05332523651076</v>
      </c>
      <c r="I31" s="132">
        <v>23.503408272485704</v>
      </c>
      <c r="J31" s="132">
        <v>14.278546824163971</v>
      </c>
      <c r="K31" s="132">
        <v>2.262945744120195</v>
      </c>
      <c r="L31" s="132">
        <v>6.0543638220991447</v>
      </c>
      <c r="M31" s="132">
        <v>10.173938003863581</v>
      </c>
      <c r="N31" s="132">
        <v>4.2857298605098624</v>
      </c>
      <c r="O31" s="132">
        <v>2.5353823672527569</v>
      </c>
      <c r="P31" s="132">
        <v>2.9149512985844814</v>
      </c>
      <c r="Q31" s="132">
        <v>4.8991400639384661</v>
      </c>
      <c r="R31" s="132">
        <v>3.2001000757041225</v>
      </c>
      <c r="S31" s="132">
        <v>3.1079668499119175</v>
      </c>
      <c r="T31" s="132">
        <v>2.7568619900869087</v>
      </c>
      <c r="U31" s="132">
        <v>2.6664419657301757</v>
      </c>
      <c r="V31" s="132">
        <v>4.9061084013939791</v>
      </c>
      <c r="W31" s="132">
        <v>5.731919617500985</v>
      </c>
      <c r="X31" s="132">
        <v>5.4642138769641395</v>
      </c>
      <c r="Y31" s="132">
        <v>4.8745774724665862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154992.67989827448</v>
      </c>
      <c r="D3" s="125">
        <f>IF(SER_hh_fec_in!D3=0,0,11630*1000*SER_hh_fec_in!D3/SER_hh_num_in!D3)</f>
        <v>151094.76815820346</v>
      </c>
      <c r="E3" s="125">
        <f>IF(SER_hh_fec_in!E3=0,0,11630*1000*SER_hh_fec_in!E3/SER_hh_num_in!E3)</f>
        <v>155887.03995748379</v>
      </c>
      <c r="F3" s="125">
        <f>IF(SER_hh_fec_in!F3=0,0,11630*1000*SER_hh_fec_in!F3/SER_hh_num_in!F3)</f>
        <v>165382.09910831484</v>
      </c>
      <c r="G3" s="125">
        <f>IF(SER_hh_fec_in!G3=0,0,11630*1000*SER_hh_fec_in!G3/SER_hh_num_in!G3)</f>
        <v>149567.87514752345</v>
      </c>
      <c r="H3" s="125">
        <f>IF(SER_hh_fec_in!H3=0,0,11630*1000*SER_hh_fec_in!H3/SER_hh_num_in!H3)</f>
        <v>146756.45489054086</v>
      </c>
      <c r="I3" s="125">
        <f>IF(SER_hh_fec_in!I3=0,0,11630*1000*SER_hh_fec_in!I3/SER_hh_num_in!I3)</f>
        <v>133379.44313792913</v>
      </c>
      <c r="J3" s="125">
        <f>IF(SER_hh_fec_in!J3=0,0,11630*1000*SER_hh_fec_in!J3/SER_hh_num_in!J3)</f>
        <v>136195.00085866489</v>
      </c>
      <c r="K3" s="125">
        <f>IF(SER_hh_fec_in!K3=0,0,11630*1000*SER_hh_fec_in!K3/SER_hh_num_in!K3)</f>
        <v>135665.30688919645</v>
      </c>
      <c r="L3" s="125">
        <f>IF(SER_hh_fec_in!L3=0,0,11630*1000*SER_hh_fec_in!L3/SER_hh_num_in!L3)</f>
        <v>148673.31782820661</v>
      </c>
      <c r="M3" s="125">
        <f>IF(SER_hh_fec_in!M3=0,0,11630*1000*SER_hh_fec_in!M3/SER_hh_num_in!M3)</f>
        <v>119463.76728913734</v>
      </c>
      <c r="N3" s="125">
        <f>IF(SER_hh_fec_in!N3=0,0,11630*1000*SER_hh_fec_in!N3/SER_hh_num_in!N3)</f>
        <v>122711.91082490966</v>
      </c>
      <c r="O3" s="125">
        <f>IF(SER_hh_fec_in!O3=0,0,11630*1000*SER_hh_fec_in!O3/SER_hh_num_in!O3)</f>
        <v>114562.81347026388</v>
      </c>
      <c r="P3" s="125">
        <f>IF(SER_hh_fec_in!P3=0,0,11630*1000*SER_hh_fec_in!P3/SER_hh_num_in!P3)</f>
        <v>87466.752010218785</v>
      </c>
      <c r="Q3" s="125">
        <f>IF(SER_hh_fec_in!Q3=0,0,11630*1000*SER_hh_fec_in!Q3/SER_hh_num_in!Q3)</f>
        <v>89540.665866499796</v>
      </c>
      <c r="R3" s="125">
        <f>IF(SER_hh_fec_in!R3=0,0,11630*1000*SER_hh_fec_in!R3/SER_hh_num_in!R3)</f>
        <v>84845.481074996482</v>
      </c>
      <c r="S3" s="125">
        <f>IF(SER_hh_fec_in!S3=0,0,11630*1000*SER_hh_fec_in!S3/SER_hh_num_in!S3)</f>
        <v>83824.66006816295</v>
      </c>
      <c r="T3" s="125">
        <f>IF(SER_hh_fec_in!T3=0,0,11630*1000*SER_hh_fec_in!T3/SER_hh_num_in!T3)</f>
        <v>77815.442756616903</v>
      </c>
      <c r="U3" s="125">
        <f>IF(SER_hh_fec_in!U3=0,0,11630*1000*SER_hh_fec_in!U3/SER_hh_num_in!U3)</f>
        <v>71168.645098804627</v>
      </c>
      <c r="V3" s="125">
        <f>IF(SER_hh_fec_in!V3=0,0,11630*1000*SER_hh_fec_in!V3/SER_hh_num_in!V3)</f>
        <v>63774.685266151188</v>
      </c>
      <c r="W3" s="125">
        <f>IF(SER_hh_fec_in!W3=0,0,11630*1000*SER_hh_fec_in!W3/SER_hh_num_in!W3)</f>
        <v>60300.704090738102</v>
      </c>
      <c r="X3" s="125">
        <f>IF(SER_hh_fec_in!X3=0,0,11630*1000*SER_hh_fec_in!X3/SER_hh_num_in!X3)</f>
        <v>51517.031396041879</v>
      </c>
      <c r="Y3" s="125">
        <f>IF(SER_hh_fec_in!Y3=0,0,11630*1000*SER_hh_fec_in!Y3/SER_hh_num_in!Y3)</f>
        <v>50656.805141392637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105021.64947905671</v>
      </c>
      <c r="D4" s="130">
        <f>IF(SER_hh_fec_in!D4=0,0,11630*1000*SER_hh_fec_in!D4/SER_hh_num_in!D4)</f>
        <v>101886.58283895555</v>
      </c>
      <c r="E4" s="130">
        <f>IF(SER_hh_fec_in!E4=0,0,11630*1000*SER_hh_fec_in!E4/SER_hh_num_in!E4)</f>
        <v>106743.26254598766</v>
      </c>
      <c r="F4" s="130">
        <f>IF(SER_hh_fec_in!F4=0,0,11630*1000*SER_hh_fec_in!F4/SER_hh_num_in!F4)</f>
        <v>117508.5624421105</v>
      </c>
      <c r="G4" s="130">
        <f>IF(SER_hh_fec_in!G4=0,0,11630*1000*SER_hh_fec_in!G4/SER_hh_num_in!G4)</f>
        <v>102671.8943551321</v>
      </c>
      <c r="H4" s="130">
        <f>IF(SER_hh_fec_in!H4=0,0,11630*1000*SER_hh_fec_in!H4/SER_hh_num_in!H4)</f>
        <v>100488.04190053545</v>
      </c>
      <c r="I4" s="130">
        <f>IF(SER_hh_fec_in!I4=0,0,11630*1000*SER_hh_fec_in!I4/SER_hh_num_in!I4)</f>
        <v>88818.601412573364</v>
      </c>
      <c r="J4" s="130">
        <f>IF(SER_hh_fec_in!J4=0,0,11630*1000*SER_hh_fec_in!J4/SER_hh_num_in!J4)</f>
        <v>92321.140483369803</v>
      </c>
      <c r="K4" s="130">
        <f>IF(SER_hh_fec_in!K4=0,0,11630*1000*SER_hh_fec_in!K4/SER_hh_num_in!K4)</f>
        <v>92828.389524986633</v>
      </c>
      <c r="L4" s="130">
        <f>IF(SER_hh_fec_in!L4=0,0,11630*1000*SER_hh_fec_in!L4/SER_hh_num_in!L4)</f>
        <v>105433.55186831106</v>
      </c>
      <c r="M4" s="130">
        <f>IF(SER_hh_fec_in!M4=0,0,11630*1000*SER_hh_fec_in!M4/SER_hh_num_in!M4)</f>
        <v>77881.740060023556</v>
      </c>
      <c r="N4" s="130">
        <f>IF(SER_hh_fec_in!N4=0,0,11630*1000*SER_hh_fec_in!N4/SER_hh_num_in!N4)</f>
        <v>81618.194557757277</v>
      </c>
      <c r="O4" s="130">
        <f>IF(SER_hh_fec_in!O4=0,0,11630*1000*SER_hh_fec_in!O4/SER_hh_num_in!O4)</f>
        <v>74740.999413733254</v>
      </c>
      <c r="P4" s="130">
        <f>IF(SER_hh_fec_in!P4=0,0,11630*1000*SER_hh_fec_in!P4/SER_hh_num_in!P4)</f>
        <v>49032.392844230955</v>
      </c>
      <c r="Q4" s="130">
        <f>IF(SER_hh_fec_in!Q4=0,0,11630*1000*SER_hh_fec_in!Q4/SER_hh_num_in!Q4)</f>
        <v>51501.576909193318</v>
      </c>
      <c r="R4" s="130">
        <f>IF(SER_hh_fec_in!R4=0,0,11630*1000*SER_hh_fec_in!R4/SER_hh_num_in!R4)</f>
        <v>47842.046035345709</v>
      </c>
      <c r="S4" s="130">
        <f>IF(SER_hh_fec_in!S4=0,0,11630*1000*SER_hh_fec_in!S4/SER_hh_num_in!S4)</f>
        <v>48281.210554289348</v>
      </c>
      <c r="T4" s="130">
        <f>IF(SER_hh_fec_in!T4=0,0,11630*1000*SER_hh_fec_in!T4/SER_hh_num_in!T4)</f>
        <v>43552.356417159659</v>
      </c>
      <c r="U4" s="130">
        <f>IF(SER_hh_fec_in!U4=0,0,11630*1000*SER_hh_fec_in!U4/SER_hh_num_in!U4)</f>
        <v>38274.669045754512</v>
      </c>
      <c r="V4" s="130">
        <f>IF(SER_hh_fec_in!V4=0,0,11630*1000*SER_hh_fec_in!V4/SER_hh_num_in!V4)</f>
        <v>30921.714867984472</v>
      </c>
      <c r="W4" s="130">
        <f>IF(SER_hh_fec_in!W4=0,0,11630*1000*SER_hh_fec_in!W4/SER_hh_num_in!W4)</f>
        <v>27141.307735449522</v>
      </c>
      <c r="X4" s="130">
        <f>IF(SER_hh_fec_in!X4=0,0,11630*1000*SER_hh_fec_in!X4/SER_hh_num_in!X4)</f>
        <v>18828.582134946566</v>
      </c>
      <c r="Y4" s="130">
        <f>IF(SER_hh_fec_in!Y4=0,0,11630*1000*SER_hh_fec_in!Y4/SER_hh_num_in!Y4)</f>
        <v>17982.277581030452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101096.50425145816</v>
      </c>
      <c r="D5" s="132">
        <f>IF(SER_hh_fec_in!D5=0,0,11630*1000*SER_hh_fec_in!D5/SER_hh_num_in!D5)</f>
        <v>85763.609764442619</v>
      </c>
      <c r="E5" s="132">
        <f>IF(SER_hh_fec_in!E5=0,0,11630*1000*SER_hh_fec_in!E5/SER_hh_num_in!E5)</f>
        <v>139173.74207702145</v>
      </c>
      <c r="F5" s="132">
        <f>IF(SER_hh_fec_in!F5=0,0,11630*1000*SER_hh_fec_in!F5/SER_hh_num_in!F5)</f>
        <v>68482.524927098391</v>
      </c>
      <c r="G5" s="132">
        <f>IF(SER_hh_fec_in!G5=0,0,11630*1000*SER_hh_fec_in!G5/SER_hh_num_in!G5)</f>
        <v>92967.079948071376</v>
      </c>
      <c r="H5" s="132">
        <f>IF(SER_hh_fec_in!H5=0,0,11630*1000*SER_hh_fec_in!H5/SER_hh_num_in!H5)</f>
        <v>62385.095705257801</v>
      </c>
      <c r="I5" s="132">
        <f>IF(SER_hh_fec_in!I5=0,0,11630*1000*SER_hh_fec_in!I5/SER_hh_num_in!I5)</f>
        <v>95393.014159198763</v>
      </c>
      <c r="J5" s="132">
        <f>IF(SER_hh_fec_in!J5=0,0,11630*1000*SER_hh_fec_in!J5/SER_hh_num_in!J5)</f>
        <v>100883.24434383531</v>
      </c>
      <c r="K5" s="132">
        <f>IF(SER_hh_fec_in!K5=0,0,11630*1000*SER_hh_fec_in!K5/SER_hh_num_in!K5)</f>
        <v>97512.896684908541</v>
      </c>
      <c r="L5" s="132">
        <f>IF(SER_hh_fec_in!L5=0,0,11630*1000*SER_hh_fec_in!L5/SER_hh_num_in!L5)</f>
        <v>91196.305183996752</v>
      </c>
      <c r="M5" s="132">
        <f>IF(SER_hh_fec_in!M5=0,0,11630*1000*SER_hh_fec_in!M5/SER_hh_num_in!M5)</f>
        <v>86838.040590885314</v>
      </c>
      <c r="N5" s="132">
        <f>IF(SER_hh_fec_in!N5=0,0,11630*1000*SER_hh_fec_in!N5/SER_hh_num_in!N5)</f>
        <v>82490.259960951516</v>
      </c>
      <c r="O5" s="132">
        <f>IF(SER_hh_fec_in!O5=0,0,11630*1000*SER_hh_fec_in!O5/SER_hh_num_in!O5)</f>
        <v>48250.289598230869</v>
      </c>
      <c r="P5" s="132">
        <f>IF(SER_hh_fec_in!P5=0,0,11630*1000*SER_hh_fec_in!P5/SER_hh_num_in!P5)</f>
        <v>17531.862135864416</v>
      </c>
      <c r="Q5" s="132">
        <f>IF(SER_hh_fec_in!Q5=0,0,11630*1000*SER_hh_fec_in!Q5/SER_hh_num_in!Q5)</f>
        <v>72379.553753608241</v>
      </c>
      <c r="R5" s="132">
        <f>IF(SER_hh_fec_in!R5=0,0,11630*1000*SER_hh_fec_in!R5/SER_hh_num_in!R5)</f>
        <v>65998.49111300298</v>
      </c>
      <c r="S5" s="132">
        <f>IF(SER_hh_fec_in!S5=0,0,11630*1000*SER_hh_fec_in!S5/SER_hh_num_in!S5)</f>
        <v>58655.740027598418</v>
      </c>
      <c r="T5" s="132">
        <f>IF(SER_hh_fec_in!T5=0,0,11630*1000*SER_hh_fec_in!T5/SER_hh_num_in!T5)</f>
        <v>54014.294162623555</v>
      </c>
      <c r="U5" s="132">
        <f>IF(SER_hh_fec_in!U5=0,0,11630*1000*SER_hh_fec_in!U5/SER_hh_num_in!U5)</f>
        <v>0</v>
      </c>
      <c r="V5" s="132">
        <f>IF(SER_hh_fec_in!V5=0,0,11630*1000*SER_hh_fec_in!V5/SER_hh_num_in!V5)</f>
        <v>40888.082321982401</v>
      </c>
      <c r="W5" s="132">
        <f>IF(SER_hh_fec_in!W5=0,0,11630*1000*SER_hh_fec_in!W5/SER_hh_num_in!W5)</f>
        <v>20506.570685122806</v>
      </c>
      <c r="X5" s="132">
        <f>IF(SER_hh_fec_in!X5=0,0,11630*1000*SER_hh_fec_in!X5/SER_hh_num_in!X5)</f>
        <v>25939.321236760141</v>
      </c>
      <c r="Y5" s="132">
        <f>IF(SER_hh_fec_in!Y5=0,0,11630*1000*SER_hh_fec_in!Y5/SER_hh_num_in!Y5)</f>
        <v>25406.089171956402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118385.01125815405</v>
      </c>
      <c r="D7" s="132">
        <f>IF(SER_hh_fec_in!D7=0,0,11630*1000*SER_hh_fec_in!D7/SER_hh_num_in!D7)</f>
        <v>121556.42529943964</v>
      </c>
      <c r="E7" s="132">
        <f>IF(SER_hh_fec_in!E7=0,0,11630*1000*SER_hh_fec_in!E7/SER_hh_num_in!E7)</f>
        <v>125931.66168805437</v>
      </c>
      <c r="F7" s="132">
        <f>IF(SER_hh_fec_in!F7=0,0,11630*1000*SER_hh_fec_in!F7/SER_hh_num_in!F7)</f>
        <v>119405.11035020619</v>
      </c>
      <c r="G7" s="132">
        <f>IF(SER_hh_fec_in!G7=0,0,11630*1000*SER_hh_fec_in!G7/SER_hh_num_in!G7)</f>
        <v>120108.26015739846</v>
      </c>
      <c r="H7" s="132">
        <f>IF(SER_hh_fec_in!H7=0,0,11630*1000*SER_hh_fec_in!H7/SER_hh_num_in!H7)</f>
        <v>111953.14588867889</v>
      </c>
      <c r="I7" s="132">
        <f>IF(SER_hh_fec_in!I7=0,0,11630*1000*SER_hh_fec_in!I7/SER_hh_num_in!I7)</f>
        <v>110093.72955397191</v>
      </c>
      <c r="J7" s="132">
        <f>IF(SER_hh_fec_in!J7=0,0,11630*1000*SER_hh_fec_in!J7/SER_hh_num_in!J7)</f>
        <v>106873.87967365334</v>
      </c>
      <c r="K7" s="132">
        <f>IF(SER_hh_fec_in!K7=0,0,11630*1000*SER_hh_fec_in!K7/SER_hh_num_in!K7)</f>
        <v>100763.34685392887</v>
      </c>
      <c r="L7" s="132">
        <f>IF(SER_hh_fec_in!L7=0,0,11630*1000*SER_hh_fec_in!L7/SER_hh_num_in!L7)</f>
        <v>112606.91934601925</v>
      </c>
      <c r="M7" s="132">
        <f>IF(SER_hh_fec_in!M7=0,0,11630*1000*SER_hh_fec_in!M7/SER_hh_num_in!M7)</f>
        <v>96929.843295480139</v>
      </c>
      <c r="N7" s="132">
        <f>IF(SER_hh_fec_in!N7=0,0,11630*1000*SER_hh_fec_in!N7/SER_hh_num_in!N7)</f>
        <v>88434.87592443671</v>
      </c>
      <c r="O7" s="132">
        <f>IF(SER_hh_fec_in!O7=0,0,11630*1000*SER_hh_fec_in!O7/SER_hh_num_in!O7)</f>
        <v>81494.260336920997</v>
      </c>
      <c r="P7" s="132">
        <f>IF(SER_hh_fec_in!P7=0,0,11630*1000*SER_hh_fec_in!P7/SER_hh_num_in!P7)</f>
        <v>70637.058446288167</v>
      </c>
      <c r="Q7" s="132">
        <f>IF(SER_hh_fec_in!Q7=0,0,11630*1000*SER_hh_fec_in!Q7/SER_hh_num_in!Q7)</f>
        <v>61601.303002199726</v>
      </c>
      <c r="R7" s="132">
        <f>IF(SER_hh_fec_in!R7=0,0,11630*1000*SER_hh_fec_in!R7/SER_hh_num_in!R7)</f>
        <v>57576.079852587951</v>
      </c>
      <c r="S7" s="132">
        <f>IF(SER_hh_fec_in!S7=0,0,11630*1000*SER_hh_fec_in!S7/SER_hh_num_in!S7)</f>
        <v>54113.35045877011</v>
      </c>
      <c r="T7" s="132">
        <f>IF(SER_hh_fec_in!T7=0,0,11630*1000*SER_hh_fec_in!T7/SER_hh_num_in!T7)</f>
        <v>51888.301341902566</v>
      </c>
      <c r="U7" s="132">
        <f>IF(SER_hh_fec_in!U7=0,0,11630*1000*SER_hh_fec_in!U7/SER_hh_num_in!U7)</f>
        <v>49300.655820818814</v>
      </c>
      <c r="V7" s="132">
        <f>IF(SER_hh_fec_in!V7=0,0,11630*1000*SER_hh_fec_in!V7/SER_hh_num_in!V7)</f>
        <v>41806.645889192027</v>
      </c>
      <c r="W7" s="132">
        <f>IF(SER_hh_fec_in!W7=0,0,11630*1000*SER_hh_fec_in!W7/SER_hh_num_in!W7)</f>
        <v>34009.443822192501</v>
      </c>
      <c r="X7" s="132">
        <f>IF(SER_hh_fec_in!X7=0,0,11630*1000*SER_hh_fec_in!X7/SER_hh_num_in!X7)</f>
        <v>26459.831258663617</v>
      </c>
      <c r="Y7" s="132">
        <f>IF(SER_hh_fec_in!Y7=0,0,11630*1000*SER_hh_fec_in!Y7/SER_hh_num_in!Y7)</f>
        <v>25209.842671238508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48232.678652559734</v>
      </c>
      <c r="D8" s="132">
        <f>IF(SER_hh_fec_in!D8=0,0,11630*1000*SER_hh_fec_in!D8/SER_hh_num_in!D8)</f>
        <v>43188.712198464353</v>
      </c>
      <c r="E8" s="132">
        <f>IF(SER_hh_fec_in!E8=0,0,11630*1000*SER_hh_fec_in!E8/SER_hh_num_in!E8)</f>
        <v>47226.603153029071</v>
      </c>
      <c r="F8" s="132">
        <f>IF(SER_hh_fec_in!F8=0,0,11630*1000*SER_hh_fec_in!F8/SER_hh_num_in!F8)</f>
        <v>46676.694813009824</v>
      </c>
      <c r="G8" s="132">
        <f>IF(SER_hh_fec_in!G8=0,0,11630*1000*SER_hh_fec_in!G8/SER_hh_num_in!G8)</f>
        <v>39477.863091094856</v>
      </c>
      <c r="H8" s="132">
        <f>IF(SER_hh_fec_in!H8=0,0,11630*1000*SER_hh_fec_in!H8/SER_hh_num_in!H8)</f>
        <v>35763.994034841038</v>
      </c>
      <c r="I8" s="132">
        <f>IF(SER_hh_fec_in!I8=0,0,11630*1000*SER_hh_fec_in!I8/SER_hh_num_in!I8)</f>
        <v>36094.180391492395</v>
      </c>
      <c r="J8" s="132">
        <f>IF(SER_hh_fec_in!J8=0,0,11630*1000*SER_hh_fec_in!J8/SER_hh_num_in!J8)</f>
        <v>34620.375911995892</v>
      </c>
      <c r="K8" s="132">
        <f>IF(SER_hh_fec_in!K8=0,0,11630*1000*SER_hh_fec_in!K8/SER_hh_num_in!K8)</f>
        <v>32902.135521506723</v>
      </c>
      <c r="L8" s="132">
        <f>IF(SER_hh_fec_in!L8=0,0,11630*1000*SER_hh_fec_in!L8/SER_hh_num_in!L8)</f>
        <v>31703.808810624989</v>
      </c>
      <c r="M8" s="132">
        <f>IF(SER_hh_fec_in!M8=0,0,11630*1000*SER_hh_fec_in!M8/SER_hh_num_in!M8)</f>
        <v>30197.269090513284</v>
      </c>
      <c r="N8" s="132">
        <f>IF(SER_hh_fec_in!N8=0,0,11630*1000*SER_hh_fec_in!N8/SER_hh_num_in!N8)</f>
        <v>24443.526748888766</v>
      </c>
      <c r="O8" s="132">
        <f>IF(SER_hh_fec_in!O8=0,0,11630*1000*SER_hh_fec_in!O8/SER_hh_num_in!O8)</f>
        <v>19084.3854144531</v>
      </c>
      <c r="P8" s="132">
        <f>IF(SER_hh_fec_in!P8=0,0,11630*1000*SER_hh_fec_in!P8/SER_hh_num_in!P8)</f>
        <v>19289.285435858204</v>
      </c>
      <c r="Q8" s="132">
        <f>IF(SER_hh_fec_in!Q8=0,0,11630*1000*SER_hh_fec_in!Q8/SER_hh_num_in!Q8)</f>
        <v>19125.442803303427</v>
      </c>
      <c r="R8" s="132">
        <f>IF(SER_hh_fec_in!R8=0,0,11630*1000*SER_hh_fec_in!R8/SER_hh_num_in!R8)</f>
        <v>16932.930586420767</v>
      </c>
      <c r="S8" s="132">
        <f>IF(SER_hh_fec_in!S8=0,0,11630*1000*SER_hh_fec_in!S8/SER_hh_num_in!S8)</f>
        <v>15135.31093332178</v>
      </c>
      <c r="T8" s="132">
        <f>IF(SER_hh_fec_in!T8=0,0,11630*1000*SER_hh_fec_in!T8/SER_hh_num_in!T8)</f>
        <v>13907.675470119537</v>
      </c>
      <c r="U8" s="132">
        <f>IF(SER_hh_fec_in!U8=0,0,11630*1000*SER_hh_fec_in!U8/SER_hh_num_in!U8)</f>
        <v>12355.338743405549</v>
      </c>
      <c r="V8" s="132">
        <f>IF(SER_hh_fec_in!V8=0,0,11630*1000*SER_hh_fec_in!V8/SER_hh_num_in!V8)</f>
        <v>10584.203562567078</v>
      </c>
      <c r="W8" s="132">
        <f>IF(SER_hh_fec_in!W8=0,0,11630*1000*SER_hh_fec_in!W8/SER_hh_num_in!W8)</f>
        <v>9034.7938739821202</v>
      </c>
      <c r="X8" s="132">
        <f>IF(SER_hh_fec_in!X8=0,0,11630*1000*SER_hh_fec_in!X8/SER_hh_num_in!X8)</f>
        <v>6580.5419209397296</v>
      </c>
      <c r="Y8" s="132">
        <f>IF(SER_hh_fec_in!Y8=0,0,11630*1000*SER_hh_fec_in!Y8/SER_hh_num_in!Y8)</f>
        <v>6850.8987407837421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116512.08406095422</v>
      </c>
      <c r="D9" s="132">
        <f>IF(SER_hh_fec_in!D9=0,0,11630*1000*SER_hh_fec_in!D9/SER_hh_num_in!D9)</f>
        <v>106723.60935378932</v>
      </c>
      <c r="E9" s="132">
        <f>IF(SER_hh_fec_in!E9=0,0,11630*1000*SER_hh_fec_in!E9/SER_hh_num_in!E9)</f>
        <v>114504.59835707156</v>
      </c>
      <c r="F9" s="132">
        <f>IF(SER_hh_fec_in!F9=0,0,11630*1000*SER_hh_fec_in!F9/SER_hh_num_in!F9)</f>
        <v>127151.01544892781</v>
      </c>
      <c r="G9" s="132">
        <f>IF(SER_hh_fec_in!G9=0,0,11630*1000*SER_hh_fec_in!G9/SER_hh_num_in!G9)</f>
        <v>112286.75548532137</v>
      </c>
      <c r="H9" s="132">
        <f>IF(SER_hh_fec_in!H9=0,0,11630*1000*SER_hh_fec_in!H9/SER_hh_num_in!H9)</f>
        <v>109522.85504852435</v>
      </c>
      <c r="I9" s="132">
        <f>IF(SER_hh_fec_in!I9=0,0,11630*1000*SER_hh_fec_in!I9/SER_hh_num_in!I9)</f>
        <v>91527.585245721682</v>
      </c>
      <c r="J9" s="132">
        <f>IF(SER_hh_fec_in!J9=0,0,11630*1000*SER_hh_fec_in!J9/SER_hh_num_in!J9)</f>
        <v>97197.64211927187</v>
      </c>
      <c r="K9" s="132">
        <f>IF(SER_hh_fec_in!K9=0,0,11630*1000*SER_hh_fec_in!K9/SER_hh_num_in!K9)</f>
        <v>99086.368678720173</v>
      </c>
      <c r="L9" s="132">
        <f>IF(SER_hh_fec_in!L9=0,0,11630*1000*SER_hh_fec_in!L9/SER_hh_num_in!L9)</f>
        <v>110222.795226659</v>
      </c>
      <c r="M9" s="132">
        <f>IF(SER_hh_fec_in!M9=0,0,11630*1000*SER_hh_fec_in!M9/SER_hh_num_in!M9)</f>
        <v>80076.510389207688</v>
      </c>
      <c r="N9" s="132">
        <f>IF(SER_hh_fec_in!N9=0,0,11630*1000*SER_hh_fec_in!N9/SER_hh_num_in!N9)</f>
        <v>85275.306380868351</v>
      </c>
      <c r="O9" s="132">
        <f>IF(SER_hh_fec_in!O9=0,0,11630*1000*SER_hh_fec_in!O9/SER_hh_num_in!O9)</f>
        <v>79725.124934651394</v>
      </c>
      <c r="P9" s="132">
        <f>IF(SER_hh_fec_in!P9=0,0,11630*1000*SER_hh_fec_in!P9/SER_hh_num_in!P9)</f>
        <v>54856.949974731462</v>
      </c>
      <c r="Q9" s="132">
        <f>IF(SER_hh_fec_in!Q9=0,0,11630*1000*SER_hh_fec_in!Q9/SER_hh_num_in!Q9)</f>
        <v>55482.603970750599</v>
      </c>
      <c r="R9" s="132">
        <f>IF(SER_hh_fec_in!R9=0,0,11630*1000*SER_hh_fec_in!R9/SER_hh_num_in!R9)</f>
        <v>52733.209919134613</v>
      </c>
      <c r="S9" s="132">
        <f>IF(SER_hh_fec_in!S9=0,0,11630*1000*SER_hh_fec_in!S9/SER_hh_num_in!S9)</f>
        <v>49886.067344440613</v>
      </c>
      <c r="T9" s="132">
        <f>IF(SER_hh_fec_in!T9=0,0,11630*1000*SER_hh_fec_in!T9/SER_hh_num_in!T9)</f>
        <v>46495.687140788847</v>
      </c>
      <c r="U9" s="132">
        <f>IF(SER_hh_fec_in!U9=0,0,11630*1000*SER_hh_fec_in!U9/SER_hh_num_in!U9)</f>
        <v>40814.873879052291</v>
      </c>
      <c r="V9" s="132">
        <f>IF(SER_hh_fec_in!V9=0,0,11630*1000*SER_hh_fec_in!V9/SER_hh_num_in!V9)</f>
        <v>34101.29321605427</v>
      </c>
      <c r="W9" s="132">
        <f>IF(SER_hh_fec_in!W9=0,0,11630*1000*SER_hh_fec_in!W9/SER_hh_num_in!W9)</f>
        <v>31908.67094880496</v>
      </c>
      <c r="X9" s="132">
        <f>IF(SER_hh_fec_in!X9=0,0,11630*1000*SER_hh_fec_in!X9/SER_hh_num_in!X9)</f>
        <v>21057.497913962608</v>
      </c>
      <c r="Y9" s="132">
        <f>IF(SER_hh_fec_in!Y9=0,0,11630*1000*SER_hh_fec_in!Y9/SER_hh_num_in!Y9)</f>
        <v>20603.359805736112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126001.50397015264</v>
      </c>
      <c r="D10" s="132">
        <f>IF(SER_hh_fec_in!D10=0,0,11630*1000*SER_hh_fec_in!D10/SER_hh_num_in!D10)</f>
        <v>122296.82403537081</v>
      </c>
      <c r="E10" s="132">
        <f>IF(SER_hh_fec_in!E10=0,0,11630*1000*SER_hh_fec_in!E10/SER_hh_num_in!E10)</f>
        <v>117694.20715441142</v>
      </c>
      <c r="F10" s="132">
        <f>IF(SER_hh_fec_in!F10=0,0,11630*1000*SER_hh_fec_in!F10/SER_hh_num_in!F10)</f>
        <v>126594.2417845194</v>
      </c>
      <c r="G10" s="132">
        <f>IF(SER_hh_fec_in!G10=0,0,11630*1000*SER_hh_fec_in!G10/SER_hh_num_in!G10)</f>
        <v>114148.56742042775</v>
      </c>
      <c r="H10" s="132">
        <f>IF(SER_hh_fec_in!H10=0,0,11630*1000*SER_hh_fec_in!H10/SER_hh_num_in!H10)</f>
        <v>116440.74893431182</v>
      </c>
      <c r="I10" s="132">
        <f>IF(SER_hh_fec_in!I10=0,0,11630*1000*SER_hh_fec_in!I10/SER_hh_num_in!I10)</f>
        <v>108748.24645597044</v>
      </c>
      <c r="J10" s="132">
        <f>IF(SER_hh_fec_in!J10=0,0,11630*1000*SER_hh_fec_in!J10/SER_hh_num_in!J10)</f>
        <v>119124.76424172863</v>
      </c>
      <c r="K10" s="132">
        <f>IF(SER_hh_fec_in!K10=0,0,11630*1000*SER_hh_fec_in!K10/SER_hh_num_in!K10)</f>
        <v>110587.14820257026</v>
      </c>
      <c r="L10" s="132">
        <f>IF(SER_hh_fec_in!L10=0,0,11630*1000*SER_hh_fec_in!L10/SER_hh_num_in!L10)</f>
        <v>116177.16984322949</v>
      </c>
      <c r="M10" s="132">
        <f>IF(SER_hh_fec_in!M10=0,0,11630*1000*SER_hh_fec_in!M10/SER_hh_num_in!M10)</f>
        <v>102992.84512518023</v>
      </c>
      <c r="N10" s="132">
        <f>IF(SER_hh_fec_in!N10=0,0,11630*1000*SER_hh_fec_in!N10/SER_hh_num_in!N10)</f>
        <v>98176.311265416545</v>
      </c>
      <c r="O10" s="132">
        <f>IF(SER_hh_fec_in!O10=0,0,11630*1000*SER_hh_fec_in!O10/SER_hh_num_in!O10)</f>
        <v>91337.724463502833</v>
      </c>
      <c r="P10" s="132">
        <f>IF(SER_hh_fec_in!P10=0,0,11630*1000*SER_hh_fec_in!P10/SER_hh_num_in!P10)</f>
        <v>83208.626219186321</v>
      </c>
      <c r="Q10" s="132">
        <f>IF(SER_hh_fec_in!Q10=0,0,11630*1000*SER_hh_fec_in!Q10/SER_hh_num_in!Q10)</f>
        <v>73836.270790311246</v>
      </c>
      <c r="R10" s="132">
        <f>IF(SER_hh_fec_in!R10=0,0,11630*1000*SER_hh_fec_in!R10/SER_hh_num_in!R10)</f>
        <v>66880.519527167431</v>
      </c>
      <c r="S10" s="132">
        <f>IF(SER_hh_fec_in!S10=0,0,11630*1000*SER_hh_fec_in!S10/SER_hh_num_in!S10)</f>
        <v>74284.997617754969</v>
      </c>
      <c r="T10" s="132">
        <f>IF(SER_hh_fec_in!T10=0,0,11630*1000*SER_hh_fec_in!T10/SER_hh_num_in!T10)</f>
        <v>67976.918432171733</v>
      </c>
      <c r="U10" s="132">
        <f>IF(SER_hh_fec_in!U10=0,0,11630*1000*SER_hh_fec_in!U10/SER_hh_num_in!U10)</f>
        <v>65288.570374956835</v>
      </c>
      <c r="V10" s="132">
        <f>IF(SER_hh_fec_in!V10=0,0,11630*1000*SER_hh_fec_in!V10/SER_hh_num_in!V10)</f>
        <v>60053.935437610322</v>
      </c>
      <c r="W10" s="132">
        <f>IF(SER_hh_fec_in!W10=0,0,11630*1000*SER_hh_fec_in!W10/SER_hh_num_in!W10)</f>
        <v>45628.276481560017</v>
      </c>
      <c r="X10" s="132">
        <f>IF(SER_hh_fec_in!X10=0,0,11630*1000*SER_hh_fec_in!X10/SER_hh_num_in!X10)</f>
        <v>29060.214269311095</v>
      </c>
      <c r="Y10" s="132">
        <f>IF(SER_hh_fec_in!Y10=0,0,11630*1000*SER_hh_fec_in!Y10/SER_hh_num_in!Y10)</f>
        <v>33041.468493871165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67228.944678390966</v>
      </c>
      <c r="D12" s="132">
        <f>IF(SER_hh_fec_in!D12=0,0,11630*1000*SER_hh_fec_in!D12/SER_hh_num_in!D12)</f>
        <v>96891.499480503495</v>
      </c>
      <c r="E12" s="132">
        <f>IF(SER_hh_fec_in!E12=0,0,11630*1000*SER_hh_fec_in!E12/SER_hh_num_in!E12)</f>
        <v>80072.752484402299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61094.985077622187</v>
      </c>
      <c r="H12" s="132">
        <f>IF(SER_hh_fec_in!H12=0,0,11630*1000*SER_hh_fec_in!H12/SER_hh_num_in!H12)</f>
        <v>70331.584578785405</v>
      </c>
      <c r="I12" s="132">
        <f>IF(SER_hh_fec_in!I12=0,0,11630*1000*SER_hh_fec_in!I12/SER_hh_num_in!I12)</f>
        <v>78985.405999956551</v>
      </c>
      <c r="J12" s="132">
        <f>IF(SER_hh_fec_in!J12=0,0,11630*1000*SER_hh_fec_in!J12/SER_hh_num_in!J12)</f>
        <v>68886.557409803077</v>
      </c>
      <c r="K12" s="132">
        <f>IF(SER_hh_fec_in!K12=0,0,11630*1000*SER_hh_fec_in!K12/SER_hh_num_in!K12)</f>
        <v>81816.800127827344</v>
      </c>
      <c r="L12" s="132">
        <f>IF(SER_hh_fec_in!L12=0,0,11630*1000*SER_hh_fec_in!L12/SER_hh_num_in!L12)</f>
        <v>76023.400632203353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45098.838526136366</v>
      </c>
      <c r="R12" s="132">
        <f>IF(SER_hh_fec_in!R12=0,0,11630*1000*SER_hh_fec_in!R12/SER_hh_num_in!R12)</f>
        <v>41937.243295078391</v>
      </c>
      <c r="S12" s="132">
        <f>IF(SER_hh_fec_in!S12=0,0,11630*1000*SER_hh_fec_in!S12/SER_hh_num_in!S12)</f>
        <v>50233.329618947449</v>
      </c>
      <c r="T12" s="132">
        <f>IF(SER_hh_fec_in!T12=0,0,11630*1000*SER_hh_fec_in!T12/SER_hh_num_in!T12)</f>
        <v>39287.453165832674</v>
      </c>
      <c r="U12" s="132">
        <f>IF(SER_hh_fec_in!U12=0,0,11630*1000*SER_hh_fec_in!U12/SER_hh_num_in!U12)</f>
        <v>40147.163054775869</v>
      </c>
      <c r="V12" s="132">
        <f>IF(SER_hh_fec_in!V12=0,0,11630*1000*SER_hh_fec_in!V12/SER_hh_num_in!V12)</f>
        <v>36277.411059143327</v>
      </c>
      <c r="W12" s="132">
        <f>IF(SER_hh_fec_in!W12=0,0,11630*1000*SER_hh_fec_in!W12/SER_hh_num_in!W12)</f>
        <v>25701.112124514133</v>
      </c>
      <c r="X12" s="132">
        <f>IF(SER_hh_fec_in!X12=0,0,11630*1000*SER_hh_fec_in!X12/SER_hh_num_in!X12)</f>
        <v>22254.527119025144</v>
      </c>
      <c r="Y12" s="132">
        <f>IF(SER_hh_fec_in!Y12=0,0,11630*1000*SER_hh_fec_in!Y12/SER_hh_num_in!Y12)</f>
        <v>18926.226749345406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35294.805251209298</v>
      </c>
      <c r="D13" s="132">
        <f>IF(SER_hh_fec_in!D13=0,0,11630*1000*SER_hh_fec_in!D13/SER_hh_num_in!D13)</f>
        <v>34508.085148675542</v>
      </c>
      <c r="E13" s="132">
        <f>IF(SER_hh_fec_in!E13=0,0,11630*1000*SER_hh_fec_in!E13/SER_hh_num_in!E13)</f>
        <v>30954.016633957381</v>
      </c>
      <c r="F13" s="132">
        <f>IF(SER_hh_fec_in!F13=0,0,11630*1000*SER_hh_fec_in!F13/SER_hh_num_in!F13)</f>
        <v>32672.319215543968</v>
      </c>
      <c r="G13" s="132">
        <f>IF(SER_hh_fec_in!G13=0,0,11630*1000*SER_hh_fec_in!G13/SER_hh_num_in!G13)</f>
        <v>30836.82653249229</v>
      </c>
      <c r="H13" s="132">
        <f>IF(SER_hh_fec_in!H13=0,0,11630*1000*SER_hh_fec_in!H13/SER_hh_num_in!H13)</f>
        <v>27471.797146096818</v>
      </c>
      <c r="I13" s="132">
        <f>IF(SER_hh_fec_in!I13=0,0,11630*1000*SER_hh_fec_in!I13/SER_hh_num_in!I13)</f>
        <v>26420.949185385405</v>
      </c>
      <c r="J13" s="132">
        <f>IF(SER_hh_fec_in!J13=0,0,11630*1000*SER_hh_fec_in!J13/SER_hh_num_in!J13)</f>
        <v>26281.991104396922</v>
      </c>
      <c r="K13" s="132">
        <f>IF(SER_hh_fec_in!K13=0,0,11630*1000*SER_hh_fec_in!K13/SER_hh_num_in!K13)</f>
        <v>25257.578696849327</v>
      </c>
      <c r="L13" s="132">
        <f>IF(SER_hh_fec_in!L13=0,0,11630*1000*SER_hh_fec_in!L13/SER_hh_num_in!L13)</f>
        <v>24406.903638355474</v>
      </c>
      <c r="M13" s="132">
        <f>IF(SER_hh_fec_in!M13=0,0,11630*1000*SER_hh_fec_in!M13/SER_hh_num_in!M13)</f>
        <v>21868.34203302853</v>
      </c>
      <c r="N13" s="132">
        <f>IF(SER_hh_fec_in!N13=0,0,11630*1000*SER_hh_fec_in!N13/SER_hh_num_in!N13)</f>
        <v>19519.742312736023</v>
      </c>
      <c r="O13" s="132">
        <f>IF(SER_hh_fec_in!O13=0,0,11630*1000*SER_hh_fec_in!O13/SER_hh_num_in!O13)</f>
        <v>17113.831311085407</v>
      </c>
      <c r="P13" s="132">
        <f>IF(SER_hh_fec_in!P13=0,0,11630*1000*SER_hh_fec_in!P13/SER_hh_num_in!P13)</f>
        <v>14437.196169277564</v>
      </c>
      <c r="Q13" s="132">
        <f>IF(SER_hh_fec_in!Q13=0,0,11630*1000*SER_hh_fec_in!Q13/SER_hh_num_in!Q13)</f>
        <v>13232.629736186807</v>
      </c>
      <c r="R13" s="132">
        <f>IF(SER_hh_fec_in!R13=0,0,11630*1000*SER_hh_fec_in!R13/SER_hh_num_in!R13)</f>
        <v>12078.190722783542</v>
      </c>
      <c r="S13" s="132">
        <f>IF(SER_hh_fec_in!S13=0,0,11630*1000*SER_hh_fec_in!S13/SER_hh_num_in!S13)</f>
        <v>11328.265875881061</v>
      </c>
      <c r="T13" s="132">
        <f>IF(SER_hh_fec_in!T13=0,0,11630*1000*SER_hh_fec_in!T13/SER_hh_num_in!T13)</f>
        <v>10460.69702525357</v>
      </c>
      <c r="U13" s="132">
        <f>IF(SER_hh_fec_in!U13=0,0,11630*1000*SER_hh_fec_in!U13/SER_hh_num_in!U13)</f>
        <v>9399.6404799516313</v>
      </c>
      <c r="V13" s="132">
        <f>IF(SER_hh_fec_in!V13=0,0,11630*1000*SER_hh_fec_in!V13/SER_hh_num_in!V13)</f>
        <v>8236.6491890813631</v>
      </c>
      <c r="W13" s="132">
        <f>IF(SER_hh_fec_in!W13=0,0,11630*1000*SER_hh_fec_in!W13/SER_hh_num_in!W13)</f>
        <v>6589.7662523393919</v>
      </c>
      <c r="X13" s="132">
        <f>IF(SER_hh_fec_in!X13=0,0,11630*1000*SER_hh_fec_in!X13/SER_hh_num_in!X13)</f>
        <v>4963.9072147978277</v>
      </c>
      <c r="Y13" s="132">
        <f>IF(SER_hh_fec_in!Y13=0,0,11630*1000*SER_hh_fec_in!Y13/SER_hh_num_in!Y13)</f>
        <v>5034.7425221067051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88242.952586498082</v>
      </c>
      <c r="D14" s="65">
        <f>IF(SER_hh_fec_in!D14=0,0,11630*1000*SER_hh_fec_in!D14/SER_hh_num_in!D14)</f>
        <v>83437.157804986535</v>
      </c>
      <c r="E14" s="65">
        <f>IF(SER_hh_fec_in!E14=0,0,11630*1000*SER_hh_fec_in!E14/SER_hh_num_in!E14)</f>
        <v>88973.302785518521</v>
      </c>
      <c r="F14" s="65">
        <f>IF(SER_hh_fec_in!F14=0,0,11630*1000*SER_hh_fec_in!F14/SER_hh_num_in!F14)</f>
        <v>92393.334754182957</v>
      </c>
      <c r="G14" s="65">
        <f>IF(SER_hh_fec_in!G14=0,0,11630*1000*SER_hh_fec_in!G14/SER_hh_num_in!G14)</f>
        <v>85969.090927025711</v>
      </c>
      <c r="H14" s="65">
        <f>IF(SER_hh_fec_in!H14=0,0,11630*1000*SER_hh_fec_in!H14/SER_hh_num_in!H14)</f>
        <v>83190.176651651898</v>
      </c>
      <c r="I14" s="65">
        <f>IF(SER_hh_fec_in!I14=0,0,11630*1000*SER_hh_fec_in!I14/SER_hh_num_in!I14)</f>
        <v>80250.36807185004</v>
      </c>
      <c r="J14" s="65">
        <f>IF(SER_hh_fec_in!J14=0,0,11630*1000*SER_hh_fec_in!J14/SER_hh_num_in!J14)</f>
        <v>77196.388229778444</v>
      </c>
      <c r="K14" s="65">
        <f>IF(SER_hh_fec_in!K14=0,0,11630*1000*SER_hh_fec_in!K14/SER_hh_num_in!K14)</f>
        <v>80072.354842442408</v>
      </c>
      <c r="L14" s="65">
        <f>IF(SER_hh_fec_in!L14=0,0,11630*1000*SER_hh_fec_in!L14/SER_hh_num_in!L14)</f>
        <v>77849.854896520788</v>
      </c>
      <c r="M14" s="65">
        <f>IF(SER_hh_fec_in!M14=0,0,11630*1000*SER_hh_fec_in!M14/SER_hh_num_in!M14)</f>
        <v>73216.22095473505</v>
      </c>
      <c r="N14" s="65">
        <f>IF(SER_hh_fec_in!N14=0,0,11630*1000*SER_hh_fec_in!N14/SER_hh_num_in!N14)</f>
        <v>70143.977067568514</v>
      </c>
      <c r="O14" s="65">
        <f>IF(SER_hh_fec_in!O14=0,0,11630*1000*SER_hh_fec_in!O14/SER_hh_num_in!O14)</f>
        <v>70806.441515446422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46532.558904632402</v>
      </c>
      <c r="S14" s="65">
        <f>IF(SER_hh_fec_in!S14=0,0,11630*1000*SER_hh_fec_in!S14/SER_hh_num_in!S14)</f>
        <v>48385.805992064546</v>
      </c>
      <c r="T14" s="65">
        <f>IF(SER_hh_fec_in!T14=0,0,11630*1000*SER_hh_fec_in!T14/SER_hh_num_in!T14)</f>
        <v>48377.844426195756</v>
      </c>
      <c r="U14" s="65">
        <f>IF(SER_hh_fec_in!U14=0,0,11630*1000*SER_hh_fec_in!U14/SER_hh_num_in!U14)</f>
        <v>38294.895741586181</v>
      </c>
      <c r="V14" s="65">
        <f>IF(SER_hh_fec_in!V14=0,0,11630*1000*SER_hh_fec_in!V14/SER_hh_num_in!V14)</f>
        <v>28391.505864335169</v>
      </c>
      <c r="W14" s="65">
        <f>IF(SER_hh_fec_in!W14=0,0,11630*1000*SER_hh_fec_in!W14/SER_hh_num_in!W14)</f>
        <v>26519.95628697854</v>
      </c>
      <c r="X14" s="65">
        <f>IF(SER_hh_fec_in!X14=0,0,11630*1000*SER_hh_fec_in!X14/SER_hh_num_in!X14)</f>
        <v>21523.572956703956</v>
      </c>
      <c r="Y14" s="65">
        <f>IF(SER_hh_fec_in!Y14=0,0,11630*1000*SER_hh_fec_in!Y14/SER_hh_num_in!Y14)</f>
        <v>19937.702060172542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1139.5447333465077</v>
      </c>
      <c r="D15" s="134">
        <f>IF(SER_hh_fec_in!D15=0,0,11630*1000*SER_hh_fec_in!D15/SER_hh_num_in!D15)</f>
        <v>1094.162176700881</v>
      </c>
      <c r="E15" s="134">
        <f>IF(SER_hh_fec_in!E15=0,0,11630*1000*SER_hh_fec_in!E15/SER_hh_num_in!E15)</f>
        <v>1221.33206410003</v>
      </c>
      <c r="F15" s="134">
        <f>IF(SER_hh_fec_in!F15=0,0,11630*1000*SER_hh_fec_in!F15/SER_hh_num_in!F15)</f>
        <v>1406.3424725231646</v>
      </c>
      <c r="G15" s="134">
        <f>IF(SER_hh_fec_in!G15=0,0,11630*1000*SER_hh_fec_in!G15/SER_hh_num_in!G15)</f>
        <v>1174.2941689814554</v>
      </c>
      <c r="H15" s="134">
        <f>IF(SER_hh_fec_in!H15=0,0,11630*1000*SER_hh_fec_in!H15/SER_hh_num_in!H15)</f>
        <v>1097.563851666981</v>
      </c>
      <c r="I15" s="134">
        <f>IF(SER_hh_fec_in!I15=0,0,11630*1000*SER_hh_fec_in!I15/SER_hh_num_in!I15)</f>
        <v>923.93085682106266</v>
      </c>
      <c r="J15" s="134">
        <f>IF(SER_hh_fec_in!J15=0,0,11630*1000*SER_hh_fec_in!J15/SER_hh_num_in!J15)</f>
        <v>986.91383449642012</v>
      </c>
      <c r="K15" s="134">
        <f>IF(SER_hh_fec_in!K15=0,0,11630*1000*SER_hh_fec_in!K15/SER_hh_num_in!K15)</f>
        <v>994.71835409601442</v>
      </c>
      <c r="L15" s="134">
        <f>IF(SER_hh_fec_in!L15=0,0,11630*1000*SER_hh_fec_in!L15/SER_hh_num_in!L15)</f>
        <v>1188.2106844463667</v>
      </c>
      <c r="M15" s="134">
        <f>IF(SER_hh_fec_in!M15=0,0,11630*1000*SER_hh_fec_in!M15/SER_hh_num_in!M15)</f>
        <v>898.41856214817881</v>
      </c>
      <c r="N15" s="134">
        <f>IF(SER_hh_fec_in!N15=0,0,11630*1000*SER_hh_fec_in!N15/SER_hh_num_in!N15)</f>
        <v>967.22292340804916</v>
      </c>
      <c r="O15" s="134">
        <f>IF(SER_hh_fec_in!O15=0,0,11630*1000*SER_hh_fec_in!O15/SER_hh_num_in!O15)</f>
        <v>931.35473209152258</v>
      </c>
      <c r="P15" s="134">
        <f>IF(SER_hh_fec_in!P15=0,0,11630*1000*SER_hh_fec_in!P15/SER_hh_num_in!P15)</f>
        <v>670.40487183070286</v>
      </c>
      <c r="Q15" s="134">
        <f>IF(SER_hh_fec_in!Q15=0,0,11630*1000*SER_hh_fec_in!Q15/SER_hh_num_in!Q15)</f>
        <v>670.16909301639942</v>
      </c>
      <c r="R15" s="134">
        <f>IF(SER_hh_fec_in!R15=0,0,11630*1000*SER_hh_fec_in!R15/SER_hh_num_in!R15)</f>
        <v>601.1887563695135</v>
      </c>
      <c r="S15" s="134">
        <f>IF(SER_hh_fec_in!S15=0,0,11630*1000*SER_hh_fec_in!S15/SER_hh_num_in!S15)</f>
        <v>550.29403319111532</v>
      </c>
      <c r="T15" s="134">
        <f>IF(SER_hh_fec_in!T15=0,0,11630*1000*SER_hh_fec_in!T15/SER_hh_num_in!T15)</f>
        <v>526.53428214652865</v>
      </c>
      <c r="U15" s="134">
        <f>IF(SER_hh_fec_in!U15=0,0,11630*1000*SER_hh_fec_in!U15/SER_hh_num_in!U15)</f>
        <v>479.52669303923994</v>
      </c>
      <c r="V15" s="134">
        <f>IF(SER_hh_fec_in!V15=0,0,11630*1000*SER_hh_fec_in!V15/SER_hh_num_in!V15)</f>
        <v>427.91410036802864</v>
      </c>
      <c r="W15" s="134">
        <f>IF(SER_hh_fec_in!W15=0,0,11630*1000*SER_hh_fec_in!W15/SER_hh_num_in!W15)</f>
        <v>378.20641307310149</v>
      </c>
      <c r="X15" s="134">
        <f>IF(SER_hh_fec_in!X15=0,0,11630*1000*SER_hh_fec_in!X15/SER_hh_num_in!X15)</f>
        <v>247.05502195615924</v>
      </c>
      <c r="Y15" s="134">
        <f>IF(SER_hh_fec_in!Y15=0,0,11630*1000*SER_hh_fec_in!Y15/SER_hh_num_in!Y15)</f>
        <v>257.65472215130831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10019.706847670001</v>
      </c>
      <c r="D16" s="130">
        <f>IF(SER_hh_fec_in!D16=0,0,11630*1000*SER_hh_fec_in!D16/SER_hh_num_in!D16)</f>
        <v>9437.7112832118219</v>
      </c>
      <c r="E16" s="130">
        <f>IF(SER_hh_fec_in!E16=0,0,11630*1000*SER_hh_fec_in!E16/SER_hh_num_in!E16)</f>
        <v>9828.3471832311061</v>
      </c>
      <c r="F16" s="130">
        <f>IF(SER_hh_fec_in!F16=0,0,11630*1000*SER_hh_fec_in!F16/SER_hh_num_in!F16)</f>
        <v>8565.3904249451425</v>
      </c>
      <c r="G16" s="130">
        <f>IF(SER_hh_fec_in!G16=0,0,11630*1000*SER_hh_fec_in!G16/SER_hh_num_in!G16)</f>
        <v>8039.1917417986451</v>
      </c>
      <c r="H16" s="130">
        <f>IF(SER_hh_fec_in!H16=0,0,11630*1000*SER_hh_fec_in!H16/SER_hh_num_in!H16)</f>
        <v>8426.8152080687832</v>
      </c>
      <c r="I16" s="130">
        <f>IF(SER_hh_fec_in!I16=0,0,11630*1000*SER_hh_fec_in!I16/SER_hh_num_in!I16)</f>
        <v>7385.8496171940988</v>
      </c>
      <c r="J16" s="130">
        <f>IF(SER_hh_fec_in!J16=0,0,11630*1000*SER_hh_fec_in!J16/SER_hh_num_in!J16)</f>
        <v>7072.2940278794522</v>
      </c>
      <c r="K16" s="130">
        <f>IF(SER_hh_fec_in!K16=0,0,11630*1000*SER_hh_fec_in!K16/SER_hh_num_in!K16)</f>
        <v>6725.7928257626727</v>
      </c>
      <c r="L16" s="130">
        <f>IF(SER_hh_fec_in!L16=0,0,11630*1000*SER_hh_fec_in!L16/SER_hh_num_in!L16)</f>
        <v>6606.2783166118661</v>
      </c>
      <c r="M16" s="130">
        <f>IF(SER_hh_fec_in!M16=0,0,11630*1000*SER_hh_fec_in!M16/SER_hh_num_in!M16)</f>
        <v>6062.4133430398597</v>
      </c>
      <c r="N16" s="130">
        <f>IF(SER_hh_fec_in!N16=0,0,11630*1000*SER_hh_fec_in!N16/SER_hh_num_in!N16)</f>
        <v>5738.0474144292994</v>
      </c>
      <c r="O16" s="130">
        <f>IF(SER_hh_fec_in!O16=0,0,11630*1000*SER_hh_fec_in!O16/SER_hh_num_in!O16)</f>
        <v>5429.9645717559124</v>
      </c>
      <c r="P16" s="130">
        <f>IF(SER_hh_fec_in!P16=0,0,11630*1000*SER_hh_fec_in!P16/SER_hh_num_in!P16)</f>
        <v>5074.6796310112377</v>
      </c>
      <c r="Q16" s="130">
        <f>IF(SER_hh_fec_in!Q16=0,0,11630*1000*SER_hh_fec_in!Q16/SER_hh_num_in!Q16)</f>
        <v>5054.0511277547675</v>
      </c>
      <c r="R16" s="130">
        <f>IF(SER_hh_fec_in!R16=0,0,11630*1000*SER_hh_fec_in!R16/SER_hh_num_in!R16)</f>
        <v>4659.3934229203751</v>
      </c>
      <c r="S16" s="130">
        <f>IF(SER_hh_fec_in!S16=0,0,11630*1000*SER_hh_fec_in!S16/SER_hh_num_in!S16)</f>
        <v>4296.5167465774166</v>
      </c>
      <c r="T16" s="130">
        <f>IF(SER_hh_fec_in!T16=0,0,11630*1000*SER_hh_fec_in!T16/SER_hh_num_in!T16)</f>
        <v>4483.5815035015194</v>
      </c>
      <c r="U16" s="130">
        <f>IF(SER_hh_fec_in!U16=0,0,11630*1000*SER_hh_fec_in!U16/SER_hh_num_in!U16)</f>
        <v>4190.6347776403727</v>
      </c>
      <c r="V16" s="130">
        <f>IF(SER_hh_fec_in!V16=0,0,11630*1000*SER_hh_fec_in!V16/SER_hh_num_in!V16)</f>
        <v>3835.0057421569068</v>
      </c>
      <c r="W16" s="130">
        <f>IF(SER_hh_fec_in!W16=0,0,11630*1000*SER_hh_fec_in!W16/SER_hh_num_in!W16)</f>
        <v>3106.5939772690349</v>
      </c>
      <c r="X16" s="130">
        <f>IF(SER_hh_fec_in!X16=0,0,11630*1000*SER_hh_fec_in!X16/SER_hh_num_in!X16)</f>
        <v>2861.4815927620625</v>
      </c>
      <c r="Y16" s="130">
        <f>IF(SER_hh_fec_in!Y16=0,0,11630*1000*SER_hh_fec_in!Y16/SER_hh_num_in!Y16)</f>
        <v>2803.3353750482333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20730.105721882046</v>
      </c>
      <c r="D17" s="132">
        <f>IF(SER_hh_fec_in!D17=0,0,11630*1000*SER_hh_fec_in!D17/SER_hh_num_in!D17)</f>
        <v>20040.715336590427</v>
      </c>
      <c r="E17" s="132">
        <f>IF(SER_hh_fec_in!E17=0,0,11630*1000*SER_hh_fec_in!E17/SER_hh_num_in!E17)</f>
        <v>21452.883108872556</v>
      </c>
      <c r="F17" s="132">
        <f>IF(SER_hh_fec_in!F17=0,0,11630*1000*SER_hh_fec_in!F17/SER_hh_num_in!F17)</f>
        <v>19095.797681832806</v>
      </c>
      <c r="G17" s="132">
        <f>IF(SER_hh_fec_in!G17=0,0,11630*1000*SER_hh_fec_in!G17/SER_hh_num_in!G17)</f>
        <v>18430.388678135612</v>
      </c>
      <c r="H17" s="132">
        <f>IF(SER_hh_fec_in!H17=0,0,11630*1000*SER_hh_fec_in!H17/SER_hh_num_in!H17)</f>
        <v>19794.375102876755</v>
      </c>
      <c r="I17" s="132">
        <f>IF(SER_hh_fec_in!I17=0,0,11630*1000*SER_hh_fec_in!I17/SER_hh_num_in!I17)</f>
        <v>17767.323996520641</v>
      </c>
      <c r="J17" s="132">
        <f>IF(SER_hh_fec_in!J17=0,0,11630*1000*SER_hh_fec_in!J17/SER_hh_num_in!J17)</f>
        <v>17396.037103363975</v>
      </c>
      <c r="K17" s="132">
        <f>IF(SER_hh_fec_in!K17=0,0,11630*1000*SER_hh_fec_in!K17/SER_hh_num_in!K17)</f>
        <v>16904.988453182679</v>
      </c>
      <c r="L17" s="132">
        <f>IF(SER_hh_fec_in!L17=0,0,11630*1000*SER_hh_fec_in!L17/SER_hh_num_in!L17)</f>
        <v>16982.057513270363</v>
      </c>
      <c r="M17" s="132">
        <f>IF(SER_hh_fec_in!M17=0,0,11630*1000*SER_hh_fec_in!M17/SER_hh_num_in!M17)</f>
        <v>15931.778643447138</v>
      </c>
      <c r="N17" s="132">
        <f>IF(SER_hh_fec_in!N17=0,0,11630*1000*SER_hh_fec_in!N17/SER_hh_num_in!N17)</f>
        <v>15396.709278517859</v>
      </c>
      <c r="O17" s="132">
        <f>IF(SER_hh_fec_in!O17=0,0,11630*1000*SER_hh_fec_in!O17/SER_hh_num_in!O17)</f>
        <v>14811.841674622578</v>
      </c>
      <c r="P17" s="132">
        <f>IF(SER_hh_fec_in!P17=0,0,11630*1000*SER_hh_fec_in!P17/SER_hh_num_in!P17)</f>
        <v>13983.077713779485</v>
      </c>
      <c r="Q17" s="132">
        <f>IF(SER_hh_fec_in!Q17=0,0,11630*1000*SER_hh_fec_in!Q17/SER_hh_num_in!Q17)</f>
        <v>13979.708800704644</v>
      </c>
      <c r="R17" s="132">
        <f>IF(SER_hh_fec_in!R17=0,0,11630*1000*SER_hh_fec_in!R17/SER_hh_num_in!R17)</f>
        <v>13219.00952008168</v>
      </c>
      <c r="S17" s="132">
        <f>IF(SER_hh_fec_in!S17=0,0,11630*1000*SER_hh_fec_in!S17/SER_hh_num_in!S17)</f>
        <v>12872.063216265638</v>
      </c>
      <c r="T17" s="132">
        <f>IF(SER_hh_fec_in!T17=0,0,11630*1000*SER_hh_fec_in!T17/SER_hh_num_in!T17)</f>
        <v>12428.319239335538</v>
      </c>
      <c r="U17" s="132">
        <f>IF(SER_hh_fec_in!U17=0,0,11630*1000*SER_hh_fec_in!U17/SER_hh_num_in!U17)</f>
        <v>11726.735394484616</v>
      </c>
      <c r="V17" s="132">
        <f>IF(SER_hh_fec_in!V17=0,0,11630*1000*SER_hh_fec_in!V17/SER_hh_num_in!V17)</f>
        <v>11199.395995447894</v>
      </c>
      <c r="W17" s="132">
        <f>IF(SER_hh_fec_in!W17=0,0,11630*1000*SER_hh_fec_in!W17/SER_hh_num_in!W17)</f>
        <v>10431.554422085152</v>
      </c>
      <c r="X17" s="132">
        <f>IF(SER_hh_fec_in!X17=0,0,11630*1000*SER_hh_fec_in!X17/SER_hh_num_in!X17)</f>
        <v>7888.612735388635</v>
      </c>
      <c r="Y17" s="132">
        <f>IF(SER_hh_fec_in!Y17=0,0,11630*1000*SER_hh_fec_in!Y17/SER_hh_num_in!Y17)</f>
        <v>7672.7025204099291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9991.5420859814385</v>
      </c>
      <c r="D18" s="132">
        <f>IF(SER_hh_fec_in!D18=0,0,11630*1000*SER_hh_fec_in!D18/SER_hh_num_in!D18)</f>
        <v>9395.5796098814935</v>
      </c>
      <c r="E18" s="132">
        <f>IF(SER_hh_fec_in!E18=0,0,11630*1000*SER_hh_fec_in!E18/SER_hh_num_in!E18)</f>
        <v>9794.6094190680287</v>
      </c>
      <c r="F18" s="132">
        <f>IF(SER_hh_fec_in!F18=0,0,11630*1000*SER_hh_fec_in!F18/SER_hh_num_in!F18)</f>
        <v>8496.1346519006911</v>
      </c>
      <c r="G18" s="132">
        <f>IF(SER_hh_fec_in!G18=0,0,11630*1000*SER_hh_fec_in!G18/SER_hh_num_in!G18)</f>
        <v>7993.4706450883496</v>
      </c>
      <c r="H18" s="132">
        <f>IF(SER_hh_fec_in!H18=0,0,11630*1000*SER_hh_fec_in!H18/SER_hh_num_in!H18)</f>
        <v>8359.6575406462944</v>
      </c>
      <c r="I18" s="132">
        <f>IF(SER_hh_fec_in!I18=0,0,11630*1000*SER_hh_fec_in!I18/SER_hh_num_in!I18)</f>
        <v>7313.2871621136128</v>
      </c>
      <c r="J18" s="132">
        <f>IF(SER_hh_fec_in!J18=0,0,11630*1000*SER_hh_fec_in!J18/SER_hh_num_in!J18)</f>
        <v>6998.5096589924306</v>
      </c>
      <c r="K18" s="132">
        <f>IF(SER_hh_fec_in!K18=0,0,11630*1000*SER_hh_fec_in!K18/SER_hh_num_in!K18)</f>
        <v>6653.6419034543615</v>
      </c>
      <c r="L18" s="132">
        <f>IF(SER_hh_fec_in!L18=0,0,11630*1000*SER_hh_fec_in!L18/SER_hh_num_in!L18)</f>
        <v>6536.24489616356</v>
      </c>
      <c r="M18" s="132">
        <f>IF(SER_hh_fec_in!M18=0,0,11630*1000*SER_hh_fec_in!M18/SER_hh_num_in!M18)</f>
        <v>5983.8246815931197</v>
      </c>
      <c r="N18" s="132">
        <f>IF(SER_hh_fec_in!N18=0,0,11630*1000*SER_hh_fec_in!N18/SER_hh_num_in!N18)</f>
        <v>5632.2339185834107</v>
      </c>
      <c r="O18" s="132">
        <f>IF(SER_hh_fec_in!O18=0,0,11630*1000*SER_hh_fec_in!O18/SER_hh_num_in!O18)</f>
        <v>5268.036155673597</v>
      </c>
      <c r="P18" s="132">
        <f>IF(SER_hh_fec_in!P18=0,0,11630*1000*SER_hh_fec_in!P18/SER_hh_num_in!P18)</f>
        <v>4834.027657067908</v>
      </c>
      <c r="Q18" s="132">
        <f>IF(SER_hh_fec_in!Q18=0,0,11630*1000*SER_hh_fec_in!Q18/SER_hh_num_in!Q18)</f>
        <v>4755.6294801482654</v>
      </c>
      <c r="R18" s="132">
        <f>IF(SER_hh_fec_in!R18=0,0,11630*1000*SER_hh_fec_in!R18/SER_hh_num_in!R18)</f>
        <v>4356.8376559958351</v>
      </c>
      <c r="S18" s="132">
        <f>IF(SER_hh_fec_in!S18=0,0,11630*1000*SER_hh_fec_in!S18/SER_hh_num_in!S18)</f>
        <v>4057.6682261171759</v>
      </c>
      <c r="T18" s="132">
        <f>IF(SER_hh_fec_in!T18=0,0,11630*1000*SER_hh_fec_in!T18/SER_hh_num_in!T18)</f>
        <v>4275.8360010284987</v>
      </c>
      <c r="U18" s="132">
        <f>IF(SER_hh_fec_in!U18=0,0,11630*1000*SER_hh_fec_in!U18/SER_hh_num_in!U18)</f>
        <v>3999.059443259433</v>
      </c>
      <c r="V18" s="132">
        <f>IF(SER_hh_fec_in!V18=0,0,11630*1000*SER_hh_fec_in!V18/SER_hh_num_in!V18)</f>
        <v>3669.971364428769</v>
      </c>
      <c r="W18" s="132">
        <f>IF(SER_hh_fec_in!W18=0,0,11630*1000*SER_hh_fec_in!W18/SER_hh_num_in!W18)</f>
        <v>2962.192689990125</v>
      </c>
      <c r="X18" s="132">
        <f>IF(SER_hh_fec_in!X18=0,0,11630*1000*SER_hh_fec_in!X18/SER_hh_num_in!X18)</f>
        <v>2714.8893617382878</v>
      </c>
      <c r="Y18" s="132">
        <f>IF(SER_hh_fec_in!Y18=0,0,11630*1000*SER_hh_fec_in!Y18/SER_hh_num_in!Y18)</f>
        <v>2669.5092872979253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21349.222754643477</v>
      </c>
      <c r="D19" s="130">
        <f>IF(SER_hh_fec_in!D19=0,0,11630*1000*SER_hh_fec_in!D19/SER_hh_num_in!D19)</f>
        <v>21043.558529846214</v>
      </c>
      <c r="E19" s="130">
        <f>IF(SER_hh_fec_in!E19=0,0,11630*1000*SER_hh_fec_in!E19/SER_hh_num_in!E19)</f>
        <v>20531.238512800119</v>
      </c>
      <c r="F19" s="130">
        <f>IF(SER_hh_fec_in!F19=0,0,11630*1000*SER_hh_fec_in!F19/SER_hh_num_in!F19)</f>
        <v>20234.792725117812</v>
      </c>
      <c r="G19" s="130">
        <f>IF(SER_hh_fec_in!G19=0,0,11630*1000*SER_hh_fec_in!G19/SER_hh_num_in!G19)</f>
        <v>20119.78376757733</v>
      </c>
      <c r="H19" s="130">
        <f>IF(SER_hh_fec_in!H19=0,0,11630*1000*SER_hh_fec_in!H19/SER_hh_num_in!H19)</f>
        <v>19538.867096452486</v>
      </c>
      <c r="I19" s="130">
        <f>IF(SER_hh_fec_in!I19=0,0,11630*1000*SER_hh_fec_in!I19/SER_hh_num_in!I19)</f>
        <v>18650.624259076802</v>
      </c>
      <c r="J19" s="130">
        <f>IF(SER_hh_fec_in!J19=0,0,11630*1000*SER_hh_fec_in!J19/SER_hh_num_in!J19)</f>
        <v>18370.662422737256</v>
      </c>
      <c r="K19" s="130">
        <f>IF(SER_hh_fec_in!K19=0,0,11630*1000*SER_hh_fec_in!K19/SER_hh_num_in!K19)</f>
        <v>17500.137410206778</v>
      </c>
      <c r="L19" s="130">
        <f>IF(SER_hh_fec_in!L19=0,0,11630*1000*SER_hh_fec_in!L19/SER_hh_num_in!L19)</f>
        <v>18109.086858036255</v>
      </c>
      <c r="M19" s="130">
        <f>IF(SER_hh_fec_in!M19=0,0,11630*1000*SER_hh_fec_in!M19/SER_hh_num_in!M19)</f>
        <v>17374.59493025472</v>
      </c>
      <c r="N19" s="130">
        <f>IF(SER_hh_fec_in!N19=0,0,11630*1000*SER_hh_fec_in!N19/SER_hh_num_in!N19)</f>
        <v>17376.960629722649</v>
      </c>
      <c r="O19" s="130">
        <f>IF(SER_hh_fec_in!O19=0,0,11630*1000*SER_hh_fec_in!O19/SER_hh_num_in!O19)</f>
        <v>16237.264483886609</v>
      </c>
      <c r="P19" s="130">
        <f>IF(SER_hh_fec_in!P19=0,0,11630*1000*SER_hh_fec_in!P19/SER_hh_num_in!P19)</f>
        <v>15689.092928767541</v>
      </c>
      <c r="Q19" s="130">
        <f>IF(SER_hh_fec_in!Q19=0,0,11630*1000*SER_hh_fec_in!Q19/SER_hh_num_in!Q19)</f>
        <v>15644.312062347717</v>
      </c>
      <c r="R19" s="130">
        <f>IF(SER_hh_fec_in!R19=0,0,11630*1000*SER_hh_fec_in!R19/SER_hh_num_in!R19)</f>
        <v>14948.043309235502</v>
      </c>
      <c r="S19" s="130">
        <f>IF(SER_hh_fec_in!S19=0,0,11630*1000*SER_hh_fec_in!S19/SER_hh_num_in!S19)</f>
        <v>14797.330563126641</v>
      </c>
      <c r="T19" s="130">
        <f>IF(SER_hh_fec_in!T19=0,0,11630*1000*SER_hh_fec_in!T19/SER_hh_num_in!T19)</f>
        <v>14242.871898118041</v>
      </c>
      <c r="U19" s="130">
        <f>IF(SER_hh_fec_in!U19=0,0,11630*1000*SER_hh_fec_in!U19/SER_hh_num_in!U19)</f>
        <v>13708.197102031441</v>
      </c>
      <c r="V19" s="130">
        <f>IF(SER_hh_fec_in!V19=0,0,11630*1000*SER_hh_fec_in!V19/SER_hh_num_in!V19)</f>
        <v>13346.943701922661</v>
      </c>
      <c r="W19" s="130">
        <f>IF(SER_hh_fec_in!W19=0,0,11630*1000*SER_hh_fec_in!W19/SER_hh_num_in!W19)</f>
        <v>13354.274802393411</v>
      </c>
      <c r="X19" s="130">
        <f>IF(SER_hh_fec_in!X19=0,0,11630*1000*SER_hh_fec_in!X19/SER_hh_num_in!X19)</f>
        <v>13220.349413783371</v>
      </c>
      <c r="Y19" s="130">
        <f>IF(SER_hh_fec_in!Y19=0,0,11630*1000*SER_hh_fec_in!Y19/SER_hh_num_in!Y19)</f>
        <v>13433.681832771479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25552.811772099507</v>
      </c>
      <c r="D22" s="132">
        <f>IF(SER_hh_fec_in!D22=0,0,11630*1000*SER_hh_fec_in!D22/SER_hh_num_in!D22)</f>
        <v>24865.232644258995</v>
      </c>
      <c r="E22" s="132">
        <f>IF(SER_hh_fec_in!E22=0,0,11630*1000*SER_hh_fec_in!E22/SER_hh_num_in!E22)</f>
        <v>24683.973358342544</v>
      </c>
      <c r="F22" s="132">
        <f>IF(SER_hh_fec_in!F22=0,0,11630*1000*SER_hh_fec_in!F22/SER_hh_num_in!F22)</f>
        <v>24292.851488333417</v>
      </c>
      <c r="G22" s="132">
        <f>IF(SER_hh_fec_in!G22=0,0,11630*1000*SER_hh_fec_in!G22/SER_hh_num_in!G22)</f>
        <v>24164.985732933648</v>
      </c>
      <c r="H22" s="132">
        <f>IF(SER_hh_fec_in!H22=0,0,11630*1000*SER_hh_fec_in!H22/SER_hh_num_in!H22)</f>
        <v>23421.954042864607</v>
      </c>
      <c r="I22" s="132">
        <f>IF(SER_hh_fec_in!I22=0,0,11630*1000*SER_hh_fec_in!I22/SER_hh_num_in!I22)</f>
        <v>22637.6209124298</v>
      </c>
      <c r="J22" s="132">
        <f>IF(SER_hh_fec_in!J22=0,0,11630*1000*SER_hh_fec_in!J22/SER_hh_num_in!J22)</f>
        <v>22422.51234889144</v>
      </c>
      <c r="K22" s="132">
        <f>IF(SER_hh_fec_in!K22=0,0,11630*1000*SER_hh_fec_in!K22/SER_hh_num_in!K22)</f>
        <v>21349.883950349325</v>
      </c>
      <c r="L22" s="132">
        <f>IF(SER_hh_fec_in!L22=0,0,11630*1000*SER_hh_fec_in!L22/SER_hh_num_in!L22)</f>
        <v>21512.834698580766</v>
      </c>
      <c r="M22" s="132">
        <f>IF(SER_hh_fec_in!M22=0,0,11630*1000*SER_hh_fec_in!M22/SER_hh_num_in!M22)</f>
        <v>20650.818064155934</v>
      </c>
      <c r="N22" s="132">
        <f>IF(SER_hh_fec_in!N22=0,0,11630*1000*SER_hh_fec_in!N22/SER_hh_num_in!N22)</f>
        <v>20143.208645401632</v>
      </c>
      <c r="O22" s="132">
        <f>IF(SER_hh_fec_in!O22=0,0,11630*1000*SER_hh_fec_in!O22/SER_hh_num_in!O22)</f>
        <v>18839.282537366278</v>
      </c>
      <c r="P22" s="132">
        <f>IF(SER_hh_fec_in!P22=0,0,11630*1000*SER_hh_fec_in!P22/SER_hh_num_in!P22)</f>
        <v>17940.113988999892</v>
      </c>
      <c r="Q22" s="132">
        <f>IF(SER_hh_fec_in!Q22=0,0,11630*1000*SER_hh_fec_in!Q22/SER_hh_num_in!Q22)</f>
        <v>17959.327265228647</v>
      </c>
      <c r="R22" s="132">
        <f>IF(SER_hh_fec_in!R22=0,0,11630*1000*SER_hh_fec_in!R22/SER_hh_num_in!R22)</f>
        <v>16912.992553139804</v>
      </c>
      <c r="S22" s="132">
        <f>IF(SER_hh_fec_in!S22=0,0,11630*1000*SER_hh_fec_in!S22/SER_hh_num_in!S22)</f>
        <v>16317.174467071956</v>
      </c>
      <c r="T22" s="132">
        <f>IF(SER_hh_fec_in!T22=0,0,11630*1000*SER_hh_fec_in!T22/SER_hh_num_in!T22)</f>
        <v>16070.849705891751</v>
      </c>
      <c r="U22" s="132">
        <f>IF(SER_hh_fec_in!U22=0,0,11630*1000*SER_hh_fec_in!U22/SER_hh_num_in!U22)</f>
        <v>15687.824675750728</v>
      </c>
      <c r="V22" s="132">
        <f>IF(SER_hh_fec_in!V22=0,0,11630*1000*SER_hh_fec_in!V22/SER_hh_num_in!V22)</f>
        <v>14939.274313476437</v>
      </c>
      <c r="W22" s="132">
        <f>IF(SER_hh_fec_in!W22=0,0,11630*1000*SER_hh_fec_in!W22/SER_hh_num_in!W22)</f>
        <v>15529.375222832199</v>
      </c>
      <c r="X22" s="132">
        <f>IF(SER_hh_fec_in!X22=0,0,11630*1000*SER_hh_fec_in!X22/SER_hh_num_in!X22)</f>
        <v>14504.159814571398</v>
      </c>
      <c r="Y22" s="132">
        <f>IF(SER_hh_fec_in!Y22=0,0,11630*1000*SER_hh_fec_in!Y22/SER_hh_num_in!Y22)</f>
        <v>14903.293740555002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23318.925187825243</v>
      </c>
      <c r="D23" s="132">
        <f>IF(SER_hh_fec_in!D23=0,0,11630*1000*SER_hh_fec_in!D23/SER_hh_num_in!D23)</f>
        <v>23743.454615091563</v>
      </c>
      <c r="E23" s="132">
        <f>IF(SER_hh_fec_in!E23=0,0,11630*1000*SER_hh_fec_in!E23/SER_hh_num_in!E23)</f>
        <v>22708.783757920537</v>
      </c>
      <c r="F23" s="132">
        <f>IF(SER_hh_fec_in!F23=0,0,11630*1000*SER_hh_fec_in!F23/SER_hh_num_in!F23)</f>
        <v>21995.074267773092</v>
      </c>
      <c r="G23" s="132">
        <f>IF(SER_hh_fec_in!G23=0,0,11630*1000*SER_hh_fec_in!G23/SER_hh_num_in!G23)</f>
        <v>21794.448429739234</v>
      </c>
      <c r="H23" s="132">
        <f>IF(SER_hh_fec_in!H23=0,0,11630*1000*SER_hh_fec_in!H23/SER_hh_num_in!H23)</f>
        <v>21339.721490099731</v>
      </c>
      <c r="I23" s="132">
        <f>IF(SER_hh_fec_in!I23=0,0,11630*1000*SER_hh_fec_in!I23/SER_hh_num_in!I23)</f>
        <v>20346.875787877121</v>
      </c>
      <c r="J23" s="132">
        <f>IF(SER_hh_fec_in!J23=0,0,11630*1000*SER_hh_fec_in!J23/SER_hh_num_in!J23)</f>
        <v>19807.897200433068</v>
      </c>
      <c r="K23" s="132">
        <f>IF(SER_hh_fec_in!K23=0,0,11630*1000*SER_hh_fec_in!K23/SER_hh_num_in!K23)</f>
        <v>18894.112225195331</v>
      </c>
      <c r="L23" s="132">
        <f>IF(SER_hh_fec_in!L23=0,0,11630*1000*SER_hh_fec_in!L23/SER_hh_num_in!L23)</f>
        <v>19102.27429141922</v>
      </c>
      <c r="M23" s="132">
        <f>IF(SER_hh_fec_in!M23=0,0,11630*1000*SER_hh_fec_in!M23/SER_hh_num_in!M23)</f>
        <v>18016.805853410235</v>
      </c>
      <c r="N23" s="132">
        <f>IF(SER_hh_fec_in!N23=0,0,11630*1000*SER_hh_fec_in!N23/SER_hh_num_in!N23)</f>
        <v>18274.612056829214</v>
      </c>
      <c r="O23" s="132">
        <f>IF(SER_hh_fec_in!O23=0,0,11630*1000*SER_hh_fec_in!O23/SER_hh_num_in!O23)</f>
        <v>17451.958217684765</v>
      </c>
      <c r="P23" s="132">
        <f>IF(SER_hh_fec_in!P23=0,0,11630*1000*SER_hh_fec_in!P23/SER_hh_num_in!P23)</f>
        <v>16376.730912775614</v>
      </c>
      <c r="Q23" s="132">
        <f>IF(SER_hh_fec_in!Q23=0,0,11630*1000*SER_hh_fec_in!Q23/SER_hh_num_in!Q23)</f>
        <v>15614.44351036493</v>
      </c>
      <c r="R23" s="132">
        <f>IF(SER_hh_fec_in!R23=0,0,11630*1000*SER_hh_fec_in!R23/SER_hh_num_in!R23)</f>
        <v>15126.712789500658</v>
      </c>
      <c r="S23" s="132">
        <f>IF(SER_hh_fec_in!S23=0,0,11630*1000*SER_hh_fec_in!S23/SER_hh_num_in!S23)</f>
        <v>15431.751563124159</v>
      </c>
      <c r="T23" s="132">
        <f>IF(SER_hh_fec_in!T23=0,0,11630*1000*SER_hh_fec_in!T23/SER_hh_num_in!T23)</f>
        <v>15286.303732565069</v>
      </c>
      <c r="U23" s="132">
        <f>IF(SER_hh_fec_in!U23=0,0,11630*1000*SER_hh_fec_in!U23/SER_hh_num_in!U23)</f>
        <v>15160.865358305204</v>
      </c>
      <c r="V23" s="132">
        <f>IF(SER_hh_fec_in!V23=0,0,11630*1000*SER_hh_fec_in!V23/SER_hh_num_in!V23)</f>
        <v>13275.098648479763</v>
      </c>
      <c r="W23" s="132">
        <f>IF(SER_hh_fec_in!W23=0,0,11630*1000*SER_hh_fec_in!W23/SER_hh_num_in!W23)</f>
        <v>13716.916269151294</v>
      </c>
      <c r="X23" s="132">
        <f>IF(SER_hh_fec_in!X23=0,0,11630*1000*SER_hh_fec_in!X23/SER_hh_num_in!X23)</f>
        <v>13936.377450527976</v>
      </c>
      <c r="Y23" s="132">
        <f>IF(SER_hh_fec_in!Y23=0,0,11630*1000*SER_hh_fec_in!Y23/SER_hh_num_in!Y23)</f>
        <v>14106.849853846621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16846.102949072261</v>
      </c>
      <c r="D25" s="132">
        <f>IF(SER_hh_fec_in!D25=0,0,11630*1000*SER_hh_fec_in!D25/SER_hh_num_in!D25)</f>
        <v>16586.045584431067</v>
      </c>
      <c r="E25" s="132">
        <f>IF(SER_hh_fec_in!E25=0,0,11630*1000*SER_hh_fec_in!E25/SER_hh_num_in!E25)</f>
        <v>16441.927503811388</v>
      </c>
      <c r="F25" s="132">
        <f>IF(SER_hh_fec_in!F25=0,0,11630*1000*SER_hh_fec_in!F25/SER_hh_num_in!F25)</f>
        <v>16001.801146599628</v>
      </c>
      <c r="G25" s="132">
        <f>IF(SER_hh_fec_in!G25=0,0,11630*1000*SER_hh_fec_in!G25/SER_hh_num_in!G25)</f>
        <v>15985.800496952588</v>
      </c>
      <c r="H25" s="132">
        <f>IF(SER_hh_fec_in!H25=0,0,11630*1000*SER_hh_fec_in!H25/SER_hh_num_in!H25)</f>
        <v>15649.359095041931</v>
      </c>
      <c r="I25" s="132">
        <f>IF(SER_hh_fec_in!I25=0,0,11630*1000*SER_hh_fec_in!I25/SER_hh_num_in!I25)</f>
        <v>15223.806686789112</v>
      </c>
      <c r="J25" s="132">
        <f>IF(SER_hh_fec_in!J25=0,0,11630*1000*SER_hh_fec_in!J25/SER_hh_num_in!J25)</f>
        <v>14920.889373988239</v>
      </c>
      <c r="K25" s="132">
        <f>IF(SER_hh_fec_in!K25=0,0,11630*1000*SER_hh_fec_in!K25/SER_hh_num_in!K25)</f>
        <v>14491.871534836566</v>
      </c>
      <c r="L25" s="132">
        <f>IF(SER_hh_fec_in!L25=0,0,11630*1000*SER_hh_fec_in!L25/SER_hh_num_in!L25)</f>
        <v>14846.483206951158</v>
      </c>
      <c r="M25" s="132">
        <f>IF(SER_hh_fec_in!M25=0,0,11630*1000*SER_hh_fec_in!M25/SER_hh_num_in!M25)</f>
        <v>14523.040194237061</v>
      </c>
      <c r="N25" s="132">
        <f>IF(SER_hh_fec_in!N25=0,0,11630*1000*SER_hh_fec_in!N25/SER_hh_num_in!N25)</f>
        <v>14517.980429991332</v>
      </c>
      <c r="O25" s="132">
        <f>IF(SER_hh_fec_in!O25=0,0,11630*1000*SER_hh_fec_in!O25/SER_hh_num_in!O25)</f>
        <v>13941.748732036596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13814.048152902147</v>
      </c>
      <c r="R25" s="132">
        <f>IF(SER_hh_fec_in!R25=0,0,11630*1000*SER_hh_fec_in!R25/SER_hh_num_in!R25)</f>
        <v>13431.022512791709</v>
      </c>
      <c r="S25" s="132">
        <f>IF(SER_hh_fec_in!S25=0,0,11630*1000*SER_hh_fec_in!S25/SER_hh_num_in!S25)</f>
        <v>13394.377775375331</v>
      </c>
      <c r="T25" s="132">
        <f>IF(SER_hh_fec_in!T25=0,0,11630*1000*SER_hh_fec_in!T25/SER_hh_num_in!T25)</f>
        <v>13465.433533426802</v>
      </c>
      <c r="U25" s="132">
        <f>IF(SER_hh_fec_in!U25=0,0,11630*1000*SER_hh_fec_in!U25/SER_hh_num_in!U25)</f>
        <v>13199.371866941523</v>
      </c>
      <c r="V25" s="132">
        <f>IF(SER_hh_fec_in!V25=0,0,11630*1000*SER_hh_fec_in!V25/SER_hh_num_in!V25)</f>
        <v>12931.757127508734</v>
      </c>
      <c r="W25" s="132">
        <f>IF(SER_hh_fec_in!W25=0,0,11630*1000*SER_hh_fec_in!W25/SER_hh_num_in!W25)</f>
        <v>12753.42879593354</v>
      </c>
      <c r="X25" s="132">
        <f>IF(SER_hh_fec_in!X25=0,0,11630*1000*SER_hh_fec_in!X25/SER_hh_num_in!X25)</f>
        <v>12671.338489990794</v>
      </c>
      <c r="Y25" s="132">
        <f>IF(SER_hh_fec_in!Y25=0,0,11630*1000*SER_hh_fec_in!Y25/SER_hh_num_in!Y25)</f>
        <v>12761.881880935445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19681.386054097457</v>
      </c>
      <c r="D26" s="65">
        <f>IF(SER_hh_fec_in!D26=0,0,11630*1000*SER_hh_fec_in!D26/SER_hh_num_in!D26)</f>
        <v>16872.454762379104</v>
      </c>
      <c r="E26" s="65">
        <f>IF(SER_hh_fec_in!E26=0,0,11630*1000*SER_hh_fec_in!E26/SER_hh_num_in!E26)</f>
        <v>17469.619028280351</v>
      </c>
      <c r="F26" s="65">
        <f>IF(SER_hh_fec_in!F26=0,0,11630*1000*SER_hh_fec_in!F26/SER_hh_num_in!F26)</f>
        <v>15256.568713345501</v>
      </c>
      <c r="G26" s="65">
        <f>IF(SER_hh_fec_in!G26=0,0,11630*1000*SER_hh_fec_in!G26/SER_hh_num_in!G26)</f>
        <v>18280.391788192042</v>
      </c>
      <c r="H26" s="65">
        <f>IF(SER_hh_fec_in!H26=0,0,11630*1000*SER_hh_fec_in!H26/SER_hh_num_in!H26)</f>
        <v>18169.55604255978</v>
      </c>
      <c r="I26" s="65">
        <f>IF(SER_hh_fec_in!I26=0,0,11630*1000*SER_hh_fec_in!I26/SER_hh_num_in!I26)</f>
        <v>17065.676090725432</v>
      </c>
      <c r="J26" s="65">
        <f>IF(SER_hh_fec_in!J26=0,0,11630*1000*SER_hh_fec_in!J26/SER_hh_num_in!J26)</f>
        <v>17569.430922787142</v>
      </c>
      <c r="K26" s="65">
        <f>IF(SER_hh_fec_in!K26=0,0,11630*1000*SER_hh_fec_in!K26/SER_hh_num_in!K26)</f>
        <v>9340.4627469710904</v>
      </c>
      <c r="L26" s="65">
        <f>IF(SER_hh_fec_in!L26=0,0,11630*1000*SER_hh_fec_in!L26/SER_hh_num_in!L26)</f>
        <v>17594.543578349141</v>
      </c>
      <c r="M26" s="65">
        <f>IF(SER_hh_fec_in!M26=0,0,11630*1000*SER_hh_fec_in!M26/SER_hh_num_in!M26)</f>
        <v>14711.185343277039</v>
      </c>
      <c r="N26" s="65">
        <f>IF(SER_hh_fec_in!N26=0,0,11630*1000*SER_hh_fec_in!N26/SER_hh_num_in!N26)</f>
        <v>15205.453942745971</v>
      </c>
      <c r="O26" s="65">
        <f>IF(SER_hh_fec_in!O26=0,0,11630*1000*SER_hh_fec_in!O26/SER_hh_num_in!O26)</f>
        <v>10551.148993626461</v>
      </c>
      <c r="P26" s="65">
        <f>IF(SER_hh_fec_in!P26=0,0,11630*1000*SER_hh_fec_in!P26/SER_hh_num_in!P26)</f>
        <v>11619.361210859346</v>
      </c>
      <c r="Q26" s="65">
        <f>IF(SER_hh_fec_in!Q26=0,0,11630*1000*SER_hh_fec_in!Q26/SER_hh_num_in!Q26)</f>
        <v>15083.532592093612</v>
      </c>
      <c r="R26" s="65">
        <f>IF(SER_hh_fec_in!R26=0,0,11630*1000*SER_hh_fec_in!R26/SER_hh_num_in!R26)</f>
        <v>11849.045360616761</v>
      </c>
      <c r="S26" s="65">
        <f>IF(SER_hh_fec_in!S26=0,0,11630*1000*SER_hh_fec_in!S26/SER_hh_num_in!S26)</f>
        <v>12496.311502894483</v>
      </c>
      <c r="T26" s="65">
        <f>IF(SER_hh_fec_in!T26=0,0,11630*1000*SER_hh_fec_in!T26/SER_hh_num_in!T26)</f>
        <v>12655.833492034781</v>
      </c>
      <c r="U26" s="65">
        <f>IF(SER_hh_fec_in!U26=0,0,11630*1000*SER_hh_fec_in!U26/SER_hh_num_in!U26)</f>
        <v>12298.386253126495</v>
      </c>
      <c r="V26" s="65">
        <f>IF(SER_hh_fec_in!V26=0,0,11630*1000*SER_hh_fec_in!V26/SER_hh_num_in!V26)</f>
        <v>12319.26836652742</v>
      </c>
      <c r="W26" s="65">
        <f>IF(SER_hh_fec_in!W26=0,0,11630*1000*SER_hh_fec_in!W26/SER_hh_num_in!W26)</f>
        <v>13176.890359700234</v>
      </c>
      <c r="X26" s="65">
        <f>IF(SER_hh_fec_in!X26=0,0,11630*1000*SER_hh_fec_in!X26/SER_hh_num_in!X26)</f>
        <v>11218.966830942332</v>
      </c>
      <c r="Y26" s="65">
        <f>IF(SER_hh_fec_in!Y26=0,0,11630*1000*SER_hh_fec_in!Y26/SER_hh_num_in!Y26)</f>
        <v>10976.079533829476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324.99110648538709</v>
      </c>
      <c r="D27" s="145">
        <f>IF(SER_hh_fec_in!D27=0,0,11630*1000*SER_hh_fec_in!D27/SER_hh_num_in!D19)</f>
        <v>1271.3793660756626</v>
      </c>
      <c r="E27" s="145">
        <f>IF(SER_hh_fec_in!E27=0,0,11630*1000*SER_hh_fec_in!E27/SER_hh_num_in!E19)</f>
        <v>1139.8227069230954</v>
      </c>
      <c r="F27" s="145">
        <f>IF(SER_hh_fec_in!F27=0,0,11630*1000*SER_hh_fec_in!F27/SER_hh_num_in!F19)</f>
        <v>2116.9451524442479</v>
      </c>
      <c r="G27" s="145">
        <f>IF(SER_hh_fec_in!G27=0,0,11630*1000*SER_hh_fec_in!G27/SER_hh_num_in!G19)</f>
        <v>658.9900652297066</v>
      </c>
      <c r="H27" s="145">
        <f>IF(SER_hh_fec_in!H27=0,0,11630*1000*SER_hh_fec_in!H27/SER_hh_num_in!H19)</f>
        <v>336.47641098870037</v>
      </c>
      <c r="I27" s="145">
        <f>IF(SER_hh_fec_in!I27=0,0,11630*1000*SER_hh_fec_in!I27/SER_hh_num_in!I19)</f>
        <v>548.39815342387089</v>
      </c>
      <c r="J27" s="145">
        <f>IF(SER_hh_fec_in!J27=0,0,11630*1000*SER_hh_fec_in!J27/SER_hh_num_in!J19)</f>
        <v>81.548342175468647</v>
      </c>
      <c r="K27" s="145">
        <f>IF(SER_hh_fec_in!K27=0,0,11630*1000*SER_hh_fec_in!K27/SER_hh_num_in!K19)</f>
        <v>3266.3181059880048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1150.5066943306831</v>
      </c>
      <c r="N27" s="145">
        <f>IF(SER_hh_fec_in!N27=0,0,11630*1000*SER_hh_fec_in!N27/SER_hh_num_in!N19)</f>
        <v>622.53852058318921</v>
      </c>
      <c r="O27" s="145">
        <f>IF(SER_hh_fec_in!O27=0,0,11630*1000*SER_hh_fec_in!O27/SER_hh_num_in!O19)</f>
        <v>2619.6975377740832</v>
      </c>
      <c r="P27" s="145">
        <f>IF(SER_hh_fec_in!P27=0,0,11630*1000*SER_hh_fec_in!P27/SER_hh_num_in!P19)</f>
        <v>2873.7454044119158</v>
      </c>
      <c r="Q27" s="145">
        <f>IF(SER_hh_fec_in!Q27=0,0,11630*1000*SER_hh_fec_in!Q27/SER_hh_num_in!Q19)</f>
        <v>325.71153094103846</v>
      </c>
      <c r="R27" s="145">
        <f>IF(SER_hh_fec_in!R27=0,0,11630*1000*SER_hh_fec_in!R27/SER_hh_num_in!R19)</f>
        <v>1446.2074920686318</v>
      </c>
      <c r="S27" s="145">
        <f>IF(SER_hh_fec_in!S27=0,0,11630*1000*SER_hh_fec_in!S27/SER_hh_num_in!S19)</f>
        <v>802.75564297032508</v>
      </c>
      <c r="T27" s="145">
        <f>IF(SER_hh_fec_in!T27=0,0,11630*1000*SER_hh_fec_in!T27/SER_hh_num_in!T19)</f>
        <v>646.13904906103835</v>
      </c>
      <c r="U27" s="145">
        <f>IF(SER_hh_fec_in!U27=0,0,11630*1000*SER_hh_fec_in!U27/SER_hh_num_in!U19)</f>
        <v>789.18557682709445</v>
      </c>
      <c r="V27" s="145">
        <f>IF(SER_hh_fec_in!V27=0,0,11630*1000*SER_hh_fec_in!V27/SER_hh_num_in!V19)</f>
        <v>846.84294162556967</v>
      </c>
      <c r="W27" s="145">
        <f>IF(SER_hh_fec_in!W27=0,0,11630*1000*SER_hh_fec_in!W27/SER_hh_num_in!W19)</f>
        <v>7.9212123535228706E-12</v>
      </c>
      <c r="X27" s="145">
        <f>IF(SER_hh_fec_in!X27=0,0,11630*1000*SER_hh_fec_in!X27/SER_hh_num_in!X19)</f>
        <v>1017.5899414219753</v>
      </c>
      <c r="Y27" s="145">
        <f>IF(SER_hh_fec_in!Y27=0,0,11630*1000*SER_hh_fec_in!Y27/SER_hh_num_in!Y19)</f>
        <v>993.94857983669419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8002.0833135143812</v>
      </c>
      <c r="D28" s="146">
        <f>IF(SER_hh_fec_in!D27=0,0,11630*1000*SER_hh_fec_in!D27/SER_hh_num_in!D27)</f>
        <v>7622.8172817323184</v>
      </c>
      <c r="E28" s="146">
        <f>IF(SER_hh_fec_in!E27=0,0,11630*1000*SER_hh_fec_in!E27/SER_hh_num_in!E27)</f>
        <v>7781.3087940892256</v>
      </c>
      <c r="F28" s="146">
        <f>IF(SER_hh_fec_in!F27=0,0,11630*1000*SER_hh_fec_in!F27/SER_hh_num_in!F27)</f>
        <v>7849.8995794743814</v>
      </c>
      <c r="G28" s="146">
        <f>IF(SER_hh_fec_in!G27=0,0,11630*1000*SER_hh_fec_in!G27/SER_hh_num_in!G27)</f>
        <v>7668.9668867372084</v>
      </c>
      <c r="H28" s="146">
        <f>IF(SER_hh_fec_in!H27=0,0,11630*1000*SER_hh_fec_in!H27/SER_hh_num_in!H27)</f>
        <v>7637.4411123841692</v>
      </c>
      <c r="I28" s="146">
        <f>IF(SER_hh_fec_in!I27=0,0,11630*1000*SER_hh_fec_in!I27/SER_hh_num_in!I27)</f>
        <v>6925.8220173000072</v>
      </c>
      <c r="J28" s="146">
        <f>IF(SER_hh_fec_in!J27=0,0,11630*1000*SER_hh_fec_in!J27/SER_hh_num_in!J27)</f>
        <v>7543.6455643383933</v>
      </c>
      <c r="K28" s="146">
        <f>IF(SER_hh_fec_in!K27=0,0,11630*1000*SER_hh_fec_in!K27/SER_hh_num_in!K27)</f>
        <v>7394.3464967196333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7823.5361939185923</v>
      </c>
      <c r="N28" s="146">
        <f>IF(SER_hh_fec_in!N27=0,0,11630*1000*SER_hh_fec_in!N27/SER_hh_num_in!N27)</f>
        <v>8302.2343664120272</v>
      </c>
      <c r="O28" s="146">
        <f>IF(SER_hh_fec_in!O27=0,0,11630*1000*SER_hh_fec_in!O27/SER_hh_num_in!O27)</f>
        <v>8051.2313002501805</v>
      </c>
      <c r="P28" s="146">
        <f>IF(SER_hh_fec_in!P27=0,0,11630*1000*SER_hh_fec_in!P27/SER_hh_num_in!P27)</f>
        <v>7698.8792631243723</v>
      </c>
      <c r="Q28" s="146">
        <f>IF(SER_hh_fec_in!Q27=0,0,11630*1000*SER_hh_fec_in!Q27/SER_hh_num_in!Q27)</f>
        <v>7746.6039082171337</v>
      </c>
      <c r="R28" s="146">
        <f>IF(SER_hh_fec_in!R27=0,0,11630*1000*SER_hh_fec_in!R27/SER_hh_num_in!R27)</f>
        <v>7355.6242084125215</v>
      </c>
      <c r="S28" s="146">
        <f>IF(SER_hh_fec_in!S27=0,0,11630*1000*SER_hh_fec_in!S27/SER_hh_num_in!S27)</f>
        <v>7287.7061425677857</v>
      </c>
      <c r="T28" s="146">
        <f>IF(SER_hh_fec_in!T27=0,0,11630*1000*SER_hh_fec_in!T27/SER_hh_num_in!T27)</f>
        <v>7468.6670748847118</v>
      </c>
      <c r="U28" s="146">
        <f>IF(SER_hh_fec_in!U27=0,0,11630*1000*SER_hh_fec_in!U27/SER_hh_num_in!U27)</f>
        <v>7618.967395230884</v>
      </c>
      <c r="V28" s="146">
        <f>IF(SER_hh_fec_in!V27=0,0,11630*1000*SER_hh_fec_in!V27/SER_hh_num_in!V27)</f>
        <v>7634.3717547507622</v>
      </c>
      <c r="W28" s="146">
        <f>IF(SER_hh_fec_in!W27=0,0,11630*1000*SER_hh_fec_in!W27/SER_hh_num_in!W27)</f>
        <v>8553.3532935012609</v>
      </c>
      <c r="X28" s="146">
        <f>IF(SER_hh_fec_in!X27=0,0,11630*1000*SER_hh_fec_in!X27/SER_hh_num_in!X27)</f>
        <v>8123.6848119310162</v>
      </c>
      <c r="Y28" s="146">
        <f>IF(SER_hh_fec_in!Y27=0,0,11630*1000*SER_hh_fec_in!Y27/SER_hh_num_in!Y27)</f>
        <v>8139.471262785507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18602.100816904316</v>
      </c>
      <c r="D29" s="130">
        <f>IF(SER_hh_fec_in!D29=0,0,11630*1000*SER_hh_fec_in!D29/SER_hh_num_in!D29)</f>
        <v>18726.915506189864</v>
      </c>
      <c r="E29" s="130">
        <f>IF(SER_hh_fec_in!E29=0,0,11630*1000*SER_hh_fec_in!E29/SER_hh_num_in!E29)</f>
        <v>18784.191715464935</v>
      </c>
      <c r="F29" s="130">
        <f>IF(SER_hh_fec_in!F29=0,0,11630*1000*SER_hh_fec_in!F29/SER_hh_num_in!F29)</f>
        <v>19073.353516141331</v>
      </c>
      <c r="G29" s="130">
        <f>IF(SER_hh_fec_in!G29=0,0,11630*1000*SER_hh_fec_in!G29/SER_hh_num_in!G29)</f>
        <v>18737.005283015369</v>
      </c>
      <c r="H29" s="130">
        <f>IF(SER_hh_fec_in!H29=0,0,11630*1000*SER_hh_fec_in!H29/SER_hh_num_in!H29)</f>
        <v>18302.730685484141</v>
      </c>
      <c r="I29" s="130">
        <f>IF(SER_hh_fec_in!I29=0,0,11630*1000*SER_hh_fec_in!I29/SER_hh_num_in!I29)</f>
        <v>18524.367849084865</v>
      </c>
      <c r="J29" s="130">
        <f>IF(SER_hh_fec_in!J29=0,0,11630*1000*SER_hh_fec_in!J29/SER_hh_num_in!J29)</f>
        <v>18430.903924678398</v>
      </c>
      <c r="K29" s="130">
        <f>IF(SER_hh_fec_in!K29=0,0,11630*1000*SER_hh_fec_in!K29/SER_hh_num_in!K29)</f>
        <v>18610.987128240384</v>
      </c>
      <c r="L29" s="130">
        <f>IF(SER_hh_fec_in!L29=0,0,11630*1000*SER_hh_fec_in!L29/SER_hh_num_in!L29)</f>
        <v>18524.40078524741</v>
      </c>
      <c r="M29" s="130">
        <f>IF(SER_hh_fec_in!M29=0,0,11630*1000*SER_hh_fec_in!M29/SER_hh_num_in!M29)</f>
        <v>18145.018955819214</v>
      </c>
      <c r="N29" s="130">
        <f>IF(SER_hh_fec_in!N29=0,0,11630*1000*SER_hh_fec_in!N29/SER_hh_num_in!N29)</f>
        <v>17978.708223000427</v>
      </c>
      <c r="O29" s="130">
        <f>IF(SER_hh_fec_in!O29=0,0,11630*1000*SER_hh_fec_in!O29/SER_hh_num_in!O29)</f>
        <v>18154.585000888099</v>
      </c>
      <c r="P29" s="130">
        <f>IF(SER_hh_fec_in!P29=0,0,11630*1000*SER_hh_fec_in!P29/SER_hh_num_in!P29)</f>
        <v>17670.586606209039</v>
      </c>
      <c r="Q29" s="130">
        <f>IF(SER_hh_fec_in!Q29=0,0,11630*1000*SER_hh_fec_in!Q29/SER_hh_num_in!Q29)</f>
        <v>17340.725767203974</v>
      </c>
      <c r="R29" s="130">
        <f>IF(SER_hh_fec_in!R29=0,0,11630*1000*SER_hh_fec_in!R29/SER_hh_num_in!R29)</f>
        <v>17395.998307494901</v>
      </c>
      <c r="S29" s="130">
        <f>IF(SER_hh_fec_in!S29=0,0,11630*1000*SER_hh_fec_in!S29/SER_hh_num_in!S29)</f>
        <v>16449.602204169536</v>
      </c>
      <c r="T29" s="130">
        <f>IF(SER_hh_fec_in!T29=0,0,11630*1000*SER_hh_fec_in!T29/SER_hh_num_in!T29)</f>
        <v>15536.632937837681</v>
      </c>
      <c r="U29" s="130">
        <f>IF(SER_hh_fec_in!U29=0,0,11630*1000*SER_hh_fec_in!U29/SER_hh_num_in!U29)</f>
        <v>14995.144173378294</v>
      </c>
      <c r="V29" s="130">
        <f>IF(SER_hh_fec_in!V29=0,0,11630*1000*SER_hh_fec_in!V29/SER_hh_num_in!V29)</f>
        <v>15671.020954087155</v>
      </c>
      <c r="W29" s="130">
        <f>IF(SER_hh_fec_in!W29=0,0,11630*1000*SER_hh_fec_in!W29/SER_hh_num_in!W29)</f>
        <v>16698.527575626144</v>
      </c>
      <c r="X29" s="130">
        <f>IF(SER_hh_fec_in!X29=0,0,11630*1000*SER_hh_fec_in!X29/SER_hh_num_in!X29)</f>
        <v>16606.618254549881</v>
      </c>
      <c r="Y29" s="130">
        <f>IF(SER_hh_fec_in!Y29=0,0,11630*1000*SER_hh_fec_in!Y29/SER_hh_num_in!Y29)</f>
        <v>16437.510352542478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22024.656104401602</v>
      </c>
      <c r="D30" s="132">
        <f>IF(SER_hh_fec_in!D30=0,0,11630*1000*SER_hh_fec_in!D30/SER_hh_num_in!D30)</f>
        <v>23466.702292346668</v>
      </c>
      <c r="E30" s="132">
        <f>IF(SER_hh_fec_in!E30=0,0,11630*1000*SER_hh_fec_in!E30/SER_hh_num_in!E30)</f>
        <v>21158.899944038891</v>
      </c>
      <c r="F30" s="132">
        <f>IF(SER_hh_fec_in!F30=0,0,11630*1000*SER_hh_fec_in!F30/SER_hh_num_in!F30)</f>
        <v>22453.221177593266</v>
      </c>
      <c r="G30" s="132">
        <f>IF(SER_hh_fec_in!G30=0,0,11630*1000*SER_hh_fec_in!G30/SER_hh_num_in!G30)</f>
        <v>22089.546675870937</v>
      </c>
      <c r="H30" s="132">
        <f>IF(SER_hh_fec_in!H30=0,0,11630*1000*SER_hh_fec_in!H30/SER_hh_num_in!H30)</f>
        <v>28561.213957931068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24256.113259425161</v>
      </c>
      <c r="L30" s="132">
        <f>IF(SER_hh_fec_in!L30=0,0,11630*1000*SER_hh_fec_in!L30/SER_hh_num_in!L30)</f>
        <v>27514.477191229511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24770.429599490537</v>
      </c>
      <c r="O30" s="132">
        <f>IF(SER_hh_fec_in!O30=0,0,11630*1000*SER_hh_fec_in!O30/SER_hh_num_in!O30)</f>
        <v>26419.657968897205</v>
      </c>
      <c r="P30" s="132">
        <f>IF(SER_hh_fec_in!P30=0,0,11630*1000*SER_hh_fec_in!P30/SER_hh_num_in!P30)</f>
        <v>4002.8156229296414</v>
      </c>
      <c r="Q30" s="132">
        <f>IF(SER_hh_fec_in!Q30=0,0,11630*1000*SER_hh_fec_in!Q30/SER_hh_num_in!Q30)</f>
        <v>26958.765223791266</v>
      </c>
      <c r="R30" s="132">
        <f>IF(SER_hh_fec_in!R30=0,0,11630*1000*SER_hh_fec_in!R30/SER_hh_num_in!R30)</f>
        <v>24061.03191756205</v>
      </c>
      <c r="S30" s="132">
        <f>IF(SER_hh_fec_in!S30=0,0,11630*1000*SER_hh_fec_in!S30/SER_hh_num_in!S30)</f>
        <v>21128.116187700227</v>
      </c>
      <c r="T30" s="132">
        <f>IF(SER_hh_fec_in!T30=0,0,11630*1000*SER_hh_fec_in!T30/SER_hh_num_in!T30)</f>
        <v>20559.400516009839</v>
      </c>
      <c r="U30" s="132">
        <f>IF(SER_hh_fec_in!U30=0,0,11630*1000*SER_hh_fec_in!U30/SER_hh_num_in!U30)</f>
        <v>19832.816788282224</v>
      </c>
      <c r="V30" s="132">
        <f>IF(SER_hh_fec_in!V30=0,0,11630*1000*SER_hh_fec_in!V30/SER_hh_num_in!V30)</f>
        <v>19641.413546099659</v>
      </c>
      <c r="W30" s="132">
        <f>IF(SER_hh_fec_in!W30=0,0,11630*1000*SER_hh_fec_in!W30/SER_hh_num_in!W30)</f>
        <v>23245.897395009812</v>
      </c>
      <c r="X30" s="132">
        <f>IF(SER_hh_fec_in!X30=0,0,11630*1000*SER_hh_fec_in!X30/SER_hh_num_in!X30)</f>
        <v>20640.723650514916</v>
      </c>
      <c r="Y30" s="132">
        <f>IF(SER_hh_fec_in!Y30=0,0,11630*1000*SER_hh_fec_in!Y30/SER_hh_num_in!Y30)</f>
        <v>21517.869603783129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21835.78882478688</v>
      </c>
      <c r="D31" s="132">
        <f>IF(SER_hh_fec_in!D31=0,0,11630*1000*SER_hh_fec_in!D31/SER_hh_num_in!D31)</f>
        <v>21577.593741296481</v>
      </c>
      <c r="E31" s="132">
        <f>IF(SER_hh_fec_in!E31=0,0,11630*1000*SER_hh_fec_in!E31/SER_hh_num_in!E31)</f>
        <v>22215.835669261032</v>
      </c>
      <c r="F31" s="132">
        <f>IF(SER_hh_fec_in!F31=0,0,11630*1000*SER_hh_fec_in!F31/SER_hh_num_in!F31)</f>
        <v>22118.73299805084</v>
      </c>
      <c r="G31" s="132">
        <f>IF(SER_hh_fec_in!G31=0,0,11630*1000*SER_hh_fec_in!G31/SER_hh_num_in!G31)</f>
        <v>22039.071677208656</v>
      </c>
      <c r="H31" s="132">
        <f>IF(SER_hh_fec_in!H31=0,0,11630*1000*SER_hh_fec_in!H31/SER_hh_num_in!H31)</f>
        <v>20547.29373347135</v>
      </c>
      <c r="I31" s="132">
        <f>IF(SER_hh_fec_in!I31=0,0,11630*1000*SER_hh_fec_in!I31/SER_hh_num_in!I31)</f>
        <v>22434.003979075827</v>
      </c>
      <c r="J31" s="132">
        <f>IF(SER_hh_fec_in!J31=0,0,11630*1000*SER_hh_fec_in!J31/SER_hh_num_in!J31)</f>
        <v>22847.557165570666</v>
      </c>
      <c r="K31" s="132">
        <f>IF(SER_hh_fec_in!K31=0,0,11630*1000*SER_hh_fec_in!K31/SER_hh_num_in!K31)</f>
        <v>21562.594386702847</v>
      </c>
      <c r="L31" s="132">
        <f>IF(SER_hh_fec_in!L31=0,0,11630*1000*SER_hh_fec_in!L31/SER_hh_num_in!L31)</f>
        <v>20842.623076830874</v>
      </c>
      <c r="M31" s="132">
        <f>IF(SER_hh_fec_in!M31=0,0,11630*1000*SER_hh_fec_in!M31/SER_hh_num_in!M31)</f>
        <v>22509.6020448442</v>
      </c>
      <c r="N31" s="132">
        <f>IF(SER_hh_fec_in!N31=0,0,11630*1000*SER_hh_fec_in!N31/SER_hh_num_in!N31)</f>
        <v>21205.514800492805</v>
      </c>
      <c r="O31" s="132">
        <f>IF(SER_hh_fec_in!O31=0,0,11630*1000*SER_hh_fec_in!O31/SER_hh_num_in!O31)</f>
        <v>21241.853881788116</v>
      </c>
      <c r="P31" s="132">
        <f>IF(SER_hh_fec_in!P31=0,0,11630*1000*SER_hh_fec_in!P31/SER_hh_num_in!P31)</f>
        <v>23724.867146317574</v>
      </c>
      <c r="Q31" s="132">
        <f>IF(SER_hh_fec_in!Q31=0,0,11630*1000*SER_hh_fec_in!Q31/SER_hh_num_in!Q31)</f>
        <v>20977.97323602403</v>
      </c>
      <c r="R31" s="132">
        <f>IF(SER_hh_fec_in!R31=0,0,11630*1000*SER_hh_fec_in!R31/SER_hh_num_in!R31)</f>
        <v>21347.121838667328</v>
      </c>
      <c r="S31" s="132">
        <f>IF(SER_hh_fec_in!S31=0,0,11630*1000*SER_hh_fec_in!S31/SER_hh_num_in!S31)</f>
        <v>21894.77489002396</v>
      </c>
      <c r="T31" s="132">
        <f>IF(SER_hh_fec_in!T31=0,0,11630*1000*SER_hh_fec_in!T31/SER_hh_num_in!T31)</f>
        <v>20158.847749894441</v>
      </c>
      <c r="U31" s="132">
        <f>IF(SER_hh_fec_in!U31=0,0,11630*1000*SER_hh_fec_in!U31/SER_hh_num_in!U31)</f>
        <v>17716.934204887413</v>
      </c>
      <c r="V31" s="132">
        <f>IF(SER_hh_fec_in!V31=0,0,11630*1000*SER_hh_fec_in!V31/SER_hh_num_in!V31)</f>
        <v>19624.343919510495</v>
      </c>
      <c r="W31" s="132">
        <f>IF(SER_hh_fec_in!W31=0,0,11630*1000*SER_hh_fec_in!W31/SER_hh_num_in!W31)</f>
        <v>21040.419265528213</v>
      </c>
      <c r="X31" s="132">
        <f>IF(SER_hh_fec_in!X31=0,0,11630*1000*SER_hh_fec_in!X31/SER_hh_num_in!X31)</f>
        <v>21036.586019694409</v>
      </c>
      <c r="Y31" s="132">
        <f>IF(SER_hh_fec_in!Y31=0,0,11630*1000*SER_hh_fec_in!Y31/SER_hh_num_in!Y31)</f>
        <v>21340.778266415491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16453.043693516374</v>
      </c>
      <c r="D33" s="68">
        <f>IF(SER_hh_fec_in!D33=0,0,11630*1000*SER_hh_fec_in!D33/SER_hh_num_in!D33)</f>
        <v>16448.270942544292</v>
      </c>
      <c r="E33" s="68">
        <f>IF(SER_hh_fec_in!E33=0,0,11630*1000*SER_hh_fec_in!E33/SER_hh_num_in!E33)</f>
        <v>16548.477494722938</v>
      </c>
      <c r="F33" s="68">
        <f>IF(SER_hh_fec_in!F33=0,0,11630*1000*SER_hh_fec_in!F33/SER_hh_num_in!F33)</f>
        <v>16824.789659287559</v>
      </c>
      <c r="G33" s="68">
        <f>IF(SER_hh_fec_in!G33=0,0,11630*1000*SER_hh_fec_in!G33/SER_hh_num_in!G33)</f>
        <v>16927.467582654172</v>
      </c>
      <c r="H33" s="68">
        <f>IF(SER_hh_fec_in!H33=0,0,11630*1000*SER_hh_fec_in!H33/SER_hh_num_in!H33)</f>
        <v>16607.606577481911</v>
      </c>
      <c r="I33" s="68">
        <f>IF(SER_hh_fec_in!I33=0,0,11630*1000*SER_hh_fec_in!I33/SER_hh_num_in!I33)</f>
        <v>16352.495969535456</v>
      </c>
      <c r="J33" s="68">
        <f>IF(SER_hh_fec_in!J33=0,0,11630*1000*SER_hh_fec_in!J33/SER_hh_num_in!J33)</f>
        <v>16193.810204016379</v>
      </c>
      <c r="K33" s="68">
        <f>IF(SER_hh_fec_in!K33=0,0,11630*1000*SER_hh_fec_in!K33/SER_hh_num_in!K33)</f>
        <v>16558.085518239273</v>
      </c>
      <c r="L33" s="68">
        <f>IF(SER_hh_fec_in!L33=0,0,11630*1000*SER_hh_fec_in!L33/SER_hh_num_in!L33)</f>
        <v>16568.387629097942</v>
      </c>
      <c r="M33" s="68">
        <f>IF(SER_hh_fec_in!M33=0,0,11630*1000*SER_hh_fec_in!M33/SER_hh_num_in!M33)</f>
        <v>16234.19413861767</v>
      </c>
      <c r="N33" s="68">
        <f>IF(SER_hh_fec_in!N33=0,0,11630*1000*SER_hh_fec_in!N33/SER_hh_num_in!N33)</f>
        <v>16220.744011079094</v>
      </c>
      <c r="O33" s="68">
        <f>IF(SER_hh_fec_in!O33=0,0,11630*1000*SER_hh_fec_in!O33/SER_hh_num_in!O33)</f>
        <v>16180.494512784218</v>
      </c>
      <c r="P33" s="68">
        <f>IF(SER_hh_fec_in!P33=0,0,11630*1000*SER_hh_fec_in!P33/SER_hh_num_in!P33)</f>
        <v>16364.400675588771</v>
      </c>
      <c r="Q33" s="68">
        <f>IF(SER_hh_fec_in!Q33=0,0,11630*1000*SER_hh_fec_in!Q33/SER_hh_num_in!Q33)</f>
        <v>16096.179301891907</v>
      </c>
      <c r="R33" s="68">
        <f>IF(SER_hh_fec_in!R33=0,0,11630*1000*SER_hh_fec_in!R33/SER_hh_num_in!R33)</f>
        <v>15652.934522807709</v>
      </c>
      <c r="S33" s="68">
        <f>IF(SER_hh_fec_in!S33=0,0,11630*1000*SER_hh_fec_in!S33/SER_hh_num_in!S33)</f>
        <v>15147.290365043862</v>
      </c>
      <c r="T33" s="68">
        <f>IF(SER_hh_fec_in!T33=0,0,11630*1000*SER_hh_fec_in!T33/SER_hh_num_in!T33)</f>
        <v>14620.05848573016</v>
      </c>
      <c r="U33" s="68">
        <f>IF(SER_hh_fec_in!U33=0,0,11630*1000*SER_hh_fec_in!U33/SER_hh_num_in!U33)</f>
        <v>14279.250971876245</v>
      </c>
      <c r="V33" s="68">
        <f>IF(SER_hh_fec_in!V33=0,0,11630*1000*SER_hh_fec_in!V33/SER_hh_num_in!V33)</f>
        <v>14018.284566804336</v>
      </c>
      <c r="W33" s="68">
        <f>IF(SER_hh_fec_in!W33=0,0,11630*1000*SER_hh_fec_in!W33/SER_hh_num_in!W33)</f>
        <v>14355.920455113896</v>
      </c>
      <c r="X33" s="68">
        <f>IF(SER_hh_fec_in!X33=0,0,11630*1000*SER_hh_fec_in!X33/SER_hh_num_in!X33)</f>
        <v>14867.134651255115</v>
      </c>
      <c r="Y33" s="68">
        <f>IF(SER_hh_fec_in!Y33=0,0,11630*1000*SER_hh_fec_in!Y33/SER_hh_num_in!Y33)</f>
        <v>14886.489380735855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123516.26392502226</v>
      </c>
      <c r="D3" s="125">
        <f>IF(SER_hh_tes_in!D3=0,0,11630*1000*SER_hh_tes_in!D3/SER_hh_num_in!D3)</f>
        <v>122754.96542136306</v>
      </c>
      <c r="E3" s="125">
        <f>IF(SER_hh_tes_in!E3=0,0,11630*1000*SER_hh_tes_in!E3/SER_hh_num_in!E3)</f>
        <v>127157.57855262177</v>
      </c>
      <c r="F3" s="125">
        <f>IF(SER_hh_tes_in!F3=0,0,11630*1000*SER_hh_tes_in!F3/SER_hh_num_in!F3)</f>
        <v>131140.01181944102</v>
      </c>
      <c r="G3" s="125">
        <f>IF(SER_hh_tes_in!G3=0,0,11630*1000*SER_hh_tes_in!G3/SER_hh_num_in!G3)</f>
        <v>122586.58251294389</v>
      </c>
      <c r="H3" s="125">
        <f>IF(SER_hh_tes_in!H3=0,0,11630*1000*SER_hh_tes_in!H3/SER_hh_num_in!H3)</f>
        <v>122736.65095930542</v>
      </c>
      <c r="I3" s="125">
        <f>IF(SER_hh_tes_in!I3=0,0,11630*1000*SER_hh_tes_in!I3/SER_hh_num_in!I3)</f>
        <v>113196.41006703385</v>
      </c>
      <c r="J3" s="125">
        <f>IF(SER_hh_tes_in!J3=0,0,11630*1000*SER_hh_tes_in!J3/SER_hh_num_in!J3)</f>
        <v>114485.27620777347</v>
      </c>
      <c r="K3" s="125">
        <f>IF(SER_hh_tes_in!K3=0,0,11630*1000*SER_hh_tes_in!K3/SER_hh_num_in!K3)</f>
        <v>116691.42049530604</v>
      </c>
      <c r="L3" s="125">
        <f>IF(SER_hh_tes_in!L3=0,0,11630*1000*SER_hh_tes_in!L3/SER_hh_num_in!L3)</f>
        <v>123427.10048016027</v>
      </c>
      <c r="M3" s="125">
        <f>IF(SER_hh_tes_in!M3=0,0,11630*1000*SER_hh_tes_in!M3/SER_hh_num_in!M3)</f>
        <v>106122.80874459007</v>
      </c>
      <c r="N3" s="125">
        <f>IF(SER_hh_tes_in!N3=0,0,11630*1000*SER_hh_tes_in!N3/SER_hh_num_in!N3)</f>
        <v>108958.81044670443</v>
      </c>
      <c r="O3" s="125">
        <f>IF(SER_hh_tes_in!O3=0,0,11630*1000*SER_hh_tes_in!O3/SER_hh_num_in!O3)</f>
        <v>106885.54363489601</v>
      </c>
      <c r="P3" s="125">
        <f>IF(SER_hh_tes_in!P3=0,0,11630*1000*SER_hh_tes_in!P3/SER_hh_num_in!P3)</f>
        <v>92109.52801747997</v>
      </c>
      <c r="Q3" s="125">
        <f>IF(SER_hh_tes_in!Q3=0,0,11630*1000*SER_hh_tes_in!Q3/SER_hh_num_in!Q3)</f>
        <v>93740.656020159789</v>
      </c>
      <c r="R3" s="125">
        <f>IF(SER_hh_tes_in!R3=0,0,11630*1000*SER_hh_tes_in!R3/SER_hh_num_in!R3)</f>
        <v>90009.357013481364</v>
      </c>
      <c r="S3" s="125">
        <f>IF(SER_hh_tes_in!S3=0,0,11630*1000*SER_hh_tes_in!S3/SER_hh_num_in!S3)</f>
        <v>88461.198000481934</v>
      </c>
      <c r="T3" s="125">
        <f>IF(SER_hh_tes_in!T3=0,0,11630*1000*SER_hh_tes_in!T3/SER_hh_num_in!T3)</f>
        <v>86171.492298175319</v>
      </c>
      <c r="U3" s="125">
        <f>IF(SER_hh_tes_in!U3=0,0,11630*1000*SER_hh_tes_in!U3/SER_hh_num_in!U3)</f>
        <v>80409.383615221246</v>
      </c>
      <c r="V3" s="125">
        <f>IF(SER_hh_tes_in!V3=0,0,11630*1000*SER_hh_tes_in!V3/SER_hh_num_in!V3)</f>
        <v>73359.186306506337</v>
      </c>
      <c r="W3" s="125">
        <f>IF(SER_hh_tes_in!W3=0,0,11630*1000*SER_hh_tes_in!W3/SER_hh_num_in!W3)</f>
        <v>66828.337583117813</v>
      </c>
      <c r="X3" s="125">
        <f>IF(SER_hh_tes_in!X3=0,0,11630*1000*SER_hh_tes_in!X3/SER_hh_num_in!X3)</f>
        <v>58931.496534127065</v>
      </c>
      <c r="Y3" s="125">
        <f>IF(SER_hh_tes_in!Y3=0,0,11630*1000*SER_hh_tes_in!Y3/SER_hh_num_in!Y3)</f>
        <v>58230.507191879689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69325.023386169647</v>
      </c>
      <c r="D4" s="130">
        <f>IF(SER_hh_tes_in!D4=0,0,11630*1000*SER_hh_tes_in!D4/SER_hh_num_in!D4)</f>
        <v>68955.630025154984</v>
      </c>
      <c r="E4" s="130">
        <f>IF(SER_hh_tes_in!E4=0,0,11630*1000*SER_hh_tes_in!E4/SER_hh_num_in!E4)</f>
        <v>71222.605982397494</v>
      </c>
      <c r="F4" s="130">
        <f>IF(SER_hh_tes_in!F4=0,0,11630*1000*SER_hh_tes_in!F4/SER_hh_num_in!F4)</f>
        <v>77621.848987880701</v>
      </c>
      <c r="G4" s="130">
        <f>IF(SER_hh_tes_in!G4=0,0,11630*1000*SER_hh_tes_in!G4/SER_hh_num_in!G4)</f>
        <v>69764.44871995096</v>
      </c>
      <c r="H4" s="130">
        <f>IF(SER_hh_tes_in!H4=0,0,11630*1000*SER_hh_tes_in!H4/SER_hh_num_in!H4)</f>
        <v>68452.351715705838</v>
      </c>
      <c r="I4" s="130">
        <f>IF(SER_hh_tes_in!I4=0,0,11630*1000*SER_hh_tes_in!I4/SER_hh_num_in!I4)</f>
        <v>61700.551163925367</v>
      </c>
      <c r="J4" s="130">
        <f>IF(SER_hh_tes_in!J4=0,0,11630*1000*SER_hh_tes_in!J4/SER_hh_num_in!J4)</f>
        <v>63407.757595225732</v>
      </c>
      <c r="K4" s="130">
        <f>IF(SER_hh_tes_in!K4=0,0,11630*1000*SER_hh_tes_in!K4/SER_hh_num_in!K4)</f>
        <v>65798.765874436504</v>
      </c>
      <c r="L4" s="130">
        <f>IF(SER_hh_tes_in!L4=0,0,11630*1000*SER_hh_tes_in!L4/SER_hh_num_in!L4)</f>
        <v>72114.486702682785</v>
      </c>
      <c r="M4" s="130">
        <f>IF(SER_hh_tes_in!M4=0,0,11630*1000*SER_hh_tes_in!M4/SER_hh_num_in!M4)</f>
        <v>56272.980368615463</v>
      </c>
      <c r="N4" s="130">
        <f>IF(SER_hh_tes_in!N4=0,0,11630*1000*SER_hh_tes_in!N4/SER_hh_num_in!N4)</f>
        <v>59612.974294451567</v>
      </c>
      <c r="O4" s="130">
        <f>IF(SER_hh_tes_in!O4=0,0,11630*1000*SER_hh_tes_in!O4/SER_hh_num_in!O4)</f>
        <v>58001.108097788441</v>
      </c>
      <c r="P4" s="130">
        <f>IF(SER_hh_tes_in!P4=0,0,11630*1000*SER_hh_tes_in!P4/SER_hh_num_in!P4)</f>
        <v>44428.704063451922</v>
      </c>
      <c r="Q4" s="130">
        <f>IF(SER_hh_tes_in!Q4=0,0,11630*1000*SER_hh_tes_in!Q4/SER_hh_num_in!Q4)</f>
        <v>45110.834437385223</v>
      </c>
      <c r="R4" s="130">
        <f>IF(SER_hh_tes_in!R4=0,0,11630*1000*SER_hh_tes_in!R4/SER_hh_num_in!R4)</f>
        <v>43091.720235024812</v>
      </c>
      <c r="S4" s="130">
        <f>IF(SER_hh_tes_in!S4=0,0,11630*1000*SER_hh_tes_in!S4/SER_hh_num_in!S4)</f>
        <v>42970.878309140855</v>
      </c>
      <c r="T4" s="130">
        <f>IF(SER_hh_tes_in!T4=0,0,11630*1000*SER_hh_tes_in!T4/SER_hh_num_in!T4)</f>
        <v>40045.670105670804</v>
      </c>
      <c r="U4" s="130">
        <f>IF(SER_hh_tes_in!U4=0,0,11630*1000*SER_hh_tes_in!U4/SER_hh_num_in!U4)</f>
        <v>36013.48231631783</v>
      </c>
      <c r="V4" s="130">
        <f>IF(SER_hh_tes_in!V4=0,0,11630*1000*SER_hh_tes_in!V4/SER_hh_num_in!V4)</f>
        <v>30377.097588972276</v>
      </c>
      <c r="W4" s="130">
        <f>IF(SER_hh_tes_in!W4=0,0,11630*1000*SER_hh_tes_in!W4/SER_hh_num_in!W4)</f>
        <v>26595.649578446188</v>
      </c>
      <c r="X4" s="130">
        <f>IF(SER_hh_tes_in!X4=0,0,11630*1000*SER_hh_tes_in!X4/SER_hh_num_in!X4)</f>
        <v>19723.418399129831</v>
      </c>
      <c r="Y4" s="130">
        <f>IF(SER_hh_tes_in!Y4=0,0,11630*1000*SER_hh_tes_in!Y4/SER_hh_num_in!Y4)</f>
        <v>18926.464280638014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67420.420174708823</v>
      </c>
      <c r="D5" s="132">
        <f>IF(SER_hh_tes_in!D5=0,0,11630*1000*SER_hh_tes_in!D5/SER_hh_num_in!D5)</f>
        <v>57721.440333907376</v>
      </c>
      <c r="E5" s="132">
        <f>IF(SER_hh_tes_in!E5=0,0,11630*1000*SER_hh_tes_in!E5/SER_hh_num_in!E5)</f>
        <v>94519.769661351718</v>
      </c>
      <c r="F5" s="132">
        <f>IF(SER_hh_tes_in!F5=0,0,11630*1000*SER_hh_tes_in!F5/SER_hh_num_in!F5)</f>
        <v>46928.81041611352</v>
      </c>
      <c r="G5" s="132">
        <f>IF(SER_hh_tes_in!G5=0,0,11630*1000*SER_hh_tes_in!G5/SER_hh_num_in!G5)</f>
        <v>64274.46229551921</v>
      </c>
      <c r="H5" s="132">
        <f>IF(SER_hh_tes_in!H5=0,0,11630*1000*SER_hh_tes_in!H5/SER_hh_num_in!H5)</f>
        <v>43510.751793752424</v>
      </c>
      <c r="I5" s="132">
        <f>IF(SER_hh_tes_in!I5=0,0,11630*1000*SER_hh_tes_in!I5/SER_hh_num_in!I5)</f>
        <v>67111.119948504653</v>
      </c>
      <c r="J5" s="132">
        <f>IF(SER_hh_tes_in!J5=0,0,11630*1000*SER_hh_tes_in!J5/SER_hh_num_in!J5)</f>
        <v>71582.525639852334</v>
      </c>
      <c r="K5" s="132">
        <f>IF(SER_hh_tes_in!K5=0,0,11630*1000*SER_hh_tes_in!K5/SER_hh_num_in!K5)</f>
        <v>69775.303349299036</v>
      </c>
      <c r="L5" s="132">
        <f>IF(SER_hh_tes_in!L5=0,0,11630*1000*SER_hh_tes_in!L5/SER_hh_num_in!L5)</f>
        <v>65797.51848327223</v>
      </c>
      <c r="M5" s="132">
        <f>IF(SER_hh_tes_in!M5=0,0,11630*1000*SER_hh_tes_in!M5/SER_hh_num_in!M5)</f>
        <v>63130.102910501097</v>
      </c>
      <c r="N5" s="132">
        <f>IF(SER_hh_tes_in!N5=0,0,11630*1000*SER_hh_tes_in!N5/SER_hh_num_in!N5)</f>
        <v>60374.084150110444</v>
      </c>
      <c r="O5" s="132">
        <f>IF(SER_hh_tes_in!O5=0,0,11630*1000*SER_hh_tes_in!O5/SER_hh_num_in!O5)</f>
        <v>35522.6998498908</v>
      </c>
      <c r="P5" s="132">
        <f>IF(SER_hh_tes_in!P5=0,0,11630*1000*SER_hh_tes_in!P5/SER_hh_num_in!P5)</f>
        <v>12980.93199744254</v>
      </c>
      <c r="Q5" s="132">
        <f>IF(SER_hh_tes_in!Q5=0,0,11630*1000*SER_hh_tes_in!Q5/SER_hh_num_in!Q5)</f>
        <v>53984.025308787539</v>
      </c>
      <c r="R5" s="132">
        <f>IF(SER_hh_tes_in!R5=0,0,11630*1000*SER_hh_tes_in!R5/SER_hh_num_in!R5)</f>
        <v>49774.051574156343</v>
      </c>
      <c r="S5" s="132">
        <f>IF(SER_hh_tes_in!S5=0,0,11630*1000*SER_hh_tes_in!S5/SER_hh_num_in!S5)</f>
        <v>44819.253780110797</v>
      </c>
      <c r="T5" s="132">
        <f>IF(SER_hh_tes_in!T5=0,0,11630*1000*SER_hh_tes_in!T5/SER_hh_num_in!T5)</f>
        <v>41840.33469166272</v>
      </c>
      <c r="U5" s="132">
        <f>IF(SER_hh_tes_in!U5=0,0,11630*1000*SER_hh_tes_in!U5/SER_hh_num_in!U5)</f>
        <v>0</v>
      </c>
      <c r="V5" s="132">
        <f>IF(SER_hh_tes_in!V5=0,0,11630*1000*SER_hh_tes_in!V5/SER_hh_num_in!V5)</f>
        <v>32431.610267750766</v>
      </c>
      <c r="W5" s="132">
        <f>IF(SER_hh_tes_in!W5=0,0,11630*1000*SER_hh_tes_in!W5/SER_hh_num_in!W5)</f>
        <v>16401.082314269344</v>
      </c>
      <c r="X5" s="132">
        <f>IF(SER_hh_tes_in!X5=0,0,11630*1000*SER_hh_tes_in!X5/SER_hh_num_in!X5)</f>
        <v>20880.462879098686</v>
      </c>
      <c r="Y5" s="132">
        <f>IF(SER_hh_tes_in!Y5=0,0,11630*1000*SER_hh_tes_in!Y5/SER_hh_num_in!Y5)</f>
        <v>20569.796553316162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66155.281242792</v>
      </c>
      <c r="D7" s="132">
        <f>IF(SER_hh_tes_in!D7=0,0,11630*1000*SER_hh_tes_in!D7/SER_hh_num_in!D7)</f>
        <v>68446.901157552318</v>
      </c>
      <c r="E7" s="132">
        <f>IF(SER_hh_tes_in!E7=0,0,11630*1000*SER_hh_tes_in!E7/SER_hh_num_in!E7)</f>
        <v>71477.268724508744</v>
      </c>
      <c r="F7" s="132">
        <f>IF(SER_hh_tes_in!F7=0,0,11630*1000*SER_hh_tes_in!F7/SER_hh_num_in!F7)</f>
        <v>68307.297756398577</v>
      </c>
      <c r="G7" s="132">
        <f>IF(SER_hh_tes_in!G7=0,0,11630*1000*SER_hh_tes_in!G7/SER_hh_num_in!G7)</f>
        <v>69271.153082324861</v>
      </c>
      <c r="H7" s="132">
        <f>IF(SER_hh_tes_in!H7=0,0,11630*1000*SER_hh_tes_in!H7/SER_hh_num_in!H7)</f>
        <v>65110.25287068652</v>
      </c>
      <c r="I7" s="132">
        <f>IF(SER_hh_tes_in!I7=0,0,11630*1000*SER_hh_tes_in!I7/SER_hh_num_in!I7)</f>
        <v>64586.750491169609</v>
      </c>
      <c r="J7" s="132">
        <f>IF(SER_hh_tes_in!J7=0,0,11630*1000*SER_hh_tes_in!J7/SER_hh_num_in!J7)</f>
        <v>63286.772317819123</v>
      </c>
      <c r="K7" s="132">
        <f>IF(SER_hh_tes_in!K7=0,0,11630*1000*SER_hh_tes_in!K7/SER_hh_num_in!K7)</f>
        <v>60286.806408962082</v>
      </c>
      <c r="L7" s="132">
        <f>IF(SER_hh_tes_in!L7=0,0,11630*1000*SER_hh_tes_in!L7/SER_hh_num_in!L7)</f>
        <v>68139.292191355285</v>
      </c>
      <c r="M7" s="132">
        <f>IF(SER_hh_tes_in!M7=0,0,11630*1000*SER_hh_tes_in!M7/SER_hh_num_in!M7)</f>
        <v>59846.730795961055</v>
      </c>
      <c r="N7" s="132">
        <f>IF(SER_hh_tes_in!N7=0,0,11630*1000*SER_hh_tes_in!N7/SER_hh_num_in!N7)</f>
        <v>56306.178751567437</v>
      </c>
      <c r="O7" s="132">
        <f>IF(SER_hh_tes_in!O7=0,0,11630*1000*SER_hh_tes_in!O7/SER_hh_num_in!O7)</f>
        <v>54084.881567241806</v>
      </c>
      <c r="P7" s="132">
        <f>IF(SER_hh_tes_in!P7=0,0,11630*1000*SER_hh_tes_in!P7/SER_hh_num_in!P7)</f>
        <v>49074.725213271442</v>
      </c>
      <c r="Q7" s="132">
        <f>IF(SER_hh_tes_in!Q7=0,0,11630*1000*SER_hh_tes_in!Q7/SER_hh_num_in!Q7)</f>
        <v>44325.978789644061</v>
      </c>
      <c r="R7" s="132">
        <f>IF(SER_hh_tes_in!R7=0,0,11630*1000*SER_hh_tes_in!R7/SER_hh_num_in!R7)</f>
        <v>41973.957130999537</v>
      </c>
      <c r="S7" s="132">
        <f>IF(SER_hh_tes_in!S7=0,0,11630*1000*SER_hh_tes_in!S7/SER_hh_num_in!S7)</f>
        <v>39690.391147064889</v>
      </c>
      <c r="T7" s="132">
        <f>IF(SER_hh_tes_in!T7=0,0,11630*1000*SER_hh_tes_in!T7/SER_hh_num_in!T7)</f>
        <v>38135.043435035288</v>
      </c>
      <c r="U7" s="132">
        <f>IF(SER_hh_tes_in!U7=0,0,11630*1000*SER_hh_tes_in!U7/SER_hh_num_in!U7)</f>
        <v>36254.612571253987</v>
      </c>
      <c r="V7" s="132">
        <f>IF(SER_hh_tes_in!V7=0,0,11630*1000*SER_hh_tes_in!V7/SER_hh_num_in!V7)</f>
        <v>30795.66627693137</v>
      </c>
      <c r="W7" s="132">
        <f>IF(SER_hh_tes_in!W7=0,0,11630*1000*SER_hh_tes_in!W7/SER_hh_num_in!W7)</f>
        <v>25110.595380918941</v>
      </c>
      <c r="X7" s="132">
        <f>IF(SER_hh_tes_in!X7=0,0,11630*1000*SER_hh_tes_in!X7/SER_hh_num_in!X7)</f>
        <v>19567.23456604483</v>
      </c>
      <c r="Y7" s="132">
        <f>IF(SER_hh_tes_in!Y7=0,0,11630*1000*SER_hh_tes_in!Y7/SER_hh_num_in!Y7)</f>
        <v>18661.685953796714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70183.688314474915</v>
      </c>
      <c r="D8" s="132">
        <f>IF(SER_hh_tes_in!D8=0,0,11630*1000*SER_hh_tes_in!D8/SER_hh_num_in!D8)</f>
        <v>65322.299448752223</v>
      </c>
      <c r="E8" s="132">
        <f>IF(SER_hh_tes_in!E8=0,0,11630*1000*SER_hh_tes_in!E8/SER_hh_num_in!E8)</f>
        <v>74180.446985576942</v>
      </c>
      <c r="F8" s="132">
        <f>IF(SER_hh_tes_in!F8=0,0,11630*1000*SER_hh_tes_in!F8/SER_hh_num_in!F8)</f>
        <v>76046.982378388013</v>
      </c>
      <c r="G8" s="132">
        <f>IF(SER_hh_tes_in!G8=0,0,11630*1000*SER_hh_tes_in!G8/SER_hh_num_in!G8)</f>
        <v>66660.20618329478</v>
      </c>
      <c r="H8" s="132">
        <f>IF(SER_hh_tes_in!H8=0,0,11630*1000*SER_hh_tes_in!H8/SER_hh_num_in!H8)</f>
        <v>62537.831169406607</v>
      </c>
      <c r="I8" s="132">
        <f>IF(SER_hh_tes_in!I8=0,0,11630*1000*SER_hh_tes_in!I8/SER_hh_num_in!I8)</f>
        <v>65316.510177713608</v>
      </c>
      <c r="J8" s="132">
        <f>IF(SER_hh_tes_in!J8=0,0,11630*1000*SER_hh_tes_in!J8/SER_hh_num_in!J8)</f>
        <v>64812.802369505975</v>
      </c>
      <c r="K8" s="132">
        <f>IF(SER_hh_tes_in!K8=0,0,11630*1000*SER_hh_tes_in!K8/SER_hh_num_in!K8)</f>
        <v>63717.980826546947</v>
      </c>
      <c r="L8" s="132">
        <f>IF(SER_hh_tes_in!L8=0,0,11630*1000*SER_hh_tes_in!L8/SER_hh_num_in!L8)</f>
        <v>63510.057002041714</v>
      </c>
      <c r="M8" s="132">
        <f>IF(SER_hh_tes_in!M8=0,0,11630*1000*SER_hh_tes_in!M8/SER_hh_num_in!M8)</f>
        <v>62997.979998143521</v>
      </c>
      <c r="N8" s="132">
        <f>IF(SER_hh_tes_in!N8=0,0,11630*1000*SER_hh_tes_in!N8/SER_hh_num_in!N8)</f>
        <v>53541.341563779439</v>
      </c>
      <c r="O8" s="132">
        <f>IF(SER_hh_tes_in!O8=0,0,11630*1000*SER_hh_tes_in!O8/SER_hh_num_in!O8)</f>
        <v>44232.095271839549</v>
      </c>
      <c r="P8" s="132">
        <f>IF(SER_hh_tes_in!P8=0,0,11630*1000*SER_hh_tes_in!P8/SER_hh_num_in!P8)</f>
        <v>47357.482310141379</v>
      </c>
      <c r="Q8" s="132">
        <f>IF(SER_hh_tes_in!Q8=0,0,11630*1000*SER_hh_tes_in!Q8/SER_hh_num_in!Q8)</f>
        <v>49015.24300708418</v>
      </c>
      <c r="R8" s="132">
        <f>IF(SER_hh_tes_in!R8=0,0,11630*1000*SER_hh_tes_in!R8/SER_hh_num_in!R8)</f>
        <v>45329.940307980367</v>
      </c>
      <c r="S8" s="132">
        <f>IF(SER_hh_tes_in!S8=0,0,11630*1000*SER_hh_tes_in!S8/SER_hh_num_in!S8)</f>
        <v>41645.790656733989</v>
      </c>
      <c r="T8" s="132">
        <f>IF(SER_hh_tes_in!T8=0,0,11630*1000*SER_hh_tes_in!T8/SER_hh_num_in!T8)</f>
        <v>38925.27828320452</v>
      </c>
      <c r="U8" s="132">
        <f>IF(SER_hh_tes_in!U8=0,0,11630*1000*SER_hh_tes_in!U8/SER_hh_num_in!U8)</f>
        <v>34982.099979175597</v>
      </c>
      <c r="V8" s="132">
        <f>IF(SER_hh_tes_in!V8=0,0,11630*1000*SER_hh_tes_in!V8/SER_hh_num_in!V8)</f>
        <v>30283.432322239278</v>
      </c>
      <c r="W8" s="132">
        <f>IF(SER_hh_tes_in!W8=0,0,11630*1000*SER_hh_tes_in!W8/SER_hh_num_in!W8)</f>
        <v>26113.5960186177</v>
      </c>
      <c r="X8" s="132">
        <f>IF(SER_hh_tes_in!X8=0,0,11630*1000*SER_hh_tes_in!X8/SER_hh_num_in!X8)</f>
        <v>19175.578004382678</v>
      </c>
      <c r="Y8" s="132">
        <f>IF(SER_hh_tes_in!Y8=0,0,11630*1000*SER_hh_tes_in!Y8/SER_hh_num_in!Y8)</f>
        <v>20101.090814721516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69706.404387136048</v>
      </c>
      <c r="D9" s="132">
        <f>IF(SER_hh_tes_in!D9=0,0,11630*1000*SER_hh_tes_in!D9/SER_hh_num_in!D9)</f>
        <v>64372.929790748829</v>
      </c>
      <c r="E9" s="132">
        <f>IF(SER_hh_tes_in!E9=0,0,11630*1000*SER_hh_tes_in!E9/SER_hh_num_in!E9)</f>
        <v>69662.354165478682</v>
      </c>
      <c r="F9" s="132">
        <f>IF(SER_hh_tes_in!F9=0,0,11630*1000*SER_hh_tes_in!F9/SER_hh_num_in!F9)</f>
        <v>78015.73058071181</v>
      </c>
      <c r="G9" s="132">
        <f>IF(SER_hh_tes_in!G9=0,0,11630*1000*SER_hh_tes_in!G9/SER_hh_num_in!G9)</f>
        <v>69508.931700557019</v>
      </c>
      <c r="H9" s="132">
        <f>IF(SER_hh_tes_in!H9=0,0,11630*1000*SER_hh_tes_in!H9/SER_hh_num_in!H9)</f>
        <v>68422.415157009571</v>
      </c>
      <c r="I9" s="132">
        <f>IF(SER_hh_tes_in!I9=0,0,11630*1000*SER_hh_tes_in!I9/SER_hh_num_in!I9)</f>
        <v>57730.329862830346</v>
      </c>
      <c r="J9" s="132">
        <f>IF(SER_hh_tes_in!J9=0,0,11630*1000*SER_hh_tes_in!J9/SER_hh_num_in!J9)</f>
        <v>61949.589450062595</v>
      </c>
      <c r="K9" s="132">
        <f>IF(SER_hh_tes_in!K9=0,0,11630*1000*SER_hh_tes_in!K9/SER_hh_num_in!K9)</f>
        <v>63893.216039552331</v>
      </c>
      <c r="L9" s="132">
        <f>IF(SER_hh_tes_in!L9=0,0,11630*1000*SER_hh_tes_in!L9/SER_hh_num_in!L9)</f>
        <v>71997.972478766751</v>
      </c>
      <c r="M9" s="132">
        <f>IF(SER_hh_tes_in!M9=0,0,11630*1000*SER_hh_tes_in!M9/SER_hh_num_in!M9)</f>
        <v>53547.590024635851</v>
      </c>
      <c r="N9" s="132">
        <f>IF(SER_hh_tes_in!N9=0,0,11630*1000*SER_hh_tes_in!N9/SER_hh_num_in!N9)</f>
        <v>59117.757375979432</v>
      </c>
      <c r="O9" s="132">
        <f>IF(SER_hh_tes_in!O9=0,0,11630*1000*SER_hh_tes_in!O9/SER_hh_num_in!O9)</f>
        <v>58051.426620933846</v>
      </c>
      <c r="P9" s="132">
        <f>IF(SER_hh_tes_in!P9=0,0,11630*1000*SER_hh_tes_in!P9/SER_hh_num_in!P9)</f>
        <v>42197.523309738441</v>
      </c>
      <c r="Q9" s="132">
        <f>IF(SER_hh_tes_in!Q9=0,0,11630*1000*SER_hh_tes_in!Q9/SER_hh_num_in!Q9)</f>
        <v>44600.042539584872</v>
      </c>
      <c r="R9" s="132">
        <f>IF(SER_hh_tes_in!R9=0,0,11630*1000*SER_hh_tes_in!R9/SER_hh_num_in!R9)</f>
        <v>43315.593116051306</v>
      </c>
      <c r="S9" s="132">
        <f>IF(SER_hh_tes_in!S9=0,0,11630*1000*SER_hh_tes_in!S9/SER_hh_num_in!S9)</f>
        <v>41645.942296735695</v>
      </c>
      <c r="T9" s="132">
        <f>IF(SER_hh_tes_in!T9=0,0,11630*1000*SER_hh_tes_in!T9/SER_hh_num_in!T9)</f>
        <v>39321.175104218135</v>
      </c>
      <c r="U9" s="132">
        <f>IF(SER_hh_tes_in!U9=0,0,11630*1000*SER_hh_tes_in!U9/SER_hh_num_in!U9)</f>
        <v>34902.466142243524</v>
      </c>
      <c r="V9" s="132">
        <f>IF(SER_hh_tes_in!V9=0,0,11630*1000*SER_hh_tes_in!V9/SER_hh_num_in!V9)</f>
        <v>29453.48844589894</v>
      </c>
      <c r="W9" s="132">
        <f>IF(SER_hh_tes_in!W9=0,0,11630*1000*SER_hh_tes_in!W9/SER_hh_num_in!W9)</f>
        <v>27762.984409488945</v>
      </c>
      <c r="X9" s="132">
        <f>IF(SER_hh_tes_in!X9=0,0,11630*1000*SER_hh_tes_in!X9/SER_hh_num_in!X9)</f>
        <v>18384.740014583469</v>
      </c>
      <c r="Y9" s="132">
        <f>IF(SER_hh_tes_in!Y9=0,0,11630*1000*SER_hh_tes_in!Y9/SER_hh_num_in!Y9)</f>
        <v>18030.3921411837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72663.10206917653</v>
      </c>
      <c r="D10" s="132">
        <f>IF(SER_hh_tes_in!D10=0,0,11630*1000*SER_hh_tes_in!D10/SER_hh_num_in!D10)</f>
        <v>70562.293496935905</v>
      </c>
      <c r="E10" s="132">
        <f>IF(SER_hh_tes_in!E10=0,0,11630*1000*SER_hh_tes_in!E10/SER_hh_num_in!E10)</f>
        <v>67941.303756619091</v>
      </c>
      <c r="F10" s="132">
        <f>IF(SER_hh_tes_in!F10=0,0,11630*1000*SER_hh_tes_in!F10/SER_hh_num_in!F10)</f>
        <v>73116.564371063898</v>
      </c>
      <c r="G10" s="132">
        <f>IF(SER_hh_tes_in!G10=0,0,11630*1000*SER_hh_tes_in!G10/SER_hh_num_in!G10)</f>
        <v>65962.462289000352</v>
      </c>
      <c r="H10" s="132">
        <f>IF(SER_hh_tes_in!H10=0,0,11630*1000*SER_hh_tes_in!H10/SER_hh_num_in!H10)</f>
        <v>67322.033390691096</v>
      </c>
      <c r="I10" s="132">
        <f>IF(SER_hh_tes_in!I10=0,0,11630*1000*SER_hh_tes_in!I10/SER_hh_num_in!I10)</f>
        <v>62907.332200577875</v>
      </c>
      <c r="J10" s="132">
        <f>IF(SER_hh_tes_in!J10=0,0,11630*1000*SER_hh_tes_in!J10/SER_hh_num_in!J10)</f>
        <v>68945.832545172336</v>
      </c>
      <c r="K10" s="132">
        <f>IF(SER_hh_tes_in!K10=0,0,11630*1000*SER_hh_tes_in!K10/SER_hh_num_in!K10)</f>
        <v>64037.858847935786</v>
      </c>
      <c r="L10" s="132">
        <f>IF(SER_hh_tes_in!L10=0,0,11630*1000*SER_hh_tes_in!L10/SER_hh_num_in!L10)</f>
        <v>67309.671078076717</v>
      </c>
      <c r="M10" s="132">
        <f>IF(SER_hh_tes_in!M10=0,0,11630*1000*SER_hh_tes_in!M10/SER_hh_num_in!M10)</f>
        <v>59699.388133375265</v>
      </c>
      <c r="N10" s="132">
        <f>IF(SER_hh_tes_in!N10=0,0,11630*1000*SER_hh_tes_in!N10/SER_hh_num_in!N10)</f>
        <v>56930.915909310424</v>
      </c>
      <c r="O10" s="132">
        <f>IF(SER_hh_tes_in!O10=0,0,11630*1000*SER_hh_tes_in!O10/SER_hh_num_in!O10)</f>
        <v>52983.118707250287</v>
      </c>
      <c r="P10" s="132">
        <f>IF(SER_hh_tes_in!P10=0,0,11630*1000*SER_hh_tes_in!P10/SER_hh_num_in!P10)</f>
        <v>48281.577518540871</v>
      </c>
      <c r="Q10" s="132">
        <f>IF(SER_hh_tes_in!Q10=0,0,11630*1000*SER_hh_tes_in!Q10/SER_hh_num_in!Q10)</f>
        <v>42858.095857113593</v>
      </c>
      <c r="R10" s="132">
        <f>IF(SER_hh_tes_in!R10=0,0,11630*1000*SER_hh_tes_in!R10/SER_hh_num_in!R10)</f>
        <v>38840.728514786351</v>
      </c>
      <c r="S10" s="132">
        <f>IF(SER_hh_tes_in!S10=0,0,11630*1000*SER_hh_tes_in!S10/SER_hh_num_in!S10)</f>
        <v>43165.969660167742</v>
      </c>
      <c r="T10" s="132">
        <f>IF(SER_hh_tes_in!T10=0,0,11630*1000*SER_hh_tes_in!T10/SER_hh_num_in!T10)</f>
        <v>39523.606159815019</v>
      </c>
      <c r="U10" s="132">
        <f>IF(SER_hh_tes_in!U10=0,0,11630*1000*SER_hh_tes_in!U10/SER_hh_num_in!U10)</f>
        <v>37981.087678564902</v>
      </c>
      <c r="V10" s="132">
        <f>IF(SER_hh_tes_in!V10=0,0,11630*1000*SER_hh_tes_in!V10/SER_hh_num_in!V10)</f>
        <v>34951.744840627282</v>
      </c>
      <c r="W10" s="132">
        <f>IF(SER_hh_tes_in!W10=0,0,11630*1000*SER_hh_tes_in!W10/SER_hh_num_in!W10)</f>
        <v>26565.608232231854</v>
      </c>
      <c r="X10" s="132">
        <f>IF(SER_hh_tes_in!X10=0,0,11630*1000*SER_hh_tes_in!X10/SER_hh_num_in!X10)</f>
        <v>17082.086101777695</v>
      </c>
      <c r="Y10" s="132">
        <f>IF(SER_hh_tes_in!Y10=0,0,11630*1000*SER_hh_tes_in!Y10/SER_hh_num_in!Y10)</f>
        <v>19596.673661368328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59720.730524013488</v>
      </c>
      <c r="D12" s="132">
        <f>IF(SER_hh_tes_in!D12=0,0,11630*1000*SER_hh_tes_in!D12/SER_hh_num_in!D12)</f>
        <v>86223.244477186061</v>
      </c>
      <c r="E12" s="132">
        <f>IF(SER_hh_tes_in!E12=0,0,11630*1000*SER_hh_tes_in!E12/SER_hh_num_in!E12)</f>
        <v>71385.938582395625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54667.889457734047</v>
      </c>
      <c r="H12" s="132">
        <f>IF(SER_hh_tes_in!H12=0,0,11630*1000*SER_hh_tes_in!H12/SER_hh_num_in!H12)</f>
        <v>63052.288701604528</v>
      </c>
      <c r="I12" s="132">
        <f>IF(SER_hh_tes_in!I12=0,0,11630*1000*SER_hh_tes_in!I12/SER_hh_num_in!I12)</f>
        <v>70948.040636328107</v>
      </c>
      <c r="J12" s="132">
        <f>IF(SER_hh_tes_in!J12=0,0,11630*1000*SER_hh_tes_in!J12/SER_hh_num_in!J12)</f>
        <v>62002.137928377386</v>
      </c>
      <c r="K12" s="132">
        <f>IF(SER_hh_tes_in!K12=0,0,11630*1000*SER_hh_tes_in!K12/SER_hh_num_in!K12)</f>
        <v>73797.630414717365</v>
      </c>
      <c r="L12" s="132">
        <f>IF(SER_hh_tes_in!L12=0,0,11630*1000*SER_hh_tes_in!L12/SER_hh_num_in!L12)</f>
        <v>68727.008282414259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41806.196777804558</v>
      </c>
      <c r="R12" s="132">
        <f>IF(SER_hh_tes_in!R12=0,0,11630*1000*SER_hh_tes_in!R12/SER_hh_num_in!R12)</f>
        <v>39052.123043610824</v>
      </c>
      <c r="S12" s="132">
        <f>IF(SER_hh_tes_in!S12=0,0,11630*1000*SER_hh_tes_in!S12/SER_hh_num_in!S12)</f>
        <v>46983.370015291512</v>
      </c>
      <c r="T12" s="132">
        <f>IF(SER_hh_tes_in!T12=0,0,11630*1000*SER_hh_tes_in!T12/SER_hh_num_in!T12)</f>
        <v>36901.122716777929</v>
      </c>
      <c r="U12" s="132">
        <f>IF(SER_hh_tes_in!U12=0,0,11630*1000*SER_hh_tes_in!U12/SER_hh_num_in!U12)</f>
        <v>37860.681824140338</v>
      </c>
      <c r="V12" s="132">
        <f>IF(SER_hh_tes_in!V12=0,0,11630*1000*SER_hh_tes_in!V12/SER_hh_num_in!V12)</f>
        <v>34341.599340696099</v>
      </c>
      <c r="W12" s="132">
        <f>IF(SER_hh_tes_in!W12=0,0,11630*1000*SER_hh_tes_in!W12/SER_hh_num_in!W12)</f>
        <v>24414.688830758227</v>
      </c>
      <c r="X12" s="132">
        <f>IF(SER_hh_tes_in!X12=0,0,11630*1000*SER_hh_tes_in!X12/SER_hh_num_in!X12)</f>
        <v>21193.915101841689</v>
      </c>
      <c r="Y12" s="132">
        <f>IF(SER_hh_tes_in!Y12=0,0,11630*1000*SER_hh_tes_in!Y12/SER_hh_num_in!Y12)</f>
        <v>18067.79297262102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66724.703962459462</v>
      </c>
      <c r="D13" s="132">
        <f>IF(SER_hh_tes_in!D13=0,0,11630*1000*SER_hh_tes_in!D13/SER_hh_num_in!D13)</f>
        <v>68036.392805458265</v>
      </c>
      <c r="E13" s="132">
        <f>IF(SER_hh_tes_in!E13=0,0,11630*1000*SER_hh_tes_in!E13/SER_hh_num_in!E13)</f>
        <v>63582.143268106774</v>
      </c>
      <c r="F13" s="132">
        <f>IF(SER_hh_tes_in!F13=0,0,11630*1000*SER_hh_tes_in!F13/SER_hh_num_in!F13)</f>
        <v>69825.016862194199</v>
      </c>
      <c r="G13" s="132">
        <f>IF(SER_hh_tes_in!G13=0,0,11630*1000*SER_hh_tes_in!G13/SER_hh_num_in!G13)</f>
        <v>68503.165102362211</v>
      </c>
      <c r="H13" s="132">
        <f>IF(SER_hh_tes_in!H13=0,0,11630*1000*SER_hh_tes_in!H13/SER_hh_num_in!H13)</f>
        <v>63378.047817661842</v>
      </c>
      <c r="I13" s="132">
        <f>IF(SER_hh_tes_in!I13=0,0,11630*1000*SER_hh_tes_in!I13/SER_hh_num_in!I13)</f>
        <v>63250.690969089315</v>
      </c>
      <c r="J13" s="132">
        <f>IF(SER_hh_tes_in!J13=0,0,11630*1000*SER_hh_tes_in!J13/SER_hh_num_in!J13)</f>
        <v>65258.697434265181</v>
      </c>
      <c r="K13" s="132">
        <f>IF(SER_hh_tes_in!K13=0,0,11630*1000*SER_hh_tes_in!K13/SER_hh_num_in!K13)</f>
        <v>65033.920718623493</v>
      </c>
      <c r="L13" s="132">
        <f>IF(SER_hh_tes_in!L13=0,0,11630*1000*SER_hh_tes_in!L13/SER_hh_num_in!L13)</f>
        <v>65155.619724541939</v>
      </c>
      <c r="M13" s="132">
        <f>IF(SER_hh_tes_in!M13=0,0,11630*1000*SER_hh_tes_in!M13/SER_hh_num_in!M13)</f>
        <v>60911.880893299152</v>
      </c>
      <c r="N13" s="132">
        <f>IF(SER_hh_tes_in!N13=0,0,11630*1000*SER_hh_tes_in!N13/SER_hh_num_in!N13)</f>
        <v>57165.526962219199</v>
      </c>
      <c r="O13" s="132">
        <f>IF(SER_hh_tes_in!O13=0,0,11630*1000*SER_hh_tes_in!O13/SER_hh_num_in!O13)</f>
        <v>53075.810891123343</v>
      </c>
      <c r="P13" s="132">
        <f>IF(SER_hh_tes_in!P13=0,0,11630*1000*SER_hh_tes_in!P13/SER_hh_num_in!P13)</f>
        <v>47443.399230371957</v>
      </c>
      <c r="Q13" s="132">
        <f>IF(SER_hh_tes_in!Q13=0,0,11630*1000*SER_hh_tes_in!Q13/SER_hh_num_in!Q13)</f>
        <v>45387.199002048466</v>
      </c>
      <c r="R13" s="132">
        <f>IF(SER_hh_tes_in!R13=0,0,11630*1000*SER_hh_tes_in!R13/SER_hh_num_in!R13)</f>
        <v>43378.138790293386</v>
      </c>
      <c r="S13" s="132">
        <f>IF(SER_hh_tes_in!S13=0,0,11630*1000*SER_hh_tes_in!S13/SER_hh_num_in!S13)</f>
        <v>41869.669263706048</v>
      </c>
      <c r="T13" s="132">
        <f>IF(SER_hh_tes_in!T13=0,0,11630*1000*SER_hh_tes_in!T13/SER_hh_num_in!T13)</f>
        <v>39345.143441203865</v>
      </c>
      <c r="U13" s="132">
        <f>IF(SER_hh_tes_in!U13=0,0,11630*1000*SER_hh_tes_in!U13/SER_hh_num_in!U13)</f>
        <v>35766.53945000541</v>
      </c>
      <c r="V13" s="132">
        <f>IF(SER_hh_tes_in!V13=0,0,11630*1000*SER_hh_tes_in!V13/SER_hh_num_in!V13)</f>
        <v>31673.583918871002</v>
      </c>
      <c r="W13" s="132">
        <f>IF(SER_hh_tes_in!W13=0,0,11630*1000*SER_hh_tes_in!W13/SER_hh_num_in!W13)</f>
        <v>25606.62856691064</v>
      </c>
      <c r="X13" s="132">
        <f>IF(SER_hh_tes_in!X13=0,0,11630*1000*SER_hh_tes_in!X13/SER_hh_num_in!X13)</f>
        <v>19456.783918305584</v>
      </c>
      <c r="Y13" s="132">
        <f>IF(SER_hh_tes_in!Y13=0,0,11630*1000*SER_hh_tes_in!Y13/SER_hh_num_in!Y13)</f>
        <v>19880.53895262018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71043.37886356737</v>
      </c>
      <c r="D14" s="65">
        <f>IF(SER_hh_tes_in!D14=0,0,11630*1000*SER_hh_tes_in!D14/SER_hh_num_in!D14)</f>
        <v>67441.369685372803</v>
      </c>
      <c r="E14" s="65">
        <f>IF(SER_hh_tes_in!E14=0,0,11630*1000*SER_hh_tes_in!E14/SER_hh_num_in!E14)</f>
        <v>72200.185296007869</v>
      </c>
      <c r="F14" s="65">
        <f>IF(SER_hh_tes_in!F14=0,0,11630*1000*SER_hh_tes_in!F14/SER_hh_num_in!F14)</f>
        <v>75270.262069281307</v>
      </c>
      <c r="G14" s="65">
        <f>IF(SER_hh_tes_in!G14=0,0,11630*1000*SER_hh_tes_in!G14/SER_hh_num_in!G14)</f>
        <v>70310.192647719479</v>
      </c>
      <c r="H14" s="65">
        <f>IF(SER_hh_tes_in!H14=0,0,11630*1000*SER_hh_tes_in!H14/SER_hh_num_in!H14)</f>
        <v>68301.571787723922</v>
      </c>
      <c r="I14" s="65">
        <f>IF(SER_hh_tes_in!I14=0,0,11630*1000*SER_hh_tes_in!I14/SER_hh_num_in!I14)</f>
        <v>66141.97453324472</v>
      </c>
      <c r="J14" s="65">
        <f>IF(SER_hh_tes_in!J14=0,0,11630*1000*SER_hh_tes_in!J14/SER_hh_num_in!J14)</f>
        <v>63868.092046946564</v>
      </c>
      <c r="K14" s="65">
        <f>IF(SER_hh_tes_in!K14=0,0,11630*1000*SER_hh_tes_in!K14/SER_hh_num_in!K14)</f>
        <v>66498.057433566544</v>
      </c>
      <c r="L14" s="65">
        <f>IF(SER_hh_tes_in!L14=0,0,11630*1000*SER_hh_tes_in!L14/SER_hh_num_in!L14)</f>
        <v>64894.150326932933</v>
      </c>
      <c r="M14" s="65">
        <f>IF(SER_hh_tes_in!M14=0,0,11630*1000*SER_hh_tes_in!M14/SER_hh_num_in!M14)</f>
        <v>61215.564117874295</v>
      </c>
      <c r="N14" s="65">
        <f>IF(SER_hh_tes_in!N14=0,0,11630*1000*SER_hh_tes_in!N14/SER_hh_num_in!N14)</f>
        <v>58766.922890660055</v>
      </c>
      <c r="O14" s="65">
        <f>IF(SER_hh_tes_in!O14=0,0,11630*1000*SER_hh_tes_in!O14/SER_hh_num_in!O14)</f>
        <v>59405.751455602345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40024.978822586963</v>
      </c>
      <c r="S14" s="65">
        <f>IF(SER_hh_tes_in!S14=0,0,11630*1000*SER_hh_tes_in!S14/SER_hh_num_in!S14)</f>
        <v>42501.066129766361</v>
      </c>
      <c r="T14" s="65">
        <f>IF(SER_hh_tes_in!T14=0,0,11630*1000*SER_hh_tes_in!T14/SER_hh_num_in!T14)</f>
        <v>43482.037633316366</v>
      </c>
      <c r="U14" s="65">
        <f>IF(SER_hh_tes_in!U14=0,0,11630*1000*SER_hh_tes_in!U14/SER_hh_num_in!U14)</f>
        <v>35190.467491044452</v>
      </c>
      <c r="V14" s="65">
        <f>IF(SER_hh_tes_in!V14=0,0,11630*1000*SER_hh_tes_in!V14/SER_hh_num_in!V14)</f>
        <v>26582.780916972497</v>
      </c>
      <c r="W14" s="65">
        <f>IF(SER_hh_tes_in!W14=0,0,11630*1000*SER_hh_tes_in!W14/SER_hh_num_in!W14)</f>
        <v>25204.268017144477</v>
      </c>
      <c r="X14" s="65">
        <f>IF(SER_hh_tes_in!X14=0,0,11630*1000*SER_hh_tes_in!X14/SER_hh_num_in!X14)</f>
        <v>20616.389922678074</v>
      </c>
      <c r="Y14" s="65">
        <f>IF(SER_hh_tes_in!Y14=0,0,11630*1000*SER_hh_tes_in!Y14/SER_hh_num_in!Y14)</f>
        <v>19237.706731528229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1139.5447333465077</v>
      </c>
      <c r="D15" s="134">
        <f>IF(SER_hh_tes_in!D15=0,0,11630*1000*SER_hh_tes_in!D15/SER_hh_num_in!D15)</f>
        <v>1094.162176700881</v>
      </c>
      <c r="E15" s="134">
        <f>IF(SER_hh_tes_in!E15=0,0,11630*1000*SER_hh_tes_in!E15/SER_hh_num_in!E15)</f>
        <v>1221.33206410003</v>
      </c>
      <c r="F15" s="134">
        <f>IF(SER_hh_tes_in!F15=0,0,11630*1000*SER_hh_tes_in!F15/SER_hh_num_in!F15)</f>
        <v>1406.3424725231646</v>
      </c>
      <c r="G15" s="134">
        <f>IF(SER_hh_tes_in!G15=0,0,11630*1000*SER_hh_tes_in!G15/SER_hh_num_in!G15)</f>
        <v>1174.2941689814554</v>
      </c>
      <c r="H15" s="134">
        <f>IF(SER_hh_tes_in!H15=0,0,11630*1000*SER_hh_tes_in!H15/SER_hh_num_in!H15)</f>
        <v>1097.563851666981</v>
      </c>
      <c r="I15" s="134">
        <f>IF(SER_hh_tes_in!I15=0,0,11630*1000*SER_hh_tes_in!I15/SER_hh_num_in!I15)</f>
        <v>923.93085682106266</v>
      </c>
      <c r="J15" s="134">
        <f>IF(SER_hh_tes_in!J15=0,0,11630*1000*SER_hh_tes_in!J15/SER_hh_num_in!J15)</f>
        <v>986.91383449642012</v>
      </c>
      <c r="K15" s="134">
        <f>IF(SER_hh_tes_in!K15=0,0,11630*1000*SER_hh_tes_in!K15/SER_hh_num_in!K15)</f>
        <v>994.71835409601442</v>
      </c>
      <c r="L15" s="134">
        <f>IF(SER_hh_tes_in!L15=0,0,11630*1000*SER_hh_tes_in!L15/SER_hh_num_in!L15)</f>
        <v>1188.2106844463667</v>
      </c>
      <c r="M15" s="134">
        <f>IF(SER_hh_tes_in!M15=0,0,11630*1000*SER_hh_tes_in!M15/SER_hh_num_in!M15)</f>
        <v>898.41856214817881</v>
      </c>
      <c r="N15" s="134">
        <f>IF(SER_hh_tes_in!N15=0,0,11630*1000*SER_hh_tes_in!N15/SER_hh_num_in!N15)</f>
        <v>967.22292340804916</v>
      </c>
      <c r="O15" s="134">
        <f>IF(SER_hh_tes_in!O15=0,0,11630*1000*SER_hh_tes_in!O15/SER_hh_num_in!O15)</f>
        <v>931.35473209152258</v>
      </c>
      <c r="P15" s="134">
        <f>IF(SER_hh_tes_in!P15=0,0,11630*1000*SER_hh_tes_in!P15/SER_hh_num_in!P15)</f>
        <v>670.40487183070286</v>
      </c>
      <c r="Q15" s="134">
        <f>IF(SER_hh_tes_in!Q15=0,0,11630*1000*SER_hh_tes_in!Q15/SER_hh_num_in!Q15)</f>
        <v>670.16909301639942</v>
      </c>
      <c r="R15" s="134">
        <f>IF(SER_hh_tes_in!R15=0,0,11630*1000*SER_hh_tes_in!R15/SER_hh_num_in!R15)</f>
        <v>601.1887563695135</v>
      </c>
      <c r="S15" s="134">
        <f>IF(SER_hh_tes_in!S15=0,0,11630*1000*SER_hh_tes_in!S15/SER_hh_num_in!S15)</f>
        <v>550.29403319111532</v>
      </c>
      <c r="T15" s="134">
        <f>IF(SER_hh_tes_in!T15=0,0,11630*1000*SER_hh_tes_in!T15/SER_hh_num_in!T15)</f>
        <v>526.53428214652865</v>
      </c>
      <c r="U15" s="134">
        <f>IF(SER_hh_tes_in!U15=0,0,11630*1000*SER_hh_tes_in!U15/SER_hh_num_in!U15)</f>
        <v>479.52669303923994</v>
      </c>
      <c r="V15" s="134">
        <f>IF(SER_hh_tes_in!V15=0,0,11630*1000*SER_hh_tes_in!V15/SER_hh_num_in!V15)</f>
        <v>427.91410036802864</v>
      </c>
      <c r="W15" s="134">
        <f>IF(SER_hh_tes_in!W15=0,0,11630*1000*SER_hh_tes_in!W15/SER_hh_num_in!W15)</f>
        <v>378.20641307310149</v>
      </c>
      <c r="X15" s="134">
        <f>IF(SER_hh_tes_in!X15=0,0,11630*1000*SER_hh_tes_in!X15/SER_hh_num_in!X15)</f>
        <v>247.05502195615924</v>
      </c>
      <c r="Y15" s="134">
        <f>IF(SER_hh_tes_in!Y15=0,0,11630*1000*SER_hh_tes_in!Y15/SER_hh_num_in!Y15)</f>
        <v>257.65472215130831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25747.909229424768</v>
      </c>
      <c r="D16" s="130">
        <f>IF(SER_hh_tes_in!D16=0,0,11630*1000*SER_hh_tes_in!D16/SER_hh_num_in!D16)</f>
        <v>25326.233929171216</v>
      </c>
      <c r="E16" s="130">
        <f>IF(SER_hh_tes_in!E16=0,0,11630*1000*SER_hh_tes_in!E16/SER_hh_num_in!E16)</f>
        <v>27580.615052265352</v>
      </c>
      <c r="F16" s="130">
        <f>IF(SER_hh_tes_in!F16=0,0,11630*1000*SER_hh_tes_in!F16/SER_hh_num_in!F16)</f>
        <v>24954.999406915776</v>
      </c>
      <c r="G16" s="130">
        <f>IF(SER_hh_tes_in!G16=0,0,11630*1000*SER_hh_tes_in!G16/SER_hh_num_in!G16)</f>
        <v>24461.686741818885</v>
      </c>
      <c r="H16" s="130">
        <f>IF(SER_hh_tes_in!H16=0,0,11630*1000*SER_hh_tes_in!H16/SER_hh_num_in!H16)</f>
        <v>26623.807366596473</v>
      </c>
      <c r="I16" s="130">
        <f>IF(SER_hh_tes_in!I16=0,0,11630*1000*SER_hh_tes_in!I16/SER_hh_num_in!I16)</f>
        <v>24215.024566649801</v>
      </c>
      <c r="J16" s="130">
        <f>IF(SER_hh_tes_in!J16=0,0,11630*1000*SER_hh_tes_in!J16/SER_hh_num_in!J16)</f>
        <v>24072.841829951532</v>
      </c>
      <c r="K16" s="130">
        <f>IF(SER_hh_tes_in!K16=0,0,11630*1000*SER_hh_tes_in!K16/SER_hh_num_in!K16)</f>
        <v>23761.420359688251</v>
      </c>
      <c r="L16" s="130">
        <f>IF(SER_hh_tes_in!L16=0,0,11630*1000*SER_hh_tes_in!L16/SER_hh_num_in!L16)</f>
        <v>24221.016873626009</v>
      </c>
      <c r="M16" s="130">
        <f>IF(SER_hh_tes_in!M16=0,0,11630*1000*SER_hh_tes_in!M16/SER_hh_num_in!M16)</f>
        <v>23096.048579494505</v>
      </c>
      <c r="N16" s="130">
        <f>IF(SER_hh_tes_in!N16=0,0,11630*1000*SER_hh_tes_in!N16/SER_hh_num_in!N16)</f>
        <v>22745.218906415106</v>
      </c>
      <c r="O16" s="130">
        <f>IF(SER_hh_tes_in!O16=0,0,11630*1000*SER_hh_tes_in!O16/SER_hh_num_in!O16)</f>
        <v>22343.06929029891</v>
      </c>
      <c r="P16" s="130">
        <f>IF(SER_hh_tes_in!P16=0,0,11630*1000*SER_hh_tes_in!P16/SER_hh_num_in!P16)</f>
        <v>21504.759688677557</v>
      </c>
      <c r="Q16" s="130">
        <f>IF(SER_hh_tes_in!Q16=0,0,11630*1000*SER_hh_tes_in!Q16/SER_hh_num_in!Q16)</f>
        <v>21909.447926783629</v>
      </c>
      <c r="R16" s="130">
        <f>IF(SER_hh_tes_in!R16=0,0,11630*1000*SER_hh_tes_in!R16/SER_hh_num_in!R16)</f>
        <v>20702.917053993919</v>
      </c>
      <c r="S16" s="130">
        <f>IF(SER_hh_tes_in!S16=0,0,11630*1000*SER_hh_tes_in!S16/SER_hh_num_in!S16)</f>
        <v>19601.319502958024</v>
      </c>
      <c r="T16" s="130">
        <f>IF(SER_hh_tes_in!T16=0,0,11630*1000*SER_hh_tes_in!T16/SER_hh_num_in!T16)</f>
        <v>20811.77571389014</v>
      </c>
      <c r="U16" s="130">
        <f>IF(SER_hh_tes_in!U16=0,0,11630*1000*SER_hh_tes_in!U16/SER_hh_num_in!U16)</f>
        <v>19607.550373704729</v>
      </c>
      <c r="V16" s="130">
        <f>IF(SER_hh_tes_in!V16=0,0,11630*1000*SER_hh_tes_in!V16/SER_hh_num_in!V16)</f>
        <v>18135.152193752081</v>
      </c>
      <c r="W16" s="130">
        <f>IF(SER_hh_tes_in!W16=0,0,11630*1000*SER_hh_tes_in!W16/SER_hh_num_in!W16)</f>
        <v>14785.689088742414</v>
      </c>
      <c r="X16" s="130">
        <f>IF(SER_hh_tes_in!X16=0,0,11630*1000*SER_hh_tes_in!X16/SER_hh_num_in!X16)</f>
        <v>13563.747132918354</v>
      </c>
      <c r="Y16" s="130">
        <f>IF(SER_hh_tes_in!Y16=0,0,11630*1000*SER_hh_tes_in!Y16/SER_hh_num_in!Y16)</f>
        <v>13388.893078506562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25745.386745428128</v>
      </c>
      <c r="D17" s="132">
        <f>IF(SER_hh_tes_in!D17=0,0,11630*1000*SER_hh_tes_in!D17/SER_hh_num_in!D17)</f>
        <v>25333.751440625398</v>
      </c>
      <c r="E17" s="132">
        <f>IF(SER_hh_tes_in!E17=0,0,11630*1000*SER_hh_tes_in!E17/SER_hh_num_in!E17)</f>
        <v>27586.250550553912</v>
      </c>
      <c r="F17" s="132">
        <f>IF(SER_hh_tes_in!F17=0,0,11630*1000*SER_hh_tes_in!F17/SER_hh_num_in!F17)</f>
        <v>24960.883729606598</v>
      </c>
      <c r="G17" s="132">
        <f>IF(SER_hh_tes_in!G17=0,0,11630*1000*SER_hh_tes_in!G17/SER_hh_num_in!G17)</f>
        <v>24476.091696144478</v>
      </c>
      <c r="H17" s="132">
        <f>IF(SER_hh_tes_in!H17=0,0,11630*1000*SER_hh_tes_in!H17/SER_hh_num_in!H17)</f>
        <v>26694.173735051943</v>
      </c>
      <c r="I17" s="132">
        <f>IF(SER_hh_tes_in!I17=0,0,11630*1000*SER_hh_tes_in!I17/SER_hh_num_in!I17)</f>
        <v>24320.496876534195</v>
      </c>
      <c r="J17" s="132">
        <f>IF(SER_hh_tes_in!J17=0,0,11630*1000*SER_hh_tes_in!J17/SER_hh_num_in!J17)</f>
        <v>24162.50673209154</v>
      </c>
      <c r="K17" s="132">
        <f>IF(SER_hh_tes_in!K17=0,0,11630*1000*SER_hh_tes_in!K17/SER_hh_num_in!K17)</f>
        <v>23820.822827254146</v>
      </c>
      <c r="L17" s="132">
        <f>IF(SER_hh_tes_in!L17=0,0,11630*1000*SER_hh_tes_in!L17/SER_hh_num_in!L17)</f>
        <v>24271.901650285137</v>
      </c>
      <c r="M17" s="132">
        <f>IF(SER_hh_tes_in!M17=0,0,11630*1000*SER_hh_tes_in!M17/SER_hh_num_in!M17)</f>
        <v>23142.843993083025</v>
      </c>
      <c r="N17" s="132">
        <f>IF(SER_hh_tes_in!N17=0,0,11630*1000*SER_hh_tes_in!N17/SER_hh_num_in!N17)</f>
        <v>22774.706062181911</v>
      </c>
      <c r="O17" s="132">
        <f>IF(SER_hh_tes_in!O17=0,0,11630*1000*SER_hh_tes_in!O17/SER_hh_num_in!O17)</f>
        <v>22342.82490846037</v>
      </c>
      <c r="P17" s="132">
        <f>IF(SER_hh_tes_in!P17=0,0,11630*1000*SER_hh_tes_in!P17/SER_hh_num_in!P17)</f>
        <v>21496.940006254419</v>
      </c>
      <c r="Q17" s="132">
        <f>IF(SER_hh_tes_in!Q17=0,0,11630*1000*SER_hh_tes_in!Q17/SER_hh_num_in!Q17)</f>
        <v>21796.253180314296</v>
      </c>
      <c r="R17" s="132">
        <f>IF(SER_hh_tes_in!R17=0,0,11630*1000*SER_hh_tes_in!R17/SER_hh_num_in!R17)</f>
        <v>20950.680913717904</v>
      </c>
      <c r="S17" s="132">
        <f>IF(SER_hh_tes_in!S17=0,0,11630*1000*SER_hh_tes_in!S17/SER_hh_num_in!S17)</f>
        <v>20809.466454125959</v>
      </c>
      <c r="T17" s="132">
        <f>IF(SER_hh_tes_in!T17=0,0,11630*1000*SER_hh_tes_in!T17/SER_hh_num_in!T17)</f>
        <v>20512.717469296993</v>
      </c>
      <c r="U17" s="132">
        <f>IF(SER_hh_tes_in!U17=0,0,11630*1000*SER_hh_tes_in!U17/SER_hh_num_in!U17)</f>
        <v>19717.839529932084</v>
      </c>
      <c r="V17" s="132">
        <f>IF(SER_hh_tes_in!V17=0,0,11630*1000*SER_hh_tes_in!V17/SER_hh_num_in!V17)</f>
        <v>19145.943186238095</v>
      </c>
      <c r="W17" s="132">
        <f>IF(SER_hh_tes_in!W17=0,0,11630*1000*SER_hh_tes_in!W17/SER_hh_num_in!W17)</f>
        <v>18061.9746488542</v>
      </c>
      <c r="X17" s="132">
        <f>IF(SER_hh_tes_in!X17=0,0,11630*1000*SER_hh_tes_in!X17/SER_hh_num_in!X17)</f>
        <v>13724.465830539672</v>
      </c>
      <c r="Y17" s="132">
        <f>IF(SER_hh_tes_in!Y17=0,0,11630*1000*SER_hh_tes_in!Y17/SER_hh_num_in!Y17)</f>
        <v>13359.190785533949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25747.915862712794</v>
      </c>
      <c r="D18" s="132">
        <f>IF(SER_hh_tes_in!D18=0,0,11630*1000*SER_hh_tes_in!D18/SER_hh_num_in!D18)</f>
        <v>25326.204057888019</v>
      </c>
      <c r="E18" s="132">
        <f>IF(SER_hh_tes_in!E18=0,0,11630*1000*SER_hh_tes_in!E18/SER_hh_num_in!E18)</f>
        <v>27580.598696419973</v>
      </c>
      <c r="F18" s="132">
        <f>IF(SER_hh_tes_in!F18=0,0,11630*1000*SER_hh_tes_in!F18/SER_hh_num_in!F18)</f>
        <v>24954.960707242833</v>
      </c>
      <c r="G18" s="132">
        <f>IF(SER_hh_tes_in!G18=0,0,11630*1000*SER_hh_tes_in!G18/SER_hh_num_in!G18)</f>
        <v>24461.623360255249</v>
      </c>
      <c r="H18" s="132">
        <f>IF(SER_hh_tes_in!H18=0,0,11630*1000*SER_hh_tes_in!H18/SER_hh_num_in!H18)</f>
        <v>26623.391653706974</v>
      </c>
      <c r="I18" s="132">
        <f>IF(SER_hh_tes_in!I18=0,0,11630*1000*SER_hh_tes_in!I18/SER_hh_num_in!I18)</f>
        <v>24214.2873563588</v>
      </c>
      <c r="J18" s="132">
        <f>IF(SER_hh_tes_in!J18=0,0,11630*1000*SER_hh_tes_in!J18/SER_hh_num_in!J18)</f>
        <v>24072.200989883419</v>
      </c>
      <c r="K18" s="132">
        <f>IF(SER_hh_tes_in!K18=0,0,11630*1000*SER_hh_tes_in!K18/SER_hh_num_in!K18)</f>
        <v>23760.999310424722</v>
      </c>
      <c r="L18" s="132">
        <f>IF(SER_hh_tes_in!L18=0,0,11630*1000*SER_hh_tes_in!L18/SER_hh_num_in!L18)</f>
        <v>24220.673416533231</v>
      </c>
      <c r="M18" s="132">
        <f>IF(SER_hh_tes_in!M18=0,0,11630*1000*SER_hh_tes_in!M18/SER_hh_num_in!M18)</f>
        <v>23095.675952805366</v>
      </c>
      <c r="N18" s="132">
        <f>IF(SER_hh_tes_in!N18=0,0,11630*1000*SER_hh_tes_in!N18/SER_hh_num_in!N18)</f>
        <v>22744.895865907205</v>
      </c>
      <c r="O18" s="132">
        <f>IF(SER_hh_tes_in!O18=0,0,11630*1000*SER_hh_tes_in!O18/SER_hh_num_in!O18)</f>
        <v>22343.073508256959</v>
      </c>
      <c r="P18" s="132">
        <f>IF(SER_hh_tes_in!P18=0,0,11630*1000*SER_hh_tes_in!P18/SER_hh_num_in!P18)</f>
        <v>21504.97093002457</v>
      </c>
      <c r="Q18" s="132">
        <f>IF(SER_hh_tes_in!Q18=0,0,11630*1000*SER_hh_tes_in!Q18/SER_hh_num_in!Q18)</f>
        <v>21913.232495269171</v>
      </c>
      <c r="R18" s="132">
        <f>IF(SER_hh_tes_in!R18=0,0,11630*1000*SER_hh_tes_in!R18/SER_hh_num_in!R18)</f>
        <v>20694.159373305432</v>
      </c>
      <c r="S18" s="132">
        <f>IF(SER_hh_tes_in!S18=0,0,11630*1000*SER_hh_tes_in!S18/SER_hh_num_in!S18)</f>
        <v>19567.669855929114</v>
      </c>
      <c r="T18" s="132">
        <f>IF(SER_hh_tes_in!T18=0,0,11630*1000*SER_hh_tes_in!T18/SER_hh_num_in!T18)</f>
        <v>20819.595733550639</v>
      </c>
      <c r="U18" s="132">
        <f>IF(SER_hh_tes_in!U18=0,0,11630*1000*SER_hh_tes_in!U18/SER_hh_num_in!U18)</f>
        <v>19604.746711299318</v>
      </c>
      <c r="V18" s="132">
        <f>IF(SER_hh_tes_in!V18=0,0,11630*1000*SER_hh_tes_in!V18/SER_hh_num_in!V18)</f>
        <v>18112.500588293831</v>
      </c>
      <c r="W18" s="132">
        <f>IF(SER_hh_tes_in!W18=0,0,11630*1000*SER_hh_tes_in!W18/SER_hh_num_in!W18)</f>
        <v>14721.101729406126</v>
      </c>
      <c r="X18" s="132">
        <f>IF(SER_hh_tes_in!X18=0,0,11630*1000*SER_hh_tes_in!X18/SER_hh_num_in!X18)</f>
        <v>13559.060540947085</v>
      </c>
      <c r="Y18" s="132">
        <f>IF(SER_hh_tes_in!Y18=0,0,11630*1000*SER_hh_tes_in!Y18/SER_hh_num_in!Y18)</f>
        <v>13389.709394374126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15212.335347554354</v>
      </c>
      <c r="D19" s="130">
        <f>IF(SER_hh_tes_in!D19=0,0,11630*1000*SER_hh_tes_in!D19/SER_hh_num_in!D19)</f>
        <v>15200.192894688815</v>
      </c>
      <c r="E19" s="130">
        <f>IF(SER_hh_tes_in!E19=0,0,11630*1000*SER_hh_tes_in!E19/SER_hh_num_in!E19)</f>
        <v>15010.967250223304</v>
      </c>
      <c r="F19" s="130">
        <f>IF(SER_hh_tes_in!F19=0,0,11630*1000*SER_hh_tes_in!F19/SER_hh_num_in!F19)</f>
        <v>15038.83518813547</v>
      </c>
      <c r="G19" s="130">
        <f>IF(SER_hh_tes_in!G19=0,0,11630*1000*SER_hh_tes_in!G19/SER_hh_num_in!G19)</f>
        <v>14794.978465747537</v>
      </c>
      <c r="H19" s="130">
        <f>IF(SER_hh_tes_in!H19=0,0,11630*1000*SER_hh_tes_in!H19/SER_hh_num_in!H19)</f>
        <v>14368.939144850605</v>
      </c>
      <c r="I19" s="130">
        <f>IF(SER_hh_tes_in!I19=0,0,11630*1000*SER_hh_tes_in!I19/SER_hh_num_in!I19)</f>
        <v>13892.425398940461</v>
      </c>
      <c r="J19" s="130">
        <f>IF(SER_hh_tes_in!J19=0,0,11630*1000*SER_hh_tes_in!J19/SER_hh_num_in!J19)</f>
        <v>13611.964740850937</v>
      </c>
      <c r="K19" s="130">
        <f>IF(SER_hh_tes_in!K19=0,0,11630*1000*SER_hh_tes_in!K19/SER_hh_num_in!K19)</f>
        <v>13696.487677752204</v>
      </c>
      <c r="L19" s="130">
        <f>IF(SER_hh_tes_in!L19=0,0,11630*1000*SER_hh_tes_in!L19/SER_hh_num_in!L19)</f>
        <v>13531.569164541539</v>
      </c>
      <c r="M19" s="130">
        <f>IF(SER_hh_tes_in!M19=0,0,11630*1000*SER_hh_tes_in!M19/SER_hh_num_in!M19)</f>
        <v>13370.343674497612</v>
      </c>
      <c r="N19" s="130">
        <f>IF(SER_hh_tes_in!N19=0,0,11630*1000*SER_hh_tes_in!N19/SER_hh_num_in!N19)</f>
        <v>13411.079281311111</v>
      </c>
      <c r="O19" s="130">
        <f>IF(SER_hh_tes_in!O19=0,0,11630*1000*SER_hh_tes_in!O19/SER_hh_num_in!O19)</f>
        <v>13286.102848849379</v>
      </c>
      <c r="P19" s="130">
        <f>IF(SER_hh_tes_in!P19=0,0,11630*1000*SER_hh_tes_in!P19/SER_hh_num_in!P19)</f>
        <v>13323.42561461404</v>
      </c>
      <c r="Q19" s="130">
        <f>IF(SER_hh_tes_in!Q19=0,0,11630*1000*SER_hh_tes_in!Q19/SER_hh_num_in!Q19)</f>
        <v>13256.107297507526</v>
      </c>
      <c r="R19" s="130">
        <f>IF(SER_hh_tes_in!R19=0,0,11630*1000*SER_hh_tes_in!R19/SER_hh_num_in!R19)</f>
        <v>12931.538941559025</v>
      </c>
      <c r="S19" s="130">
        <f>IF(SER_hh_tes_in!S19=0,0,11630*1000*SER_hh_tes_in!S19/SER_hh_num_in!S19)</f>
        <v>12902.561369392728</v>
      </c>
      <c r="T19" s="130">
        <f>IF(SER_hh_tes_in!T19=0,0,11630*1000*SER_hh_tes_in!T19/SER_hh_num_in!T19)</f>
        <v>12698.308431296835</v>
      </c>
      <c r="U19" s="130">
        <f>IF(SER_hh_tes_in!U19=0,0,11630*1000*SER_hh_tes_in!U19/SER_hh_num_in!U19)</f>
        <v>12514.356196255172</v>
      </c>
      <c r="V19" s="130">
        <f>IF(SER_hh_tes_in!V19=0,0,11630*1000*SER_hh_tes_in!V19/SER_hh_num_in!V19)</f>
        <v>12474.570086174619</v>
      </c>
      <c r="W19" s="130">
        <f>IF(SER_hh_tes_in!W19=0,0,11630*1000*SER_hh_tes_in!W19/SER_hh_num_in!W19)</f>
        <v>12433.646686003283</v>
      </c>
      <c r="X19" s="130">
        <f>IF(SER_hh_tes_in!X19=0,0,11630*1000*SER_hh_tes_in!X19/SER_hh_num_in!X19)</f>
        <v>12318.856808297282</v>
      </c>
      <c r="Y19" s="130">
        <f>IF(SER_hh_tes_in!Y19=0,0,11630*1000*SER_hh_tes_in!Y19/SER_hh_num_in!Y19)</f>
        <v>12444.920043083483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15194.236043065845</v>
      </c>
      <c r="D22" s="132">
        <f>IF(SER_hh_tes_in!D22=0,0,11630*1000*SER_hh_tes_in!D22/SER_hh_num_in!D22)</f>
        <v>14837.484723987753</v>
      </c>
      <c r="E22" s="132">
        <f>IF(SER_hh_tes_in!E22=0,0,11630*1000*SER_hh_tes_in!E22/SER_hh_num_in!E22)</f>
        <v>14788.231225927608</v>
      </c>
      <c r="F22" s="132">
        <f>IF(SER_hh_tes_in!F22=0,0,11630*1000*SER_hh_tes_in!F22/SER_hh_num_in!F22)</f>
        <v>14612.847352119681</v>
      </c>
      <c r="G22" s="132">
        <f>IF(SER_hh_tes_in!G22=0,0,11630*1000*SER_hh_tes_in!G22/SER_hh_num_in!G22)</f>
        <v>14601.041893466538</v>
      </c>
      <c r="H22" s="132">
        <f>IF(SER_hh_tes_in!H22=0,0,11630*1000*SER_hh_tes_in!H22/SER_hh_num_in!H22)</f>
        <v>14220.819609178609</v>
      </c>
      <c r="I22" s="132">
        <f>IF(SER_hh_tes_in!I22=0,0,11630*1000*SER_hh_tes_in!I22/SER_hh_num_in!I22)</f>
        <v>13817.751870161363</v>
      </c>
      <c r="J22" s="132">
        <f>IF(SER_hh_tes_in!J22=0,0,11630*1000*SER_hh_tes_in!J22/SER_hh_num_in!J22)</f>
        <v>13770.724399051751</v>
      </c>
      <c r="K22" s="132">
        <f>IF(SER_hh_tes_in!K22=0,0,11630*1000*SER_hh_tes_in!K22/SER_hh_num_in!K22)</f>
        <v>13207.656516241761</v>
      </c>
      <c r="L22" s="132">
        <f>IF(SER_hh_tes_in!L22=0,0,11630*1000*SER_hh_tes_in!L22/SER_hh_num_in!L22)</f>
        <v>13421.566241561241</v>
      </c>
      <c r="M22" s="132">
        <f>IF(SER_hh_tes_in!M22=0,0,11630*1000*SER_hh_tes_in!M22/SER_hh_num_in!M22)</f>
        <v>13105.09587475532</v>
      </c>
      <c r="N22" s="132">
        <f>IF(SER_hh_tes_in!N22=0,0,11630*1000*SER_hh_tes_in!N22/SER_hh_num_in!N22)</f>
        <v>13138.834743954547</v>
      </c>
      <c r="O22" s="132">
        <f>IF(SER_hh_tes_in!O22=0,0,11630*1000*SER_hh_tes_in!O22/SER_hh_num_in!O22)</f>
        <v>12774.9042076159</v>
      </c>
      <c r="P22" s="132">
        <f>IF(SER_hh_tes_in!P22=0,0,11630*1000*SER_hh_tes_in!P22/SER_hh_num_in!P22)</f>
        <v>12727.051526322317</v>
      </c>
      <c r="Q22" s="132">
        <f>IF(SER_hh_tes_in!Q22=0,0,11630*1000*SER_hh_tes_in!Q22/SER_hh_num_in!Q22)</f>
        <v>13247.112325792899</v>
      </c>
      <c r="R22" s="132">
        <f>IF(SER_hh_tes_in!R22=0,0,11630*1000*SER_hh_tes_in!R22/SER_hh_num_in!R22)</f>
        <v>12784.736188074712</v>
      </c>
      <c r="S22" s="132">
        <f>IF(SER_hh_tes_in!S22=0,0,11630*1000*SER_hh_tes_in!S22/SER_hh_num_in!S22)</f>
        <v>12612.298989894018</v>
      </c>
      <c r="T22" s="132">
        <f>IF(SER_hh_tes_in!T22=0,0,11630*1000*SER_hh_tes_in!T22/SER_hh_num_in!T22)</f>
        <v>12667.325567099255</v>
      </c>
      <c r="U22" s="132">
        <f>IF(SER_hh_tes_in!U22=0,0,11630*1000*SER_hh_tes_in!U22/SER_hh_num_in!U22)</f>
        <v>12569.456791106299</v>
      </c>
      <c r="V22" s="132">
        <f>IF(SER_hh_tes_in!V22=0,0,11630*1000*SER_hh_tes_in!V22/SER_hh_num_in!V22)</f>
        <v>12122.660275353079</v>
      </c>
      <c r="W22" s="132">
        <f>IF(SER_hh_tes_in!W22=0,0,11630*1000*SER_hh_tes_in!W22/SER_hh_num_in!W22)</f>
        <v>12699.235866659912</v>
      </c>
      <c r="X22" s="132">
        <f>IF(SER_hh_tes_in!X22=0,0,11630*1000*SER_hh_tes_in!X22/SER_hh_num_in!X22)</f>
        <v>11908.983182085491</v>
      </c>
      <c r="Y22" s="132">
        <f>IF(SER_hh_tes_in!Y22=0,0,11630*1000*SER_hh_tes_in!Y22/SER_hh_num_in!Y22)</f>
        <v>12261.740472130025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15022.824841892461</v>
      </c>
      <c r="D23" s="132">
        <f>IF(SER_hh_tes_in!D23=0,0,11630*1000*SER_hh_tes_in!D23/SER_hh_num_in!D23)</f>
        <v>15428.554101688216</v>
      </c>
      <c r="E23" s="132">
        <f>IF(SER_hh_tes_in!E23=0,0,11630*1000*SER_hh_tes_in!E23/SER_hh_num_in!E23)</f>
        <v>14888.421854101565</v>
      </c>
      <c r="F23" s="132">
        <f>IF(SER_hh_tes_in!F23=0,0,11630*1000*SER_hh_tes_in!F23/SER_hh_num_in!F23)</f>
        <v>14549.527825791472</v>
      </c>
      <c r="G23" s="132">
        <f>IF(SER_hh_tes_in!G23=0,0,11630*1000*SER_hh_tes_in!G23/SER_hh_num_in!G23)</f>
        <v>14549.693622613127</v>
      </c>
      <c r="H23" s="132">
        <f>IF(SER_hh_tes_in!H23=0,0,11630*1000*SER_hh_tes_in!H23/SER_hh_num_in!H23)</f>
        <v>14380.622168503987</v>
      </c>
      <c r="I23" s="132">
        <f>IF(SER_hh_tes_in!I23=0,0,11630*1000*SER_hh_tes_in!I23/SER_hh_num_in!I23)</f>
        <v>13844.873520749137</v>
      </c>
      <c r="J23" s="132">
        <f>IF(SER_hh_tes_in!J23=0,0,11630*1000*SER_hh_tes_in!J23/SER_hh_num_in!J23)</f>
        <v>13616.503323526817</v>
      </c>
      <c r="K23" s="132">
        <f>IF(SER_hh_tes_in!K23=0,0,11630*1000*SER_hh_tes_in!K23/SER_hh_num_in!K23)</f>
        <v>13131.424798705297</v>
      </c>
      <c r="L23" s="132">
        <f>IF(SER_hh_tes_in!L23=0,0,11630*1000*SER_hh_tes_in!L23/SER_hh_num_in!L23)</f>
        <v>13432.669347203209</v>
      </c>
      <c r="M23" s="132">
        <f>IF(SER_hh_tes_in!M23=0,0,11630*1000*SER_hh_tes_in!M23/SER_hh_num_in!M23)</f>
        <v>12897.206666205424</v>
      </c>
      <c r="N23" s="132">
        <f>IF(SER_hh_tes_in!N23=0,0,11630*1000*SER_hh_tes_in!N23/SER_hh_num_in!N23)</f>
        <v>13415.746074220859</v>
      </c>
      <c r="O23" s="132">
        <f>IF(SER_hh_tes_in!O23=0,0,11630*1000*SER_hh_tes_in!O23/SER_hh_num_in!O23)</f>
        <v>13243.751699823088</v>
      </c>
      <c r="P23" s="132">
        <f>IF(SER_hh_tes_in!P23=0,0,11630*1000*SER_hh_tes_in!P23/SER_hh_num_in!P23)</f>
        <v>12899.074515471346</v>
      </c>
      <c r="Q23" s="132">
        <f>IF(SER_hh_tes_in!Q23=0,0,11630*1000*SER_hh_tes_in!Q23/SER_hh_num_in!Q23)</f>
        <v>12692.072323700995</v>
      </c>
      <c r="R23" s="132">
        <f>IF(SER_hh_tes_in!R23=0,0,11630*1000*SER_hh_tes_in!R23/SER_hh_num_in!R23)</f>
        <v>12528.594234636188</v>
      </c>
      <c r="S23" s="132">
        <f>IF(SER_hh_tes_in!S23=0,0,11630*1000*SER_hh_tes_in!S23/SER_hh_num_in!S23)</f>
        <v>12983.641466585439</v>
      </c>
      <c r="T23" s="132">
        <f>IF(SER_hh_tes_in!T23=0,0,11630*1000*SER_hh_tes_in!T23/SER_hh_num_in!T23)</f>
        <v>13029.973574724832</v>
      </c>
      <c r="U23" s="132">
        <f>IF(SER_hh_tes_in!U23=0,0,11630*1000*SER_hh_tes_in!U23/SER_hh_num_in!U23)</f>
        <v>13061.817721979141</v>
      </c>
      <c r="V23" s="132">
        <f>IF(SER_hh_tes_in!V23=0,0,11630*1000*SER_hh_tes_in!V23/SER_hh_num_in!V23)</f>
        <v>11535.925422371</v>
      </c>
      <c r="W23" s="132">
        <f>IF(SER_hh_tes_in!W23=0,0,11630*1000*SER_hh_tes_in!W23/SER_hh_num_in!W23)</f>
        <v>11987.413986757314</v>
      </c>
      <c r="X23" s="132">
        <f>IF(SER_hh_tes_in!X23=0,0,11630*1000*SER_hh_tes_in!X23/SER_hh_num_in!X23)</f>
        <v>12208.395447232069</v>
      </c>
      <c r="Y23" s="132">
        <f>IF(SER_hh_tes_in!Y23=0,0,11630*1000*SER_hh_tes_in!Y23/SER_hh_num_in!Y23)</f>
        <v>12375.055784651247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15184.77797862765</v>
      </c>
      <c r="D25" s="132">
        <f>IF(SER_hh_tes_in!D25=0,0,11630*1000*SER_hh_tes_in!D25/SER_hh_num_in!D25)</f>
        <v>14972.875528818193</v>
      </c>
      <c r="E25" s="132">
        <f>IF(SER_hh_tes_in!E25=0,0,11630*1000*SER_hh_tes_in!E25/SER_hh_num_in!E25)</f>
        <v>14865.689924329779</v>
      </c>
      <c r="F25" s="132">
        <f>IF(SER_hh_tes_in!F25=0,0,11630*1000*SER_hh_tes_in!F25/SER_hh_num_in!F25)</f>
        <v>14490.139128641094</v>
      </c>
      <c r="G25" s="132">
        <f>IF(SER_hh_tes_in!G25=0,0,11630*1000*SER_hh_tes_in!G25/SER_hh_num_in!G25)</f>
        <v>14498.549017760095</v>
      </c>
      <c r="H25" s="132">
        <f>IF(SER_hh_tes_in!H25=0,0,11630*1000*SER_hh_tes_in!H25/SER_hh_num_in!H25)</f>
        <v>14216.298725389988</v>
      </c>
      <c r="I25" s="132">
        <f>IF(SER_hh_tes_in!I25=0,0,11630*1000*SER_hh_tes_in!I25/SER_hh_num_in!I25)</f>
        <v>13852.550982385841</v>
      </c>
      <c r="J25" s="132">
        <f>IF(SER_hh_tes_in!J25=0,0,11630*1000*SER_hh_tes_in!J25/SER_hh_num_in!J25)</f>
        <v>13600.289092586732</v>
      </c>
      <c r="K25" s="132">
        <f>IF(SER_hh_tes_in!K25=0,0,11630*1000*SER_hh_tes_in!K25/SER_hh_num_in!K25)</f>
        <v>13233.259648822443</v>
      </c>
      <c r="L25" s="132">
        <f>IF(SER_hh_tes_in!L25=0,0,11630*1000*SER_hh_tes_in!L25/SER_hh_num_in!L25)</f>
        <v>13583.127481826015</v>
      </c>
      <c r="M25" s="132">
        <f>IF(SER_hh_tes_in!M25=0,0,11630*1000*SER_hh_tes_in!M25/SER_hh_num_in!M25)</f>
        <v>13322.496830889642</v>
      </c>
      <c r="N25" s="132">
        <f>IF(SER_hh_tes_in!N25=0,0,11630*1000*SER_hh_tes_in!N25/SER_hh_num_in!N25)</f>
        <v>13365.581742961149</v>
      </c>
      <c r="O25" s="132">
        <f>IF(SER_hh_tes_in!O25=0,0,11630*1000*SER_hh_tes_in!O25/SER_hh_num_in!O25)</f>
        <v>12895.10846805485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12911.715732921783</v>
      </c>
      <c r="R25" s="132">
        <f>IF(SER_hh_tes_in!R25=0,0,11630*1000*SER_hh_tes_in!R25/SER_hh_num_in!R25)</f>
        <v>12602.434696084512</v>
      </c>
      <c r="S25" s="132">
        <f>IF(SER_hh_tes_in!S25=0,0,11630*1000*SER_hh_tes_in!S25/SER_hh_num_in!S25)</f>
        <v>12615.322990626699</v>
      </c>
      <c r="T25" s="132">
        <f>IF(SER_hh_tes_in!T25=0,0,11630*1000*SER_hh_tes_in!T25/SER_hh_num_in!T25)</f>
        <v>12728.12441003779</v>
      </c>
      <c r="U25" s="132">
        <f>IF(SER_hh_tes_in!U25=0,0,11630*1000*SER_hh_tes_in!U25/SER_hh_num_in!U25)</f>
        <v>12519.679681985179</v>
      </c>
      <c r="V25" s="132">
        <f>IF(SER_hh_tes_in!V25=0,0,11630*1000*SER_hh_tes_in!V25/SER_hh_num_in!V25)</f>
        <v>12305.831960386753</v>
      </c>
      <c r="W25" s="132">
        <f>IF(SER_hh_tes_in!W25=0,0,11630*1000*SER_hh_tes_in!W25/SER_hh_num_in!W25)</f>
        <v>12172.462323840438</v>
      </c>
      <c r="X25" s="132">
        <f>IF(SER_hh_tes_in!X25=0,0,11630*1000*SER_hh_tes_in!X25/SER_hh_num_in!X25)</f>
        <v>12124.762311593884</v>
      </c>
      <c r="Y25" s="132">
        <f>IF(SER_hh_tes_in!Y25=0,0,11630*1000*SER_hh_tes_in!Y25/SER_hh_num_in!Y25)</f>
        <v>12241.064311475662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14746.179188546119</v>
      </c>
      <c r="D26" s="65">
        <f>IF(SER_hh_tes_in!D26=0,0,11630*1000*SER_hh_tes_in!D26/SER_hh_num_in!D26)</f>
        <v>12674.107182414178</v>
      </c>
      <c r="E26" s="65">
        <f>IF(SER_hh_tes_in!E26=0,0,11630*1000*SER_hh_tes_in!E26/SER_hh_num_in!E26)</f>
        <v>13159.525006362694</v>
      </c>
      <c r="F26" s="65">
        <f>IF(SER_hh_tes_in!F26=0,0,11630*1000*SER_hh_tes_in!F26/SER_hh_num_in!F26)</f>
        <v>11525.042904039732</v>
      </c>
      <c r="G26" s="65">
        <f>IF(SER_hh_tes_in!G26=0,0,11630*1000*SER_hh_tes_in!G26/SER_hh_num_in!G26)</f>
        <v>13851.404055788389</v>
      </c>
      <c r="H26" s="65">
        <f>IF(SER_hh_tes_in!H26=0,0,11630*1000*SER_hh_tes_in!H26/SER_hh_num_in!H26)</f>
        <v>13812.070644129915</v>
      </c>
      <c r="I26" s="65">
        <f>IF(SER_hh_tes_in!I26=0,0,11630*1000*SER_hh_tes_in!I26/SER_hh_num_in!I26)</f>
        <v>13018.1167601298</v>
      </c>
      <c r="J26" s="65">
        <f>IF(SER_hh_tes_in!J26=0,0,11630*1000*SER_hh_tes_in!J26/SER_hh_num_in!J26)</f>
        <v>13454.899124958607</v>
      </c>
      <c r="K26" s="65">
        <f>IF(SER_hh_tes_in!K26=0,0,11630*1000*SER_hh_tes_in!K26/SER_hh_num_in!K26)</f>
        <v>7185.3784914422886</v>
      </c>
      <c r="L26" s="65">
        <f>IF(SER_hh_tes_in!L26=0,0,11630*1000*SER_hh_tes_in!L26/SER_hh_num_in!L26)</f>
        <v>13605.052144647194</v>
      </c>
      <c r="M26" s="65">
        <f>IF(SER_hh_tes_in!M26=0,0,11630*1000*SER_hh_tes_in!M26/SER_hh_num_in!M26)</f>
        <v>11486.786751269037</v>
      </c>
      <c r="N26" s="65">
        <f>IF(SER_hh_tes_in!N26=0,0,11630*1000*SER_hh_tes_in!N26/SER_hh_num_in!N26)</f>
        <v>12062.416456169565</v>
      </c>
      <c r="O26" s="65">
        <f>IF(SER_hh_tes_in!O26=0,0,11630*1000*SER_hh_tes_in!O26/SER_hh_num_in!O26)</f>
        <v>8570.8970124414354</v>
      </c>
      <c r="P26" s="65">
        <f>IF(SER_hh_tes_in!P26=0,0,11630*1000*SER_hh_tes_in!P26/SER_hh_num_in!P26)</f>
        <v>9725.2700788129896</v>
      </c>
      <c r="Q26" s="65">
        <f>IF(SER_hh_tes_in!Q26=0,0,11630*1000*SER_hh_tes_in!Q26/SER_hh_num_in!Q26)</f>
        <v>12983.742047475085</v>
      </c>
      <c r="R26" s="65">
        <f>IF(SER_hh_tes_in!R26=0,0,11630*1000*SER_hh_tes_in!R26/SER_hh_num_in!R26)</f>
        <v>10390.382564885087</v>
      </c>
      <c r="S26" s="65">
        <f>IF(SER_hh_tes_in!S26=0,0,11630*1000*SER_hh_tes_in!S26/SER_hh_num_in!S26)</f>
        <v>11152.971177008538</v>
      </c>
      <c r="T26" s="65">
        <f>IF(SER_hh_tes_in!T26=0,0,11630*1000*SER_hh_tes_in!T26/SER_hh_num_in!T26)</f>
        <v>11491.304799334586</v>
      </c>
      <c r="U26" s="65">
        <f>IF(SER_hh_tes_in!U26=0,0,11630*1000*SER_hh_tes_in!U26/SER_hh_num_in!U26)</f>
        <v>11357.59850868851</v>
      </c>
      <c r="V26" s="65">
        <f>IF(SER_hh_tes_in!V26=0,0,11630*1000*SER_hh_tes_in!V26/SER_hh_num_in!V26)</f>
        <v>11564.68992724447</v>
      </c>
      <c r="W26" s="65">
        <f>IF(SER_hh_tes_in!W26=0,0,11630*1000*SER_hh_tes_in!W26/SER_hh_num_in!W26)</f>
        <v>12553.252069866279</v>
      </c>
      <c r="X26" s="65">
        <f>IF(SER_hh_tes_in!X26=0,0,11630*1000*SER_hh_tes_in!X26/SER_hh_num_in!X26)</f>
        <v>10765.439918670796</v>
      </c>
      <c r="Y26" s="65">
        <f>IF(SER_hh_tes_in!Y26=0,0,11630*1000*SER_hh_tes_in!Y26/SER_hh_num_in!Y26)</f>
        <v>10603.059888767855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324.99110648538709</v>
      </c>
      <c r="D27" s="145">
        <f>IF(SER_hh_tes_in!D27=0,0,11630*1000*SER_hh_tes_in!D27/SER_hh_num_in!D19)</f>
        <v>1271.3793660756626</v>
      </c>
      <c r="E27" s="145">
        <f>IF(SER_hh_tes_in!E27=0,0,11630*1000*SER_hh_tes_in!E27/SER_hh_num_in!E19)</f>
        <v>1139.8227069230954</v>
      </c>
      <c r="F27" s="145">
        <f>IF(SER_hh_tes_in!F27=0,0,11630*1000*SER_hh_tes_in!F27/SER_hh_num_in!F19)</f>
        <v>2116.9451524442479</v>
      </c>
      <c r="G27" s="145">
        <f>IF(SER_hh_tes_in!G27=0,0,11630*1000*SER_hh_tes_in!G27/SER_hh_num_in!G19)</f>
        <v>658.9900652297066</v>
      </c>
      <c r="H27" s="145">
        <f>IF(SER_hh_tes_in!H27=0,0,11630*1000*SER_hh_tes_in!H27/SER_hh_num_in!H19)</f>
        <v>336.47641098870037</v>
      </c>
      <c r="I27" s="145">
        <f>IF(SER_hh_tes_in!I27=0,0,11630*1000*SER_hh_tes_in!I27/SER_hh_num_in!I19)</f>
        <v>548.39815342387089</v>
      </c>
      <c r="J27" s="145">
        <f>IF(SER_hh_tes_in!J27=0,0,11630*1000*SER_hh_tes_in!J27/SER_hh_num_in!J19)</f>
        <v>81.548342175468647</v>
      </c>
      <c r="K27" s="145">
        <f>IF(SER_hh_tes_in!K27=0,0,11630*1000*SER_hh_tes_in!K27/SER_hh_num_in!K19)</f>
        <v>3266.3181059880048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1150.5066943306831</v>
      </c>
      <c r="N27" s="145">
        <f>IF(SER_hh_tes_in!N27=0,0,11630*1000*SER_hh_tes_in!N27/SER_hh_num_in!N19)</f>
        <v>622.53852058318921</v>
      </c>
      <c r="O27" s="145">
        <f>IF(SER_hh_tes_in!O27=0,0,11630*1000*SER_hh_tes_in!O27/SER_hh_num_in!O19)</f>
        <v>2619.6975377740832</v>
      </c>
      <c r="P27" s="145">
        <f>IF(SER_hh_tes_in!P27=0,0,11630*1000*SER_hh_tes_in!P27/SER_hh_num_in!P19)</f>
        <v>2873.7454044119158</v>
      </c>
      <c r="Q27" s="145">
        <f>IF(SER_hh_tes_in!Q27=0,0,11630*1000*SER_hh_tes_in!Q27/SER_hh_num_in!Q19)</f>
        <v>325.71153094103846</v>
      </c>
      <c r="R27" s="145">
        <f>IF(SER_hh_tes_in!R27=0,0,11630*1000*SER_hh_tes_in!R27/SER_hh_num_in!R19)</f>
        <v>1446.2074920686318</v>
      </c>
      <c r="S27" s="145">
        <f>IF(SER_hh_tes_in!S27=0,0,11630*1000*SER_hh_tes_in!S27/SER_hh_num_in!S19)</f>
        <v>802.75564297032508</v>
      </c>
      <c r="T27" s="145">
        <f>IF(SER_hh_tes_in!T27=0,0,11630*1000*SER_hh_tes_in!T27/SER_hh_num_in!T19)</f>
        <v>646.13904906103835</v>
      </c>
      <c r="U27" s="145">
        <f>IF(SER_hh_tes_in!U27=0,0,11630*1000*SER_hh_tes_in!U27/SER_hh_num_in!U19)</f>
        <v>789.18557682709445</v>
      </c>
      <c r="V27" s="145">
        <f>IF(SER_hh_tes_in!V27=0,0,11630*1000*SER_hh_tes_in!V27/SER_hh_num_in!V19)</f>
        <v>846.84294162556967</v>
      </c>
      <c r="W27" s="145">
        <f>IF(SER_hh_tes_in!W27=0,0,11630*1000*SER_hh_tes_in!W27/SER_hh_num_in!W19)</f>
        <v>7.9212123535228706E-12</v>
      </c>
      <c r="X27" s="145">
        <f>IF(SER_hh_tes_in!X27=0,0,11630*1000*SER_hh_tes_in!X27/SER_hh_num_in!X19)</f>
        <v>1017.5899414219753</v>
      </c>
      <c r="Y27" s="145">
        <f>IF(SER_hh_tes_in!Y27=0,0,11630*1000*SER_hh_tes_in!Y27/SER_hh_num_in!Y19)</f>
        <v>993.94857983669419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8002.0833135143812</v>
      </c>
      <c r="D28" s="146">
        <f>IF(SER_hh_tes_in!D27=0,0,11630*1000*SER_hh_tes_in!D27/SER_hh_num_in!D27)</f>
        <v>7622.8172817323184</v>
      </c>
      <c r="E28" s="146">
        <f>IF(SER_hh_tes_in!E27=0,0,11630*1000*SER_hh_tes_in!E27/SER_hh_num_in!E27)</f>
        <v>7781.3087940892256</v>
      </c>
      <c r="F28" s="146">
        <f>IF(SER_hh_tes_in!F27=0,0,11630*1000*SER_hh_tes_in!F27/SER_hh_num_in!F27)</f>
        <v>7849.8995794743814</v>
      </c>
      <c r="G28" s="146">
        <f>IF(SER_hh_tes_in!G27=0,0,11630*1000*SER_hh_tes_in!G27/SER_hh_num_in!G27)</f>
        <v>7668.9668867372084</v>
      </c>
      <c r="H28" s="146">
        <f>IF(SER_hh_tes_in!H27=0,0,11630*1000*SER_hh_tes_in!H27/SER_hh_num_in!H27)</f>
        <v>7637.4411123841692</v>
      </c>
      <c r="I28" s="146">
        <f>IF(SER_hh_tes_in!I27=0,0,11630*1000*SER_hh_tes_in!I27/SER_hh_num_in!I27)</f>
        <v>6925.8220173000072</v>
      </c>
      <c r="J28" s="146">
        <f>IF(SER_hh_tes_in!J27=0,0,11630*1000*SER_hh_tes_in!J27/SER_hh_num_in!J27)</f>
        <v>7543.6455643383933</v>
      </c>
      <c r="K28" s="146">
        <f>IF(SER_hh_tes_in!K27=0,0,11630*1000*SER_hh_tes_in!K27/SER_hh_num_in!K27)</f>
        <v>7394.3464967196333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7823.5361939185923</v>
      </c>
      <c r="N28" s="146">
        <f>IF(SER_hh_tes_in!N27=0,0,11630*1000*SER_hh_tes_in!N27/SER_hh_num_in!N27)</f>
        <v>8302.2343664120272</v>
      </c>
      <c r="O28" s="146">
        <f>IF(SER_hh_tes_in!O27=0,0,11630*1000*SER_hh_tes_in!O27/SER_hh_num_in!O27)</f>
        <v>8051.2313002501805</v>
      </c>
      <c r="P28" s="146">
        <f>IF(SER_hh_tes_in!P27=0,0,11630*1000*SER_hh_tes_in!P27/SER_hh_num_in!P27)</f>
        <v>7698.8792631243723</v>
      </c>
      <c r="Q28" s="146">
        <f>IF(SER_hh_tes_in!Q27=0,0,11630*1000*SER_hh_tes_in!Q27/SER_hh_num_in!Q27)</f>
        <v>7746.6039082171337</v>
      </c>
      <c r="R28" s="146">
        <f>IF(SER_hh_tes_in!R27=0,0,11630*1000*SER_hh_tes_in!R27/SER_hh_num_in!R27)</f>
        <v>7355.6242084125215</v>
      </c>
      <c r="S28" s="146">
        <f>IF(SER_hh_tes_in!S27=0,0,11630*1000*SER_hh_tes_in!S27/SER_hh_num_in!S27)</f>
        <v>7287.7061425677857</v>
      </c>
      <c r="T28" s="146">
        <f>IF(SER_hh_tes_in!T27=0,0,11630*1000*SER_hh_tes_in!T27/SER_hh_num_in!T27)</f>
        <v>7468.6670748847118</v>
      </c>
      <c r="U28" s="146">
        <f>IF(SER_hh_tes_in!U27=0,0,11630*1000*SER_hh_tes_in!U27/SER_hh_num_in!U27)</f>
        <v>7618.967395230884</v>
      </c>
      <c r="V28" s="146">
        <f>IF(SER_hh_tes_in!V27=0,0,11630*1000*SER_hh_tes_in!V27/SER_hh_num_in!V27)</f>
        <v>7634.3717547507622</v>
      </c>
      <c r="W28" s="146">
        <f>IF(SER_hh_tes_in!W27=0,0,11630*1000*SER_hh_tes_in!W27/SER_hh_num_in!W27)</f>
        <v>8553.3532935012609</v>
      </c>
      <c r="X28" s="146">
        <f>IF(SER_hh_tes_in!X27=0,0,11630*1000*SER_hh_tes_in!X27/SER_hh_num_in!X27)</f>
        <v>8123.6848119310162</v>
      </c>
      <c r="Y28" s="146">
        <f>IF(SER_hh_tes_in!Y27=0,0,11630*1000*SER_hh_tes_in!Y27/SER_hh_num_in!Y27)</f>
        <v>8139.471262785507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13230.995961873481</v>
      </c>
      <c r="D29" s="130">
        <f>IF(SER_hh_tes_in!D29=0,0,11630*1000*SER_hh_tes_in!D29/SER_hh_num_in!D29)</f>
        <v>13272.908572348033</v>
      </c>
      <c r="E29" s="130">
        <f>IF(SER_hh_tes_in!E29=0,0,11630*1000*SER_hh_tes_in!E29/SER_hh_num_in!E29)</f>
        <v>13343.390267735618</v>
      </c>
      <c r="F29" s="130">
        <f>IF(SER_hh_tes_in!F29=0,0,11630*1000*SER_hh_tes_in!F29/SER_hh_num_in!F29)</f>
        <v>13524.328236509073</v>
      </c>
      <c r="G29" s="130">
        <f>IF(SER_hh_tes_in!G29=0,0,11630*1000*SER_hh_tes_in!G29/SER_hh_num_in!G29)</f>
        <v>13565.46858542653</v>
      </c>
      <c r="H29" s="130">
        <f>IF(SER_hh_tes_in!H29=0,0,11630*1000*SER_hh_tes_in!H29/SER_hh_num_in!H29)</f>
        <v>13291.552732152524</v>
      </c>
      <c r="I29" s="130">
        <f>IF(SER_hh_tes_in!I29=0,0,11630*1000*SER_hh_tes_in!I29/SER_hh_num_in!I29)</f>
        <v>13388.408937518248</v>
      </c>
      <c r="J29" s="130">
        <f>IF(SER_hh_tes_in!J29=0,0,11630*1000*SER_hh_tes_in!J29/SER_hh_num_in!J29)</f>
        <v>13392.712041745252</v>
      </c>
      <c r="K29" s="130">
        <f>IF(SER_hh_tes_in!K29=0,0,11630*1000*SER_hh_tes_in!K29/SER_hh_num_in!K29)</f>
        <v>13434.746583429085</v>
      </c>
      <c r="L29" s="130">
        <f>IF(SER_hh_tes_in!L29=0,0,11630*1000*SER_hh_tes_in!L29/SER_hh_num_in!L29)</f>
        <v>13560.027739309919</v>
      </c>
      <c r="M29" s="130">
        <f>IF(SER_hh_tes_in!M29=0,0,11630*1000*SER_hh_tes_in!M29/SER_hh_num_in!M29)</f>
        <v>13383.436121982486</v>
      </c>
      <c r="N29" s="130">
        <f>IF(SER_hh_tes_in!N29=0,0,11630*1000*SER_hh_tes_in!N29/SER_hh_num_in!N29)</f>
        <v>13189.537964526644</v>
      </c>
      <c r="O29" s="130">
        <f>IF(SER_hh_tes_in!O29=0,0,11630*1000*SER_hh_tes_in!O29/SER_hh_num_in!O29)</f>
        <v>13255.263397959268</v>
      </c>
      <c r="P29" s="130">
        <f>IF(SER_hh_tes_in!P29=0,0,11630*1000*SER_hh_tes_in!P29/SER_hh_num_in!P29)</f>
        <v>12852.638650736446</v>
      </c>
      <c r="Q29" s="130">
        <f>IF(SER_hh_tes_in!Q29=0,0,11630*1000*SER_hh_tes_in!Q29/SER_hh_num_in!Q29)</f>
        <v>13464.266358483406</v>
      </c>
      <c r="R29" s="130">
        <f>IF(SER_hh_tes_in!R29=0,0,11630*1000*SER_hh_tes_in!R29/SER_hh_num_in!R29)</f>
        <v>13283.180782903604</v>
      </c>
      <c r="S29" s="130">
        <f>IF(SER_hh_tes_in!S29=0,0,11630*1000*SER_hh_tes_in!S29/SER_hh_num_in!S29)</f>
        <v>12986.438818990309</v>
      </c>
      <c r="T29" s="130">
        <f>IF(SER_hh_tes_in!T29=0,0,11630*1000*SER_hh_tes_in!T29/SER_hh_num_in!T29)</f>
        <v>12615.738047317514</v>
      </c>
      <c r="U29" s="130">
        <f>IF(SER_hh_tes_in!U29=0,0,11630*1000*SER_hh_tes_in!U29/SER_hh_num_in!U29)</f>
        <v>12273.994728943511</v>
      </c>
      <c r="V29" s="130">
        <f>IF(SER_hh_tes_in!V29=0,0,11630*1000*SER_hh_tes_in!V29/SER_hh_num_in!V29)</f>
        <v>12372.366437607372</v>
      </c>
      <c r="W29" s="130">
        <f>IF(SER_hh_tes_in!W29=0,0,11630*1000*SER_hh_tes_in!W29/SER_hh_num_in!W29)</f>
        <v>13013.352229925933</v>
      </c>
      <c r="X29" s="130">
        <f>IF(SER_hh_tes_in!X29=0,0,11630*1000*SER_hh_tes_in!X29/SER_hh_num_in!X29)</f>
        <v>13325.474193781587</v>
      </c>
      <c r="Y29" s="130">
        <f>IF(SER_hh_tes_in!Y29=0,0,11630*1000*SER_hh_tes_in!Y29/SER_hh_num_in!Y29)</f>
        <v>13470.229789651639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13260.058183057192</v>
      </c>
      <c r="D30" s="132">
        <f>IF(SER_hh_tes_in!D30=0,0,11630*1000*SER_hh_tes_in!D30/SER_hh_num_in!D30)</f>
        <v>14133.252547563776</v>
      </c>
      <c r="E30" s="132">
        <f>IF(SER_hh_tes_in!E30=0,0,11630*1000*SER_hh_tes_in!E30/SER_hh_num_in!E30)</f>
        <v>12747.847576059938</v>
      </c>
      <c r="F30" s="132">
        <f>IF(SER_hh_tes_in!F30=0,0,11630*1000*SER_hh_tes_in!F30/SER_hh_num_in!F30)</f>
        <v>13532.439699433502</v>
      </c>
      <c r="G30" s="132">
        <f>IF(SER_hh_tes_in!G30=0,0,11630*1000*SER_hh_tes_in!G30/SER_hh_num_in!G30)</f>
        <v>13317.965231514534</v>
      </c>
      <c r="H30" s="132">
        <f>IF(SER_hh_tes_in!H30=0,0,11630*1000*SER_hh_tes_in!H30/SER_hh_num_in!H30)</f>
        <v>17225.87615300608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14644.900448673307</v>
      </c>
      <c r="L30" s="132">
        <f>IF(SER_hh_tes_in!L30=0,0,11630*1000*SER_hh_tes_in!L30/SER_hh_num_in!L30)</f>
        <v>16618.04591909482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14966.969229410302</v>
      </c>
      <c r="O30" s="132">
        <f>IF(SER_hh_tes_in!O30=0,0,11630*1000*SER_hh_tes_in!O30/SER_hh_num_in!O30)</f>
        <v>15964.90841874852</v>
      </c>
      <c r="P30" s="132">
        <f>IF(SER_hh_tes_in!P30=0,0,11630*1000*SER_hh_tes_in!P30/SER_hh_num_in!P30)</f>
        <v>2419.4318328939103</v>
      </c>
      <c r="Q30" s="132">
        <f>IF(SER_hh_tes_in!Q30=0,0,11630*1000*SER_hh_tes_in!Q30/SER_hh_num_in!Q30)</f>
        <v>16311.330978440086</v>
      </c>
      <c r="R30" s="132">
        <f>IF(SER_hh_tes_in!R30=0,0,11630*1000*SER_hh_tes_in!R30/SER_hh_num_in!R30)</f>
        <v>14596.928813545182</v>
      </c>
      <c r="S30" s="132">
        <f>IF(SER_hh_tes_in!S30=0,0,11630*1000*SER_hh_tes_in!S30/SER_hh_num_in!S30)</f>
        <v>12865.777856574661</v>
      </c>
      <c r="T30" s="132">
        <f>IF(SER_hh_tes_in!T30=0,0,11630*1000*SER_hh_tes_in!T30/SER_hh_num_in!T30)</f>
        <v>12570.860147926438</v>
      </c>
      <c r="U30" s="132">
        <f>IF(SER_hh_tes_in!U30=0,0,11630*1000*SER_hh_tes_in!U30/SER_hh_num_in!U30)</f>
        <v>12171.807760188856</v>
      </c>
      <c r="V30" s="132">
        <f>IF(SER_hh_tes_in!V30=0,0,11630*1000*SER_hh_tes_in!V30/SER_hh_num_in!V30)</f>
        <v>12086.109536630147</v>
      </c>
      <c r="W30" s="132">
        <f>IF(SER_hh_tes_in!W30=0,0,11630*1000*SER_hh_tes_in!W30/SER_hh_num_in!W30)</f>
        <v>14322.156580113571</v>
      </c>
      <c r="X30" s="132">
        <f>IF(SER_hh_tes_in!X30=0,0,11630*1000*SER_hh_tes_in!X30/SER_hh_num_in!X30)</f>
        <v>12725.227152338359</v>
      </c>
      <c r="Y30" s="132">
        <f>IF(SER_hh_tes_in!Y30=0,0,11630*1000*SER_hh_tes_in!Y30/SER_hh_num_in!Y30)</f>
        <v>13266.847531901631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13311.006102277355</v>
      </c>
      <c r="D31" s="132">
        <f>IF(SER_hh_tes_in!D31=0,0,11630*1000*SER_hh_tes_in!D31/SER_hh_num_in!D31)</f>
        <v>13160.319917485966</v>
      </c>
      <c r="E31" s="132">
        <f>IF(SER_hh_tes_in!E31=0,0,11630*1000*SER_hh_tes_in!E31/SER_hh_num_in!E31)</f>
        <v>13556.495489097366</v>
      </c>
      <c r="F31" s="132">
        <f>IF(SER_hh_tes_in!F31=0,0,11630*1000*SER_hh_tes_in!F31/SER_hh_num_in!F31)</f>
        <v>13504.119132018426</v>
      </c>
      <c r="G31" s="132">
        <f>IF(SER_hh_tes_in!G31=0,0,11630*1000*SER_hh_tes_in!G31/SER_hh_num_in!G31)</f>
        <v>13462.336825134427</v>
      </c>
      <c r="H31" s="132">
        <f>IF(SER_hh_tes_in!H31=0,0,11630*1000*SER_hh_tes_in!H31/SER_hh_num_in!H31)</f>
        <v>12557.489647335251</v>
      </c>
      <c r="I31" s="132">
        <f>IF(SER_hh_tes_in!I31=0,0,11630*1000*SER_hh_tes_in!I31/SER_hh_num_in!I31)</f>
        <v>13717.530804527814</v>
      </c>
      <c r="J31" s="132">
        <f>IF(SER_hh_tes_in!J31=0,0,11630*1000*SER_hh_tes_in!J31/SER_hh_num_in!J31)</f>
        <v>13977.509626142597</v>
      </c>
      <c r="K31" s="132">
        <f>IF(SER_hh_tes_in!K31=0,0,11630*1000*SER_hh_tes_in!K31/SER_hh_num_in!K31)</f>
        <v>13198.113345968446</v>
      </c>
      <c r="L31" s="132">
        <f>IF(SER_hh_tes_in!L31=0,0,11630*1000*SER_hh_tes_in!L31/SER_hh_num_in!L31)</f>
        <v>12763.916916933389</v>
      </c>
      <c r="M31" s="132">
        <f>IF(SER_hh_tes_in!M31=0,0,11630*1000*SER_hh_tes_in!M31/SER_hh_num_in!M31)</f>
        <v>13790.086354027135</v>
      </c>
      <c r="N31" s="132">
        <f>IF(SER_hh_tes_in!N31=0,0,11630*1000*SER_hh_tes_in!N31/SER_hh_num_in!N31)</f>
        <v>12993.963041664843</v>
      </c>
      <c r="O31" s="132">
        <f>IF(SER_hh_tes_in!O31=0,0,11630*1000*SER_hh_tes_in!O31/SER_hh_num_in!O31)</f>
        <v>13017.907449307158</v>
      </c>
      <c r="P31" s="132">
        <f>IF(SER_hh_tes_in!P31=0,0,11630*1000*SER_hh_tes_in!P31/SER_hh_num_in!P31)</f>
        <v>14544.829951655694</v>
      </c>
      <c r="Q31" s="132">
        <f>IF(SER_hh_tes_in!Q31=0,0,11630*1000*SER_hh_tes_in!Q31/SER_hh_num_in!Q31)</f>
        <v>12879.623172160693</v>
      </c>
      <c r="R31" s="132">
        <f>IF(SER_hh_tes_in!R31=0,0,11630*1000*SER_hh_tes_in!R31/SER_hh_num_in!R31)</f>
        <v>13156.547483579905</v>
      </c>
      <c r="S31" s="132">
        <f>IF(SER_hh_tes_in!S31=0,0,11630*1000*SER_hh_tes_in!S31/SER_hh_num_in!S31)</f>
        <v>13566.822426404766</v>
      </c>
      <c r="T31" s="132">
        <f>IF(SER_hh_tes_in!T31=0,0,11630*1000*SER_hh_tes_in!T31/SER_hh_num_in!T31)</f>
        <v>12564.667604690803</v>
      </c>
      <c r="U31" s="132">
        <f>IF(SER_hh_tes_in!U31=0,0,11630*1000*SER_hh_tes_in!U31/SER_hh_num_in!U31)</f>
        <v>11101.560562911174</v>
      </c>
      <c r="V31" s="132">
        <f>IF(SER_hh_tes_in!V31=0,0,11630*1000*SER_hh_tes_in!V31/SER_hh_num_in!V31)</f>
        <v>12343.046698873401</v>
      </c>
      <c r="W31" s="132">
        <f>IF(SER_hh_tes_in!W31=0,0,11630*1000*SER_hh_tes_in!W31/SER_hh_num_in!W31)</f>
        <v>13257.562350509084</v>
      </c>
      <c r="X31" s="132">
        <f>IF(SER_hh_tes_in!X31=0,0,11630*1000*SER_hh_tes_in!X31/SER_hh_num_in!X31)</f>
        <v>13263.726514539776</v>
      </c>
      <c r="Y31" s="132">
        <f>IF(SER_hh_tes_in!Y31=0,0,11630*1000*SER_hh_tes_in!Y31/SER_hh_num_in!Y31)</f>
        <v>13456.392380874946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13187.251364472137</v>
      </c>
      <c r="D33" s="68">
        <f>IF(SER_hh_tes_in!D33=0,0,11630*1000*SER_hh_tes_in!D33/SER_hh_num_in!D33)</f>
        <v>13198.691505448362</v>
      </c>
      <c r="E33" s="68">
        <f>IF(SER_hh_tes_in!E33=0,0,11630*1000*SER_hh_tes_in!E33/SER_hh_num_in!E33)</f>
        <v>13295.18359201947</v>
      </c>
      <c r="F33" s="68">
        <f>IF(SER_hh_tes_in!F33=0,0,11630*1000*SER_hh_tes_in!F33/SER_hh_num_in!F33)</f>
        <v>13533.626701979842</v>
      </c>
      <c r="G33" s="68">
        <f>IF(SER_hh_tes_in!G33=0,0,11630*1000*SER_hh_tes_in!G33/SER_hh_num_in!G33)</f>
        <v>13633.453609791677</v>
      </c>
      <c r="H33" s="68">
        <f>IF(SER_hh_tes_in!H33=0,0,11630*1000*SER_hh_tes_in!H33/SER_hh_num_in!H33)</f>
        <v>13393.344274818102</v>
      </c>
      <c r="I33" s="68">
        <f>IF(SER_hh_tes_in!I33=0,0,11630*1000*SER_hh_tes_in!I33/SER_hh_num_in!I33)</f>
        <v>13205.57593103472</v>
      </c>
      <c r="J33" s="68">
        <f>IF(SER_hh_tes_in!J33=0,0,11630*1000*SER_hh_tes_in!J33/SER_hh_num_in!J33)</f>
        <v>13096.504272522845</v>
      </c>
      <c r="K33" s="68">
        <f>IF(SER_hh_tes_in!K33=0,0,11630*1000*SER_hh_tes_in!K33/SER_hh_num_in!K33)</f>
        <v>13412.411378463077</v>
      </c>
      <c r="L33" s="68">
        <f>IF(SER_hh_tes_in!L33=0,0,11630*1000*SER_hh_tes_in!L33/SER_hh_num_in!L33)</f>
        <v>13444.005695641401</v>
      </c>
      <c r="M33" s="68">
        <f>IF(SER_hh_tes_in!M33=0,0,11630*1000*SER_hh_tes_in!M33/SER_hh_num_in!M33)</f>
        <v>13205.40368693374</v>
      </c>
      <c r="N33" s="68">
        <f>IF(SER_hh_tes_in!N33=0,0,11630*1000*SER_hh_tes_in!N33/SER_hh_num_in!N33)</f>
        <v>13239.036048701535</v>
      </c>
      <c r="O33" s="68">
        <f>IF(SER_hh_tes_in!O33=0,0,11630*1000*SER_hh_tes_in!O33/SER_hh_num_in!O33)</f>
        <v>13267.961456727026</v>
      </c>
      <c r="P33" s="68">
        <f>IF(SER_hh_tes_in!P33=0,0,11630*1000*SER_hh_tes_in!P33/SER_hh_num_in!P33)</f>
        <v>13501.389044599811</v>
      </c>
      <c r="Q33" s="68">
        <f>IF(SER_hh_tes_in!Q33=0,0,11630*1000*SER_hh_tes_in!Q33/SER_hh_num_in!Q33)</f>
        <v>13385.259143150453</v>
      </c>
      <c r="R33" s="68">
        <f>IF(SER_hh_tes_in!R33=0,0,11630*1000*SER_hh_tes_in!R33/SER_hh_num_in!R33)</f>
        <v>13155.829628948326</v>
      </c>
      <c r="S33" s="68">
        <f>IF(SER_hh_tes_in!S33=0,0,11630*1000*SER_hh_tes_in!S33/SER_hh_num_in!S33)</f>
        <v>12899.364832424766</v>
      </c>
      <c r="T33" s="68">
        <f>IF(SER_hh_tes_in!T33=0,0,11630*1000*SER_hh_tes_in!T33/SER_hh_num_in!T33)</f>
        <v>12625.476801300856</v>
      </c>
      <c r="U33" s="68">
        <f>IF(SER_hh_tes_in!U33=0,0,11630*1000*SER_hh_tes_in!U33/SER_hh_num_in!U33)</f>
        <v>12494.599860837361</v>
      </c>
      <c r="V33" s="68">
        <f>IF(SER_hh_tes_in!V33=0,0,11630*1000*SER_hh_tes_in!V33/SER_hh_num_in!V33)</f>
        <v>12399.868674690992</v>
      </c>
      <c r="W33" s="68">
        <f>IF(SER_hh_tes_in!W33=0,0,11630*1000*SER_hh_tes_in!W33/SER_hh_num_in!W33)</f>
        <v>12800.98948273261</v>
      </c>
      <c r="X33" s="68">
        <f>IF(SER_hh_tes_in!X33=0,0,11630*1000*SER_hh_tes_in!X33/SER_hh_num_in!X33)</f>
        <v>13363.422753611678</v>
      </c>
      <c r="Y33" s="68">
        <f>IF(SER_hh_tes_in!Y33=0,0,11630*1000*SER_hh_tes_in!Y33/SER_hh_num_in!Y33)</f>
        <v>13475.466638273101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19282.580278378289</v>
      </c>
      <c r="D3" s="125">
        <f>IF(SER_hh_emi_in!D3=0,0,1000000*SER_hh_emi_in!D3/SER_hh_num_in!D3)</f>
        <v>18472.142323459524</v>
      </c>
      <c r="E3" s="125">
        <f>IF(SER_hh_emi_in!E3=0,0,1000000*SER_hh_emi_in!E3/SER_hh_num_in!E3)</f>
        <v>19797.65220910326</v>
      </c>
      <c r="F3" s="125">
        <f>IF(SER_hh_emi_in!F3=0,0,1000000*SER_hh_emi_in!F3/SER_hh_num_in!F3)</f>
        <v>22902.221219027873</v>
      </c>
      <c r="G3" s="125">
        <f>IF(SER_hh_emi_in!G3=0,0,1000000*SER_hh_emi_in!G3/SER_hh_num_in!G3)</f>
        <v>18911.28918842247</v>
      </c>
      <c r="H3" s="125">
        <f>IF(SER_hh_emi_in!H3=0,0,1000000*SER_hh_emi_in!H3/SER_hh_num_in!H3)</f>
        <v>18929.496796812167</v>
      </c>
      <c r="I3" s="125">
        <f>IF(SER_hh_emi_in!I3=0,0,1000000*SER_hh_emi_in!I3/SER_hh_num_in!I3)</f>
        <v>16903.216597492894</v>
      </c>
      <c r="J3" s="125">
        <f>IF(SER_hh_emi_in!J3=0,0,1000000*SER_hh_emi_in!J3/SER_hh_num_in!J3)</f>
        <v>18715.742073577931</v>
      </c>
      <c r="K3" s="125">
        <f>IF(SER_hh_emi_in!K3=0,0,1000000*SER_hh_emi_in!K3/SER_hh_num_in!K3)</f>
        <v>18941.56866036027</v>
      </c>
      <c r="L3" s="125">
        <f>IF(SER_hh_emi_in!L3=0,0,1000000*SER_hh_emi_in!L3/SER_hh_num_in!L3)</f>
        <v>23292.814217696723</v>
      </c>
      <c r="M3" s="125">
        <f>IF(SER_hh_emi_in!M3=0,0,1000000*SER_hh_emi_in!M3/SER_hh_num_in!M3)</f>
        <v>16544.24859628272</v>
      </c>
      <c r="N3" s="125">
        <f>IF(SER_hh_emi_in!N3=0,0,1000000*SER_hh_emi_in!N3/SER_hh_num_in!N3)</f>
        <v>18618.587302946748</v>
      </c>
      <c r="O3" s="125">
        <f>IF(SER_hh_emi_in!O3=0,0,1000000*SER_hh_emi_in!O3/SER_hh_num_in!O3)</f>
        <v>17039.864869925244</v>
      </c>
      <c r="P3" s="125">
        <f>IF(SER_hh_emi_in!P3=0,0,1000000*SER_hh_emi_in!P3/SER_hh_num_in!P3)</f>
        <v>11477.638741255385</v>
      </c>
      <c r="Q3" s="125">
        <f>IF(SER_hh_emi_in!Q3=0,0,1000000*SER_hh_emi_in!Q3/SER_hh_num_in!Q3)</f>
        <v>11334.513888567993</v>
      </c>
      <c r="R3" s="125">
        <f>IF(SER_hh_emi_in!R3=0,0,1000000*SER_hh_emi_in!R3/SER_hh_num_in!R3)</f>
        <v>10621.882008642708</v>
      </c>
      <c r="S3" s="125">
        <f>IF(SER_hh_emi_in!S3=0,0,1000000*SER_hh_emi_in!S3/SER_hh_num_in!S3)</f>
        <v>8536.2027454369618</v>
      </c>
      <c r="T3" s="125">
        <f>IF(SER_hh_emi_in!T3=0,0,1000000*SER_hh_emi_in!T3/SER_hh_num_in!T3)</f>
        <v>7380.5015383283617</v>
      </c>
      <c r="U3" s="125">
        <f>IF(SER_hh_emi_in!U3=0,0,1000000*SER_hh_emi_in!U3/SER_hh_num_in!U3)</f>
        <v>6815.191833140515</v>
      </c>
      <c r="V3" s="125">
        <f>IF(SER_hh_emi_in!V3=0,0,1000000*SER_hh_emi_in!V3/SER_hh_num_in!V3)</f>
        <v>5986.8732588019857</v>
      </c>
      <c r="W3" s="125">
        <f>IF(SER_hh_emi_in!W3=0,0,1000000*SER_hh_emi_in!W3/SER_hh_num_in!W3)</f>
        <v>5783.3755708677645</v>
      </c>
      <c r="X3" s="125">
        <f>IF(SER_hh_emi_in!X3=0,0,1000000*SER_hh_emi_in!X3/SER_hh_num_in!X3)</f>
        <v>4143.2174413911644</v>
      </c>
      <c r="Y3" s="125">
        <f>IF(SER_hh_emi_in!Y3=0,0,1000000*SER_hh_emi_in!Y3/SER_hh_num_in!Y3)</f>
        <v>4656.3093198822562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15566.719864395356</v>
      </c>
      <c r="D4" s="130">
        <f>IF(SER_hh_emi_in!D4=0,0,1000000*SER_hh_emi_in!D4/SER_hh_num_in!D4)</f>
        <v>14551.998160001631</v>
      </c>
      <c r="E4" s="130">
        <f>IF(SER_hh_emi_in!E4=0,0,1000000*SER_hh_emi_in!E4/SER_hh_num_in!E4)</f>
        <v>16226.935084222558</v>
      </c>
      <c r="F4" s="130">
        <f>IF(SER_hh_emi_in!F4=0,0,1000000*SER_hh_emi_in!F4/SER_hh_num_in!F4)</f>
        <v>19093.069277073111</v>
      </c>
      <c r="G4" s="130">
        <f>IF(SER_hh_emi_in!G4=0,0,1000000*SER_hh_emi_in!G4/SER_hh_num_in!G4)</f>
        <v>15705.307553993067</v>
      </c>
      <c r="H4" s="130">
        <f>IF(SER_hh_emi_in!H4=0,0,1000000*SER_hh_emi_in!H4/SER_hh_num_in!H4)</f>
        <v>15804.542295006506</v>
      </c>
      <c r="I4" s="130">
        <f>IF(SER_hh_emi_in!I4=0,0,1000000*SER_hh_emi_in!I4/SER_hh_num_in!I4)</f>
        <v>13871.948040949044</v>
      </c>
      <c r="J4" s="130">
        <f>IF(SER_hh_emi_in!J4=0,0,1000000*SER_hh_emi_in!J4/SER_hh_num_in!J4)</f>
        <v>15636.50783372906</v>
      </c>
      <c r="K4" s="130">
        <f>IF(SER_hh_emi_in!K4=0,0,1000000*SER_hh_emi_in!K4/SER_hh_num_in!K4)</f>
        <v>15441.159992632587</v>
      </c>
      <c r="L4" s="130">
        <f>IF(SER_hh_emi_in!L4=0,0,1000000*SER_hh_emi_in!L4/SER_hh_num_in!L4)</f>
        <v>20091.083230183605</v>
      </c>
      <c r="M4" s="130">
        <f>IF(SER_hh_emi_in!M4=0,0,1000000*SER_hh_emi_in!M4/SER_hh_num_in!M4)</f>
        <v>13529.88631182455</v>
      </c>
      <c r="N4" s="130">
        <f>IF(SER_hh_emi_in!N4=0,0,1000000*SER_hh_emi_in!N4/SER_hh_num_in!N4)</f>
        <v>15254.45597744003</v>
      </c>
      <c r="O4" s="130">
        <f>IF(SER_hh_emi_in!O4=0,0,1000000*SER_hh_emi_in!O4/SER_hh_num_in!O4)</f>
        <v>13892.555091435919</v>
      </c>
      <c r="P4" s="130">
        <f>IF(SER_hh_emi_in!P4=0,0,1000000*SER_hh_emi_in!P4/SER_hh_num_in!P4)</f>
        <v>8936.9558393705447</v>
      </c>
      <c r="Q4" s="130">
        <f>IF(SER_hh_emi_in!Q4=0,0,1000000*SER_hh_emi_in!Q4/SER_hh_num_in!Q4)</f>
        <v>9407.8826377123787</v>
      </c>
      <c r="R4" s="130">
        <f>IF(SER_hh_emi_in!R4=0,0,1000000*SER_hh_emi_in!R4/SER_hh_num_in!R4)</f>
        <v>7869.7052527767446</v>
      </c>
      <c r="S4" s="130">
        <f>IF(SER_hh_emi_in!S4=0,0,1000000*SER_hh_emi_in!S4/SER_hh_num_in!S4)</f>
        <v>6035.7916256153003</v>
      </c>
      <c r="T4" s="130">
        <f>IF(SER_hh_emi_in!T4=0,0,1000000*SER_hh_emi_in!T4/SER_hh_num_in!T4)</f>
        <v>5604.1057786936071</v>
      </c>
      <c r="U4" s="130">
        <f>IF(SER_hh_emi_in!U4=0,0,1000000*SER_hh_emi_in!U4/SER_hh_num_in!U4)</f>
        <v>5446.492120352209</v>
      </c>
      <c r="V4" s="130">
        <f>IF(SER_hh_emi_in!V4=0,0,1000000*SER_hh_emi_in!V4/SER_hh_num_in!V4)</f>
        <v>4506.2938560050334</v>
      </c>
      <c r="W4" s="130">
        <f>IF(SER_hh_emi_in!W4=0,0,1000000*SER_hh_emi_in!W4/SER_hh_num_in!W4)</f>
        <v>3621.1734833891323</v>
      </c>
      <c r="X4" s="130">
        <f>IF(SER_hh_emi_in!X4=0,0,1000000*SER_hh_emi_in!X4/SER_hh_num_in!X4)</f>
        <v>1986.2549289467449</v>
      </c>
      <c r="Y4" s="130">
        <f>IF(SER_hh_emi_in!Y4=0,0,1000000*SER_hh_emi_in!Y4/SER_hh_num_in!Y4)</f>
        <v>2396.5009142084587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35484.872992261837</v>
      </c>
      <c r="D5" s="132">
        <f>IF(SER_hh_emi_in!D5=0,0,1000000*SER_hh_emi_in!D5/SER_hh_num_in!D5)</f>
        <v>30103.027027319375</v>
      </c>
      <c r="E5" s="132">
        <f>IF(SER_hh_emi_in!E5=0,0,1000000*SER_hh_emi_in!E5/SER_hh_num_in!E5)</f>
        <v>48849.983469034552</v>
      </c>
      <c r="F5" s="132">
        <f>IF(SER_hh_emi_in!F5=0,0,1000000*SER_hh_emi_in!F5/SER_hh_num_in!F5)</f>
        <v>24037.366249411552</v>
      </c>
      <c r="G5" s="132">
        <f>IF(SER_hh_emi_in!G5=0,0,1000000*SER_hh_emi_in!G5/SER_hh_num_in!G5)</f>
        <v>32631.445061773073</v>
      </c>
      <c r="H5" s="132">
        <f>IF(SER_hh_emi_in!H5=0,0,1000000*SER_hh_emi_in!H5/SER_hh_num_in!H5)</f>
        <v>21897.168592545499</v>
      </c>
      <c r="I5" s="132">
        <f>IF(SER_hh_emi_in!I5=0,0,1000000*SER_hh_emi_in!I5/SER_hh_num_in!I5)</f>
        <v>33482.947969878784</v>
      </c>
      <c r="J5" s="132">
        <f>IF(SER_hh_emi_in!J5=0,0,1000000*SER_hh_emi_in!J5/SER_hh_num_in!J5)</f>
        <v>35410.01876468621</v>
      </c>
      <c r="K5" s="132">
        <f>IF(SER_hh_emi_in!K5=0,0,1000000*SER_hh_emi_in!K5/SER_hh_num_in!K5)</f>
        <v>34227.026736402913</v>
      </c>
      <c r="L5" s="132">
        <f>IF(SER_hh_emi_in!L5=0,0,1000000*SER_hh_emi_in!L5/SER_hh_num_in!L5)</f>
        <v>32009.903119582879</v>
      </c>
      <c r="M5" s="132">
        <f>IF(SER_hh_emi_in!M5=0,0,1000000*SER_hh_emi_in!M5/SER_hh_num_in!M5)</f>
        <v>30480.152247400758</v>
      </c>
      <c r="N5" s="132">
        <f>IF(SER_hh_emi_in!N5=0,0,1000000*SER_hh_emi_in!N5/SER_hh_num_in!N5)</f>
        <v>28954.081246293998</v>
      </c>
      <c r="O5" s="132">
        <f>IF(SER_hh_emi_in!O5=0,0,1000000*SER_hh_emi_in!O5/SER_hh_num_in!O5)</f>
        <v>16935.851648979045</v>
      </c>
      <c r="P5" s="132">
        <f>IF(SER_hh_emi_in!P5=0,0,1000000*SER_hh_emi_in!P5/SER_hh_num_in!P5)</f>
        <v>6153.6836096884126</v>
      </c>
      <c r="Q5" s="132">
        <f>IF(SER_hh_emi_in!Q5=0,0,1000000*SER_hh_emi_in!Q5/SER_hh_num_in!Q5)</f>
        <v>26162.324986525411</v>
      </c>
      <c r="R5" s="132">
        <f>IF(SER_hh_emi_in!R5=0,0,1000000*SER_hh_emi_in!R5/SER_hh_num_in!R5)</f>
        <v>23714.217952703548</v>
      </c>
      <c r="S5" s="132">
        <f>IF(SER_hh_emi_in!S5=0,0,1000000*SER_hh_emi_in!S5/SER_hh_num_in!S5)</f>
        <v>21060.104566248308</v>
      </c>
      <c r="T5" s="132">
        <f>IF(SER_hh_emi_in!T5=0,0,1000000*SER_hh_emi_in!T5/SER_hh_num_in!T5)</f>
        <v>19406.598059079799</v>
      </c>
      <c r="U5" s="132">
        <f>IF(SER_hh_emi_in!U5=0,0,1000000*SER_hh_emi_in!U5/SER_hh_num_in!U5)</f>
        <v>0</v>
      </c>
      <c r="V5" s="132">
        <f>IF(SER_hh_emi_in!V5=0,0,1000000*SER_hh_emi_in!V5/SER_hh_num_in!V5)</f>
        <v>14804.353570529182</v>
      </c>
      <c r="W5" s="132">
        <f>IF(SER_hh_emi_in!W5=0,0,1000000*SER_hh_emi_in!W5/SER_hh_num_in!W5)</f>
        <v>7399.9818135158148</v>
      </c>
      <c r="X5" s="132">
        <f>IF(SER_hh_emi_in!X5=0,0,1000000*SER_hh_emi_in!X5/SER_hh_num_in!X5)</f>
        <v>9431.5372016860074</v>
      </c>
      <c r="Y5" s="132">
        <f>IF(SER_hh_emi_in!Y5=0,0,1000000*SER_hh_emi_in!Y5/SER_hh_num_in!Y5)</f>
        <v>9237.6540229233669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31370.810888016345</v>
      </c>
      <c r="D7" s="132">
        <f>IF(SER_hh_emi_in!D7=0,0,1000000*SER_hh_emi_in!D7/SER_hh_num_in!D7)</f>
        <v>32183.782999524417</v>
      </c>
      <c r="E7" s="132">
        <f>IF(SER_hh_emi_in!E7=0,0,1000000*SER_hh_emi_in!E7/SER_hh_num_in!E7)</f>
        <v>33361.262343415256</v>
      </c>
      <c r="F7" s="132">
        <f>IF(SER_hh_emi_in!F7=0,0,1000000*SER_hh_emi_in!F7/SER_hh_num_in!F7)</f>
        <v>31640.018441892651</v>
      </c>
      <c r="G7" s="132">
        <f>IF(SER_hh_emi_in!G7=0,0,1000000*SER_hh_emi_in!G7/SER_hh_num_in!G7)</f>
        <v>31811.447768895687</v>
      </c>
      <c r="H7" s="132">
        <f>IF(SER_hh_emi_in!H7=0,0,1000000*SER_hh_emi_in!H7/SER_hh_num_in!H7)</f>
        <v>29709.169590421268</v>
      </c>
      <c r="I7" s="132">
        <f>IF(SER_hh_emi_in!I7=0,0,1000000*SER_hh_emi_in!I7/SER_hh_num_in!I7)</f>
        <v>29210.24069417076</v>
      </c>
      <c r="J7" s="132">
        <f>IF(SER_hh_emi_in!J7=0,0,1000000*SER_hh_emi_in!J7/SER_hh_num_in!J7)</f>
        <v>28329.456985854235</v>
      </c>
      <c r="K7" s="132">
        <f>IF(SER_hh_emi_in!K7=0,0,1000000*SER_hh_emi_in!K7/SER_hh_num_in!K7)</f>
        <v>26708.690212507732</v>
      </c>
      <c r="L7" s="132">
        <f>IF(SER_hh_emi_in!L7=0,0,1000000*SER_hh_emi_in!L7/SER_hh_num_in!L7)</f>
        <v>29862.975786511965</v>
      </c>
      <c r="M7" s="132">
        <f>IF(SER_hh_emi_in!M7=0,0,1000000*SER_hh_emi_in!M7/SER_hh_num_in!M7)</f>
        <v>25719.189345396477</v>
      </c>
      <c r="N7" s="132">
        <f>IF(SER_hh_emi_in!N7=0,0,1000000*SER_hh_emi_in!N7/SER_hh_num_in!N7)</f>
        <v>23471.844525621025</v>
      </c>
      <c r="O7" s="132">
        <f>IF(SER_hh_emi_in!O7=0,0,1000000*SER_hh_emi_in!O7/SER_hh_num_in!O7)</f>
        <v>21630.676500289799</v>
      </c>
      <c r="P7" s="132">
        <f>IF(SER_hh_emi_in!P7=0,0,1000000*SER_hh_emi_in!P7/SER_hh_num_in!P7)</f>
        <v>18742.531404303423</v>
      </c>
      <c r="Q7" s="132">
        <f>IF(SER_hh_emi_in!Q7=0,0,1000000*SER_hh_emi_in!Q7/SER_hh_num_in!Q7)</f>
        <v>16307.212671989428</v>
      </c>
      <c r="R7" s="132">
        <f>IF(SER_hh_emi_in!R7=0,0,1000000*SER_hh_emi_in!R7/SER_hh_num_in!R7)</f>
        <v>15239.244459542198</v>
      </c>
      <c r="S7" s="132">
        <f>IF(SER_hh_emi_in!S7=0,0,1000000*SER_hh_emi_in!S7/SER_hh_num_in!S7)</f>
        <v>14329.042928921968</v>
      </c>
      <c r="T7" s="132">
        <f>IF(SER_hh_emi_in!T7=0,0,1000000*SER_hh_emi_in!T7/SER_hh_num_in!T7)</f>
        <v>13231.0790577031</v>
      </c>
      <c r="U7" s="132">
        <f>IF(SER_hh_emi_in!U7=0,0,1000000*SER_hh_emi_in!U7/SER_hh_num_in!U7)</f>
        <v>12566.356808471361</v>
      </c>
      <c r="V7" s="132">
        <f>IF(SER_hh_emi_in!V7=0,0,1000000*SER_hh_emi_in!V7/SER_hh_num_in!V7)</f>
        <v>10646.796626104471</v>
      </c>
      <c r="W7" s="132">
        <f>IF(SER_hh_emi_in!W7=0,0,1000000*SER_hh_emi_in!W7/SER_hh_num_in!W7)</f>
        <v>8685.8841018618623</v>
      </c>
      <c r="X7" s="132">
        <f>IF(SER_hh_emi_in!X7=0,0,1000000*SER_hh_emi_in!X7/SER_hh_num_in!X7)</f>
        <v>6801.3404504565779</v>
      </c>
      <c r="Y7" s="132">
        <f>IF(SER_hh_emi_in!Y7=0,0,1000000*SER_hh_emi_in!Y7/SER_hh_num_in!Y7)</f>
        <v>6509.5044338197386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9632.6109373336076</v>
      </c>
      <c r="D8" s="132">
        <f>IF(SER_hh_emi_in!D8=0,0,1000000*SER_hh_emi_in!D8/SER_hh_num_in!D8)</f>
        <v>8624.4171703054762</v>
      </c>
      <c r="E8" s="132">
        <f>IF(SER_hh_emi_in!E8=0,0,1000000*SER_hh_emi_in!E8/SER_hh_num_in!E8)</f>
        <v>9443.5632849025533</v>
      </c>
      <c r="F8" s="132">
        <f>IF(SER_hh_emi_in!F8=0,0,1000000*SER_hh_emi_in!F8/SER_hh_num_in!F8)</f>
        <v>9339.1974445185078</v>
      </c>
      <c r="G8" s="132">
        <f>IF(SER_hh_emi_in!G8=0,0,1000000*SER_hh_emi_in!G8/SER_hh_num_in!G8)</f>
        <v>7895.8380277598644</v>
      </c>
      <c r="H8" s="132">
        <f>IF(SER_hh_emi_in!H8=0,0,1000000*SER_hh_emi_in!H8/SER_hh_num_in!H8)</f>
        <v>7154.881198868321</v>
      </c>
      <c r="I8" s="132">
        <f>IF(SER_hh_emi_in!I8=0,0,1000000*SER_hh_emi_in!I8/SER_hh_num_in!I8)</f>
        <v>7216.7981565419977</v>
      </c>
      <c r="J8" s="132">
        <f>IF(SER_hh_emi_in!J8=0,0,1000000*SER_hh_emi_in!J8/SER_hh_num_in!J8)</f>
        <v>6925.84797973068</v>
      </c>
      <c r="K8" s="132">
        <f>IF(SER_hh_emi_in!K8=0,0,1000000*SER_hh_emi_in!K8/SER_hh_num_in!K8)</f>
        <v>6580.7816083055832</v>
      </c>
      <c r="L8" s="132">
        <f>IF(SER_hh_emi_in!L8=0,0,1000000*SER_hh_emi_in!L8/SER_hh_num_in!L8)</f>
        <v>6345.3441807634617</v>
      </c>
      <c r="M8" s="132">
        <f>IF(SER_hh_emi_in!M8=0,0,1000000*SER_hh_emi_in!M8/SER_hh_num_in!M8)</f>
        <v>6026.8028073999776</v>
      </c>
      <c r="N8" s="132">
        <f>IF(SER_hh_emi_in!N8=0,0,1000000*SER_hh_emi_in!N8/SER_hh_num_in!N8)</f>
        <v>4881.6239874652347</v>
      </c>
      <c r="O8" s="132">
        <f>IF(SER_hh_emi_in!O8=0,0,1000000*SER_hh_emi_in!O8/SER_hh_num_in!O8)</f>
        <v>3806.8593641466255</v>
      </c>
      <c r="P8" s="132">
        <f>IF(SER_hh_emi_in!P8=0,0,1000000*SER_hh_emi_in!P8/SER_hh_num_in!P8)</f>
        <v>3828.5717883146099</v>
      </c>
      <c r="Q8" s="132">
        <f>IF(SER_hh_emi_in!Q8=0,0,1000000*SER_hh_emi_in!Q8/SER_hh_num_in!Q8)</f>
        <v>3810.2915627461348</v>
      </c>
      <c r="R8" s="132">
        <f>IF(SER_hh_emi_in!R8=0,0,1000000*SER_hh_emi_in!R8/SER_hh_num_in!R8)</f>
        <v>3372.4043320218843</v>
      </c>
      <c r="S8" s="132">
        <f>IF(SER_hh_emi_in!S8=0,0,1000000*SER_hh_emi_in!S8/SER_hh_num_in!S8)</f>
        <v>3012.9760912416064</v>
      </c>
      <c r="T8" s="132">
        <f>IF(SER_hh_emi_in!T8=0,0,1000000*SER_hh_emi_in!T8/SER_hh_num_in!T8)</f>
        <v>2767.0082595770459</v>
      </c>
      <c r="U8" s="132">
        <f>IF(SER_hh_emi_in!U8=0,0,1000000*SER_hh_emi_in!U8/SER_hh_num_in!U8)</f>
        <v>2452.3139993924174</v>
      </c>
      <c r="V8" s="132">
        <f>IF(SER_hh_emi_in!V8=0,0,1000000*SER_hh_emi_in!V8/SER_hh_num_in!V8)</f>
        <v>2093.6088095016612</v>
      </c>
      <c r="W8" s="132">
        <f>IF(SER_hh_emi_in!W8=0,0,1000000*SER_hh_emi_in!W8/SER_hh_num_in!W8)</f>
        <v>1791.8906859745389</v>
      </c>
      <c r="X8" s="132">
        <f>IF(SER_hh_emi_in!X8=0,0,1000000*SER_hh_emi_in!X8/SER_hh_num_in!X8)</f>
        <v>1300.8388026269893</v>
      </c>
      <c r="Y8" s="132">
        <f>IF(SER_hh_emi_in!Y8=0,0,1000000*SER_hh_emi_in!Y8/SER_hh_num_in!Y8)</f>
        <v>1348.3900337502673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23268.779727984656</v>
      </c>
      <c r="D9" s="132">
        <f>IF(SER_hh_emi_in!D9=0,0,1000000*SER_hh_emi_in!D9/SER_hh_num_in!D9)</f>
        <v>21311.793802930806</v>
      </c>
      <c r="E9" s="132">
        <f>IF(SER_hh_emi_in!E9=0,0,1000000*SER_hh_emi_in!E9/SER_hh_num_in!E9)</f>
        <v>22896.658849113068</v>
      </c>
      <c r="F9" s="132">
        <f>IF(SER_hh_emi_in!F9=0,0,1000000*SER_hh_emi_in!F9/SER_hh_num_in!F9)</f>
        <v>25440.713900282004</v>
      </c>
      <c r="G9" s="132">
        <f>IF(SER_hh_emi_in!G9=0,0,1000000*SER_hh_emi_in!G9/SER_hh_num_in!G9)</f>
        <v>22458.106000544056</v>
      </c>
      <c r="H9" s="132">
        <f>IF(SER_hh_emi_in!H9=0,0,1000000*SER_hh_emi_in!H9/SER_hh_num_in!H9)</f>
        <v>21910.94808006251</v>
      </c>
      <c r="I9" s="132">
        <f>IF(SER_hh_emi_in!I9=0,0,1000000*SER_hh_emi_in!I9/SER_hh_num_in!I9)</f>
        <v>18300.349289265392</v>
      </c>
      <c r="J9" s="132">
        <f>IF(SER_hh_emi_in!J9=0,0,1000000*SER_hh_emi_in!J9/SER_hh_num_in!J9)</f>
        <v>19444.505600330311</v>
      </c>
      <c r="K9" s="132">
        <f>IF(SER_hh_emi_in!K9=0,0,1000000*SER_hh_emi_in!K9/SER_hh_num_in!K9)</f>
        <v>19818.341341657917</v>
      </c>
      <c r="L9" s="132">
        <f>IF(SER_hh_emi_in!L9=0,0,1000000*SER_hh_emi_in!L9/SER_hh_num_in!L9)</f>
        <v>22060.490474714534</v>
      </c>
      <c r="M9" s="132">
        <f>IF(SER_hh_emi_in!M9=0,0,1000000*SER_hh_emi_in!M9/SER_hh_num_in!M9)</f>
        <v>15981.754382288984</v>
      </c>
      <c r="N9" s="132">
        <f>IF(SER_hh_emi_in!N9=0,0,1000000*SER_hh_emi_in!N9/SER_hh_num_in!N9)</f>
        <v>17030.356766591336</v>
      </c>
      <c r="O9" s="132">
        <f>IF(SER_hh_emi_in!O9=0,0,1000000*SER_hh_emi_in!O9/SER_hh_num_in!O9)</f>
        <v>15903.175911831409</v>
      </c>
      <c r="P9" s="132">
        <f>IF(SER_hh_emi_in!P9=0,0,1000000*SER_hh_emi_in!P9/SER_hh_num_in!P9)</f>
        <v>10888.105304088396</v>
      </c>
      <c r="Q9" s="132">
        <f>IF(SER_hh_emi_in!Q9=0,0,1000000*SER_hh_emi_in!Q9/SER_hh_num_in!Q9)</f>
        <v>11053.594939638286</v>
      </c>
      <c r="R9" s="132">
        <f>IF(SER_hh_emi_in!R9=0,0,1000000*SER_hh_emi_in!R9/SER_hh_num_in!R9)</f>
        <v>10502.476500749641</v>
      </c>
      <c r="S9" s="132">
        <f>IF(SER_hh_emi_in!S9=0,0,1000000*SER_hh_emi_in!S9/SER_hh_num_in!S9)</f>
        <v>9930.7856215861921</v>
      </c>
      <c r="T9" s="132">
        <f>IF(SER_hh_emi_in!T9=0,0,1000000*SER_hh_emi_in!T9/SER_hh_num_in!T9)</f>
        <v>9250.5717889150019</v>
      </c>
      <c r="U9" s="132">
        <f>IF(SER_hh_emi_in!U9=0,0,1000000*SER_hh_emi_in!U9/SER_hh_num_in!U9)</f>
        <v>8101.0232641705288</v>
      </c>
      <c r="V9" s="132">
        <f>IF(SER_hh_emi_in!V9=0,0,1000000*SER_hh_emi_in!V9/SER_hh_num_in!V9)</f>
        <v>6745.4076700707792</v>
      </c>
      <c r="W9" s="132">
        <f>IF(SER_hh_emi_in!W9=0,0,1000000*SER_hh_emi_in!W9/SER_hh_num_in!W9)</f>
        <v>6328.5174042148965</v>
      </c>
      <c r="X9" s="132">
        <f>IF(SER_hh_emi_in!X9=0,0,1000000*SER_hh_emi_in!X9/SER_hh_num_in!X9)</f>
        <v>4162.6374699559228</v>
      </c>
      <c r="Y9" s="132">
        <f>IF(SER_hh_emi_in!Y9=0,0,1000000*SER_hh_emi_in!Y9/SER_hh_num_in!Y9)</f>
        <v>4055.1416792137898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12634.430548918268</v>
      </c>
      <c r="D10" s="132">
        <f>IF(SER_hh_emi_in!D10=0,0,1000000*SER_hh_emi_in!D10/SER_hh_num_in!D10)</f>
        <v>12380.514595912253</v>
      </c>
      <c r="E10" s="132">
        <f>IF(SER_hh_emi_in!E10=0,0,1000000*SER_hh_emi_in!E10/SER_hh_num_in!E10)</f>
        <v>12420.461531515048</v>
      </c>
      <c r="F10" s="132">
        <f>IF(SER_hh_emi_in!F10=0,0,1000000*SER_hh_emi_in!F10/SER_hh_num_in!F10)</f>
        <v>14431.440244791896</v>
      </c>
      <c r="G10" s="132">
        <f>IF(SER_hh_emi_in!G10=0,0,1000000*SER_hh_emi_in!G10/SER_hh_num_in!G10)</f>
        <v>14312.150100842135</v>
      </c>
      <c r="H10" s="132">
        <f>IF(SER_hh_emi_in!H10=0,0,1000000*SER_hh_emi_in!H10/SER_hh_num_in!H10)</f>
        <v>14737.794549728762</v>
      </c>
      <c r="I10" s="132">
        <f>IF(SER_hh_emi_in!I10=0,0,1000000*SER_hh_emi_in!I10/SER_hh_num_in!I10)</f>
        <v>13257.631832056066</v>
      </c>
      <c r="J10" s="132">
        <f>IF(SER_hh_emi_in!J10=0,0,1000000*SER_hh_emi_in!J10/SER_hh_num_in!J10)</f>
        <v>14347.115648694456</v>
      </c>
      <c r="K10" s="132">
        <f>IF(SER_hh_emi_in!K10=0,0,1000000*SER_hh_emi_in!K10/SER_hh_num_in!K10)</f>
        <v>14658.618371025506</v>
      </c>
      <c r="L10" s="132">
        <f>IF(SER_hh_emi_in!L10=0,0,1000000*SER_hh_emi_in!L10/SER_hh_num_in!L10)</f>
        <v>15052.341341423515</v>
      </c>
      <c r="M10" s="132">
        <f>IF(SER_hh_emi_in!M10=0,0,1000000*SER_hh_emi_in!M10/SER_hh_num_in!M10)</f>
        <v>12542.243021394637</v>
      </c>
      <c r="N10" s="132">
        <f>IF(SER_hh_emi_in!N10=0,0,1000000*SER_hh_emi_in!N10/SER_hh_num_in!N10)</f>
        <v>10184.921144262293</v>
      </c>
      <c r="O10" s="132">
        <f>IF(SER_hh_emi_in!O10=0,0,1000000*SER_hh_emi_in!O10/SER_hh_num_in!O10)</f>
        <v>9977.6001128991375</v>
      </c>
      <c r="P10" s="132">
        <f>IF(SER_hh_emi_in!P10=0,0,1000000*SER_hh_emi_in!P10/SER_hh_num_in!P10)</f>
        <v>9075.7285486660003</v>
      </c>
      <c r="Q10" s="132">
        <f>IF(SER_hh_emi_in!Q10=0,0,1000000*SER_hh_emi_in!Q10/SER_hh_num_in!Q10)</f>
        <v>7540.2675693056353</v>
      </c>
      <c r="R10" s="132">
        <f>IF(SER_hh_emi_in!R10=0,0,1000000*SER_hh_emi_in!R10/SER_hh_num_in!R10)</f>
        <v>6536.0098261117591</v>
      </c>
      <c r="S10" s="132">
        <f>IF(SER_hh_emi_in!S10=0,0,1000000*SER_hh_emi_in!S10/SER_hh_num_in!S10)</f>
        <v>4932.4469890006349</v>
      </c>
      <c r="T10" s="132">
        <f>IF(SER_hh_emi_in!T10=0,0,1000000*SER_hh_emi_in!T10/SER_hh_num_in!T10)</f>
        <v>5194.8544312414988</v>
      </c>
      <c r="U10" s="132">
        <f>IF(SER_hh_emi_in!U10=0,0,1000000*SER_hh_emi_in!U10/SER_hh_num_in!U10)</f>
        <v>4461.9613027105661</v>
      </c>
      <c r="V10" s="132">
        <f>IF(SER_hh_emi_in!V10=0,0,1000000*SER_hh_emi_in!V10/SER_hh_num_in!V10)</f>
        <v>3797.0432145899167</v>
      </c>
      <c r="W10" s="132">
        <f>IF(SER_hh_emi_in!W10=0,0,1000000*SER_hh_emi_in!W10/SER_hh_num_in!W10)</f>
        <v>2994.0967021568426</v>
      </c>
      <c r="X10" s="132">
        <f>IF(SER_hh_emi_in!X10=0,0,1000000*SER_hh_emi_in!X10/SER_hh_num_in!X10)</f>
        <v>2405.3382419356353</v>
      </c>
      <c r="Y10" s="132">
        <f>IF(SER_hh_emi_in!Y10=0,0,1000000*SER_hh_emi_in!Y10/SER_hh_num_in!Y10)</f>
        <v>2208.6857703208429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10.858355108476179</v>
      </c>
      <c r="D16" s="130">
        <f>IF(SER_hh_emi_in!D16=0,0,1000000*SER_hh_emi_in!D16/SER_hh_num_in!D16)</f>
        <v>15.839089959921676</v>
      </c>
      <c r="E16" s="130">
        <f>IF(SER_hh_emi_in!E16=0,0,1000000*SER_hh_emi_in!E16/SER_hh_num_in!E16)</f>
        <v>12.414147566003644</v>
      </c>
      <c r="F16" s="130">
        <f>IF(SER_hh_emi_in!F16=0,0,1000000*SER_hh_emi_in!F16/SER_hh_num_in!F16)</f>
        <v>24.963828376065354</v>
      </c>
      <c r="G16" s="130">
        <f>IF(SER_hh_emi_in!G16=0,0,1000000*SER_hh_emi_in!G16/SER_hh_num_in!G16)</f>
        <v>16.148175283423779</v>
      </c>
      <c r="H16" s="130">
        <f>IF(SER_hh_emi_in!H16=0,0,1000000*SER_hh_emi_in!H16/SER_hh_num_in!H16)</f>
        <v>23.257786023054003</v>
      </c>
      <c r="I16" s="130">
        <f>IF(SER_hh_emi_in!I16=0,0,1000000*SER_hh_emi_in!I16/SER_hh_num_in!I16)</f>
        <v>24.657971064407597</v>
      </c>
      <c r="J16" s="130">
        <f>IF(SER_hh_emi_in!J16=0,0,1000000*SER_hh_emi_in!J16/SER_hh_num_in!J16)</f>
        <v>24.695953135165393</v>
      </c>
      <c r="K16" s="130">
        <f>IF(SER_hh_emi_in!K16=0,0,1000000*SER_hh_emi_in!K16/SER_hh_num_in!K16)</f>
        <v>23.79738527881462</v>
      </c>
      <c r="L16" s="130">
        <f>IF(SER_hh_emi_in!L16=0,0,1000000*SER_hh_emi_in!L16/SER_hh_num_in!L16)</f>
        <v>22.787524985321102</v>
      </c>
      <c r="M16" s="130">
        <f>IF(SER_hh_emi_in!M16=0,0,1000000*SER_hh_emi_in!M16/SER_hh_num_in!M16)</f>
        <v>25.119425444440139</v>
      </c>
      <c r="N16" s="130">
        <f>IF(SER_hh_emi_in!N16=0,0,1000000*SER_hh_emi_in!N16/SER_hh_num_in!N16)</f>
        <v>33.321190999374984</v>
      </c>
      <c r="O16" s="130">
        <f>IF(SER_hh_emi_in!O16=0,0,1000000*SER_hh_emi_in!O16/SER_hh_num_in!O16)</f>
        <v>50.130172908022274</v>
      </c>
      <c r="P16" s="130">
        <f>IF(SER_hh_emi_in!P16=0,0,1000000*SER_hh_emi_in!P16/SER_hh_num_in!P16)</f>
        <v>73.002351759716319</v>
      </c>
      <c r="Q16" s="130">
        <f>IF(SER_hh_emi_in!Q16=0,0,1000000*SER_hh_emi_in!Q16/SER_hh_num_in!Q16)</f>
        <v>90.105672025390305</v>
      </c>
      <c r="R16" s="130">
        <f>IF(SER_hh_emi_in!R16=0,0,1000000*SER_hh_emi_in!R16/SER_hh_num_in!R16)</f>
        <v>89.881785906138177</v>
      </c>
      <c r="S16" s="130">
        <f>IF(SER_hh_emi_in!S16=0,0,1000000*SER_hh_emi_in!S16/SER_hh_num_in!S16)</f>
        <v>69.435657021731103</v>
      </c>
      <c r="T16" s="130">
        <f>IF(SER_hh_emi_in!T16=0,0,1000000*SER_hh_emi_in!T16/SER_hh_num_in!T16)</f>
        <v>63.01007891671145</v>
      </c>
      <c r="U16" s="130">
        <f>IF(SER_hh_emi_in!U16=0,0,1000000*SER_hh_emi_in!U16/SER_hh_num_in!U16)</f>
        <v>57.701783403657601</v>
      </c>
      <c r="V16" s="130">
        <f>IF(SER_hh_emi_in!V16=0,0,1000000*SER_hh_emi_in!V16/SER_hh_num_in!V16)</f>
        <v>48.556187941489533</v>
      </c>
      <c r="W16" s="130">
        <f>IF(SER_hh_emi_in!W16=0,0,1000000*SER_hh_emi_in!W16/SER_hh_num_in!W16)</f>
        <v>39.997225266682221</v>
      </c>
      <c r="X16" s="130">
        <f>IF(SER_hh_emi_in!X16=0,0,1000000*SER_hh_emi_in!X16/SER_hh_num_in!X16)</f>
        <v>44.184526923170097</v>
      </c>
      <c r="Y16" s="130">
        <f>IF(SER_hh_emi_in!Y16=0,0,1000000*SER_hh_emi_in!Y16/SER_hh_num_in!Y16)</f>
        <v>40.393348020786249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4140.0363547523102</v>
      </c>
      <c r="D17" s="132">
        <f>IF(SER_hh_emi_in!D17=0,0,1000000*SER_hh_emi_in!D17/SER_hh_num_in!D17)</f>
        <v>4001.9597866185127</v>
      </c>
      <c r="E17" s="132">
        <f>IF(SER_hh_emi_in!E17=0,0,1000000*SER_hh_emi_in!E17/SER_hh_num_in!E17)</f>
        <v>4289.7783400977241</v>
      </c>
      <c r="F17" s="132">
        <f>IF(SER_hh_emi_in!F17=0,0,1000000*SER_hh_emi_in!F17/SER_hh_num_in!F17)</f>
        <v>3820.7380712292493</v>
      </c>
      <c r="G17" s="132">
        <f>IF(SER_hh_emi_in!G17=0,0,1000000*SER_hh_emi_in!G17/SER_hh_num_in!G17)</f>
        <v>3686.2016430682684</v>
      </c>
      <c r="H17" s="132">
        <f>IF(SER_hh_emi_in!H17=0,0,1000000*SER_hh_emi_in!H17/SER_hh_num_in!H17)</f>
        <v>3960.027566522594</v>
      </c>
      <c r="I17" s="132">
        <f>IF(SER_hh_emi_in!I17=0,0,1000000*SER_hh_emi_in!I17/SER_hh_num_in!I17)</f>
        <v>3552.46163436911</v>
      </c>
      <c r="J17" s="132">
        <f>IF(SER_hh_emi_in!J17=0,0,1000000*SER_hh_emi_in!J17/SER_hh_num_in!J17)</f>
        <v>3480.0982153953564</v>
      </c>
      <c r="K17" s="132">
        <f>IF(SER_hh_emi_in!K17=0,0,1000000*SER_hh_emi_in!K17/SER_hh_num_in!K17)</f>
        <v>3381.1798334063983</v>
      </c>
      <c r="L17" s="132">
        <f>IF(SER_hh_emi_in!L17=0,0,1000000*SER_hh_emi_in!L17/SER_hh_num_in!L17)</f>
        <v>3398.8660625251946</v>
      </c>
      <c r="M17" s="132">
        <f>IF(SER_hh_emi_in!M17=0,0,1000000*SER_hh_emi_in!M17/SER_hh_num_in!M17)</f>
        <v>3179.6811813478507</v>
      </c>
      <c r="N17" s="132">
        <f>IF(SER_hh_emi_in!N17=0,0,1000000*SER_hh_emi_in!N17/SER_hh_num_in!N17)</f>
        <v>3074.8813832872229</v>
      </c>
      <c r="O17" s="132">
        <f>IF(SER_hh_emi_in!O17=0,0,1000000*SER_hh_emi_in!O17/SER_hh_num_in!O17)</f>
        <v>2954.5933471135604</v>
      </c>
      <c r="P17" s="132">
        <f>IF(SER_hh_emi_in!P17=0,0,1000000*SER_hh_emi_in!P17/SER_hh_num_in!P17)</f>
        <v>2775.3862125585288</v>
      </c>
      <c r="Q17" s="132">
        <f>IF(SER_hh_emi_in!Q17=0,0,1000000*SER_hh_emi_in!Q17/SER_hh_num_in!Q17)</f>
        <v>2785.1259205236452</v>
      </c>
      <c r="R17" s="132">
        <f>IF(SER_hh_emi_in!R17=0,0,1000000*SER_hh_emi_in!R17/SER_hh_num_in!R17)</f>
        <v>2632.7306276394024</v>
      </c>
      <c r="S17" s="132">
        <f>IF(SER_hh_emi_in!S17=0,0,1000000*SER_hh_emi_in!S17/SER_hh_num_in!S17)</f>
        <v>2562.4329018688391</v>
      </c>
      <c r="T17" s="132">
        <f>IF(SER_hh_emi_in!T17=0,0,1000000*SER_hh_emi_in!T17/SER_hh_num_in!T17)</f>
        <v>2472.682229448525</v>
      </c>
      <c r="U17" s="132">
        <f>IF(SER_hh_emi_in!U17=0,0,1000000*SER_hh_emi_in!U17/SER_hh_num_in!U17)</f>
        <v>2327.5474652942298</v>
      </c>
      <c r="V17" s="132">
        <f>IF(SER_hh_emi_in!V17=0,0,1000000*SER_hh_emi_in!V17/SER_hh_num_in!V17)</f>
        <v>2215.2969733209188</v>
      </c>
      <c r="W17" s="132">
        <f>IF(SER_hh_emi_in!W17=0,0,1000000*SER_hh_emi_in!W17/SER_hh_num_in!W17)</f>
        <v>2068.9133000587472</v>
      </c>
      <c r="X17" s="132">
        <f>IF(SER_hh_emi_in!X17=0,0,1000000*SER_hh_emi_in!X17/SER_hh_num_in!X17)</f>
        <v>1559.4176996938786</v>
      </c>
      <c r="Y17" s="132">
        <f>IF(SER_hh_emi_in!Y17=0,0,1000000*SER_hh_emi_in!Y17/SER_hh_num_in!Y17)</f>
        <v>1510.1369910581611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1913.8108568334308</v>
      </c>
      <c r="D19" s="130">
        <f>IF(SER_hh_emi_in!D19=0,0,1000000*SER_hh_emi_in!D19/SER_hh_num_in!D19)</f>
        <v>2042.3902055722435</v>
      </c>
      <c r="E19" s="130">
        <f>IF(SER_hh_emi_in!E19=0,0,1000000*SER_hh_emi_in!E19/SER_hh_num_in!E19)</f>
        <v>1719.7211487921686</v>
      </c>
      <c r="F19" s="130">
        <f>IF(SER_hh_emi_in!F19=0,0,1000000*SER_hh_emi_in!F19/SER_hh_num_in!F19)</f>
        <v>1862.0989778260441</v>
      </c>
      <c r="G19" s="130">
        <f>IF(SER_hh_emi_in!G19=0,0,1000000*SER_hh_emi_in!G19/SER_hh_num_in!G19)</f>
        <v>1599.980412178993</v>
      </c>
      <c r="H19" s="130">
        <f>IF(SER_hh_emi_in!H19=0,0,1000000*SER_hh_emi_in!H19/SER_hh_num_in!H19)</f>
        <v>1575.3033849475657</v>
      </c>
      <c r="I19" s="130">
        <f>IF(SER_hh_emi_in!I19=0,0,1000000*SER_hh_emi_in!I19/SER_hh_num_in!I19)</f>
        <v>1404.7043711505341</v>
      </c>
      <c r="J19" s="130">
        <f>IF(SER_hh_emi_in!J19=0,0,1000000*SER_hh_emi_in!J19/SER_hh_num_in!J19)</f>
        <v>1517.8037701965354</v>
      </c>
      <c r="K19" s="130">
        <f>IF(SER_hh_emi_in!K19=0,0,1000000*SER_hh_emi_in!K19/SER_hh_num_in!K19)</f>
        <v>1786.7942637153608</v>
      </c>
      <c r="L19" s="130">
        <f>IF(SER_hh_emi_in!L19=0,0,1000000*SER_hh_emi_in!L19/SER_hh_num_in!L19)</f>
        <v>1655.2142265139062</v>
      </c>
      <c r="M19" s="130">
        <f>IF(SER_hh_emi_in!M19=0,0,1000000*SER_hh_emi_in!M19/SER_hh_num_in!M19)</f>
        <v>1621.3060292105174</v>
      </c>
      <c r="N19" s="130">
        <f>IF(SER_hh_emi_in!N19=0,0,1000000*SER_hh_emi_in!N19/SER_hh_num_in!N19)</f>
        <v>1865.4176838962969</v>
      </c>
      <c r="O19" s="130">
        <f>IF(SER_hh_emi_in!O19=0,0,1000000*SER_hh_emi_in!O19/SER_hh_num_in!O19)</f>
        <v>1512.6110063349704</v>
      </c>
      <c r="P19" s="130">
        <f>IF(SER_hh_emi_in!P19=0,0,1000000*SER_hh_emi_in!P19/SER_hh_num_in!P19)</f>
        <v>843.85734805770835</v>
      </c>
      <c r="Q19" s="130">
        <f>IF(SER_hh_emi_in!Q19=0,0,1000000*SER_hh_emi_in!Q19/SER_hh_num_in!Q19)</f>
        <v>934.03249449886846</v>
      </c>
      <c r="R19" s="130">
        <f>IF(SER_hh_emi_in!R19=0,0,1000000*SER_hh_emi_in!R19/SER_hh_num_in!R19)</f>
        <v>1432.5436647215984</v>
      </c>
      <c r="S19" s="130">
        <f>IF(SER_hh_emi_in!S19=0,0,1000000*SER_hh_emi_in!S19/SER_hh_num_in!S19)</f>
        <v>1527.2277111999344</v>
      </c>
      <c r="T19" s="130">
        <f>IF(SER_hh_emi_in!T19=0,0,1000000*SER_hh_emi_in!T19/SER_hh_num_in!T19)</f>
        <v>1038.3721335481459</v>
      </c>
      <c r="U19" s="130">
        <f>IF(SER_hh_emi_in!U19=0,0,1000000*SER_hh_emi_in!U19/SER_hh_num_in!U19)</f>
        <v>621.0758471257833</v>
      </c>
      <c r="V19" s="130">
        <f>IF(SER_hh_emi_in!V19=0,0,1000000*SER_hh_emi_in!V19/SER_hh_num_in!V19)</f>
        <v>263.83485228573102</v>
      </c>
      <c r="W19" s="130">
        <f>IF(SER_hh_emi_in!W19=0,0,1000000*SER_hh_emi_in!W19/SER_hh_num_in!W19)</f>
        <v>675.19018365124293</v>
      </c>
      <c r="X19" s="130">
        <f>IF(SER_hh_emi_in!X19=0,0,1000000*SER_hh_emi_in!X19/SER_hh_num_in!X19)</f>
        <v>925.89070662989502</v>
      </c>
      <c r="Y19" s="130">
        <f>IF(SER_hh_emi_in!Y19=0,0,1000000*SER_hh_emi_in!Y19/SER_hh_num_in!Y19)</f>
        <v>1208.0736486736789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6771.2324156610539</v>
      </c>
      <c r="D22" s="132">
        <f>IF(SER_hh_emi_in!D22=0,0,1000000*SER_hh_emi_in!D22/SER_hh_num_in!D22)</f>
        <v>6583.4220583912747</v>
      </c>
      <c r="E22" s="132">
        <f>IF(SER_hh_emi_in!E22=0,0,1000000*SER_hh_emi_in!E22/SER_hh_num_in!E22)</f>
        <v>6539.1697357683088</v>
      </c>
      <c r="F22" s="132">
        <f>IF(SER_hh_emi_in!F22=0,0,1000000*SER_hh_emi_in!F22/SER_hh_num_in!F22)</f>
        <v>6437.1304280252807</v>
      </c>
      <c r="G22" s="132">
        <f>IF(SER_hh_emi_in!G22=0,0,1000000*SER_hh_emi_in!G22/SER_hh_num_in!G22)</f>
        <v>6400.2524095506697</v>
      </c>
      <c r="H22" s="132">
        <f>IF(SER_hh_emi_in!H22=0,0,1000000*SER_hh_emi_in!H22/SER_hh_num_in!H22)</f>
        <v>6215.5181015675616</v>
      </c>
      <c r="I22" s="132">
        <f>IF(SER_hh_emi_in!I22=0,0,1000000*SER_hh_emi_in!I22/SER_hh_num_in!I22)</f>
        <v>6006.249023213436</v>
      </c>
      <c r="J22" s="132">
        <f>IF(SER_hh_emi_in!J22=0,0,1000000*SER_hh_emi_in!J22/SER_hh_num_in!J22)</f>
        <v>5943.6187873256367</v>
      </c>
      <c r="K22" s="132">
        <f>IF(SER_hh_emi_in!K22=0,0,1000000*SER_hh_emi_in!K22/SER_hh_num_in!K22)</f>
        <v>5659.0759865241316</v>
      </c>
      <c r="L22" s="132">
        <f>IF(SER_hh_emi_in!L22=0,0,1000000*SER_hh_emi_in!L22/SER_hh_num_in!L22)</f>
        <v>5705.1313137238621</v>
      </c>
      <c r="M22" s="132">
        <f>IF(SER_hh_emi_in!M22=0,0,1000000*SER_hh_emi_in!M22/SER_hh_num_in!M22)</f>
        <v>5479.4507230378113</v>
      </c>
      <c r="N22" s="132">
        <f>IF(SER_hh_emi_in!N22=0,0,1000000*SER_hh_emi_in!N22/SER_hh_num_in!N22)</f>
        <v>5346.2873852618459</v>
      </c>
      <c r="O22" s="132">
        <f>IF(SER_hh_emi_in!O22=0,0,1000000*SER_hh_emi_in!O22/SER_hh_num_in!O22)</f>
        <v>5000.4310043256846</v>
      </c>
      <c r="P22" s="132">
        <f>IF(SER_hh_emi_in!P22=0,0,1000000*SER_hh_emi_in!P22/SER_hh_num_in!P22)</f>
        <v>4760.1522094990714</v>
      </c>
      <c r="Q22" s="132">
        <f>IF(SER_hh_emi_in!Q22=0,0,1000000*SER_hh_emi_in!Q22/SER_hh_num_in!Q22)</f>
        <v>4754.2268570111864</v>
      </c>
      <c r="R22" s="132">
        <f>IF(SER_hh_emi_in!R22=0,0,1000000*SER_hh_emi_in!R22/SER_hh_num_in!R22)</f>
        <v>4476.5331144393504</v>
      </c>
      <c r="S22" s="132">
        <f>IF(SER_hh_emi_in!S22=0,0,1000000*SER_hh_emi_in!S22/SER_hh_num_in!S22)</f>
        <v>4320.735852338823</v>
      </c>
      <c r="T22" s="132">
        <f>IF(SER_hh_emi_in!T22=0,0,1000000*SER_hh_emi_in!T22/SER_hh_num_in!T22)</f>
        <v>4097.931084350309</v>
      </c>
      <c r="U22" s="132">
        <f>IF(SER_hh_emi_in!U22=0,0,1000000*SER_hh_emi_in!U22/SER_hh_num_in!U22)</f>
        <v>3998.7054764690752</v>
      </c>
      <c r="V22" s="132">
        <f>IF(SER_hh_emi_in!V22=0,0,1000000*SER_hh_emi_in!V22/SER_hh_num_in!V22)</f>
        <v>3804.5485825087335</v>
      </c>
      <c r="W22" s="132">
        <f>IF(SER_hh_emi_in!W22=0,0,1000000*SER_hh_emi_in!W22/SER_hh_num_in!W22)</f>
        <v>3966.1440529594038</v>
      </c>
      <c r="X22" s="132">
        <f>IF(SER_hh_emi_in!X22=0,0,1000000*SER_hh_emi_in!X22/SER_hh_num_in!X22)</f>
        <v>3728.2070275649048</v>
      </c>
      <c r="Y22" s="132">
        <f>IF(SER_hh_emi_in!Y22=0,0,1000000*SER_hh_emi_in!Y22/SER_hh_num_in!Y22)</f>
        <v>3848.2214247747506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4657.0528547493132</v>
      </c>
      <c r="D23" s="132">
        <f>IF(SER_hh_emi_in!D23=0,0,1000000*SER_hh_emi_in!D23/SER_hh_num_in!D23)</f>
        <v>4741.3652142201545</v>
      </c>
      <c r="E23" s="132">
        <f>IF(SER_hh_emi_in!E23=0,0,1000000*SER_hh_emi_in!E23/SER_hh_num_in!E23)</f>
        <v>4540.9117366793953</v>
      </c>
      <c r="F23" s="132">
        <f>IF(SER_hh_emi_in!F23=0,0,1000000*SER_hh_emi_in!F23/SER_hh_num_in!F23)</f>
        <v>4400.8330541931864</v>
      </c>
      <c r="G23" s="132">
        <f>IF(SER_hh_emi_in!G23=0,0,1000000*SER_hh_emi_in!G23/SER_hh_num_in!G23)</f>
        <v>4359.0362099513977</v>
      </c>
      <c r="H23" s="132">
        <f>IF(SER_hh_emi_in!H23=0,0,1000000*SER_hh_emi_in!H23/SER_hh_num_in!H23)</f>
        <v>4269.1868232015122</v>
      </c>
      <c r="I23" s="132">
        <f>IF(SER_hh_emi_in!I23=0,0,1000000*SER_hh_emi_in!I23/SER_hh_num_in!I23)</f>
        <v>4068.2263479780099</v>
      </c>
      <c r="J23" s="132">
        <f>IF(SER_hh_emi_in!J23=0,0,1000000*SER_hh_emi_in!J23/SER_hh_num_in!J23)</f>
        <v>3962.5937383538771</v>
      </c>
      <c r="K23" s="132">
        <f>IF(SER_hh_emi_in!K23=0,0,1000000*SER_hh_emi_in!K23/SER_hh_num_in!K23)</f>
        <v>3779.0260196196882</v>
      </c>
      <c r="L23" s="132">
        <f>IF(SER_hh_emi_in!L23=0,0,1000000*SER_hh_emi_in!L23/SER_hh_num_in!L23)</f>
        <v>3823.2158709518467</v>
      </c>
      <c r="M23" s="132">
        <f>IF(SER_hh_emi_in!M23=0,0,1000000*SER_hh_emi_in!M23/SER_hh_num_in!M23)</f>
        <v>3595.8131105248067</v>
      </c>
      <c r="N23" s="132">
        <f>IF(SER_hh_emi_in!N23=0,0,1000000*SER_hh_emi_in!N23/SER_hh_num_in!N23)</f>
        <v>3649.6282019653513</v>
      </c>
      <c r="O23" s="132">
        <f>IF(SER_hh_emi_in!O23=0,0,1000000*SER_hh_emi_in!O23/SER_hh_num_in!O23)</f>
        <v>3481.2308136144807</v>
      </c>
      <c r="P23" s="132">
        <f>IF(SER_hh_emi_in!P23=0,0,1000000*SER_hh_emi_in!P23/SER_hh_num_in!P23)</f>
        <v>3250.4827701349686</v>
      </c>
      <c r="Q23" s="132">
        <f>IF(SER_hh_emi_in!Q23=0,0,1000000*SER_hh_emi_in!Q23/SER_hh_num_in!Q23)</f>
        <v>3110.8080987407675</v>
      </c>
      <c r="R23" s="132">
        <f>IF(SER_hh_emi_in!R23=0,0,1000000*SER_hh_emi_in!R23/SER_hh_num_in!R23)</f>
        <v>3012.6735286727426</v>
      </c>
      <c r="S23" s="132">
        <f>IF(SER_hh_emi_in!S23=0,0,1000000*SER_hh_emi_in!S23/SER_hh_num_in!S23)</f>
        <v>3071.9883265370681</v>
      </c>
      <c r="T23" s="132">
        <f>IF(SER_hh_emi_in!T23=0,0,1000000*SER_hh_emi_in!T23/SER_hh_num_in!T23)</f>
        <v>3041.2939083376114</v>
      </c>
      <c r="U23" s="132">
        <f>IF(SER_hh_emi_in!U23=0,0,1000000*SER_hh_emi_in!U23/SER_hh_num_in!U23)</f>
        <v>3009.1609087544566</v>
      </c>
      <c r="V23" s="132">
        <f>IF(SER_hh_emi_in!V23=0,0,1000000*SER_hh_emi_in!V23/SER_hh_num_in!V23)</f>
        <v>2625.8814197182714</v>
      </c>
      <c r="W23" s="132">
        <f>IF(SER_hh_emi_in!W23=0,0,1000000*SER_hh_emi_in!W23/SER_hh_num_in!W23)</f>
        <v>2720.5063940381237</v>
      </c>
      <c r="X23" s="132">
        <f>IF(SER_hh_emi_in!X23=0,0,1000000*SER_hh_emi_in!X23/SER_hh_num_in!X23)</f>
        <v>2754.9373248447737</v>
      </c>
      <c r="Y23" s="132">
        <f>IF(SER_hh_emi_in!Y23=0,0,1000000*SER_hh_emi_in!Y23/SER_hh_num_in!Y23)</f>
        <v>2776.5022474061761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1791.1912020410273</v>
      </c>
      <c r="D29" s="130">
        <f>IF(SER_hh_emi_in!D29=0,0,1000000*SER_hh_emi_in!D29/SER_hh_num_in!D29)</f>
        <v>1861.9148679257282</v>
      </c>
      <c r="E29" s="130">
        <f>IF(SER_hh_emi_in!E29=0,0,1000000*SER_hh_emi_in!E29/SER_hh_num_in!E29)</f>
        <v>1838.58182852253</v>
      </c>
      <c r="F29" s="130">
        <f>IF(SER_hh_emi_in!F29=0,0,1000000*SER_hh_emi_in!F29/SER_hh_num_in!F29)</f>
        <v>1922.0891357526493</v>
      </c>
      <c r="G29" s="130">
        <f>IF(SER_hh_emi_in!G29=0,0,1000000*SER_hh_emi_in!G29/SER_hh_num_in!G29)</f>
        <v>1589.8530469669852</v>
      </c>
      <c r="H29" s="130">
        <f>IF(SER_hh_emi_in!H29=0,0,1000000*SER_hh_emi_in!H29/SER_hh_num_in!H29)</f>
        <v>1526.3933308350431</v>
      </c>
      <c r="I29" s="130">
        <f>IF(SER_hh_emi_in!I29=0,0,1000000*SER_hh_emi_in!I29/SER_hh_num_in!I29)</f>
        <v>1601.9062143289063</v>
      </c>
      <c r="J29" s="130">
        <f>IF(SER_hh_emi_in!J29=0,0,1000000*SER_hh_emi_in!J29/SER_hh_num_in!J29)</f>
        <v>1536.7345165171655</v>
      </c>
      <c r="K29" s="130">
        <f>IF(SER_hh_emi_in!K29=0,0,1000000*SER_hh_emi_in!K29/SER_hh_num_in!K29)</f>
        <v>1689.8170187335022</v>
      </c>
      <c r="L29" s="130">
        <f>IF(SER_hh_emi_in!L29=0,0,1000000*SER_hh_emi_in!L29/SER_hh_num_in!L29)</f>
        <v>1523.7292360138924</v>
      </c>
      <c r="M29" s="130">
        <f>IF(SER_hh_emi_in!M29=0,0,1000000*SER_hh_emi_in!M29/SER_hh_num_in!M29)</f>
        <v>1367.9368298032095</v>
      </c>
      <c r="N29" s="130">
        <f>IF(SER_hh_emi_in!N29=0,0,1000000*SER_hh_emi_in!N29/SER_hh_num_in!N29)</f>
        <v>1465.3924506110452</v>
      </c>
      <c r="O29" s="130">
        <f>IF(SER_hh_emi_in!O29=0,0,1000000*SER_hh_emi_in!O29/SER_hh_num_in!O29)</f>
        <v>1584.5685992463327</v>
      </c>
      <c r="P29" s="130">
        <f>IF(SER_hh_emi_in!P29=0,0,1000000*SER_hh_emi_in!P29/SER_hh_num_in!P29)</f>
        <v>1623.8232020674161</v>
      </c>
      <c r="Q29" s="130">
        <f>IF(SER_hh_emi_in!Q29=0,0,1000000*SER_hh_emi_in!Q29/SER_hh_num_in!Q29)</f>
        <v>902.49308433135616</v>
      </c>
      <c r="R29" s="130">
        <f>IF(SER_hh_emi_in!R29=0,0,1000000*SER_hh_emi_in!R29/SER_hh_num_in!R29)</f>
        <v>1229.7513052382262</v>
      </c>
      <c r="S29" s="130">
        <f>IF(SER_hh_emi_in!S29=0,0,1000000*SER_hh_emi_in!S29/SER_hh_num_in!S29)</f>
        <v>903.74775159999467</v>
      </c>
      <c r="T29" s="130">
        <f>IF(SER_hh_emi_in!T29=0,0,1000000*SER_hh_emi_in!T29/SER_hh_num_in!T29)</f>
        <v>675.01354716989624</v>
      </c>
      <c r="U29" s="130">
        <f>IF(SER_hh_emi_in!U29=0,0,1000000*SER_hh_emi_in!U29/SER_hh_num_in!U29)</f>
        <v>689.92208225886588</v>
      </c>
      <c r="V29" s="130">
        <f>IF(SER_hh_emi_in!V29=0,0,1000000*SER_hh_emi_in!V29/SER_hh_num_in!V29)</f>
        <v>1168.1883625697305</v>
      </c>
      <c r="W29" s="130">
        <f>IF(SER_hh_emi_in!W29=0,0,1000000*SER_hh_emi_in!W29/SER_hh_num_in!W29)</f>
        <v>1447.0146785607058</v>
      </c>
      <c r="X29" s="130">
        <f>IF(SER_hh_emi_in!X29=0,0,1000000*SER_hh_emi_in!X29/SER_hh_num_in!X29)</f>
        <v>1186.8872788913541</v>
      </c>
      <c r="Y29" s="130">
        <f>IF(SER_hh_emi_in!Y29=0,0,1000000*SER_hh_emi_in!Y29/SER_hh_num_in!Y29)</f>
        <v>1011.341408979334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5003.1208806758686</v>
      </c>
      <c r="D30" s="132">
        <f>IF(SER_hh_emi_in!D30=0,0,1000000*SER_hh_emi_in!D30/SER_hh_num_in!D30)</f>
        <v>5330.6960927294704</v>
      </c>
      <c r="E30" s="132">
        <f>IF(SER_hh_emi_in!E30=0,0,1000000*SER_hh_emi_in!E30/SER_hh_num_in!E30)</f>
        <v>4806.4557112878756</v>
      </c>
      <c r="F30" s="132">
        <f>IF(SER_hh_emi_in!F30=0,0,1000000*SER_hh_emi_in!F30/SER_hh_num_in!F30)</f>
        <v>5100.4737227020869</v>
      </c>
      <c r="G30" s="132">
        <f>IF(SER_hh_emi_in!G30=0,0,1000000*SER_hh_emi_in!G30/SER_hh_num_in!G30)</f>
        <v>5017.8614228908436</v>
      </c>
      <c r="H30" s="132">
        <f>IF(SER_hh_emi_in!H30=0,0,1000000*SER_hh_emi_in!H30/SER_hh_num_in!H30)</f>
        <v>6487.9653626836225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5510.0186880110214</v>
      </c>
      <c r="L30" s="132">
        <f>IF(SER_hh_emi_in!L30=0,0,1000000*SER_hh_emi_in!L30/SER_hh_num_in!L30)</f>
        <v>6250.188638759696</v>
      </c>
      <c r="M30" s="132">
        <f>IF(SER_hh_emi_in!M30=0,0,1000000*SER_hh_emi_in!M30/SER_hh_num_in!M30)</f>
        <v>0</v>
      </c>
      <c r="N30" s="132">
        <f>IF(SER_hh_emi_in!N30=0,0,1000000*SER_hh_emi_in!N30/SER_hh_num_in!N30)</f>
        <v>5626.8507878202709</v>
      </c>
      <c r="O30" s="132">
        <f>IF(SER_hh_emi_in!O30=0,0,1000000*SER_hh_emi_in!O30/SER_hh_num_in!O30)</f>
        <v>6001.4895042146909</v>
      </c>
      <c r="P30" s="132">
        <f>IF(SER_hh_emi_in!P30=0,0,1000000*SER_hh_emi_in!P30/SER_hh_num_in!P30)</f>
        <v>909.27959690469766</v>
      </c>
      <c r="Q30" s="132">
        <f>IF(SER_hh_emi_in!Q30=0,0,1000000*SER_hh_emi_in!Q30/SER_hh_num_in!Q30)</f>
        <v>6123.9531082364256</v>
      </c>
      <c r="R30" s="132">
        <f>IF(SER_hh_emi_in!R30=0,0,1000000*SER_hh_emi_in!R30/SER_hh_num_in!R30)</f>
        <v>5465.7040103933969</v>
      </c>
      <c r="S30" s="132">
        <f>IF(SER_hh_emi_in!S30=0,0,1000000*SER_hh_emi_in!S30/SER_hh_num_in!S30)</f>
        <v>4799.4628731979838</v>
      </c>
      <c r="T30" s="132">
        <f>IF(SER_hh_emi_in!T30=0,0,1000000*SER_hh_emi_in!T30/SER_hh_num_in!T30)</f>
        <v>4670.2734212167961</v>
      </c>
      <c r="U30" s="132">
        <f>IF(SER_hh_emi_in!U30=0,0,1000000*SER_hh_emi_in!U30/SER_hh_num_in!U30)</f>
        <v>4505.2226616261896</v>
      </c>
      <c r="V30" s="132">
        <f>IF(SER_hh_emi_in!V30=0,0,1000000*SER_hh_emi_in!V30/SER_hh_num_in!V30)</f>
        <v>4461.7435011319985</v>
      </c>
      <c r="W30" s="132">
        <f>IF(SER_hh_emi_in!W30=0,0,1000000*SER_hh_emi_in!W30/SER_hh_num_in!W30)</f>
        <v>5280.5380522504283</v>
      </c>
      <c r="X30" s="132">
        <f>IF(SER_hh_emi_in!X30=0,0,1000000*SER_hh_emi_in!X30/SER_hh_num_in!X30)</f>
        <v>4688.7467844509692</v>
      </c>
      <c r="Y30" s="132">
        <f>IF(SER_hh_emi_in!Y30=0,0,1000000*SER_hh_emi_in!Y30/SER_hh_num_in!Y30)</f>
        <v>4887.999259195376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4360.8537641893208</v>
      </c>
      <c r="D31" s="132">
        <f>IF(SER_hh_emi_in!D31=0,0,1000000*SER_hh_emi_in!D31/SER_hh_num_in!D31)</f>
        <v>4308.8612853552568</v>
      </c>
      <c r="E31" s="132">
        <f>IF(SER_hh_emi_in!E31=0,0,1000000*SER_hh_emi_in!E31/SER_hh_num_in!E31)</f>
        <v>4442.3404620030533</v>
      </c>
      <c r="F31" s="132">
        <f>IF(SER_hh_emi_in!F31=0,0,1000000*SER_hh_emi_in!F31/SER_hh_num_in!F31)</f>
        <v>4425.575022373001</v>
      </c>
      <c r="G31" s="132">
        <f>IF(SER_hh_emi_in!G31=0,0,1000000*SER_hh_emi_in!G31/SER_hh_num_in!G31)</f>
        <v>4407.9625040465535</v>
      </c>
      <c r="H31" s="132">
        <f>IF(SER_hh_emi_in!H31=0,0,1000000*SER_hh_emi_in!H31/SER_hh_num_in!H31)</f>
        <v>4110.6551320308236</v>
      </c>
      <c r="I31" s="132">
        <f>IF(SER_hh_emi_in!I31=0,0,1000000*SER_hh_emi_in!I31/SER_hh_num_in!I31)</f>
        <v>4485.5341443966245</v>
      </c>
      <c r="J31" s="132">
        <f>IF(SER_hh_emi_in!J31=0,0,1000000*SER_hh_emi_in!J31/SER_hh_num_in!J31)</f>
        <v>4570.681382524197</v>
      </c>
      <c r="K31" s="132">
        <f>IF(SER_hh_emi_in!K31=0,0,1000000*SER_hh_emi_in!K31/SER_hh_num_in!K31)</f>
        <v>4312.7512034777856</v>
      </c>
      <c r="L31" s="132">
        <f>IF(SER_hh_emi_in!L31=0,0,1000000*SER_hh_emi_in!L31/SER_hh_num_in!L31)</f>
        <v>4171.5371753091213</v>
      </c>
      <c r="M31" s="132">
        <f>IF(SER_hh_emi_in!M31=0,0,1000000*SER_hh_emi_in!M31/SER_hh_num_in!M31)</f>
        <v>4492.4901119599017</v>
      </c>
      <c r="N31" s="132">
        <f>IF(SER_hh_emi_in!N31=0,0,1000000*SER_hh_emi_in!N31/SER_hh_num_in!N31)</f>
        <v>4234.959659466519</v>
      </c>
      <c r="O31" s="132">
        <f>IF(SER_hh_emi_in!O31=0,0,1000000*SER_hh_emi_in!O31/SER_hh_num_in!O31)</f>
        <v>4237.2205656923315</v>
      </c>
      <c r="P31" s="132">
        <f>IF(SER_hh_emi_in!P31=0,0,1000000*SER_hh_emi_in!P31/SER_hh_num_in!P31)</f>
        <v>4708.9539599558711</v>
      </c>
      <c r="Q31" s="132">
        <f>IF(SER_hh_emi_in!Q31=0,0,1000000*SER_hh_emi_in!Q31/SER_hh_num_in!Q31)</f>
        <v>4179.3643810918902</v>
      </c>
      <c r="R31" s="132">
        <f>IF(SER_hh_emi_in!R31=0,0,1000000*SER_hh_emi_in!R31/SER_hh_num_in!R31)</f>
        <v>4251.5455784513397</v>
      </c>
      <c r="S31" s="132">
        <f>IF(SER_hh_emi_in!S31=0,0,1000000*SER_hh_emi_in!S31/SER_hh_num_in!S31)</f>
        <v>4358.5780006358291</v>
      </c>
      <c r="T31" s="132">
        <f>IF(SER_hh_emi_in!T31=0,0,1000000*SER_hh_emi_in!T31/SER_hh_num_in!T31)</f>
        <v>4010.7132458875703</v>
      </c>
      <c r="U31" s="132">
        <f>IF(SER_hh_emi_in!U31=0,0,1000000*SER_hh_emi_in!U31/SER_hh_num_in!U31)</f>
        <v>3516.4949079319349</v>
      </c>
      <c r="V31" s="132">
        <f>IF(SER_hh_emi_in!V31=0,0,1000000*SER_hh_emi_in!V31/SER_hh_num_in!V31)</f>
        <v>3881.7941347882252</v>
      </c>
      <c r="W31" s="132">
        <f>IF(SER_hh_emi_in!W31=0,0,1000000*SER_hh_emi_in!W31/SER_hh_num_in!W31)</f>
        <v>4172.992968823748</v>
      </c>
      <c r="X31" s="132">
        <f>IF(SER_hh_emi_in!X31=0,0,1000000*SER_hh_emi_in!X31/SER_hh_num_in!X31)</f>
        <v>4158.5036153543824</v>
      </c>
      <c r="Y31" s="132">
        <f>IF(SER_hh_emi_in!Y31=0,0,1000000*SER_hh_emi_in!Y31/SER_hh_num_in!Y31)</f>
        <v>4200.2799655475601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172.21408877586052</v>
      </c>
      <c r="D3" s="125">
        <f>IF(SER_hh_fech_in!D3=0,0,SER_hh_fech_in!D3/SER_summary!D$27)</f>
        <v>167.88307573133716</v>
      </c>
      <c r="E3" s="125">
        <f>IF(SER_hh_fech_in!E3=0,0,SER_hh_fech_in!E3/SER_summary!E$27)</f>
        <v>173.20782217498203</v>
      </c>
      <c r="F3" s="125">
        <f>IF(SER_hh_fech_in!F3=0,0,SER_hh_fech_in!F3/SER_summary!F$27)</f>
        <v>183.75788789812759</v>
      </c>
      <c r="G3" s="125">
        <f>IF(SER_hh_fech_in!G3=0,0,SER_hh_fech_in!G3/SER_summary!G$27)</f>
        <v>166.18652794169273</v>
      </c>
      <c r="H3" s="125">
        <f>IF(SER_hh_fech_in!H3=0,0,SER_hh_fech_in!H3/SER_summary!H$27)</f>
        <v>163.06272765615648</v>
      </c>
      <c r="I3" s="125">
        <f>IF(SER_hh_fech_in!I3=0,0,SER_hh_fech_in!I3/SER_summary!I$27)</f>
        <v>148.19938126436568</v>
      </c>
      <c r="J3" s="125">
        <f>IF(SER_hh_fech_in!J3=0,0,SER_hh_fech_in!J3/SER_summary!J$27)</f>
        <v>151.32777873184989</v>
      </c>
      <c r="K3" s="125">
        <f>IF(SER_hh_fech_in!K3=0,0,SER_hh_fech_in!K3/SER_summary!K$27)</f>
        <v>150.73922987688496</v>
      </c>
      <c r="L3" s="125">
        <f>IF(SER_hh_fech_in!L3=0,0,SER_hh_fech_in!L3/SER_summary!L$27)</f>
        <v>165.19257536467398</v>
      </c>
      <c r="M3" s="125">
        <f>IF(SER_hh_fech_in!M3=0,0,SER_hh_fech_in!M3/SER_summary!M$27)</f>
        <v>132.73751921015258</v>
      </c>
      <c r="N3" s="125">
        <f>IF(SER_hh_fech_in!N3=0,0,SER_hh_fech_in!N3/SER_summary!N$27)</f>
        <v>136.34656758323294</v>
      </c>
      <c r="O3" s="125">
        <f>IF(SER_hh_fech_in!O3=0,0,SER_hh_fech_in!O3/SER_summary!O$27)</f>
        <v>127.29201496695987</v>
      </c>
      <c r="P3" s="125">
        <f>IF(SER_hh_fech_in!P3=0,0,SER_hh_fech_in!P3/SER_summary!P$27)</f>
        <v>97.185280011354209</v>
      </c>
      <c r="Q3" s="125">
        <f>IF(SER_hh_fech_in!Q3=0,0,SER_hh_fech_in!Q3/SER_summary!Q$27)</f>
        <v>99.489628740555318</v>
      </c>
      <c r="R3" s="125">
        <f>IF(SER_hh_fech_in!R3=0,0,SER_hh_fech_in!R3/SER_summary!R$27)</f>
        <v>94.272756749996091</v>
      </c>
      <c r="S3" s="125">
        <f>IF(SER_hh_fech_in!S3=0,0,SER_hh_fech_in!S3/SER_summary!S$27)</f>
        <v>93.138511186847722</v>
      </c>
      <c r="T3" s="125">
        <f>IF(SER_hh_fech_in!T3=0,0,SER_hh_fech_in!T3/SER_summary!T$27)</f>
        <v>86.461603062907685</v>
      </c>
      <c r="U3" s="125">
        <f>IF(SER_hh_fech_in!U3=0,0,SER_hh_fech_in!U3/SER_summary!U$27)</f>
        <v>79.076272332005146</v>
      </c>
      <c r="V3" s="125">
        <f>IF(SER_hh_fech_in!V3=0,0,SER_hh_fech_in!V3/SER_summary!V$27)</f>
        <v>70.860761406834655</v>
      </c>
      <c r="W3" s="125">
        <f>IF(SER_hh_fech_in!W3=0,0,SER_hh_fech_in!W3/SER_summary!W$27)</f>
        <v>67.000782323042344</v>
      </c>
      <c r="X3" s="125">
        <f>IF(SER_hh_fech_in!X3=0,0,SER_hh_fech_in!X3/SER_summary!X$27)</f>
        <v>57.241145995602096</v>
      </c>
      <c r="Y3" s="125">
        <f>IF(SER_hh_fech_in!Y3=0,0,SER_hh_fech_in!Y3/SER_summary!Y$27)</f>
        <v>56.285339045991826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116.69072164339633</v>
      </c>
      <c r="D4" s="130">
        <f>IF(SER_hh_fech_in!D4=0,0,SER_hh_fech_in!D4/SER_summary!D$27)</f>
        <v>113.20731426550616</v>
      </c>
      <c r="E4" s="130">
        <f>IF(SER_hh_fech_in!E4=0,0,SER_hh_fech_in!E4/SER_summary!E$27)</f>
        <v>118.60362505109741</v>
      </c>
      <c r="F4" s="130">
        <f>IF(SER_hh_fech_in!F4=0,0,SER_hh_fech_in!F4/SER_summary!F$27)</f>
        <v>130.56506938012279</v>
      </c>
      <c r="G4" s="130">
        <f>IF(SER_hh_fech_in!G4=0,0,SER_hh_fech_in!G4/SER_summary!G$27)</f>
        <v>114.07988261681346</v>
      </c>
      <c r="H4" s="130">
        <f>IF(SER_hh_fech_in!H4=0,0,SER_hh_fech_in!H4/SER_summary!H$27)</f>
        <v>111.65337988948382</v>
      </c>
      <c r="I4" s="130">
        <f>IF(SER_hh_fech_in!I4=0,0,SER_hh_fech_in!I4/SER_summary!I$27)</f>
        <v>98.687334902859277</v>
      </c>
      <c r="J4" s="130">
        <f>IF(SER_hh_fech_in!J4=0,0,SER_hh_fech_in!J4/SER_summary!J$27)</f>
        <v>102.579044981522</v>
      </c>
      <c r="K4" s="130">
        <f>IF(SER_hh_fech_in!K4=0,0,SER_hh_fech_in!K4/SER_summary!K$27)</f>
        <v>103.14265502776294</v>
      </c>
      <c r="L4" s="130">
        <f>IF(SER_hh_fech_in!L4=0,0,SER_hh_fech_in!L4/SER_summary!L$27)</f>
        <v>117.14839096479005</v>
      </c>
      <c r="M4" s="130">
        <f>IF(SER_hh_fech_in!M4=0,0,SER_hh_fech_in!M4/SER_summary!M$27)</f>
        <v>86.535266733359506</v>
      </c>
      <c r="N4" s="130">
        <f>IF(SER_hh_fech_in!N4=0,0,SER_hh_fech_in!N4/SER_summary!N$27)</f>
        <v>90.686882841952524</v>
      </c>
      <c r="O4" s="130">
        <f>IF(SER_hh_fech_in!O4=0,0,SER_hh_fech_in!O4/SER_summary!O$27)</f>
        <v>83.045554904148062</v>
      </c>
      <c r="P4" s="130">
        <f>IF(SER_hh_fech_in!P4=0,0,SER_hh_fech_in!P4/SER_summary!P$27)</f>
        <v>54.480436493589949</v>
      </c>
      <c r="Q4" s="130">
        <f>IF(SER_hh_fech_in!Q4=0,0,SER_hh_fech_in!Q4/SER_summary!Q$27)</f>
        <v>57.223974343548122</v>
      </c>
      <c r="R4" s="130">
        <f>IF(SER_hh_fech_in!R4=0,0,SER_hh_fech_in!R4/SER_summary!R$27)</f>
        <v>53.157828928161898</v>
      </c>
      <c r="S4" s="130">
        <f>IF(SER_hh_fech_in!S4=0,0,SER_hh_fech_in!S4/SER_summary!S$27)</f>
        <v>53.645789504765943</v>
      </c>
      <c r="T4" s="130">
        <f>IF(SER_hh_fech_in!T4=0,0,SER_hh_fech_in!T4/SER_summary!T$27)</f>
        <v>48.391507130177402</v>
      </c>
      <c r="U4" s="130">
        <f>IF(SER_hh_fech_in!U4=0,0,SER_hh_fech_in!U4/SER_summary!U$27)</f>
        <v>42.527410050838348</v>
      </c>
      <c r="V4" s="130">
        <f>IF(SER_hh_fech_in!V4=0,0,SER_hh_fech_in!V4/SER_summary!V$27)</f>
        <v>34.35746096442719</v>
      </c>
      <c r="W4" s="130">
        <f>IF(SER_hh_fech_in!W4=0,0,SER_hh_fech_in!W4/SER_summary!W$27)</f>
        <v>30.157008594943918</v>
      </c>
      <c r="X4" s="130">
        <f>IF(SER_hh_fech_in!X4=0,0,SER_hh_fech_in!X4/SER_summary!X$27)</f>
        <v>20.920646816607299</v>
      </c>
      <c r="Y4" s="130">
        <f>IF(SER_hh_fech_in!Y4=0,0,SER_hh_fech_in!Y4/SER_summary!Y$27)</f>
        <v>19.98030842336717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112.32944916828683</v>
      </c>
      <c r="D5" s="132">
        <f>IF(SER_hh_fech_in!D5=0,0,SER_hh_fech_in!D5/SER_summary!D$27)</f>
        <v>95.292899738269568</v>
      </c>
      <c r="E5" s="132">
        <f>IF(SER_hh_fech_in!E5=0,0,SER_hh_fech_in!E5/SER_summary!E$27)</f>
        <v>154.63749119669052</v>
      </c>
      <c r="F5" s="132">
        <f>IF(SER_hh_fech_in!F5=0,0,SER_hh_fech_in!F5/SER_summary!F$27)</f>
        <v>76.091694363442656</v>
      </c>
      <c r="G5" s="132">
        <f>IF(SER_hh_fech_in!G5=0,0,SER_hh_fech_in!G5/SER_summary!G$27)</f>
        <v>103.29675549785709</v>
      </c>
      <c r="H5" s="132">
        <f>IF(SER_hh_fech_in!H5=0,0,SER_hh_fech_in!H5/SER_summary!H$27)</f>
        <v>69.316773005841995</v>
      </c>
      <c r="I5" s="132">
        <f>IF(SER_hh_fech_in!I5=0,0,SER_hh_fech_in!I5/SER_summary!I$27)</f>
        <v>105.99223795466528</v>
      </c>
      <c r="J5" s="132">
        <f>IF(SER_hh_fech_in!J5=0,0,SER_hh_fech_in!J5/SER_summary!J$27)</f>
        <v>112.09249371537257</v>
      </c>
      <c r="K5" s="132">
        <f>IF(SER_hh_fech_in!K5=0,0,SER_hh_fech_in!K5/SER_summary!K$27)</f>
        <v>108.34766298323173</v>
      </c>
      <c r="L5" s="132">
        <f>IF(SER_hh_fech_in!L5=0,0,SER_hh_fech_in!L5/SER_summary!L$27)</f>
        <v>101.3292279822186</v>
      </c>
      <c r="M5" s="132">
        <f>IF(SER_hh_fech_in!M5=0,0,SER_hh_fech_in!M5/SER_summary!M$27)</f>
        <v>96.486711767650348</v>
      </c>
      <c r="N5" s="132">
        <f>IF(SER_hh_fech_in!N5=0,0,SER_hh_fech_in!N5/SER_summary!N$27)</f>
        <v>91.655844401057223</v>
      </c>
      <c r="O5" s="132">
        <f>IF(SER_hh_fech_in!O5=0,0,SER_hh_fech_in!O5/SER_summary!O$27)</f>
        <v>53.61143288692319</v>
      </c>
      <c r="P5" s="132">
        <f>IF(SER_hh_fech_in!P5=0,0,SER_hh_fech_in!P5/SER_summary!P$27)</f>
        <v>19.479846817627127</v>
      </c>
      <c r="Q5" s="132">
        <f>IF(SER_hh_fech_in!Q5=0,0,SER_hh_fech_in!Q5/SER_summary!Q$27)</f>
        <v>80.421726392898037</v>
      </c>
      <c r="R5" s="132">
        <f>IF(SER_hh_fech_in!R5=0,0,SER_hh_fech_in!R5/SER_summary!R$27)</f>
        <v>73.33165679222553</v>
      </c>
      <c r="S5" s="132">
        <f>IF(SER_hh_fech_in!S5=0,0,SER_hh_fech_in!S5/SER_summary!S$27)</f>
        <v>65.17304447510935</v>
      </c>
      <c r="T5" s="132">
        <f>IF(SER_hh_fech_in!T5=0,0,SER_hh_fech_in!T5/SER_summary!T$27)</f>
        <v>60.015882402915068</v>
      </c>
      <c r="U5" s="132">
        <f>IF(SER_hh_fech_in!U5=0,0,SER_hh_fech_in!U5/SER_summary!U$27)</f>
        <v>0</v>
      </c>
      <c r="V5" s="132">
        <f>IF(SER_hh_fech_in!V5=0,0,SER_hh_fech_in!V5/SER_summary!V$27)</f>
        <v>45.431202579980443</v>
      </c>
      <c r="W5" s="132">
        <f>IF(SER_hh_fech_in!W5=0,0,SER_hh_fech_in!W5/SER_summary!W$27)</f>
        <v>22.785078539025342</v>
      </c>
      <c r="X5" s="132">
        <f>IF(SER_hh_fech_in!X5=0,0,SER_hh_fech_in!X5/SER_summary!X$27)</f>
        <v>28.821468040844604</v>
      </c>
      <c r="Y5" s="132">
        <f>IF(SER_hh_fech_in!Y5=0,0,SER_hh_fech_in!Y5/SER_summary!Y$27)</f>
        <v>28.22898796884045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131.53890139794893</v>
      </c>
      <c r="D7" s="132">
        <f>IF(SER_hh_fech_in!D7=0,0,SER_hh_fech_in!D7/SER_summary!D$27)</f>
        <v>135.06269477715514</v>
      </c>
      <c r="E7" s="132">
        <f>IF(SER_hh_fech_in!E7=0,0,SER_hh_fech_in!E7/SER_summary!E$27)</f>
        <v>139.92406854228267</v>
      </c>
      <c r="F7" s="132">
        <f>IF(SER_hh_fech_in!F7=0,0,SER_hh_fech_in!F7/SER_summary!F$27)</f>
        <v>132.67234483356242</v>
      </c>
      <c r="G7" s="132">
        <f>IF(SER_hh_fech_in!G7=0,0,SER_hh_fech_in!G7/SER_summary!G$27)</f>
        <v>133.45362239710943</v>
      </c>
      <c r="H7" s="132">
        <f>IF(SER_hh_fech_in!H7=0,0,SER_hh_fech_in!H7/SER_summary!H$27)</f>
        <v>124.3923843207543</v>
      </c>
      <c r="I7" s="132">
        <f>IF(SER_hh_fech_in!I7=0,0,SER_hh_fech_in!I7/SER_summary!I$27)</f>
        <v>122.32636617107988</v>
      </c>
      <c r="J7" s="132">
        <f>IF(SER_hh_fech_in!J7=0,0,SER_hh_fech_in!J7/SER_summary!J$27)</f>
        <v>118.74875519294815</v>
      </c>
      <c r="K7" s="132">
        <f>IF(SER_hh_fech_in!K7=0,0,SER_hh_fech_in!K7/SER_summary!K$27)</f>
        <v>111.95927428214321</v>
      </c>
      <c r="L7" s="132">
        <f>IF(SER_hh_fech_in!L7=0,0,SER_hh_fech_in!L7/SER_summary!L$27)</f>
        <v>125.11879927335471</v>
      </c>
      <c r="M7" s="132">
        <f>IF(SER_hh_fech_in!M7=0,0,SER_hh_fech_in!M7/SER_summary!M$27)</f>
        <v>107.69982588386682</v>
      </c>
      <c r="N7" s="132">
        <f>IF(SER_hh_fech_in!N7=0,0,SER_hh_fech_in!N7/SER_summary!N$27)</f>
        <v>98.260973249374103</v>
      </c>
      <c r="O7" s="132">
        <f>IF(SER_hh_fech_in!O7=0,0,SER_hh_fech_in!O7/SER_summary!O$27)</f>
        <v>90.549178152134445</v>
      </c>
      <c r="P7" s="132">
        <f>IF(SER_hh_fech_in!P7=0,0,SER_hh_fech_in!P7/SER_summary!P$27)</f>
        <v>78.485620495875736</v>
      </c>
      <c r="Q7" s="132">
        <f>IF(SER_hh_fech_in!Q7=0,0,SER_hh_fech_in!Q7/SER_summary!Q$27)</f>
        <v>68.445892224666352</v>
      </c>
      <c r="R7" s="132">
        <f>IF(SER_hh_fech_in!R7=0,0,SER_hh_fech_in!R7/SER_summary!R$27)</f>
        <v>63.973422058431055</v>
      </c>
      <c r="S7" s="132">
        <f>IF(SER_hh_fech_in!S7=0,0,SER_hh_fech_in!S7/SER_summary!S$27)</f>
        <v>60.125944954189009</v>
      </c>
      <c r="T7" s="132">
        <f>IF(SER_hh_fech_in!T7=0,0,SER_hh_fech_in!T7/SER_summary!T$27)</f>
        <v>57.653668157669529</v>
      </c>
      <c r="U7" s="132">
        <f>IF(SER_hh_fech_in!U7=0,0,SER_hh_fech_in!U7/SER_summary!U$27)</f>
        <v>54.778506467576463</v>
      </c>
      <c r="V7" s="132">
        <f>IF(SER_hh_fech_in!V7=0,0,SER_hh_fech_in!V7/SER_summary!V$27)</f>
        <v>46.451828765768916</v>
      </c>
      <c r="W7" s="132">
        <f>IF(SER_hh_fech_in!W7=0,0,SER_hh_fech_in!W7/SER_summary!W$27)</f>
        <v>37.78827091354723</v>
      </c>
      <c r="X7" s="132">
        <f>IF(SER_hh_fech_in!X7=0,0,SER_hh_fech_in!X7/SER_summary!X$27)</f>
        <v>29.399812509626244</v>
      </c>
      <c r="Y7" s="132">
        <f>IF(SER_hh_fech_in!Y7=0,0,SER_hh_fech_in!Y7/SER_summary!Y$27)</f>
        <v>28.010936301376123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53.591865169510811</v>
      </c>
      <c r="D8" s="132">
        <f>IF(SER_hh_fech_in!D8=0,0,SER_hh_fech_in!D8/SER_summary!D$27)</f>
        <v>47.987457998293721</v>
      </c>
      <c r="E8" s="132">
        <f>IF(SER_hh_fech_in!E8=0,0,SER_hh_fech_in!E8/SER_summary!E$27)</f>
        <v>52.474003503365644</v>
      </c>
      <c r="F8" s="132">
        <f>IF(SER_hh_fech_in!F8=0,0,SER_hh_fech_in!F8/SER_summary!F$27)</f>
        <v>51.862994236677579</v>
      </c>
      <c r="G8" s="132">
        <f>IF(SER_hh_fech_in!G8=0,0,SER_hh_fech_in!G8/SER_summary!G$27)</f>
        <v>43.864292323438733</v>
      </c>
      <c r="H8" s="132">
        <f>IF(SER_hh_fech_in!H8=0,0,SER_hh_fech_in!H8/SER_summary!H$27)</f>
        <v>39.737771149823374</v>
      </c>
      <c r="I8" s="132">
        <f>IF(SER_hh_fech_in!I8=0,0,SER_hh_fech_in!I8/SER_summary!I$27)</f>
        <v>40.104644879435988</v>
      </c>
      <c r="J8" s="132">
        <f>IF(SER_hh_fech_in!J8=0,0,SER_hh_fech_in!J8/SER_summary!J$27)</f>
        <v>38.467084346662105</v>
      </c>
      <c r="K8" s="132">
        <f>IF(SER_hh_fech_in!K8=0,0,SER_hh_fech_in!K8/SER_summary!K$27)</f>
        <v>36.557928357229699</v>
      </c>
      <c r="L8" s="132">
        <f>IF(SER_hh_fech_in!L8=0,0,SER_hh_fech_in!L8/SER_summary!L$27)</f>
        <v>35.226454234027763</v>
      </c>
      <c r="M8" s="132">
        <f>IF(SER_hh_fech_in!M8=0,0,SER_hh_fech_in!M8/SER_summary!M$27)</f>
        <v>33.55252121168143</v>
      </c>
      <c r="N8" s="132">
        <f>IF(SER_hh_fech_in!N8=0,0,SER_hh_fech_in!N8/SER_summary!N$27)</f>
        <v>27.159474165431959</v>
      </c>
      <c r="O8" s="132">
        <f>IF(SER_hh_fech_in!O8=0,0,SER_hh_fech_in!O8/SER_summary!O$27)</f>
        <v>21.204872682725668</v>
      </c>
      <c r="P8" s="132">
        <f>IF(SER_hh_fech_in!P8=0,0,SER_hh_fech_in!P8/SER_summary!P$27)</f>
        <v>21.432539373175782</v>
      </c>
      <c r="Q8" s="132">
        <f>IF(SER_hh_fech_in!Q8=0,0,SER_hh_fech_in!Q8/SER_summary!Q$27)</f>
        <v>21.250492003670473</v>
      </c>
      <c r="R8" s="132">
        <f>IF(SER_hh_fech_in!R8=0,0,SER_hh_fech_in!R8/SER_summary!R$27)</f>
        <v>18.814367318245296</v>
      </c>
      <c r="S8" s="132">
        <f>IF(SER_hh_fech_in!S8=0,0,SER_hh_fech_in!S8/SER_summary!S$27)</f>
        <v>16.817012148135312</v>
      </c>
      <c r="T8" s="132">
        <f>IF(SER_hh_fech_in!T8=0,0,SER_hh_fech_in!T8/SER_summary!T$27)</f>
        <v>15.452972744577265</v>
      </c>
      <c r="U8" s="132">
        <f>IF(SER_hh_fech_in!U8=0,0,SER_hh_fech_in!U8/SER_summary!U$27)</f>
        <v>13.7281541593395</v>
      </c>
      <c r="V8" s="132">
        <f>IF(SER_hh_fech_in!V8=0,0,SER_hh_fech_in!V8/SER_summary!V$27)</f>
        <v>11.760226180630086</v>
      </c>
      <c r="W8" s="132">
        <f>IF(SER_hh_fech_in!W8=0,0,SER_hh_fech_in!W8/SER_summary!W$27)</f>
        <v>10.038659859980134</v>
      </c>
      <c r="X8" s="132">
        <f>IF(SER_hh_fech_in!X8=0,0,SER_hh_fech_in!X8/SER_summary!X$27)</f>
        <v>7.3117132454885896</v>
      </c>
      <c r="Y8" s="132">
        <f>IF(SER_hh_fech_in!Y8=0,0,SER_hh_fech_in!Y8/SER_summary!Y$27)</f>
        <v>7.6121097119819368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129.45787117883802</v>
      </c>
      <c r="D9" s="132">
        <f>IF(SER_hh_fech_in!D9=0,0,SER_hh_fech_in!D9/SER_summary!D$27)</f>
        <v>118.581788170877</v>
      </c>
      <c r="E9" s="132">
        <f>IF(SER_hh_fech_in!E9=0,0,SER_hh_fech_in!E9/SER_summary!E$27)</f>
        <v>127.2273315078573</v>
      </c>
      <c r="F9" s="132">
        <f>IF(SER_hh_fech_in!F9=0,0,SER_hh_fech_in!F9/SER_summary!F$27)</f>
        <v>141.27890605436423</v>
      </c>
      <c r="G9" s="132">
        <f>IF(SER_hh_fech_in!G9=0,0,SER_hh_fech_in!G9/SER_summary!G$27)</f>
        <v>124.76306165035709</v>
      </c>
      <c r="H9" s="132">
        <f>IF(SER_hh_fech_in!H9=0,0,SER_hh_fech_in!H9/SER_summary!H$27)</f>
        <v>121.69206116502704</v>
      </c>
      <c r="I9" s="132">
        <f>IF(SER_hh_fech_in!I9=0,0,SER_hh_fech_in!I9/SER_summary!I$27)</f>
        <v>101.69731693969075</v>
      </c>
      <c r="J9" s="132">
        <f>IF(SER_hh_fech_in!J9=0,0,SER_hh_fech_in!J9/SER_summary!J$27)</f>
        <v>107.9973801325243</v>
      </c>
      <c r="K9" s="132">
        <f>IF(SER_hh_fech_in!K9=0,0,SER_hh_fech_in!K9/SER_summary!K$27)</f>
        <v>110.09596519857799</v>
      </c>
      <c r="L9" s="132">
        <f>IF(SER_hh_fech_in!L9=0,0,SER_hh_fech_in!L9/SER_summary!L$27)</f>
        <v>122.46977247406554</v>
      </c>
      <c r="M9" s="132">
        <f>IF(SER_hh_fech_in!M9=0,0,SER_hh_fech_in!M9/SER_summary!M$27)</f>
        <v>88.973900432452993</v>
      </c>
      <c r="N9" s="132">
        <f>IF(SER_hh_fech_in!N9=0,0,SER_hh_fech_in!N9/SER_summary!N$27)</f>
        <v>94.750340423187041</v>
      </c>
      <c r="O9" s="132">
        <f>IF(SER_hh_fech_in!O9=0,0,SER_hh_fech_in!O9/SER_summary!O$27)</f>
        <v>88.58347214961266</v>
      </c>
      <c r="P9" s="132">
        <f>IF(SER_hh_fech_in!P9=0,0,SER_hh_fech_in!P9/SER_summary!P$27)</f>
        <v>60.952166638590512</v>
      </c>
      <c r="Q9" s="132">
        <f>IF(SER_hh_fech_in!Q9=0,0,SER_hh_fech_in!Q9/SER_summary!Q$27)</f>
        <v>61.647337745278435</v>
      </c>
      <c r="R9" s="132">
        <f>IF(SER_hh_fech_in!R9=0,0,SER_hh_fech_in!R9/SER_summary!R$27)</f>
        <v>58.592455465705129</v>
      </c>
      <c r="S9" s="132">
        <f>IF(SER_hh_fech_in!S9=0,0,SER_hh_fech_in!S9/SER_summary!S$27)</f>
        <v>55.428963716045125</v>
      </c>
      <c r="T9" s="132">
        <f>IF(SER_hh_fech_in!T9=0,0,SER_hh_fech_in!T9/SER_summary!T$27)</f>
        <v>51.661874600876502</v>
      </c>
      <c r="U9" s="132">
        <f>IF(SER_hh_fech_in!U9=0,0,SER_hh_fech_in!U9/SER_summary!U$27)</f>
        <v>45.349859865613659</v>
      </c>
      <c r="V9" s="132">
        <f>IF(SER_hh_fech_in!V9=0,0,SER_hh_fech_in!V9/SER_summary!V$27)</f>
        <v>37.890325795615858</v>
      </c>
      <c r="W9" s="132">
        <f>IF(SER_hh_fech_in!W9=0,0,SER_hh_fech_in!W9/SER_summary!W$27)</f>
        <v>35.454078832005514</v>
      </c>
      <c r="X9" s="132">
        <f>IF(SER_hh_fech_in!X9=0,0,SER_hh_fech_in!X9/SER_summary!X$27)</f>
        <v>23.397219904402903</v>
      </c>
      <c r="Y9" s="132">
        <f>IF(SER_hh_fech_in!Y9=0,0,SER_hh_fech_in!Y9/SER_summary!Y$27)</f>
        <v>22.892622006373461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140.00167107794735</v>
      </c>
      <c r="D10" s="132">
        <f>IF(SER_hh_fech_in!D10=0,0,SER_hh_fech_in!D10/SER_summary!D$27)</f>
        <v>135.88536003930088</v>
      </c>
      <c r="E10" s="132">
        <f>IF(SER_hh_fech_in!E10=0,0,SER_hh_fech_in!E10/SER_summary!E$27)</f>
        <v>130.77134128267937</v>
      </c>
      <c r="F10" s="132">
        <f>IF(SER_hh_fech_in!F10=0,0,SER_hh_fech_in!F10/SER_summary!F$27)</f>
        <v>140.66026864946599</v>
      </c>
      <c r="G10" s="132">
        <f>IF(SER_hh_fech_in!G10=0,0,SER_hh_fech_in!G10/SER_summary!G$27)</f>
        <v>126.83174157825307</v>
      </c>
      <c r="H10" s="132">
        <f>IF(SER_hh_fech_in!H10=0,0,SER_hh_fech_in!H10/SER_summary!H$27)</f>
        <v>129.37860992701312</v>
      </c>
      <c r="I10" s="132">
        <f>IF(SER_hh_fech_in!I10=0,0,SER_hh_fech_in!I10/SER_summary!I$27)</f>
        <v>120.83138495107825</v>
      </c>
      <c r="J10" s="132">
        <f>IF(SER_hh_fech_in!J10=0,0,SER_hh_fech_in!J10/SER_summary!J$27)</f>
        <v>132.36084915747625</v>
      </c>
      <c r="K10" s="132">
        <f>IF(SER_hh_fech_in!K10=0,0,SER_hh_fech_in!K10/SER_summary!K$27)</f>
        <v>122.87460911396697</v>
      </c>
      <c r="L10" s="132">
        <f>IF(SER_hh_fech_in!L10=0,0,SER_hh_fech_in!L10/SER_summary!L$27)</f>
        <v>129.08574427025496</v>
      </c>
      <c r="M10" s="132">
        <f>IF(SER_hh_fech_in!M10=0,0,SER_hh_fech_in!M10/SER_summary!M$27)</f>
        <v>114.43649458353359</v>
      </c>
      <c r="N10" s="132">
        <f>IF(SER_hh_fech_in!N10=0,0,SER_hh_fech_in!N10/SER_summary!N$27)</f>
        <v>109.08479029490726</v>
      </c>
      <c r="O10" s="132">
        <f>IF(SER_hh_fech_in!O10=0,0,SER_hh_fech_in!O10/SER_summary!O$27)</f>
        <v>101.48636051500314</v>
      </c>
      <c r="P10" s="132">
        <f>IF(SER_hh_fech_in!P10=0,0,SER_hh_fech_in!P10/SER_summary!P$27)</f>
        <v>92.454029132429241</v>
      </c>
      <c r="Q10" s="132">
        <f>IF(SER_hh_fech_in!Q10=0,0,SER_hh_fech_in!Q10/SER_summary!Q$27)</f>
        <v>82.040300878123603</v>
      </c>
      <c r="R10" s="132">
        <f>IF(SER_hh_fech_in!R10=0,0,SER_hh_fech_in!R10/SER_summary!R$27)</f>
        <v>74.311688363519366</v>
      </c>
      <c r="S10" s="132">
        <f>IF(SER_hh_fech_in!S10=0,0,SER_hh_fech_in!S10/SER_summary!S$27)</f>
        <v>82.538886241949967</v>
      </c>
      <c r="T10" s="132">
        <f>IF(SER_hh_fech_in!T10=0,0,SER_hh_fech_in!T10/SER_summary!T$27)</f>
        <v>75.529909369079718</v>
      </c>
      <c r="U10" s="132">
        <f>IF(SER_hh_fech_in!U10=0,0,SER_hh_fech_in!U10/SER_summary!U$27)</f>
        <v>72.542855972174266</v>
      </c>
      <c r="V10" s="132">
        <f>IF(SER_hh_fech_in!V10=0,0,SER_hh_fech_in!V10/SER_summary!V$27)</f>
        <v>66.726594930678132</v>
      </c>
      <c r="W10" s="132">
        <f>IF(SER_hh_fech_in!W10=0,0,SER_hh_fech_in!W10/SER_summary!W$27)</f>
        <v>50.698084979511137</v>
      </c>
      <c r="X10" s="132">
        <f>IF(SER_hh_fech_in!X10=0,0,SER_hh_fech_in!X10/SER_summary!X$27)</f>
        <v>32.289126965901218</v>
      </c>
      <c r="Y10" s="132">
        <f>IF(SER_hh_fech_in!Y10=0,0,SER_hh_fech_in!Y10/SER_summary!Y$27)</f>
        <v>36.712742770967964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74.698827420434398</v>
      </c>
      <c r="D12" s="132">
        <f>IF(SER_hh_fech_in!D12=0,0,SER_hh_fech_in!D12/SER_summary!D$27)</f>
        <v>107.65722164500387</v>
      </c>
      <c r="E12" s="132">
        <f>IF(SER_hh_fech_in!E12=0,0,SER_hh_fech_in!E12/SER_summary!E$27)</f>
        <v>88.969724982669234</v>
      </c>
      <c r="F12" s="132">
        <f>IF(SER_hh_fech_in!F12=0,0,SER_hh_fech_in!F12/SER_summary!F$27)</f>
        <v>0</v>
      </c>
      <c r="G12" s="132">
        <f>IF(SER_hh_fech_in!G12=0,0,SER_hh_fech_in!G12/SER_summary!G$27)</f>
        <v>67.883316752913544</v>
      </c>
      <c r="H12" s="132">
        <f>IF(SER_hh_fech_in!H12=0,0,SER_hh_fech_in!H12/SER_summary!H$27)</f>
        <v>78.146205087539329</v>
      </c>
      <c r="I12" s="132">
        <f>IF(SER_hh_fech_in!I12=0,0,SER_hh_fech_in!I12/SER_summary!I$27)</f>
        <v>87.761562222173936</v>
      </c>
      <c r="J12" s="132">
        <f>IF(SER_hh_fech_in!J12=0,0,SER_hh_fech_in!J12/SER_summary!J$27)</f>
        <v>76.540619344225647</v>
      </c>
      <c r="K12" s="132">
        <f>IF(SER_hh_fech_in!K12=0,0,SER_hh_fech_in!K12/SER_summary!K$27)</f>
        <v>90.907555697585948</v>
      </c>
      <c r="L12" s="132">
        <f>IF(SER_hh_fech_in!L12=0,0,SER_hh_fech_in!L12/SER_summary!L$27)</f>
        <v>84.470445146892601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50.109820584595958</v>
      </c>
      <c r="R12" s="132">
        <f>IF(SER_hh_fech_in!R12=0,0,SER_hh_fech_in!R12/SER_summary!R$27)</f>
        <v>46.596936994531546</v>
      </c>
      <c r="S12" s="132">
        <f>IF(SER_hh_fech_in!S12=0,0,SER_hh_fech_in!S12/SER_summary!S$27)</f>
        <v>55.814810687719387</v>
      </c>
      <c r="T12" s="132">
        <f>IF(SER_hh_fech_in!T12=0,0,SER_hh_fech_in!T12/SER_summary!T$27)</f>
        <v>43.652725739814088</v>
      </c>
      <c r="U12" s="132">
        <f>IF(SER_hh_fech_in!U12=0,0,SER_hh_fech_in!U12/SER_summary!U$27)</f>
        <v>44.607958949750966</v>
      </c>
      <c r="V12" s="132">
        <f>IF(SER_hh_fech_in!V12=0,0,SER_hh_fech_in!V12/SER_summary!V$27)</f>
        <v>40.308234510159252</v>
      </c>
      <c r="W12" s="132">
        <f>IF(SER_hh_fech_in!W12=0,0,SER_hh_fech_in!W12/SER_summary!W$27)</f>
        <v>28.556791249460151</v>
      </c>
      <c r="X12" s="132">
        <f>IF(SER_hh_fech_in!X12=0,0,SER_hh_fech_in!X12/SER_summary!X$27)</f>
        <v>24.727252354472384</v>
      </c>
      <c r="Y12" s="132">
        <f>IF(SER_hh_fech_in!Y12=0,0,SER_hh_fech_in!Y12/SER_summary!Y$27)</f>
        <v>21.029140832606007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39.216450279121439</v>
      </c>
      <c r="D13" s="132">
        <f>IF(SER_hh_fech_in!D13=0,0,SER_hh_fech_in!D13/SER_summary!D$27)</f>
        <v>38.342316831861709</v>
      </c>
      <c r="E13" s="132">
        <f>IF(SER_hh_fech_in!E13=0,0,SER_hh_fech_in!E13/SER_summary!E$27)</f>
        <v>34.393351815508204</v>
      </c>
      <c r="F13" s="132">
        <f>IF(SER_hh_fech_in!F13=0,0,SER_hh_fech_in!F13/SER_summary!F$27)</f>
        <v>36.302576906159963</v>
      </c>
      <c r="G13" s="132">
        <f>IF(SER_hh_fech_in!G13=0,0,SER_hh_fech_in!G13/SER_summary!G$27)</f>
        <v>34.263140591658107</v>
      </c>
      <c r="H13" s="132">
        <f>IF(SER_hh_fech_in!H13=0,0,SER_hh_fech_in!H13/SER_summary!H$27)</f>
        <v>30.524219051218683</v>
      </c>
      <c r="I13" s="132">
        <f>IF(SER_hh_fech_in!I13=0,0,SER_hh_fech_in!I13/SER_summary!I$27)</f>
        <v>29.356610205983781</v>
      </c>
      <c r="J13" s="132">
        <f>IF(SER_hh_fech_in!J13=0,0,SER_hh_fech_in!J13/SER_summary!J$27)</f>
        <v>29.202212338218803</v>
      </c>
      <c r="K13" s="132">
        <f>IF(SER_hh_fech_in!K13=0,0,SER_hh_fech_in!K13/SER_summary!K$27)</f>
        <v>28.063976329832588</v>
      </c>
      <c r="L13" s="132">
        <f>IF(SER_hh_fech_in!L13=0,0,SER_hh_fech_in!L13/SER_summary!L$27)</f>
        <v>27.118781820394968</v>
      </c>
      <c r="M13" s="132">
        <f>IF(SER_hh_fech_in!M13=0,0,SER_hh_fech_in!M13/SER_summary!M$27)</f>
        <v>24.298157814476145</v>
      </c>
      <c r="N13" s="132">
        <f>IF(SER_hh_fech_in!N13=0,0,SER_hh_fech_in!N13/SER_summary!N$27)</f>
        <v>21.688602569706688</v>
      </c>
      <c r="O13" s="132">
        <f>IF(SER_hh_fech_in!O13=0,0,SER_hh_fech_in!O13/SER_summary!O$27)</f>
        <v>19.015368123428232</v>
      </c>
      <c r="P13" s="132">
        <f>IF(SER_hh_fech_in!P13=0,0,SER_hh_fech_in!P13/SER_summary!P$27)</f>
        <v>16.041329076975071</v>
      </c>
      <c r="Q13" s="132">
        <f>IF(SER_hh_fech_in!Q13=0,0,SER_hh_fech_in!Q13/SER_summary!Q$27)</f>
        <v>14.702921929096451</v>
      </c>
      <c r="R13" s="132">
        <f>IF(SER_hh_fech_in!R13=0,0,SER_hh_fech_in!R13/SER_summary!R$27)</f>
        <v>13.420211914203936</v>
      </c>
      <c r="S13" s="132">
        <f>IF(SER_hh_fech_in!S13=0,0,SER_hh_fech_in!S13/SER_summary!S$27)</f>
        <v>12.58696208431229</v>
      </c>
      <c r="T13" s="132">
        <f>IF(SER_hh_fech_in!T13=0,0,SER_hh_fech_in!T13/SER_summary!T$27)</f>
        <v>11.62299669472619</v>
      </c>
      <c r="U13" s="132">
        <f>IF(SER_hh_fech_in!U13=0,0,SER_hh_fech_in!U13/SER_summary!U$27)</f>
        <v>10.444044977724035</v>
      </c>
      <c r="V13" s="132">
        <f>IF(SER_hh_fech_in!V13=0,0,SER_hh_fech_in!V13/SER_summary!V$27)</f>
        <v>9.1518324323126254</v>
      </c>
      <c r="W13" s="132">
        <f>IF(SER_hh_fech_in!W13=0,0,SER_hh_fech_in!W13/SER_summary!W$27)</f>
        <v>7.3219625025993249</v>
      </c>
      <c r="X13" s="132">
        <f>IF(SER_hh_fech_in!X13=0,0,SER_hh_fech_in!X13/SER_summary!X$27)</f>
        <v>5.5154524608864763</v>
      </c>
      <c r="Y13" s="132">
        <f>IF(SER_hh_fech_in!Y13=0,0,SER_hh_fech_in!Y13/SER_summary!Y$27)</f>
        <v>5.5941583578963394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98.047725096108962</v>
      </c>
      <c r="D14" s="65">
        <f>IF(SER_hh_fech_in!D14=0,0,SER_hh_fech_in!D14/SER_summary!D$27)</f>
        <v>92.707953116651694</v>
      </c>
      <c r="E14" s="65">
        <f>IF(SER_hh_fech_in!E14=0,0,SER_hh_fech_in!E14/SER_summary!E$27)</f>
        <v>98.859225317242817</v>
      </c>
      <c r="F14" s="65">
        <f>IF(SER_hh_fech_in!F14=0,0,SER_hh_fech_in!F14/SER_summary!F$27)</f>
        <v>102.65926083798107</v>
      </c>
      <c r="G14" s="65">
        <f>IF(SER_hh_fech_in!G14=0,0,SER_hh_fech_in!G14/SER_summary!G$27)</f>
        <v>95.521212141139685</v>
      </c>
      <c r="H14" s="65">
        <f>IF(SER_hh_fech_in!H14=0,0,SER_hh_fech_in!H14/SER_summary!H$27)</f>
        <v>92.433529612946543</v>
      </c>
      <c r="I14" s="65">
        <f>IF(SER_hh_fech_in!I14=0,0,SER_hh_fech_in!I14/SER_summary!I$27)</f>
        <v>89.167075635388926</v>
      </c>
      <c r="J14" s="65">
        <f>IF(SER_hh_fech_in!J14=0,0,SER_hh_fech_in!J14/SER_summary!J$27)</f>
        <v>85.773764699753826</v>
      </c>
      <c r="K14" s="65">
        <f>IF(SER_hh_fech_in!K14=0,0,SER_hh_fech_in!K14/SER_summary!K$27)</f>
        <v>88.969283158269349</v>
      </c>
      <c r="L14" s="65">
        <f>IF(SER_hh_fech_in!L14=0,0,SER_hh_fech_in!L14/SER_summary!L$27)</f>
        <v>86.499838773911975</v>
      </c>
      <c r="M14" s="65">
        <f>IF(SER_hh_fech_in!M14=0,0,SER_hh_fech_in!M14/SER_summary!M$27)</f>
        <v>81.351356616372271</v>
      </c>
      <c r="N14" s="65">
        <f>IF(SER_hh_fech_in!N14=0,0,SER_hh_fech_in!N14/SER_summary!N$27)</f>
        <v>77.937752297298346</v>
      </c>
      <c r="O14" s="65">
        <f>IF(SER_hh_fech_in!O14=0,0,SER_hh_fech_in!O14/SER_summary!O$27)</f>
        <v>78.673823906051581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51.702843227369335</v>
      </c>
      <c r="S14" s="65">
        <f>IF(SER_hh_fech_in!S14=0,0,SER_hh_fech_in!S14/SER_summary!S$27)</f>
        <v>53.762006657849497</v>
      </c>
      <c r="T14" s="65">
        <f>IF(SER_hh_fech_in!T14=0,0,SER_hh_fech_in!T14/SER_summary!T$27)</f>
        <v>53.753160473550849</v>
      </c>
      <c r="U14" s="65">
        <f>IF(SER_hh_fech_in!U14=0,0,SER_hh_fech_in!U14/SER_summary!U$27)</f>
        <v>42.549884157317976</v>
      </c>
      <c r="V14" s="65">
        <f>IF(SER_hh_fech_in!V14=0,0,SER_hh_fech_in!V14/SER_summary!V$27)</f>
        <v>31.546117627039077</v>
      </c>
      <c r="W14" s="65">
        <f>IF(SER_hh_fech_in!W14=0,0,SER_hh_fech_in!W14/SER_summary!W$27)</f>
        <v>29.466618096642826</v>
      </c>
      <c r="X14" s="65">
        <f>IF(SER_hh_fech_in!X14=0,0,SER_hh_fech_in!X14/SER_summary!X$27)</f>
        <v>23.915081063004397</v>
      </c>
      <c r="Y14" s="65">
        <f>IF(SER_hh_fech_in!Y14=0,0,SER_hh_fech_in!Y14/SER_summary!Y$27)</f>
        <v>22.153002289080604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1.2661608148294528</v>
      </c>
      <c r="D15" s="134">
        <f>IF(SER_hh_fech_in!D15=0,0,SER_hh_fech_in!D15/SER_summary!D$27)</f>
        <v>1.2157357518898677</v>
      </c>
      <c r="E15" s="134">
        <f>IF(SER_hh_fech_in!E15=0,0,SER_hh_fech_in!E15/SER_summary!E$27)</f>
        <v>1.3570356267778114</v>
      </c>
      <c r="F15" s="134">
        <f>IF(SER_hh_fech_in!F15=0,0,SER_hh_fech_in!F15/SER_summary!F$27)</f>
        <v>1.5626027472479607</v>
      </c>
      <c r="G15" s="134">
        <f>IF(SER_hh_fech_in!G15=0,0,SER_hh_fech_in!G15/SER_summary!G$27)</f>
        <v>1.304771298868284</v>
      </c>
      <c r="H15" s="134">
        <f>IF(SER_hh_fech_in!H15=0,0,SER_hh_fech_in!H15/SER_summary!H$27)</f>
        <v>1.2195153907410898</v>
      </c>
      <c r="I15" s="134">
        <f>IF(SER_hh_fech_in!I15=0,0,SER_hh_fech_in!I15/SER_summary!I$27)</f>
        <v>1.0265898409122918</v>
      </c>
      <c r="J15" s="134">
        <f>IF(SER_hh_fech_in!J15=0,0,SER_hh_fech_in!J15/SER_summary!J$27)</f>
        <v>1.0965709272182447</v>
      </c>
      <c r="K15" s="134">
        <f>IF(SER_hh_fech_in!K15=0,0,SER_hh_fech_in!K15/SER_summary!K$27)</f>
        <v>1.1052426156622384</v>
      </c>
      <c r="L15" s="134">
        <f>IF(SER_hh_fech_in!L15=0,0,SER_hh_fech_in!L15/SER_summary!L$27)</f>
        <v>1.3202340938292962</v>
      </c>
      <c r="M15" s="134">
        <f>IF(SER_hh_fech_in!M15=0,0,SER_hh_fech_in!M15/SER_summary!M$27)</f>
        <v>0.99824284683130982</v>
      </c>
      <c r="N15" s="134">
        <f>IF(SER_hh_fech_in!N15=0,0,SER_hh_fech_in!N15/SER_summary!N$27)</f>
        <v>1.0746921371200544</v>
      </c>
      <c r="O15" s="134">
        <f>IF(SER_hh_fech_in!O15=0,0,SER_hh_fech_in!O15/SER_summary!O$27)</f>
        <v>1.0348385912128029</v>
      </c>
      <c r="P15" s="134">
        <f>IF(SER_hh_fech_in!P15=0,0,SER_hh_fech_in!P15/SER_summary!P$27)</f>
        <v>0.74489430203411433</v>
      </c>
      <c r="Q15" s="134">
        <f>IF(SER_hh_fech_in!Q15=0,0,SER_hh_fech_in!Q15/SER_summary!Q$27)</f>
        <v>0.74463232557377701</v>
      </c>
      <c r="R15" s="134">
        <f>IF(SER_hh_fech_in!R15=0,0,SER_hh_fech_in!R15/SER_summary!R$27)</f>
        <v>0.6679875070772372</v>
      </c>
      <c r="S15" s="134">
        <f>IF(SER_hh_fech_in!S15=0,0,SER_hh_fech_in!S15/SER_summary!S$27)</f>
        <v>0.61143781465679481</v>
      </c>
      <c r="T15" s="134">
        <f>IF(SER_hh_fech_in!T15=0,0,SER_hh_fech_in!T15/SER_summary!T$27)</f>
        <v>0.58503809127392081</v>
      </c>
      <c r="U15" s="134">
        <f>IF(SER_hh_fech_in!U15=0,0,SER_hh_fech_in!U15/SER_summary!U$27)</f>
        <v>0.53280743671026665</v>
      </c>
      <c r="V15" s="134">
        <f>IF(SER_hh_fech_in!V15=0,0,SER_hh_fech_in!V15/SER_summary!V$27)</f>
        <v>0.47546011152003181</v>
      </c>
      <c r="W15" s="134">
        <f>IF(SER_hh_fech_in!W15=0,0,SER_hh_fech_in!W15/SER_summary!W$27)</f>
        <v>0.42022934785900168</v>
      </c>
      <c r="X15" s="134">
        <f>IF(SER_hh_fech_in!X15=0,0,SER_hh_fech_in!X15/SER_summary!X$27)</f>
        <v>0.2745055799512881</v>
      </c>
      <c r="Y15" s="134">
        <f>IF(SER_hh_fech_in!Y15=0,0,SER_hh_fech_in!Y15/SER_summary!Y$27)</f>
        <v>0.28628302461256483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11.133007608522222</v>
      </c>
      <c r="D16" s="130">
        <f>IF(SER_hh_fech_in!D16=0,0,SER_hh_fech_in!D16/SER_summary!D$27)</f>
        <v>10.486345870235356</v>
      </c>
      <c r="E16" s="130">
        <f>IF(SER_hh_fech_in!E16=0,0,SER_hh_fech_in!E16/SER_summary!E$27)</f>
        <v>10.920385759145676</v>
      </c>
      <c r="F16" s="130">
        <f>IF(SER_hh_fech_in!F16=0,0,SER_hh_fech_in!F16/SER_summary!F$27)</f>
        <v>9.5171004721612693</v>
      </c>
      <c r="G16" s="130">
        <f>IF(SER_hh_fech_in!G16=0,0,SER_hh_fech_in!G16/SER_summary!G$27)</f>
        <v>8.9324352686651629</v>
      </c>
      <c r="H16" s="130">
        <f>IF(SER_hh_fech_in!H16=0,0,SER_hh_fech_in!H16/SER_summary!H$27)</f>
        <v>9.3631280089653135</v>
      </c>
      <c r="I16" s="130">
        <f>IF(SER_hh_fech_in!I16=0,0,SER_hh_fech_in!I16/SER_summary!I$27)</f>
        <v>8.2064995746601088</v>
      </c>
      <c r="J16" s="130">
        <f>IF(SER_hh_fech_in!J16=0,0,SER_hh_fech_in!J16/SER_summary!J$27)</f>
        <v>7.8581044754216132</v>
      </c>
      <c r="K16" s="130">
        <f>IF(SER_hh_fech_in!K16=0,0,SER_hh_fech_in!K16/SER_summary!K$27)</f>
        <v>7.4731031397363044</v>
      </c>
      <c r="L16" s="130">
        <f>IF(SER_hh_fech_in!L16=0,0,SER_hh_fech_in!L16/SER_summary!L$27)</f>
        <v>7.3403092406798507</v>
      </c>
      <c r="M16" s="130">
        <f>IF(SER_hh_fech_in!M16=0,0,SER_hh_fech_in!M16/SER_summary!M$27)</f>
        <v>6.7360148255998444</v>
      </c>
      <c r="N16" s="130">
        <f>IF(SER_hh_fech_in!N16=0,0,SER_hh_fech_in!N16/SER_summary!N$27)</f>
        <v>6.3756082382547765</v>
      </c>
      <c r="O16" s="130">
        <f>IF(SER_hh_fech_in!O16=0,0,SER_hh_fech_in!O16/SER_summary!O$27)</f>
        <v>6.0332939686176807</v>
      </c>
      <c r="P16" s="130">
        <f>IF(SER_hh_fech_in!P16=0,0,SER_hh_fech_in!P16/SER_summary!P$27)</f>
        <v>5.6385329233458199</v>
      </c>
      <c r="Q16" s="130">
        <f>IF(SER_hh_fech_in!Q16=0,0,SER_hh_fech_in!Q16/SER_summary!Q$27)</f>
        <v>5.6156123641719633</v>
      </c>
      <c r="R16" s="130">
        <f>IF(SER_hh_fech_in!R16=0,0,SER_hh_fech_in!R16/SER_summary!R$27)</f>
        <v>5.1771038032448615</v>
      </c>
      <c r="S16" s="130">
        <f>IF(SER_hh_fech_in!S16=0,0,SER_hh_fech_in!S16/SER_summary!S$27)</f>
        <v>4.77390749619713</v>
      </c>
      <c r="T16" s="130">
        <f>IF(SER_hh_fech_in!T16=0,0,SER_hh_fech_in!T16/SER_summary!T$27)</f>
        <v>4.9817572261127996</v>
      </c>
      <c r="U16" s="130">
        <f>IF(SER_hh_fech_in!U16=0,0,SER_hh_fech_in!U16/SER_summary!U$27)</f>
        <v>4.6562608640448584</v>
      </c>
      <c r="V16" s="130">
        <f>IF(SER_hh_fech_in!V16=0,0,SER_hh_fech_in!V16/SER_summary!V$27)</f>
        <v>4.2611174912854519</v>
      </c>
      <c r="W16" s="130">
        <f>IF(SER_hh_fech_in!W16=0,0,SER_hh_fech_in!W16/SER_summary!W$27)</f>
        <v>3.4517710858544834</v>
      </c>
      <c r="X16" s="130">
        <f>IF(SER_hh_fech_in!X16=0,0,SER_hh_fech_in!X16/SER_summary!X$27)</f>
        <v>3.1794239919578478</v>
      </c>
      <c r="Y16" s="130">
        <f>IF(SER_hh_fech_in!Y16=0,0,SER_hh_fech_in!Y16/SER_summary!Y$27)</f>
        <v>3.1148170833869262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23.03345080209116</v>
      </c>
      <c r="D17" s="132">
        <f>IF(SER_hh_fech_in!D17=0,0,SER_hh_fech_in!D17/SER_summary!D$27)</f>
        <v>22.267461485100473</v>
      </c>
      <c r="E17" s="132">
        <f>IF(SER_hh_fech_in!E17=0,0,SER_hh_fech_in!E17/SER_summary!E$27)</f>
        <v>23.836536787636177</v>
      </c>
      <c r="F17" s="132">
        <f>IF(SER_hh_fech_in!F17=0,0,SER_hh_fech_in!F17/SER_summary!F$27)</f>
        <v>21.217552979814229</v>
      </c>
      <c r="G17" s="132">
        <f>IF(SER_hh_fech_in!G17=0,0,SER_hh_fech_in!G17/SER_summary!G$27)</f>
        <v>20.478209642372907</v>
      </c>
      <c r="H17" s="132">
        <f>IF(SER_hh_fech_in!H17=0,0,SER_hh_fech_in!H17/SER_summary!H$27)</f>
        <v>21.993750114307502</v>
      </c>
      <c r="I17" s="132">
        <f>IF(SER_hh_fech_in!I17=0,0,SER_hh_fech_in!I17/SER_summary!I$27)</f>
        <v>19.741471107245154</v>
      </c>
      <c r="J17" s="132">
        <f>IF(SER_hh_fech_in!J17=0,0,SER_hh_fech_in!J17/SER_summary!J$27)</f>
        <v>19.328930114848863</v>
      </c>
      <c r="K17" s="132">
        <f>IF(SER_hh_fech_in!K17=0,0,SER_hh_fech_in!K17/SER_summary!K$27)</f>
        <v>18.783320503536313</v>
      </c>
      <c r="L17" s="132">
        <f>IF(SER_hh_fech_in!L17=0,0,SER_hh_fech_in!L17/SER_summary!L$27)</f>
        <v>18.868952792522624</v>
      </c>
      <c r="M17" s="132">
        <f>IF(SER_hh_fech_in!M17=0,0,SER_hh_fech_in!M17/SER_summary!M$27)</f>
        <v>17.701976270496822</v>
      </c>
      <c r="N17" s="132">
        <f>IF(SER_hh_fech_in!N17=0,0,SER_hh_fech_in!N17/SER_summary!N$27)</f>
        <v>17.10745475390873</v>
      </c>
      <c r="O17" s="132">
        <f>IF(SER_hh_fech_in!O17=0,0,SER_hh_fech_in!O17/SER_summary!O$27)</f>
        <v>16.457601860691753</v>
      </c>
      <c r="P17" s="132">
        <f>IF(SER_hh_fech_in!P17=0,0,SER_hh_fech_in!P17/SER_summary!P$27)</f>
        <v>15.53675301531054</v>
      </c>
      <c r="Q17" s="132">
        <f>IF(SER_hh_fech_in!Q17=0,0,SER_hh_fech_in!Q17/SER_summary!Q$27)</f>
        <v>15.533009778560714</v>
      </c>
      <c r="R17" s="132">
        <f>IF(SER_hh_fech_in!R17=0,0,SER_hh_fech_in!R17/SER_summary!R$27)</f>
        <v>14.68778835564631</v>
      </c>
      <c r="S17" s="132">
        <f>IF(SER_hh_fech_in!S17=0,0,SER_hh_fech_in!S17/SER_summary!S$27)</f>
        <v>14.302292462517377</v>
      </c>
      <c r="T17" s="132">
        <f>IF(SER_hh_fech_in!T17=0,0,SER_hh_fech_in!T17/SER_summary!T$27)</f>
        <v>13.809243599261711</v>
      </c>
      <c r="U17" s="132">
        <f>IF(SER_hh_fech_in!U17=0,0,SER_hh_fech_in!U17/SER_summary!U$27)</f>
        <v>13.029705993871795</v>
      </c>
      <c r="V17" s="132">
        <f>IF(SER_hh_fech_in!V17=0,0,SER_hh_fech_in!V17/SER_summary!V$27)</f>
        <v>12.443773328275437</v>
      </c>
      <c r="W17" s="132">
        <f>IF(SER_hh_fech_in!W17=0,0,SER_hh_fech_in!W17/SER_summary!W$27)</f>
        <v>11.590616024539059</v>
      </c>
      <c r="X17" s="132">
        <f>IF(SER_hh_fech_in!X17=0,0,SER_hh_fech_in!X17/SER_summary!X$27)</f>
        <v>8.7651252615429289</v>
      </c>
      <c r="Y17" s="132">
        <f>IF(SER_hh_fech_in!Y17=0,0,SER_hh_fech_in!Y17/SER_summary!Y$27)</f>
        <v>8.5252250226777004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11.101713428868264</v>
      </c>
      <c r="D18" s="132">
        <f>IF(SER_hh_fech_in!D18=0,0,SER_hh_fech_in!D18/SER_summary!D$27)</f>
        <v>10.439532899868325</v>
      </c>
      <c r="E18" s="132">
        <f>IF(SER_hh_fech_in!E18=0,0,SER_hh_fech_in!E18/SER_summary!E$27)</f>
        <v>10.882899354520033</v>
      </c>
      <c r="F18" s="132">
        <f>IF(SER_hh_fech_in!F18=0,0,SER_hh_fech_in!F18/SER_summary!F$27)</f>
        <v>9.4401496132229905</v>
      </c>
      <c r="G18" s="132">
        <f>IF(SER_hh_fech_in!G18=0,0,SER_hh_fech_in!G18/SER_summary!G$27)</f>
        <v>8.8816340500981674</v>
      </c>
      <c r="H18" s="132">
        <f>IF(SER_hh_fech_in!H18=0,0,SER_hh_fech_in!H18/SER_summary!H$27)</f>
        <v>9.288508378495882</v>
      </c>
      <c r="I18" s="132">
        <f>IF(SER_hh_fech_in!I18=0,0,SER_hh_fech_in!I18/SER_summary!I$27)</f>
        <v>8.1258746245706792</v>
      </c>
      <c r="J18" s="132">
        <f>IF(SER_hh_fech_in!J18=0,0,SER_hh_fech_in!J18/SER_summary!J$27)</f>
        <v>7.7761218433249226</v>
      </c>
      <c r="K18" s="132">
        <f>IF(SER_hh_fech_in!K18=0,0,SER_hh_fech_in!K18/SER_summary!K$27)</f>
        <v>7.3929354482826248</v>
      </c>
      <c r="L18" s="132">
        <f>IF(SER_hh_fech_in!L18=0,0,SER_hh_fech_in!L18/SER_summary!L$27)</f>
        <v>7.2624943290706216</v>
      </c>
      <c r="M18" s="132">
        <f>IF(SER_hh_fech_in!M18=0,0,SER_hh_fech_in!M18/SER_summary!M$27)</f>
        <v>6.6486940906590215</v>
      </c>
      <c r="N18" s="132">
        <f>IF(SER_hh_fech_in!N18=0,0,SER_hh_fech_in!N18/SER_summary!N$27)</f>
        <v>6.2580376873149</v>
      </c>
      <c r="O18" s="132">
        <f>IF(SER_hh_fech_in!O18=0,0,SER_hh_fech_in!O18/SER_summary!O$27)</f>
        <v>5.8533735063039964</v>
      </c>
      <c r="P18" s="132">
        <f>IF(SER_hh_fech_in!P18=0,0,SER_hh_fech_in!P18/SER_summary!P$27)</f>
        <v>5.3711418411865646</v>
      </c>
      <c r="Q18" s="132">
        <f>IF(SER_hh_fech_in!Q18=0,0,SER_hh_fech_in!Q18/SER_summary!Q$27)</f>
        <v>5.2840327557202942</v>
      </c>
      <c r="R18" s="132">
        <f>IF(SER_hh_fech_in!R18=0,0,SER_hh_fech_in!R18/SER_summary!R$27)</f>
        <v>4.8409307288842616</v>
      </c>
      <c r="S18" s="132">
        <f>IF(SER_hh_fech_in!S18=0,0,SER_hh_fech_in!S18/SER_summary!S$27)</f>
        <v>4.5085202512413067</v>
      </c>
      <c r="T18" s="132">
        <f>IF(SER_hh_fech_in!T18=0,0,SER_hh_fech_in!T18/SER_summary!T$27)</f>
        <v>4.7509288900316662</v>
      </c>
      <c r="U18" s="132">
        <f>IF(SER_hh_fech_in!U18=0,0,SER_hh_fech_in!U18/SER_summary!U$27)</f>
        <v>4.4433993813993702</v>
      </c>
      <c r="V18" s="132">
        <f>IF(SER_hh_fech_in!V18=0,0,SER_hh_fech_in!V18/SER_summary!V$27)</f>
        <v>4.0777459604764097</v>
      </c>
      <c r="W18" s="132">
        <f>IF(SER_hh_fech_in!W18=0,0,SER_hh_fech_in!W18/SER_summary!W$27)</f>
        <v>3.2913252111001392</v>
      </c>
      <c r="X18" s="132">
        <f>IF(SER_hh_fech_in!X18=0,0,SER_hh_fech_in!X18/SER_summary!X$27)</f>
        <v>3.0165437352647646</v>
      </c>
      <c r="Y18" s="132">
        <f>IF(SER_hh_fech_in!Y18=0,0,SER_hh_fech_in!Y18/SER_summary!Y$27)</f>
        <v>2.9661214303310284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23.721358616270528</v>
      </c>
      <c r="D19" s="130">
        <f>IF(SER_hh_fech_in!D19=0,0,SER_hh_fech_in!D19/SER_summary!D$27)</f>
        <v>23.381731699829125</v>
      </c>
      <c r="E19" s="130">
        <f>IF(SER_hh_fech_in!E19=0,0,SER_hh_fech_in!E19/SER_summary!E$27)</f>
        <v>22.812487236444579</v>
      </c>
      <c r="F19" s="130">
        <f>IF(SER_hh_fech_in!F19=0,0,SER_hh_fech_in!F19/SER_summary!F$27)</f>
        <v>22.48310302790868</v>
      </c>
      <c r="G19" s="130">
        <f>IF(SER_hh_fech_in!G19=0,0,SER_hh_fech_in!G19/SER_summary!G$27)</f>
        <v>22.355315297308149</v>
      </c>
      <c r="H19" s="130">
        <f>IF(SER_hh_fech_in!H19=0,0,SER_hh_fech_in!H19/SER_summary!H$27)</f>
        <v>21.709852329391648</v>
      </c>
      <c r="I19" s="130">
        <f>IF(SER_hh_fech_in!I19=0,0,SER_hh_fech_in!I19/SER_summary!I$27)</f>
        <v>20.722915843418665</v>
      </c>
      <c r="J19" s="130">
        <f>IF(SER_hh_fech_in!J19=0,0,SER_hh_fech_in!J19/SER_summary!J$27)</f>
        <v>20.411847136374728</v>
      </c>
      <c r="K19" s="130">
        <f>IF(SER_hh_fech_in!K19=0,0,SER_hh_fech_in!K19/SER_summary!K$27)</f>
        <v>19.444597122451977</v>
      </c>
      <c r="L19" s="130">
        <f>IF(SER_hh_fech_in!L19=0,0,SER_hh_fech_in!L19/SER_summary!L$27)</f>
        <v>20.121207620040281</v>
      </c>
      <c r="M19" s="130">
        <f>IF(SER_hh_fech_in!M19=0,0,SER_hh_fech_in!M19/SER_summary!M$27)</f>
        <v>19.305105478060799</v>
      </c>
      <c r="N19" s="130">
        <f>IF(SER_hh_fech_in!N19=0,0,SER_hh_fech_in!N19/SER_summary!N$27)</f>
        <v>19.307734033025163</v>
      </c>
      <c r="O19" s="130">
        <f>IF(SER_hh_fech_in!O19=0,0,SER_hh_fech_in!O19/SER_summary!O$27)</f>
        <v>18.041404982096232</v>
      </c>
      <c r="P19" s="130">
        <f>IF(SER_hh_fech_in!P19=0,0,SER_hh_fech_in!P19/SER_summary!P$27)</f>
        <v>17.43232547640838</v>
      </c>
      <c r="Q19" s="130">
        <f>IF(SER_hh_fech_in!Q19=0,0,SER_hh_fech_in!Q19/SER_summary!Q$27)</f>
        <v>17.382568958164129</v>
      </c>
      <c r="R19" s="130">
        <f>IF(SER_hh_fech_in!R19=0,0,SER_hh_fech_in!R19/SER_summary!R$27)</f>
        <v>16.60893701026167</v>
      </c>
      <c r="S19" s="130">
        <f>IF(SER_hh_fech_in!S19=0,0,SER_hh_fech_in!S19/SER_summary!S$27)</f>
        <v>16.441478403474047</v>
      </c>
      <c r="T19" s="130">
        <f>IF(SER_hh_fech_in!T19=0,0,SER_hh_fech_in!T19/SER_summary!T$27)</f>
        <v>15.825413220131159</v>
      </c>
      <c r="U19" s="130">
        <f>IF(SER_hh_fech_in!U19=0,0,SER_hh_fech_in!U19/SER_summary!U$27)</f>
        <v>15.231330113368267</v>
      </c>
      <c r="V19" s="130">
        <f>IF(SER_hh_fech_in!V19=0,0,SER_hh_fech_in!V19/SER_summary!V$27)</f>
        <v>14.829937446580734</v>
      </c>
      <c r="W19" s="130">
        <f>IF(SER_hh_fech_in!W19=0,0,SER_hh_fech_in!W19/SER_summary!W$27)</f>
        <v>14.838083113770459</v>
      </c>
      <c r="X19" s="130">
        <f>IF(SER_hh_fech_in!X19=0,0,SER_hh_fech_in!X19/SER_summary!X$27)</f>
        <v>14.689277126425971</v>
      </c>
      <c r="Y19" s="130">
        <f>IF(SER_hh_fech_in!Y19=0,0,SER_hh_fech_in!Y19/SER_summary!Y$27)</f>
        <v>14.926313147523867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28.392013080110559</v>
      </c>
      <c r="D22" s="132">
        <f>IF(SER_hh_fech_in!D22=0,0,SER_hh_fech_in!D22/SER_summary!D$27)</f>
        <v>27.62803627139888</v>
      </c>
      <c r="E22" s="132">
        <f>IF(SER_hh_fech_in!E22=0,0,SER_hh_fech_in!E22/SER_summary!E$27)</f>
        <v>27.426637064825051</v>
      </c>
      <c r="F22" s="132">
        <f>IF(SER_hh_fech_in!F22=0,0,SER_hh_fech_in!F22/SER_summary!F$27)</f>
        <v>26.992057209259354</v>
      </c>
      <c r="G22" s="132">
        <f>IF(SER_hh_fech_in!G22=0,0,SER_hh_fech_in!G22/SER_summary!G$27)</f>
        <v>26.849984147704056</v>
      </c>
      <c r="H22" s="132">
        <f>IF(SER_hh_fech_in!H22=0,0,SER_hh_fech_in!H22/SER_summary!H$27)</f>
        <v>26.024393380960671</v>
      </c>
      <c r="I22" s="132">
        <f>IF(SER_hh_fech_in!I22=0,0,SER_hh_fech_in!I22/SER_summary!I$27)</f>
        <v>25.152912124921997</v>
      </c>
      <c r="J22" s="132">
        <f>IF(SER_hh_fech_in!J22=0,0,SER_hh_fech_in!J22/SER_summary!J$27)</f>
        <v>24.913902609879376</v>
      </c>
      <c r="K22" s="132">
        <f>IF(SER_hh_fech_in!K22=0,0,SER_hh_fech_in!K22/SER_summary!K$27)</f>
        <v>23.722093278165922</v>
      </c>
      <c r="L22" s="132">
        <f>IF(SER_hh_fech_in!L22=0,0,SER_hh_fech_in!L22/SER_summary!L$27)</f>
        <v>23.903149665089735</v>
      </c>
      <c r="M22" s="132">
        <f>IF(SER_hh_fech_in!M22=0,0,SER_hh_fech_in!M22/SER_summary!M$27)</f>
        <v>22.945353404617705</v>
      </c>
      <c r="N22" s="132">
        <f>IF(SER_hh_fech_in!N22=0,0,SER_hh_fech_in!N22/SER_summary!N$27)</f>
        <v>22.381342939335145</v>
      </c>
      <c r="O22" s="132">
        <f>IF(SER_hh_fech_in!O22=0,0,SER_hh_fech_in!O22/SER_summary!O$27)</f>
        <v>20.932536152629197</v>
      </c>
      <c r="P22" s="132">
        <f>IF(SER_hh_fech_in!P22=0,0,SER_hh_fech_in!P22/SER_summary!P$27)</f>
        <v>19.93345998777766</v>
      </c>
      <c r="Q22" s="132">
        <f>IF(SER_hh_fech_in!Q22=0,0,SER_hh_fech_in!Q22/SER_summary!Q$27)</f>
        <v>19.954808072476272</v>
      </c>
      <c r="R22" s="132">
        <f>IF(SER_hh_fech_in!R22=0,0,SER_hh_fech_in!R22/SER_summary!R$27)</f>
        <v>18.792213947933117</v>
      </c>
      <c r="S22" s="132">
        <f>IF(SER_hh_fech_in!S22=0,0,SER_hh_fech_in!S22/SER_summary!S$27)</f>
        <v>18.130193852302174</v>
      </c>
      <c r="T22" s="132">
        <f>IF(SER_hh_fech_in!T22=0,0,SER_hh_fech_in!T22/SER_summary!T$27)</f>
        <v>17.856499673213058</v>
      </c>
      <c r="U22" s="132">
        <f>IF(SER_hh_fech_in!U22=0,0,SER_hh_fech_in!U22/SER_summary!U$27)</f>
        <v>17.430916306389697</v>
      </c>
      <c r="V22" s="132">
        <f>IF(SER_hh_fech_in!V22=0,0,SER_hh_fech_in!V22/SER_summary!V$27)</f>
        <v>16.599193681640486</v>
      </c>
      <c r="W22" s="132">
        <f>IF(SER_hh_fech_in!W22=0,0,SER_hh_fech_in!W22/SER_summary!W$27)</f>
        <v>17.254861358702446</v>
      </c>
      <c r="X22" s="132">
        <f>IF(SER_hh_fech_in!X22=0,0,SER_hh_fech_in!X22/SER_summary!X$27)</f>
        <v>16.115733127301556</v>
      </c>
      <c r="Y22" s="132">
        <f>IF(SER_hh_fech_in!Y22=0,0,SER_hh_fech_in!Y22/SER_summary!Y$27)</f>
        <v>16.559215267283339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25.909916875361379</v>
      </c>
      <c r="D23" s="132">
        <f>IF(SER_hh_fech_in!D23=0,0,SER_hh_fech_in!D23/SER_summary!D$27)</f>
        <v>26.381616238990624</v>
      </c>
      <c r="E23" s="132">
        <f>IF(SER_hh_fech_in!E23=0,0,SER_hh_fech_in!E23/SER_summary!E$27)</f>
        <v>25.231981953245043</v>
      </c>
      <c r="F23" s="132">
        <f>IF(SER_hh_fech_in!F23=0,0,SER_hh_fech_in!F23/SER_summary!F$27)</f>
        <v>24.438971408636768</v>
      </c>
      <c r="G23" s="132">
        <f>IF(SER_hh_fech_in!G23=0,0,SER_hh_fech_in!G23/SER_summary!G$27)</f>
        <v>24.216053810821375</v>
      </c>
      <c r="H23" s="132">
        <f>IF(SER_hh_fech_in!H23=0,0,SER_hh_fech_in!H23/SER_summary!H$27)</f>
        <v>23.710801655666366</v>
      </c>
      <c r="I23" s="132">
        <f>IF(SER_hh_fech_in!I23=0,0,SER_hh_fech_in!I23/SER_summary!I$27)</f>
        <v>22.607639764307908</v>
      </c>
      <c r="J23" s="132">
        <f>IF(SER_hh_fech_in!J23=0,0,SER_hh_fech_in!J23/SER_summary!J$27)</f>
        <v>22.008774667147854</v>
      </c>
      <c r="K23" s="132">
        <f>IF(SER_hh_fech_in!K23=0,0,SER_hh_fech_in!K23/SER_summary!K$27)</f>
        <v>20.993458027994816</v>
      </c>
      <c r="L23" s="132">
        <f>IF(SER_hh_fech_in!L23=0,0,SER_hh_fech_in!L23/SER_summary!L$27)</f>
        <v>21.224749212688021</v>
      </c>
      <c r="M23" s="132">
        <f>IF(SER_hh_fech_in!M23=0,0,SER_hh_fech_in!M23/SER_summary!M$27)</f>
        <v>20.018673170455816</v>
      </c>
      <c r="N23" s="132">
        <f>IF(SER_hh_fech_in!N23=0,0,SER_hh_fech_in!N23/SER_summary!N$27)</f>
        <v>20.305124507588012</v>
      </c>
      <c r="O23" s="132">
        <f>IF(SER_hh_fech_in!O23=0,0,SER_hh_fech_in!O23/SER_summary!O$27)</f>
        <v>19.391064686316405</v>
      </c>
      <c r="P23" s="132">
        <f>IF(SER_hh_fech_in!P23=0,0,SER_hh_fech_in!P23/SER_summary!P$27)</f>
        <v>18.196367680861794</v>
      </c>
      <c r="Q23" s="132">
        <f>IF(SER_hh_fech_in!Q23=0,0,SER_hh_fech_in!Q23/SER_summary!Q$27)</f>
        <v>17.349381678183253</v>
      </c>
      <c r="R23" s="132">
        <f>IF(SER_hh_fech_in!R23=0,0,SER_hh_fech_in!R23/SER_summary!R$27)</f>
        <v>16.80745865500073</v>
      </c>
      <c r="S23" s="132">
        <f>IF(SER_hh_fech_in!S23=0,0,SER_hh_fech_in!S23/SER_summary!S$27)</f>
        <v>17.14639062569351</v>
      </c>
      <c r="T23" s="132">
        <f>IF(SER_hh_fech_in!T23=0,0,SER_hh_fech_in!T23/SER_summary!T$27)</f>
        <v>16.984781925072301</v>
      </c>
      <c r="U23" s="132">
        <f>IF(SER_hh_fech_in!U23=0,0,SER_hh_fech_in!U23/SER_summary!U$27)</f>
        <v>16.845405953672447</v>
      </c>
      <c r="V23" s="132">
        <f>IF(SER_hh_fech_in!V23=0,0,SER_hh_fech_in!V23/SER_summary!V$27)</f>
        <v>14.750109609421958</v>
      </c>
      <c r="W23" s="132">
        <f>IF(SER_hh_fech_in!W23=0,0,SER_hh_fech_in!W23/SER_summary!W$27)</f>
        <v>15.241018076834774</v>
      </c>
      <c r="X23" s="132">
        <f>IF(SER_hh_fech_in!X23=0,0,SER_hh_fech_in!X23/SER_summary!X$27)</f>
        <v>15.484863833919976</v>
      </c>
      <c r="Y23" s="132">
        <f>IF(SER_hh_fech_in!Y23=0,0,SER_hh_fech_in!Y23/SER_summary!Y$27)</f>
        <v>15.674277615385137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18.717892165635842</v>
      </c>
      <c r="D25" s="132">
        <f>IF(SER_hh_fech_in!D25=0,0,SER_hh_fech_in!D25/SER_summary!D$27)</f>
        <v>18.428939538256738</v>
      </c>
      <c r="E25" s="132">
        <f>IF(SER_hh_fech_in!E25=0,0,SER_hh_fech_in!E25/SER_summary!E$27)</f>
        <v>18.26880833756821</v>
      </c>
      <c r="F25" s="132">
        <f>IF(SER_hh_fech_in!F25=0,0,SER_hh_fech_in!F25/SER_summary!F$27)</f>
        <v>17.779779051777364</v>
      </c>
      <c r="G25" s="132">
        <f>IF(SER_hh_fech_in!G25=0,0,SER_hh_fech_in!G25/SER_summary!G$27)</f>
        <v>17.762000552169546</v>
      </c>
      <c r="H25" s="132">
        <f>IF(SER_hh_fech_in!H25=0,0,SER_hh_fech_in!H25/SER_summary!H$27)</f>
        <v>17.38817677226881</v>
      </c>
      <c r="I25" s="132">
        <f>IF(SER_hh_fech_in!I25=0,0,SER_hh_fech_in!I25/SER_summary!I$27)</f>
        <v>16.91534076309901</v>
      </c>
      <c r="J25" s="132">
        <f>IF(SER_hh_fech_in!J25=0,0,SER_hh_fech_in!J25/SER_summary!J$27)</f>
        <v>16.578765971098044</v>
      </c>
      <c r="K25" s="132">
        <f>IF(SER_hh_fech_in!K25=0,0,SER_hh_fech_in!K25/SER_summary!K$27)</f>
        <v>16.102079483151741</v>
      </c>
      <c r="L25" s="132">
        <f>IF(SER_hh_fech_in!L25=0,0,SER_hh_fech_in!L25/SER_summary!L$27)</f>
        <v>16.49609245216795</v>
      </c>
      <c r="M25" s="132">
        <f>IF(SER_hh_fech_in!M25=0,0,SER_hh_fech_in!M25/SER_summary!M$27)</f>
        <v>16.136711326930069</v>
      </c>
      <c r="N25" s="132">
        <f>IF(SER_hh_fech_in!N25=0,0,SER_hh_fech_in!N25/SER_summary!N$27)</f>
        <v>16.131089366657033</v>
      </c>
      <c r="O25" s="132">
        <f>IF(SER_hh_fech_in!O25=0,0,SER_hh_fech_in!O25/SER_summary!O$27)</f>
        <v>15.490831924485107</v>
      </c>
      <c r="P25" s="132">
        <f>IF(SER_hh_fech_in!P25=0,0,SER_hh_fech_in!P25/SER_summary!P$27)</f>
        <v>0</v>
      </c>
      <c r="Q25" s="132">
        <f>IF(SER_hh_fech_in!Q25=0,0,SER_hh_fech_in!Q25/SER_summary!Q$27)</f>
        <v>15.348942392113495</v>
      </c>
      <c r="R25" s="132">
        <f>IF(SER_hh_fech_in!R25=0,0,SER_hh_fech_in!R25/SER_summary!R$27)</f>
        <v>14.923358347546344</v>
      </c>
      <c r="S25" s="132">
        <f>IF(SER_hh_fech_in!S25=0,0,SER_hh_fech_in!S25/SER_summary!S$27)</f>
        <v>14.882641972639258</v>
      </c>
      <c r="T25" s="132">
        <f>IF(SER_hh_fech_in!T25=0,0,SER_hh_fech_in!T25/SER_summary!T$27)</f>
        <v>14.961592814918671</v>
      </c>
      <c r="U25" s="132">
        <f>IF(SER_hh_fech_in!U25=0,0,SER_hh_fech_in!U25/SER_summary!U$27)</f>
        <v>14.665968741046136</v>
      </c>
      <c r="V25" s="132">
        <f>IF(SER_hh_fech_in!V25=0,0,SER_hh_fech_in!V25/SER_summary!V$27)</f>
        <v>14.368619030565259</v>
      </c>
      <c r="W25" s="132">
        <f>IF(SER_hh_fech_in!W25=0,0,SER_hh_fech_in!W25/SER_summary!W$27)</f>
        <v>14.170476439926157</v>
      </c>
      <c r="X25" s="132">
        <f>IF(SER_hh_fech_in!X25=0,0,SER_hh_fech_in!X25/SER_summary!X$27)</f>
        <v>14.079264988878663</v>
      </c>
      <c r="Y25" s="132">
        <f>IF(SER_hh_fech_in!Y25=0,0,SER_hh_fech_in!Y25/SER_summary!Y$27)</f>
        <v>14.17986875659494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21.86820672677495</v>
      </c>
      <c r="D26" s="65">
        <f>IF(SER_hh_fech_in!D26=0,0,SER_hh_fech_in!D26/SER_summary!D$27)</f>
        <v>18.747171958199001</v>
      </c>
      <c r="E26" s="65">
        <f>IF(SER_hh_fech_in!E26=0,0,SER_hh_fech_in!E26/SER_summary!E$27)</f>
        <v>19.410687809200393</v>
      </c>
      <c r="F26" s="65">
        <f>IF(SER_hh_fech_in!F26=0,0,SER_hh_fech_in!F26/SER_summary!F$27)</f>
        <v>16.951743014828335</v>
      </c>
      <c r="G26" s="65">
        <f>IF(SER_hh_fech_in!G26=0,0,SER_hh_fech_in!G26/SER_summary!G$27)</f>
        <v>20.311546431324494</v>
      </c>
      <c r="H26" s="65">
        <f>IF(SER_hh_fech_in!H26=0,0,SER_hh_fech_in!H26/SER_summary!H$27)</f>
        <v>20.188395602844196</v>
      </c>
      <c r="I26" s="65">
        <f>IF(SER_hh_fech_in!I26=0,0,SER_hh_fech_in!I26/SER_summary!I$27)</f>
        <v>18.961862323028257</v>
      </c>
      <c r="J26" s="65">
        <f>IF(SER_hh_fech_in!J26=0,0,SER_hh_fech_in!J26/SER_summary!J$27)</f>
        <v>19.521589914207937</v>
      </c>
      <c r="K26" s="65">
        <f>IF(SER_hh_fech_in!K26=0,0,SER_hh_fech_in!K26/SER_summary!K$27)</f>
        <v>10.37829194107899</v>
      </c>
      <c r="L26" s="65">
        <f>IF(SER_hh_fech_in!L26=0,0,SER_hh_fech_in!L26/SER_summary!L$27)</f>
        <v>19.549492864832377</v>
      </c>
      <c r="M26" s="65">
        <f>IF(SER_hh_fech_in!M26=0,0,SER_hh_fech_in!M26/SER_summary!M$27)</f>
        <v>16.345761492530041</v>
      </c>
      <c r="N26" s="65">
        <f>IF(SER_hh_fech_in!N26=0,0,SER_hh_fech_in!N26/SER_summary!N$27)</f>
        <v>16.8949488252733</v>
      </c>
      <c r="O26" s="65">
        <f>IF(SER_hh_fech_in!O26=0,0,SER_hh_fech_in!O26/SER_summary!O$27)</f>
        <v>11.723498881807178</v>
      </c>
      <c r="P26" s="65">
        <f>IF(SER_hh_fech_in!P26=0,0,SER_hh_fech_in!P26/SER_summary!P$27)</f>
        <v>12.910401345399274</v>
      </c>
      <c r="Q26" s="65">
        <f>IF(SER_hh_fech_in!Q26=0,0,SER_hh_fech_in!Q26/SER_summary!Q$27)</f>
        <v>16.759480657881788</v>
      </c>
      <c r="R26" s="65">
        <f>IF(SER_hh_fech_in!R26=0,0,SER_hh_fech_in!R26/SER_summary!R$27)</f>
        <v>13.165605956240846</v>
      </c>
      <c r="S26" s="65">
        <f>IF(SER_hh_fech_in!S26=0,0,SER_hh_fech_in!S26/SER_summary!S$27)</f>
        <v>13.884790558771648</v>
      </c>
      <c r="T26" s="65">
        <f>IF(SER_hh_fech_in!T26=0,0,SER_hh_fech_in!T26/SER_summary!T$27)</f>
        <v>14.06203721337198</v>
      </c>
      <c r="U26" s="65">
        <f>IF(SER_hh_fech_in!U26=0,0,SER_hh_fech_in!U26/SER_summary!U$27)</f>
        <v>13.664873614584994</v>
      </c>
      <c r="V26" s="65">
        <f>IF(SER_hh_fech_in!V26=0,0,SER_hh_fech_in!V26/SER_summary!V$27)</f>
        <v>13.688075962808245</v>
      </c>
      <c r="W26" s="65">
        <f>IF(SER_hh_fech_in!W26=0,0,SER_hh_fech_in!W26/SER_summary!W$27)</f>
        <v>14.640989288555817</v>
      </c>
      <c r="X26" s="65">
        <f>IF(SER_hh_fech_in!X26=0,0,SER_hh_fech_in!X26/SER_summary!X$27)</f>
        <v>12.465518701047037</v>
      </c>
      <c r="Y26" s="65">
        <f>IF(SER_hh_fech_in!Y26=0,0,SER_hh_fech_in!Y26/SER_summary!Y$27)</f>
        <v>12.195643926477196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0.36110122942820783</v>
      </c>
      <c r="D27" s="145">
        <f>IF(SER_hh_fech_in!D27=0,0,SER_hh_fech_in!D27/SER_summary!D$27)</f>
        <v>1.4126437400840695</v>
      </c>
      <c r="E27" s="145">
        <f>IF(SER_hh_fech_in!E27=0,0,SER_hh_fech_in!E27/SER_summary!E$27)</f>
        <v>1.2664696743589952</v>
      </c>
      <c r="F27" s="145">
        <f>IF(SER_hh_fech_in!F27=0,0,SER_hh_fech_in!F27/SER_summary!F$27)</f>
        <v>2.352161280493609</v>
      </c>
      <c r="G27" s="145">
        <f>IF(SER_hh_fech_in!G27=0,0,SER_hh_fech_in!G27/SER_summary!G$27)</f>
        <v>0.73221118358856296</v>
      </c>
      <c r="H27" s="145">
        <f>IF(SER_hh_fech_in!H27=0,0,SER_hh_fech_in!H27/SER_summary!H$27)</f>
        <v>0.37386267887633368</v>
      </c>
      <c r="I27" s="145">
        <f>IF(SER_hh_fech_in!I27=0,0,SER_hh_fech_in!I27/SER_summary!I$27)</f>
        <v>0.60933128158207872</v>
      </c>
      <c r="J27" s="145">
        <f>IF(SER_hh_fech_in!J27=0,0,SER_hh_fech_in!J27/SER_summary!J$27)</f>
        <v>9.0609269083854055E-2</v>
      </c>
      <c r="K27" s="145">
        <f>IF(SER_hh_fech_in!K27=0,0,SER_hh_fech_in!K27/SER_summary!K$27)</f>
        <v>3.6292423399866727</v>
      </c>
      <c r="L27" s="145">
        <f>IF(SER_hh_fech_in!L27=0,0,SER_hh_fech_in!L27/SER_summary!L$27)</f>
        <v>0</v>
      </c>
      <c r="M27" s="145">
        <f>IF(SER_hh_fech_in!M27=0,0,SER_hh_fech_in!M27/SER_summary!M$27)</f>
        <v>1.2783407714785369</v>
      </c>
      <c r="N27" s="145">
        <f>IF(SER_hh_fech_in!N27=0,0,SER_hh_fech_in!N27/SER_summary!N$27)</f>
        <v>0.69170946731465455</v>
      </c>
      <c r="O27" s="145">
        <f>IF(SER_hh_fech_in!O27=0,0,SER_hh_fech_in!O27/SER_summary!O$27)</f>
        <v>2.9107750419712035</v>
      </c>
      <c r="P27" s="145">
        <f>IF(SER_hh_fech_in!P27=0,0,SER_hh_fech_in!P27/SER_summary!P$27)</f>
        <v>3.1930504493465732</v>
      </c>
      <c r="Q27" s="145">
        <f>IF(SER_hh_fech_in!Q27=0,0,SER_hh_fech_in!Q27/SER_summary!Q$27)</f>
        <v>0.36190170104559827</v>
      </c>
      <c r="R27" s="145">
        <f>IF(SER_hh_fech_in!R27=0,0,SER_hh_fech_in!R27/SER_summary!R$27)</f>
        <v>1.6068972134095909</v>
      </c>
      <c r="S27" s="145">
        <f>IF(SER_hh_fech_in!S27=0,0,SER_hh_fech_in!S27/SER_summary!S$27)</f>
        <v>0.89195071441147233</v>
      </c>
      <c r="T27" s="145">
        <f>IF(SER_hh_fech_in!T27=0,0,SER_hh_fech_in!T27/SER_summary!T$27)</f>
        <v>0.71793227673448712</v>
      </c>
      <c r="U27" s="145">
        <f>IF(SER_hh_fech_in!U27=0,0,SER_hh_fech_in!U27/SER_summary!U$27)</f>
        <v>0.87687286314121604</v>
      </c>
      <c r="V27" s="145">
        <f>IF(SER_hh_fech_in!V27=0,0,SER_hh_fech_in!V27/SER_summary!V$27)</f>
        <v>0.94093660180618854</v>
      </c>
      <c r="W27" s="145">
        <f>IF(SER_hh_fech_in!W27=0,0,SER_hh_fech_in!W27/SER_summary!W$27)</f>
        <v>8.8013470594698569E-15</v>
      </c>
      <c r="X27" s="145">
        <f>IF(SER_hh_fech_in!X27=0,0,SER_hh_fech_in!X27/SER_summary!X$27)</f>
        <v>1.1306554904688615</v>
      </c>
      <c r="Y27" s="145">
        <f>IF(SER_hh_fech_in!Y27=0,0,SER_hh_fech_in!Y27/SER_summary!Y$27)</f>
        <v>1.1043873109296602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8.8912036816826454</v>
      </c>
      <c r="D28" s="146">
        <f>IF(SER_hh_fech_in!D28=0,0,SER_hh_fech_in!D28/SER_summary!D$27)</f>
        <v>8.4697969797025756</v>
      </c>
      <c r="E28" s="146">
        <f>IF(SER_hh_fech_in!E28=0,0,SER_hh_fech_in!E28/SER_summary!E$27)</f>
        <v>8.6458986600991405</v>
      </c>
      <c r="F28" s="146">
        <f>IF(SER_hh_fech_in!F28=0,0,SER_hh_fech_in!F28/SER_summary!F$27)</f>
        <v>8.7221106438604235</v>
      </c>
      <c r="G28" s="146">
        <f>IF(SER_hh_fech_in!G28=0,0,SER_hh_fech_in!G28/SER_summary!G$27)</f>
        <v>8.5210743185968987</v>
      </c>
      <c r="H28" s="146">
        <f>IF(SER_hh_fech_in!H28=0,0,SER_hh_fech_in!H28/SER_summary!H$27)</f>
        <v>8.4860456804268534</v>
      </c>
      <c r="I28" s="146">
        <f>IF(SER_hh_fech_in!I28=0,0,SER_hh_fech_in!I28/SER_summary!I$27)</f>
        <v>7.6953577970000069</v>
      </c>
      <c r="J28" s="146">
        <f>IF(SER_hh_fech_in!J28=0,0,SER_hh_fech_in!J28/SER_summary!J$27)</f>
        <v>8.3818284048204372</v>
      </c>
      <c r="K28" s="146">
        <f>IF(SER_hh_fech_in!K28=0,0,SER_hh_fech_in!K28/SER_summary!K$27)</f>
        <v>8.2159405519107054</v>
      </c>
      <c r="L28" s="146">
        <f>IF(SER_hh_fech_in!L28=0,0,SER_hh_fech_in!L28/SER_summary!L$27)</f>
        <v>0</v>
      </c>
      <c r="M28" s="146">
        <f>IF(SER_hh_fech_in!M28=0,0,SER_hh_fech_in!M28/SER_summary!M$27)</f>
        <v>8.6928179932428797</v>
      </c>
      <c r="N28" s="146">
        <f>IF(SER_hh_fech_in!N28=0,0,SER_hh_fech_in!N28/SER_summary!N$27)</f>
        <v>9.2247048515689176</v>
      </c>
      <c r="O28" s="146">
        <f>IF(SER_hh_fech_in!O28=0,0,SER_hh_fech_in!O28/SER_summary!O$27)</f>
        <v>8.945812555833534</v>
      </c>
      <c r="P28" s="146">
        <f>IF(SER_hh_fech_in!P28=0,0,SER_hh_fech_in!P28/SER_summary!P$27)</f>
        <v>8.5543102923604142</v>
      </c>
      <c r="Q28" s="146">
        <f>IF(SER_hh_fech_in!Q28=0,0,SER_hh_fech_in!Q28/SER_summary!Q$27)</f>
        <v>8.6073376757968134</v>
      </c>
      <c r="R28" s="146">
        <f>IF(SER_hh_fech_in!R28=0,0,SER_hh_fech_in!R28/SER_summary!R$27)</f>
        <v>8.1729157871250244</v>
      </c>
      <c r="S28" s="146">
        <f>IF(SER_hh_fech_in!S28=0,0,SER_hh_fech_in!S28/SER_summary!S$27)</f>
        <v>8.0974512695197625</v>
      </c>
      <c r="T28" s="146">
        <f>IF(SER_hh_fech_in!T28=0,0,SER_hh_fech_in!T28/SER_summary!T$27)</f>
        <v>8.2985189720941257</v>
      </c>
      <c r="U28" s="146">
        <f>IF(SER_hh_fech_in!U28=0,0,SER_hh_fech_in!U28/SER_summary!U$27)</f>
        <v>8.4655193280343148</v>
      </c>
      <c r="V28" s="146">
        <f>IF(SER_hh_fech_in!V28=0,0,SER_hh_fech_in!V28/SER_summary!V$27)</f>
        <v>8.4826352830564016</v>
      </c>
      <c r="W28" s="146">
        <f>IF(SER_hh_fech_in!W28=0,0,SER_hh_fech_in!W28/SER_summary!W$27)</f>
        <v>9.5037258816680694</v>
      </c>
      <c r="X28" s="146">
        <f>IF(SER_hh_fech_in!X28=0,0,SER_hh_fech_in!X28/SER_summary!X$27)</f>
        <v>9.0263164577011299</v>
      </c>
      <c r="Y28" s="146">
        <f>IF(SER_hh_fech_in!Y28=0,0,SER_hh_fech_in!Y28/SER_summary!Y$27)</f>
        <v>9.043856958650565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20.66900090767146</v>
      </c>
      <c r="D29" s="130">
        <f>IF(SER_hh_fech_in!D29=0,0,SER_hh_fech_in!D29/SER_summary!D$27)</f>
        <v>20.807683895766512</v>
      </c>
      <c r="E29" s="130">
        <f>IF(SER_hh_fech_in!E29=0,0,SER_hh_fech_in!E29/SER_summary!E$27)</f>
        <v>20.871324128294376</v>
      </c>
      <c r="F29" s="130">
        <f>IF(SER_hh_fech_in!F29=0,0,SER_hh_fech_in!F29/SER_summary!F$27)</f>
        <v>21.192615017934813</v>
      </c>
      <c r="G29" s="130">
        <f>IF(SER_hh_fech_in!G29=0,0,SER_hh_fech_in!G29/SER_summary!G$27)</f>
        <v>20.818894758905969</v>
      </c>
      <c r="H29" s="130">
        <f>IF(SER_hh_fech_in!H29=0,0,SER_hh_fech_in!H29/SER_summary!H$27)</f>
        <v>20.336367428315711</v>
      </c>
      <c r="I29" s="130">
        <f>IF(SER_hh_fech_in!I29=0,0,SER_hh_fech_in!I29/SER_summary!I$27)</f>
        <v>20.582630943427624</v>
      </c>
      <c r="J29" s="130">
        <f>IF(SER_hh_fech_in!J29=0,0,SER_hh_fech_in!J29/SER_summary!J$27)</f>
        <v>20.478782138531553</v>
      </c>
      <c r="K29" s="130">
        <f>IF(SER_hh_fech_in!K29=0,0,SER_hh_fech_in!K29/SER_summary!K$27)</f>
        <v>20.678874586933762</v>
      </c>
      <c r="L29" s="130">
        <f>IF(SER_hh_fech_in!L29=0,0,SER_hh_fech_in!L29/SER_summary!L$27)</f>
        <v>20.582667539163786</v>
      </c>
      <c r="M29" s="130">
        <f>IF(SER_hh_fech_in!M29=0,0,SER_hh_fech_in!M29/SER_summary!M$27)</f>
        <v>20.161132173132462</v>
      </c>
      <c r="N29" s="130">
        <f>IF(SER_hh_fech_in!N29=0,0,SER_hh_fech_in!N29/SER_summary!N$27)</f>
        <v>19.976342470000471</v>
      </c>
      <c r="O29" s="130">
        <f>IF(SER_hh_fech_in!O29=0,0,SER_hh_fech_in!O29/SER_summary!O$27)</f>
        <v>20.171761112097887</v>
      </c>
      <c r="P29" s="130">
        <f>IF(SER_hh_fech_in!P29=0,0,SER_hh_fech_in!P29/SER_summary!P$27)</f>
        <v>19.633985118010042</v>
      </c>
      <c r="Q29" s="130">
        <f>IF(SER_hh_fech_in!Q29=0,0,SER_hh_fech_in!Q29/SER_summary!Q$27)</f>
        <v>19.267473074671081</v>
      </c>
      <c r="R29" s="130">
        <f>IF(SER_hh_fech_in!R29=0,0,SER_hh_fech_in!R29/SER_summary!R$27)</f>
        <v>19.328887008327669</v>
      </c>
      <c r="S29" s="130">
        <f>IF(SER_hh_fech_in!S29=0,0,SER_hh_fech_in!S29/SER_summary!S$27)</f>
        <v>18.277335782410596</v>
      </c>
      <c r="T29" s="130">
        <f>IF(SER_hh_fech_in!T29=0,0,SER_hh_fech_in!T29/SER_summary!T$27)</f>
        <v>17.262925486486314</v>
      </c>
      <c r="U29" s="130">
        <f>IF(SER_hh_fech_in!U29=0,0,SER_hh_fech_in!U29/SER_summary!U$27)</f>
        <v>16.661271303753661</v>
      </c>
      <c r="V29" s="130">
        <f>IF(SER_hh_fech_in!V29=0,0,SER_hh_fech_in!V29/SER_summary!V$27)</f>
        <v>17.412245504541282</v>
      </c>
      <c r="W29" s="130">
        <f>IF(SER_hh_fech_in!W29=0,0,SER_hh_fech_in!W29/SER_summary!W$27)</f>
        <v>18.553919528473497</v>
      </c>
      <c r="X29" s="130">
        <f>IF(SER_hh_fech_in!X29=0,0,SER_hh_fech_in!X29/SER_summary!X$27)</f>
        <v>18.451798060610983</v>
      </c>
      <c r="Y29" s="130">
        <f>IF(SER_hh_fech_in!Y29=0,0,SER_hh_fech_in!Y29/SER_summary!Y$27)</f>
        <v>18.263900391713868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24.471840116001776</v>
      </c>
      <c r="D30" s="132">
        <f>IF(SER_hh_fech_in!D30=0,0,SER_hh_fech_in!D30/SER_summary!D$27)</f>
        <v>26.074113658162961</v>
      </c>
      <c r="E30" s="132">
        <f>IF(SER_hh_fech_in!E30=0,0,SER_hh_fech_in!E30/SER_summary!E$27)</f>
        <v>23.509888826709883</v>
      </c>
      <c r="F30" s="132">
        <f>IF(SER_hh_fech_in!F30=0,0,SER_hh_fech_in!F30/SER_summary!F$27)</f>
        <v>24.948023530659185</v>
      </c>
      <c r="G30" s="132">
        <f>IF(SER_hh_fech_in!G30=0,0,SER_hh_fech_in!G30/SER_summary!G$27)</f>
        <v>24.54394075096771</v>
      </c>
      <c r="H30" s="132">
        <f>IF(SER_hh_fech_in!H30=0,0,SER_hh_fech_in!H30/SER_summary!H$27)</f>
        <v>31.734682175478959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26.951236954916848</v>
      </c>
      <c r="L30" s="132">
        <f>IF(SER_hh_fech_in!L30=0,0,SER_hh_fech_in!L30/SER_summary!L$27)</f>
        <v>30.571641323588342</v>
      </c>
      <c r="M30" s="132">
        <f>IF(SER_hh_fech_in!M30=0,0,SER_hh_fech_in!M30/SER_summary!M$27)</f>
        <v>0</v>
      </c>
      <c r="N30" s="132">
        <f>IF(SER_hh_fech_in!N30=0,0,SER_hh_fech_in!N30/SER_summary!N$27)</f>
        <v>27.522699554989483</v>
      </c>
      <c r="O30" s="132">
        <f>IF(SER_hh_fech_in!O30=0,0,SER_hh_fech_in!O30/SER_summary!O$27)</f>
        <v>29.355175520996895</v>
      </c>
      <c r="P30" s="132">
        <f>IF(SER_hh_fech_in!P30=0,0,SER_hh_fech_in!P30/SER_summary!P$27)</f>
        <v>4.4475729143662681</v>
      </c>
      <c r="Q30" s="132">
        <f>IF(SER_hh_fech_in!Q30=0,0,SER_hh_fech_in!Q30/SER_summary!Q$27)</f>
        <v>29.954183581990293</v>
      </c>
      <c r="R30" s="132">
        <f>IF(SER_hh_fech_in!R30=0,0,SER_hh_fech_in!R30/SER_summary!R$27)</f>
        <v>26.734479908402278</v>
      </c>
      <c r="S30" s="132">
        <f>IF(SER_hh_fech_in!S30=0,0,SER_hh_fech_in!S30/SER_summary!S$27)</f>
        <v>23.475684653000251</v>
      </c>
      <c r="T30" s="132">
        <f>IF(SER_hh_fech_in!T30=0,0,SER_hh_fech_in!T30/SER_summary!T$27)</f>
        <v>22.843778351122047</v>
      </c>
      <c r="U30" s="132">
        <f>IF(SER_hh_fech_in!U30=0,0,SER_hh_fech_in!U30/SER_summary!U$27)</f>
        <v>22.03646309809136</v>
      </c>
      <c r="V30" s="132">
        <f>IF(SER_hh_fech_in!V30=0,0,SER_hh_fech_in!V30/SER_summary!V$27)</f>
        <v>21.823792828999622</v>
      </c>
      <c r="W30" s="132">
        <f>IF(SER_hh_fech_in!W30=0,0,SER_hh_fech_in!W30/SER_summary!W$27)</f>
        <v>25.828774883344238</v>
      </c>
      <c r="X30" s="132">
        <f>IF(SER_hh_fech_in!X30=0,0,SER_hh_fech_in!X30/SER_summary!X$27)</f>
        <v>22.934137389461021</v>
      </c>
      <c r="Y30" s="132">
        <f>IF(SER_hh_fech_in!Y30=0,0,SER_hh_fech_in!Y30/SER_summary!Y$27)</f>
        <v>23.908744004203481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24.261987583096531</v>
      </c>
      <c r="D31" s="132">
        <f>IF(SER_hh_fech_in!D31=0,0,SER_hh_fech_in!D31/SER_summary!D$27)</f>
        <v>23.975104156996089</v>
      </c>
      <c r="E31" s="132">
        <f>IF(SER_hh_fech_in!E31=0,0,SER_hh_fech_in!E31/SER_summary!E$27)</f>
        <v>24.684261854734483</v>
      </c>
      <c r="F31" s="132">
        <f>IF(SER_hh_fech_in!F31=0,0,SER_hh_fech_in!F31/SER_summary!F$27)</f>
        <v>24.576369997834266</v>
      </c>
      <c r="G31" s="132">
        <f>IF(SER_hh_fech_in!G31=0,0,SER_hh_fech_in!G31/SER_summary!G$27)</f>
        <v>24.487857419120733</v>
      </c>
      <c r="H31" s="132">
        <f>IF(SER_hh_fech_in!H31=0,0,SER_hh_fech_in!H31/SER_summary!H$27)</f>
        <v>22.830326370523718</v>
      </c>
      <c r="I31" s="132">
        <f>IF(SER_hh_fech_in!I31=0,0,SER_hh_fech_in!I31/SER_summary!I$27)</f>
        <v>24.926671087862026</v>
      </c>
      <c r="J31" s="132">
        <f>IF(SER_hh_fech_in!J31=0,0,SER_hh_fech_in!J31/SER_summary!J$27)</f>
        <v>25.386174628411851</v>
      </c>
      <c r="K31" s="132">
        <f>IF(SER_hh_fech_in!K31=0,0,SER_hh_fech_in!K31/SER_summary!K$27)</f>
        <v>23.95843820744761</v>
      </c>
      <c r="L31" s="132">
        <f>IF(SER_hh_fech_in!L31=0,0,SER_hh_fech_in!L31/SER_summary!L$27)</f>
        <v>23.158470085367636</v>
      </c>
      <c r="M31" s="132">
        <f>IF(SER_hh_fech_in!M31=0,0,SER_hh_fech_in!M31/SER_summary!M$27)</f>
        <v>25.010668938715778</v>
      </c>
      <c r="N31" s="132">
        <f>IF(SER_hh_fech_in!N31=0,0,SER_hh_fech_in!N31/SER_summary!N$27)</f>
        <v>23.56168311165867</v>
      </c>
      <c r="O31" s="132">
        <f>IF(SER_hh_fech_in!O31=0,0,SER_hh_fech_in!O31/SER_summary!O$27)</f>
        <v>23.602059868653463</v>
      </c>
      <c r="P31" s="132">
        <f>IF(SER_hh_fech_in!P31=0,0,SER_hh_fech_in!P31/SER_summary!P$27)</f>
        <v>26.360963495908415</v>
      </c>
      <c r="Q31" s="132">
        <f>IF(SER_hh_fech_in!Q31=0,0,SER_hh_fech_in!Q31/SER_summary!Q$27)</f>
        <v>23.30885915113781</v>
      </c>
      <c r="R31" s="132">
        <f>IF(SER_hh_fech_in!R31=0,0,SER_hh_fech_in!R31/SER_summary!R$27)</f>
        <v>23.719024265185919</v>
      </c>
      <c r="S31" s="132">
        <f>IF(SER_hh_fech_in!S31=0,0,SER_hh_fech_in!S31/SER_summary!S$27)</f>
        <v>24.327527655582177</v>
      </c>
      <c r="T31" s="132">
        <f>IF(SER_hh_fech_in!T31=0,0,SER_hh_fech_in!T31/SER_summary!T$27)</f>
        <v>22.398719722104939</v>
      </c>
      <c r="U31" s="132">
        <f>IF(SER_hh_fech_in!U31=0,0,SER_hh_fech_in!U31/SER_summary!U$27)</f>
        <v>19.685482449874904</v>
      </c>
      <c r="V31" s="132">
        <f>IF(SER_hh_fech_in!V31=0,0,SER_hh_fech_in!V31/SER_summary!V$27)</f>
        <v>21.804826577233882</v>
      </c>
      <c r="W31" s="132">
        <f>IF(SER_hh_fech_in!W31=0,0,SER_hh_fech_in!W31/SER_summary!W$27)</f>
        <v>23.378243628364686</v>
      </c>
      <c r="X31" s="132">
        <f>IF(SER_hh_fech_in!X31=0,0,SER_hh_fech_in!X31/SER_summary!X$27)</f>
        <v>23.373984466327123</v>
      </c>
      <c r="Y31" s="132">
        <f>IF(SER_hh_fech_in!Y31=0,0,SER_hh_fech_in!Y31/SER_summary!Y$27)</f>
        <v>23.71197585157277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18.281159659462634</v>
      </c>
      <c r="D33" s="68">
        <f>IF(SER_hh_fech_in!D33=0,0,SER_hh_fech_in!D33/SER_summary!D$27)</f>
        <v>18.275856602826988</v>
      </c>
      <c r="E33" s="68">
        <f>IF(SER_hh_fech_in!E33=0,0,SER_hh_fech_in!E33/SER_summary!E$27)</f>
        <v>18.387197216358821</v>
      </c>
      <c r="F33" s="68">
        <f>IF(SER_hh_fech_in!F33=0,0,SER_hh_fech_in!F33/SER_summary!F$27)</f>
        <v>18.69421073254173</v>
      </c>
      <c r="G33" s="68">
        <f>IF(SER_hh_fech_in!G33=0,0,SER_hh_fech_in!G33/SER_summary!G$27)</f>
        <v>18.808297314060194</v>
      </c>
      <c r="H33" s="68">
        <f>IF(SER_hh_fech_in!H33=0,0,SER_hh_fech_in!H33/SER_summary!H$27)</f>
        <v>18.452896197202122</v>
      </c>
      <c r="I33" s="68">
        <f>IF(SER_hh_fech_in!I33=0,0,SER_hh_fech_in!I33/SER_summary!I$27)</f>
        <v>18.169439966150502</v>
      </c>
      <c r="J33" s="68">
        <f>IF(SER_hh_fech_in!J33=0,0,SER_hh_fech_in!J33/SER_summary!J$27)</f>
        <v>17.993122448907087</v>
      </c>
      <c r="K33" s="68">
        <f>IF(SER_hh_fech_in!K33=0,0,SER_hh_fech_in!K33/SER_summary!K$27)</f>
        <v>18.39787279804364</v>
      </c>
      <c r="L33" s="68">
        <f>IF(SER_hh_fech_in!L33=0,0,SER_hh_fech_in!L33/SER_summary!L$27)</f>
        <v>18.4093195878866</v>
      </c>
      <c r="M33" s="68">
        <f>IF(SER_hh_fech_in!M33=0,0,SER_hh_fech_in!M33/SER_summary!M$27)</f>
        <v>18.037993487352967</v>
      </c>
      <c r="N33" s="68">
        <f>IF(SER_hh_fech_in!N33=0,0,SER_hh_fech_in!N33/SER_summary!N$27)</f>
        <v>18.02304890119899</v>
      </c>
      <c r="O33" s="68">
        <f>IF(SER_hh_fech_in!O33=0,0,SER_hh_fech_in!O33/SER_summary!O$27)</f>
        <v>17.97832723642691</v>
      </c>
      <c r="P33" s="68">
        <f>IF(SER_hh_fech_in!P33=0,0,SER_hh_fech_in!P33/SER_summary!P$27)</f>
        <v>18.182667417320857</v>
      </c>
      <c r="Q33" s="68">
        <f>IF(SER_hh_fech_in!Q33=0,0,SER_hh_fech_in!Q33/SER_summary!Q$27)</f>
        <v>17.884643668768785</v>
      </c>
      <c r="R33" s="68">
        <f>IF(SER_hh_fech_in!R33=0,0,SER_hh_fech_in!R33/SER_summary!R$27)</f>
        <v>17.392149469786343</v>
      </c>
      <c r="S33" s="68">
        <f>IF(SER_hh_fech_in!S33=0,0,SER_hh_fech_in!S33/SER_summary!S$27)</f>
        <v>16.830322627826515</v>
      </c>
      <c r="T33" s="68">
        <f>IF(SER_hh_fech_in!T33=0,0,SER_hh_fech_in!T33/SER_summary!T$27)</f>
        <v>16.244509428589069</v>
      </c>
      <c r="U33" s="68">
        <f>IF(SER_hh_fech_in!U33=0,0,SER_hh_fech_in!U33/SER_summary!U$27)</f>
        <v>15.865834413195827</v>
      </c>
      <c r="V33" s="68">
        <f>IF(SER_hh_fech_in!V33=0,0,SER_hh_fech_in!V33/SER_summary!V$27)</f>
        <v>15.575871740893707</v>
      </c>
      <c r="W33" s="68">
        <f>IF(SER_hh_fech_in!W33=0,0,SER_hh_fech_in!W33/SER_summary!W$27)</f>
        <v>15.951022727904331</v>
      </c>
      <c r="X33" s="68">
        <f>IF(SER_hh_fech_in!X33=0,0,SER_hh_fech_in!X33/SER_summary!X$27)</f>
        <v>16.519038501394576</v>
      </c>
      <c r="Y33" s="68">
        <f>IF(SER_hh_fech_in!Y33=0,0,SER_hh_fech_in!Y33/SER_summary!Y$27)</f>
        <v>16.540543756373175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137.24029325002471</v>
      </c>
      <c r="D3" s="125">
        <f>IF(SER_hh_tesh_in!D3=0,0,SER_hh_tesh_in!D3/SER_summary!D$27)</f>
        <v>136.39440602373671</v>
      </c>
      <c r="E3" s="125">
        <f>IF(SER_hh_tesh_in!E3=0,0,SER_hh_tesh_in!E3/SER_summary!E$27)</f>
        <v>141.28619839180197</v>
      </c>
      <c r="F3" s="125">
        <f>IF(SER_hh_tesh_in!F3=0,0,SER_hh_tesh_in!F3/SER_summary!F$27)</f>
        <v>145.71112424382335</v>
      </c>
      <c r="G3" s="125">
        <f>IF(SER_hh_tesh_in!G3=0,0,SER_hh_tesh_in!G3/SER_summary!G$27)</f>
        <v>136.207313903271</v>
      </c>
      <c r="H3" s="125">
        <f>IF(SER_hh_tesh_in!H3=0,0,SER_hh_tesh_in!H3/SER_summary!H$27)</f>
        <v>136.37405662145045</v>
      </c>
      <c r="I3" s="125">
        <f>IF(SER_hh_tesh_in!I3=0,0,SER_hh_tesh_in!I3/SER_summary!I$27)</f>
        <v>125.77378896337093</v>
      </c>
      <c r="J3" s="125">
        <f>IF(SER_hh_tesh_in!J3=0,0,SER_hh_tesh_in!J3/SER_summary!J$27)</f>
        <v>127.20586245308164</v>
      </c>
      <c r="K3" s="125">
        <f>IF(SER_hh_tesh_in!K3=0,0,SER_hh_tesh_in!K3/SER_summary!K$27)</f>
        <v>129.6571338836734</v>
      </c>
      <c r="L3" s="125">
        <f>IF(SER_hh_tesh_in!L3=0,0,SER_hh_tesh_in!L3/SER_summary!L$27)</f>
        <v>137.14122275573362</v>
      </c>
      <c r="M3" s="125">
        <f>IF(SER_hh_tesh_in!M3=0,0,SER_hh_tesh_in!M3/SER_summary!M$27)</f>
        <v>117.91423193843342</v>
      </c>
      <c r="N3" s="125">
        <f>IF(SER_hh_tesh_in!N3=0,0,SER_hh_tesh_in!N3/SER_summary!N$27)</f>
        <v>121.06534494078269</v>
      </c>
      <c r="O3" s="125">
        <f>IF(SER_hh_tesh_in!O3=0,0,SER_hh_tesh_in!O3/SER_summary!O$27)</f>
        <v>118.76171514988445</v>
      </c>
      <c r="P3" s="125">
        <f>IF(SER_hh_tesh_in!P3=0,0,SER_hh_tesh_in!P3/SER_summary!P$27)</f>
        <v>102.34392001942219</v>
      </c>
      <c r="Q3" s="125">
        <f>IF(SER_hh_tesh_in!Q3=0,0,SER_hh_tesh_in!Q3/SER_summary!Q$27)</f>
        <v>104.1562844668442</v>
      </c>
      <c r="R3" s="125">
        <f>IF(SER_hh_tesh_in!R3=0,0,SER_hh_tesh_in!R3/SER_summary!R$27)</f>
        <v>100.01039668164596</v>
      </c>
      <c r="S3" s="125">
        <f>IF(SER_hh_tesh_in!S3=0,0,SER_hh_tesh_in!S3/SER_summary!S$27)</f>
        <v>98.290220000535484</v>
      </c>
      <c r="T3" s="125">
        <f>IF(SER_hh_tesh_in!T3=0,0,SER_hh_tesh_in!T3/SER_summary!T$27)</f>
        <v>95.746102553528146</v>
      </c>
      <c r="U3" s="125">
        <f>IF(SER_hh_tesh_in!U3=0,0,SER_hh_tesh_in!U3/SER_summary!U$27)</f>
        <v>89.343759572468045</v>
      </c>
      <c r="V3" s="125">
        <f>IF(SER_hh_tesh_in!V3=0,0,SER_hh_tesh_in!V3/SER_summary!V$27)</f>
        <v>81.510207007229269</v>
      </c>
      <c r="W3" s="125">
        <f>IF(SER_hh_tesh_in!W3=0,0,SER_hh_tesh_in!W3/SER_summary!W$27)</f>
        <v>74.253708425686469</v>
      </c>
      <c r="X3" s="125">
        <f>IF(SER_hh_tesh_in!X3=0,0,SER_hh_tesh_in!X3/SER_summary!X$27)</f>
        <v>65.479440593474521</v>
      </c>
      <c r="Y3" s="125">
        <f>IF(SER_hh_tesh_in!Y3=0,0,SER_hh_tesh_in!Y3/SER_summary!Y$27)</f>
        <v>64.70056354653299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77.027803762410713</v>
      </c>
      <c r="D4" s="130">
        <f>IF(SER_hh_tesh_in!D4=0,0,SER_hh_tesh_in!D4/SER_summary!D$27)</f>
        <v>76.617366694616635</v>
      </c>
      <c r="E4" s="130">
        <f>IF(SER_hh_tesh_in!E4=0,0,SER_hh_tesh_in!E4/SER_summary!E$27)</f>
        <v>79.136228869330552</v>
      </c>
      <c r="F4" s="130">
        <f>IF(SER_hh_tesh_in!F4=0,0,SER_hh_tesh_in!F4/SER_summary!F$27)</f>
        <v>86.246498875423001</v>
      </c>
      <c r="G4" s="130">
        <f>IF(SER_hh_tesh_in!G4=0,0,SER_hh_tesh_in!G4/SER_summary!G$27)</f>
        <v>77.516054133278857</v>
      </c>
      <c r="H4" s="130">
        <f>IF(SER_hh_tesh_in!H4=0,0,SER_hh_tesh_in!H4/SER_summary!H$27)</f>
        <v>76.058168573006483</v>
      </c>
      <c r="I4" s="130">
        <f>IF(SER_hh_tesh_in!I4=0,0,SER_hh_tesh_in!I4/SER_summary!I$27)</f>
        <v>68.556167959917062</v>
      </c>
      <c r="J4" s="130">
        <f>IF(SER_hh_tesh_in!J4=0,0,SER_hh_tesh_in!J4/SER_summary!J$27)</f>
        <v>70.453063994695256</v>
      </c>
      <c r="K4" s="130">
        <f>IF(SER_hh_tesh_in!K4=0,0,SER_hh_tesh_in!K4/SER_summary!K$27)</f>
        <v>73.109739860485007</v>
      </c>
      <c r="L4" s="130">
        <f>IF(SER_hh_tesh_in!L4=0,0,SER_hh_tesh_in!L4/SER_summary!L$27)</f>
        <v>80.127207447425306</v>
      </c>
      <c r="M4" s="130">
        <f>IF(SER_hh_tesh_in!M4=0,0,SER_hh_tesh_in!M4/SER_summary!M$27)</f>
        <v>62.52553374290607</v>
      </c>
      <c r="N4" s="130">
        <f>IF(SER_hh_tesh_in!N4=0,0,SER_hh_tesh_in!N4/SER_summary!N$27)</f>
        <v>66.236638104946181</v>
      </c>
      <c r="O4" s="130">
        <f>IF(SER_hh_tesh_in!O4=0,0,SER_hh_tesh_in!O4/SER_summary!O$27)</f>
        <v>64.445675664209375</v>
      </c>
      <c r="P4" s="130">
        <f>IF(SER_hh_tesh_in!P4=0,0,SER_hh_tesh_in!P4/SER_summary!P$27)</f>
        <v>49.365226737168804</v>
      </c>
      <c r="Q4" s="130">
        <f>IF(SER_hh_tesh_in!Q4=0,0,SER_hh_tesh_in!Q4/SER_summary!Q$27)</f>
        <v>50.123149374872462</v>
      </c>
      <c r="R4" s="130">
        <f>IF(SER_hh_tesh_in!R4=0,0,SER_hh_tesh_in!R4/SER_summary!R$27)</f>
        <v>47.879689150027566</v>
      </c>
      <c r="S4" s="130">
        <f>IF(SER_hh_tesh_in!S4=0,0,SER_hh_tesh_in!S4/SER_summary!S$27)</f>
        <v>47.74542034348984</v>
      </c>
      <c r="T4" s="130">
        <f>IF(SER_hh_tesh_in!T4=0,0,SER_hh_tesh_in!T4/SER_summary!T$27)</f>
        <v>44.495189006300897</v>
      </c>
      <c r="U4" s="130">
        <f>IF(SER_hh_tesh_in!U4=0,0,SER_hh_tesh_in!U4/SER_summary!U$27)</f>
        <v>40.014980351464253</v>
      </c>
      <c r="V4" s="130">
        <f>IF(SER_hh_tesh_in!V4=0,0,SER_hh_tesh_in!V4/SER_summary!V$27)</f>
        <v>33.75233065441364</v>
      </c>
      <c r="W4" s="130">
        <f>IF(SER_hh_tesh_in!W4=0,0,SER_hh_tesh_in!W4/SER_summary!W$27)</f>
        <v>29.550721753829102</v>
      </c>
      <c r="X4" s="130">
        <f>IF(SER_hh_tesh_in!X4=0,0,SER_hh_tesh_in!X4/SER_summary!X$27)</f>
        <v>21.914909332366481</v>
      </c>
      <c r="Y4" s="130">
        <f>IF(SER_hh_tesh_in!Y4=0,0,SER_hh_tesh_in!Y4/SER_summary!Y$27)</f>
        <v>21.029404756264462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74.91157797189868</v>
      </c>
      <c r="D5" s="132">
        <f>IF(SER_hh_tesh_in!D5=0,0,SER_hh_tesh_in!D5/SER_summary!D$27)</f>
        <v>64.13493370434152</v>
      </c>
      <c r="E5" s="132">
        <f>IF(SER_hh_tesh_in!E5=0,0,SER_hh_tesh_in!E5/SER_summary!E$27)</f>
        <v>105.02196629039081</v>
      </c>
      <c r="F5" s="132">
        <f>IF(SER_hh_tesh_in!F5=0,0,SER_hh_tesh_in!F5/SER_summary!F$27)</f>
        <v>52.143122684570578</v>
      </c>
      <c r="G5" s="132">
        <f>IF(SER_hh_tesh_in!G5=0,0,SER_hh_tesh_in!G5/SER_summary!G$27)</f>
        <v>71.416069217243574</v>
      </c>
      <c r="H5" s="132">
        <f>IF(SER_hh_tesh_in!H5=0,0,SER_hh_tesh_in!H5/SER_summary!H$27)</f>
        <v>48.345279770836022</v>
      </c>
      <c r="I5" s="132">
        <f>IF(SER_hh_tesh_in!I5=0,0,SER_hh_tesh_in!I5/SER_summary!I$27)</f>
        <v>74.567911053894051</v>
      </c>
      <c r="J5" s="132">
        <f>IF(SER_hh_tesh_in!J5=0,0,SER_hh_tesh_in!J5/SER_summary!J$27)</f>
        <v>79.53613959983592</v>
      </c>
      <c r="K5" s="132">
        <f>IF(SER_hh_tesh_in!K5=0,0,SER_hh_tesh_in!K5/SER_summary!K$27)</f>
        <v>77.528114832554493</v>
      </c>
      <c r="L5" s="132">
        <f>IF(SER_hh_tesh_in!L5=0,0,SER_hh_tesh_in!L5/SER_summary!L$27)</f>
        <v>73.108353870302466</v>
      </c>
      <c r="M5" s="132">
        <f>IF(SER_hh_tesh_in!M5=0,0,SER_hh_tesh_in!M5/SER_summary!M$27)</f>
        <v>70.144558789445668</v>
      </c>
      <c r="N5" s="132">
        <f>IF(SER_hh_tesh_in!N5=0,0,SER_hh_tesh_in!N5/SER_summary!N$27)</f>
        <v>67.08231572234493</v>
      </c>
      <c r="O5" s="132">
        <f>IF(SER_hh_tesh_in!O5=0,0,SER_hh_tesh_in!O5/SER_summary!O$27)</f>
        <v>39.469666499878663</v>
      </c>
      <c r="P5" s="132">
        <f>IF(SER_hh_tesh_in!P5=0,0,SER_hh_tesh_in!P5/SER_summary!P$27)</f>
        <v>14.423257774936156</v>
      </c>
      <c r="Q5" s="132">
        <f>IF(SER_hh_tesh_in!Q5=0,0,SER_hh_tesh_in!Q5/SER_summary!Q$27)</f>
        <v>59.982250343097256</v>
      </c>
      <c r="R5" s="132">
        <f>IF(SER_hh_tesh_in!R5=0,0,SER_hh_tesh_in!R5/SER_summary!R$27)</f>
        <v>55.304501749062602</v>
      </c>
      <c r="S5" s="132">
        <f>IF(SER_hh_tesh_in!S5=0,0,SER_hh_tesh_in!S5/SER_summary!S$27)</f>
        <v>49.799170866789773</v>
      </c>
      <c r="T5" s="132">
        <f>IF(SER_hh_tesh_in!T5=0,0,SER_hh_tesh_in!T5/SER_summary!T$27)</f>
        <v>46.489260768514136</v>
      </c>
      <c r="U5" s="132">
        <f>IF(SER_hh_tesh_in!U5=0,0,SER_hh_tesh_in!U5/SER_summary!U$27)</f>
        <v>0</v>
      </c>
      <c r="V5" s="132">
        <f>IF(SER_hh_tesh_in!V5=0,0,SER_hh_tesh_in!V5/SER_summary!V$27)</f>
        <v>36.035122519723075</v>
      </c>
      <c r="W5" s="132">
        <f>IF(SER_hh_tesh_in!W5=0,0,SER_hh_tesh_in!W5/SER_summary!W$27)</f>
        <v>18.223424793632606</v>
      </c>
      <c r="X5" s="132">
        <f>IF(SER_hh_tesh_in!X5=0,0,SER_hh_tesh_in!X5/SER_summary!X$27)</f>
        <v>23.200514310109654</v>
      </c>
      <c r="Y5" s="132">
        <f>IF(SER_hh_tesh_in!Y5=0,0,SER_hh_tesh_in!Y5/SER_summary!Y$27)</f>
        <v>22.855329503684629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73.505868047546656</v>
      </c>
      <c r="D7" s="132">
        <f>IF(SER_hh_tesh_in!D7=0,0,SER_hh_tesh_in!D7/SER_summary!D$27)</f>
        <v>76.052112397280339</v>
      </c>
      <c r="E7" s="132">
        <f>IF(SER_hh_tesh_in!E7=0,0,SER_hh_tesh_in!E7/SER_summary!E$27)</f>
        <v>79.419187471676395</v>
      </c>
      <c r="F7" s="132">
        <f>IF(SER_hh_tesh_in!F7=0,0,SER_hh_tesh_in!F7/SER_summary!F$27)</f>
        <v>75.896997507109532</v>
      </c>
      <c r="G7" s="132">
        <f>IF(SER_hh_tesh_in!G7=0,0,SER_hh_tesh_in!G7/SER_summary!G$27)</f>
        <v>76.967947869249855</v>
      </c>
      <c r="H7" s="132">
        <f>IF(SER_hh_tesh_in!H7=0,0,SER_hh_tesh_in!H7/SER_summary!H$27)</f>
        <v>72.344725411873895</v>
      </c>
      <c r="I7" s="132">
        <f>IF(SER_hh_tesh_in!I7=0,0,SER_hh_tesh_in!I7/SER_summary!I$27)</f>
        <v>71.763056101299554</v>
      </c>
      <c r="J7" s="132">
        <f>IF(SER_hh_tesh_in!J7=0,0,SER_hh_tesh_in!J7/SER_summary!J$27)</f>
        <v>70.318635908687909</v>
      </c>
      <c r="K7" s="132">
        <f>IF(SER_hh_tesh_in!K7=0,0,SER_hh_tesh_in!K7/SER_summary!K$27)</f>
        <v>66.985340454402319</v>
      </c>
      <c r="L7" s="132">
        <f>IF(SER_hh_tesh_in!L7=0,0,SER_hh_tesh_in!L7/SER_summary!L$27)</f>
        <v>75.71032465706142</v>
      </c>
      <c r="M7" s="132">
        <f>IF(SER_hh_tesh_in!M7=0,0,SER_hh_tesh_in!M7/SER_summary!M$27)</f>
        <v>66.496367551067834</v>
      </c>
      <c r="N7" s="132">
        <f>IF(SER_hh_tesh_in!N7=0,0,SER_hh_tesh_in!N7/SER_summary!N$27)</f>
        <v>62.562420835074924</v>
      </c>
      <c r="O7" s="132">
        <f>IF(SER_hh_tesh_in!O7=0,0,SER_hh_tesh_in!O7/SER_summary!O$27)</f>
        <v>60.094312852490894</v>
      </c>
      <c r="P7" s="132">
        <f>IF(SER_hh_tesh_in!P7=0,0,SER_hh_tesh_in!P7/SER_summary!P$27)</f>
        <v>54.527472459190491</v>
      </c>
      <c r="Q7" s="132">
        <f>IF(SER_hh_tesh_in!Q7=0,0,SER_hh_tesh_in!Q7/SER_summary!Q$27)</f>
        <v>49.25108754404895</v>
      </c>
      <c r="R7" s="132">
        <f>IF(SER_hh_tesh_in!R7=0,0,SER_hh_tesh_in!R7/SER_summary!R$27)</f>
        <v>46.637730145555039</v>
      </c>
      <c r="S7" s="132">
        <f>IF(SER_hh_tesh_in!S7=0,0,SER_hh_tesh_in!S7/SER_summary!S$27)</f>
        <v>44.100434607849877</v>
      </c>
      <c r="T7" s="132">
        <f>IF(SER_hh_tesh_in!T7=0,0,SER_hh_tesh_in!T7/SER_summary!T$27)</f>
        <v>42.372270483372546</v>
      </c>
      <c r="U7" s="132">
        <f>IF(SER_hh_tesh_in!U7=0,0,SER_hh_tesh_in!U7/SER_summary!U$27)</f>
        <v>40.282902856948873</v>
      </c>
      <c r="V7" s="132">
        <f>IF(SER_hh_tesh_in!V7=0,0,SER_hh_tesh_in!V7/SER_summary!V$27)</f>
        <v>34.217406974368188</v>
      </c>
      <c r="W7" s="132">
        <f>IF(SER_hh_tesh_in!W7=0,0,SER_hh_tesh_in!W7/SER_summary!W$27)</f>
        <v>27.900661534354384</v>
      </c>
      <c r="X7" s="132">
        <f>IF(SER_hh_tesh_in!X7=0,0,SER_hh_tesh_in!X7/SER_summary!X$27)</f>
        <v>21.741371740049814</v>
      </c>
      <c r="Y7" s="132">
        <f>IF(SER_hh_tesh_in!Y7=0,0,SER_hh_tesh_in!Y7/SER_summary!Y$27)</f>
        <v>20.735206615329684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77.981875904972114</v>
      </c>
      <c r="D8" s="132">
        <f>IF(SER_hh_tesh_in!D8=0,0,SER_hh_tesh_in!D8/SER_summary!D$27)</f>
        <v>72.580332720835798</v>
      </c>
      <c r="E8" s="132">
        <f>IF(SER_hh_tesh_in!E8=0,0,SER_hh_tesh_in!E8/SER_summary!E$27)</f>
        <v>82.422718872863285</v>
      </c>
      <c r="F8" s="132">
        <f>IF(SER_hh_tesh_in!F8=0,0,SER_hh_tesh_in!F8/SER_summary!F$27)</f>
        <v>84.496647087097799</v>
      </c>
      <c r="G8" s="132">
        <f>IF(SER_hh_tesh_in!G8=0,0,SER_hh_tesh_in!G8/SER_summary!G$27)</f>
        <v>74.066895759216436</v>
      </c>
      <c r="H8" s="132">
        <f>IF(SER_hh_tesh_in!H8=0,0,SER_hh_tesh_in!H8/SER_summary!H$27)</f>
        <v>69.486479077118446</v>
      </c>
      <c r="I8" s="132">
        <f>IF(SER_hh_tesh_in!I8=0,0,SER_hh_tesh_in!I8/SER_summary!I$27)</f>
        <v>72.573900197459551</v>
      </c>
      <c r="J8" s="132">
        <f>IF(SER_hh_tesh_in!J8=0,0,SER_hh_tesh_in!J8/SER_summary!J$27)</f>
        <v>72.014224855006645</v>
      </c>
      <c r="K8" s="132">
        <f>IF(SER_hh_tesh_in!K8=0,0,SER_hh_tesh_in!K8/SER_summary!K$27)</f>
        <v>70.797756473941064</v>
      </c>
      <c r="L8" s="132">
        <f>IF(SER_hh_tesh_in!L8=0,0,SER_hh_tesh_in!L8/SER_summary!L$27)</f>
        <v>70.566730002268557</v>
      </c>
      <c r="M8" s="132">
        <f>IF(SER_hh_tesh_in!M8=0,0,SER_hh_tesh_in!M8/SER_summary!M$27)</f>
        <v>69.997755553492794</v>
      </c>
      <c r="N8" s="132">
        <f>IF(SER_hh_tesh_in!N8=0,0,SER_hh_tesh_in!N8/SER_summary!N$27)</f>
        <v>59.49037951531048</v>
      </c>
      <c r="O8" s="132">
        <f>IF(SER_hh_tesh_in!O8=0,0,SER_hh_tesh_in!O8/SER_summary!O$27)</f>
        <v>49.146772524266169</v>
      </c>
      <c r="P8" s="132">
        <f>IF(SER_hh_tesh_in!P8=0,0,SER_hh_tesh_in!P8/SER_summary!P$27)</f>
        <v>52.619424789045979</v>
      </c>
      <c r="Q8" s="132">
        <f>IF(SER_hh_tesh_in!Q8=0,0,SER_hh_tesh_in!Q8/SER_summary!Q$27)</f>
        <v>54.461381118982416</v>
      </c>
      <c r="R8" s="132">
        <f>IF(SER_hh_tesh_in!R8=0,0,SER_hh_tesh_in!R8/SER_summary!R$27)</f>
        <v>50.366600342200407</v>
      </c>
      <c r="S8" s="132">
        <f>IF(SER_hh_tesh_in!S8=0,0,SER_hh_tesh_in!S8/SER_summary!S$27)</f>
        <v>46.273100729704431</v>
      </c>
      <c r="T8" s="132">
        <f>IF(SER_hh_tesh_in!T8=0,0,SER_hh_tesh_in!T8/SER_summary!T$27)</f>
        <v>43.250309203560583</v>
      </c>
      <c r="U8" s="132">
        <f>IF(SER_hh_tesh_in!U8=0,0,SER_hh_tesh_in!U8/SER_summary!U$27)</f>
        <v>38.868999976861772</v>
      </c>
      <c r="V8" s="132">
        <f>IF(SER_hh_tesh_in!V8=0,0,SER_hh_tesh_in!V8/SER_summary!V$27)</f>
        <v>33.648258135821422</v>
      </c>
      <c r="W8" s="132">
        <f>IF(SER_hh_tesh_in!W8=0,0,SER_hh_tesh_in!W8/SER_summary!W$27)</f>
        <v>29.015106687353004</v>
      </c>
      <c r="X8" s="132">
        <f>IF(SER_hh_tesh_in!X8=0,0,SER_hh_tesh_in!X8/SER_summary!X$27)</f>
        <v>21.306197782647423</v>
      </c>
      <c r="Y8" s="132">
        <f>IF(SER_hh_tesh_in!Y8=0,0,SER_hh_tesh_in!Y8/SER_summary!Y$27)</f>
        <v>22.334545349690575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77.451560430151162</v>
      </c>
      <c r="D9" s="132">
        <f>IF(SER_hh_tesh_in!D9=0,0,SER_hh_tesh_in!D9/SER_summary!D$27)</f>
        <v>71.525477545276473</v>
      </c>
      <c r="E9" s="132">
        <f>IF(SER_hh_tesh_in!E9=0,0,SER_hh_tesh_in!E9/SER_summary!E$27)</f>
        <v>77.402615739420767</v>
      </c>
      <c r="F9" s="132">
        <f>IF(SER_hh_tesh_in!F9=0,0,SER_hh_tesh_in!F9/SER_summary!F$27)</f>
        <v>86.684145089679788</v>
      </c>
      <c r="G9" s="132">
        <f>IF(SER_hh_tesh_in!G9=0,0,SER_hh_tesh_in!G9/SER_summary!G$27)</f>
        <v>77.232146333952258</v>
      </c>
      <c r="H9" s="132">
        <f>IF(SER_hh_tesh_in!H9=0,0,SER_hh_tesh_in!H9/SER_summary!H$27)</f>
        <v>76.02490573001063</v>
      </c>
      <c r="I9" s="132">
        <f>IF(SER_hh_tesh_in!I9=0,0,SER_hh_tesh_in!I9/SER_summary!I$27)</f>
        <v>64.144810958700376</v>
      </c>
      <c r="J9" s="132">
        <f>IF(SER_hh_tesh_in!J9=0,0,SER_hh_tesh_in!J9/SER_summary!J$27)</f>
        <v>68.83287716673621</v>
      </c>
      <c r="K9" s="132">
        <f>IF(SER_hh_tesh_in!K9=0,0,SER_hh_tesh_in!K9/SER_summary!K$27)</f>
        <v>70.992462266169269</v>
      </c>
      <c r="L9" s="132">
        <f>IF(SER_hh_tesh_in!L9=0,0,SER_hh_tesh_in!L9/SER_summary!L$27)</f>
        <v>79.99774719862971</v>
      </c>
      <c r="M9" s="132">
        <f>IF(SER_hh_tesh_in!M9=0,0,SER_hh_tesh_in!M9/SER_summary!M$27)</f>
        <v>59.497322249595392</v>
      </c>
      <c r="N9" s="132">
        <f>IF(SER_hh_tesh_in!N9=0,0,SER_hh_tesh_in!N9/SER_summary!N$27)</f>
        <v>65.686397084421586</v>
      </c>
      <c r="O9" s="132">
        <f>IF(SER_hh_tesh_in!O9=0,0,SER_hh_tesh_in!O9/SER_summary!O$27)</f>
        <v>64.501585134370941</v>
      </c>
      <c r="P9" s="132">
        <f>IF(SER_hh_tesh_in!P9=0,0,SER_hh_tesh_in!P9/SER_summary!P$27)</f>
        <v>46.886137010820491</v>
      </c>
      <c r="Q9" s="132">
        <f>IF(SER_hh_tesh_in!Q9=0,0,SER_hh_tesh_in!Q9/SER_summary!Q$27)</f>
        <v>49.555602821760964</v>
      </c>
      <c r="R9" s="132">
        <f>IF(SER_hh_tesh_in!R9=0,0,SER_hh_tesh_in!R9/SER_summary!R$27)</f>
        <v>48.128436795612565</v>
      </c>
      <c r="S9" s="132">
        <f>IF(SER_hh_tesh_in!S9=0,0,SER_hh_tesh_in!S9/SER_summary!S$27)</f>
        <v>46.273269218595217</v>
      </c>
      <c r="T9" s="132">
        <f>IF(SER_hh_tesh_in!T9=0,0,SER_hh_tesh_in!T9/SER_summary!T$27)</f>
        <v>43.690194560242375</v>
      </c>
      <c r="U9" s="132">
        <f>IF(SER_hh_tesh_in!U9=0,0,SER_hh_tesh_in!U9/SER_summary!U$27)</f>
        <v>38.78051793582614</v>
      </c>
      <c r="V9" s="132">
        <f>IF(SER_hh_tesh_in!V9=0,0,SER_hh_tesh_in!V9/SER_summary!V$27)</f>
        <v>32.726098273221048</v>
      </c>
      <c r="W9" s="132">
        <f>IF(SER_hh_tesh_in!W9=0,0,SER_hh_tesh_in!W9/SER_summary!W$27)</f>
        <v>30.847760454987721</v>
      </c>
      <c r="X9" s="132">
        <f>IF(SER_hh_tesh_in!X9=0,0,SER_hh_tesh_in!X9/SER_summary!X$27)</f>
        <v>20.427488905092744</v>
      </c>
      <c r="Y9" s="132">
        <f>IF(SER_hh_tesh_in!Y9=0,0,SER_hh_tesh_in!Y9/SER_summary!Y$27)</f>
        <v>20.033769045759669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80.7367800768628</v>
      </c>
      <c r="D10" s="132">
        <f>IF(SER_hh_tesh_in!D10=0,0,SER_hh_tesh_in!D10/SER_summary!D$27)</f>
        <v>78.402548329928777</v>
      </c>
      <c r="E10" s="132">
        <f>IF(SER_hh_tesh_in!E10=0,0,SER_hh_tesh_in!E10/SER_summary!E$27)</f>
        <v>75.490337507354553</v>
      </c>
      <c r="F10" s="132">
        <f>IF(SER_hh_tesh_in!F10=0,0,SER_hh_tesh_in!F10/SER_summary!F$27)</f>
        <v>81.240627078959889</v>
      </c>
      <c r="G10" s="132">
        <f>IF(SER_hh_tesh_in!G10=0,0,SER_hh_tesh_in!G10/SER_summary!G$27)</f>
        <v>73.291624765555952</v>
      </c>
      <c r="H10" s="132">
        <f>IF(SER_hh_tesh_in!H10=0,0,SER_hh_tesh_in!H10/SER_summary!H$27)</f>
        <v>74.802259322990096</v>
      </c>
      <c r="I10" s="132">
        <f>IF(SER_hh_tesh_in!I10=0,0,SER_hh_tesh_in!I10/SER_summary!I$27)</f>
        <v>69.897035778419848</v>
      </c>
      <c r="J10" s="132">
        <f>IF(SER_hh_tesh_in!J10=0,0,SER_hh_tesh_in!J10/SER_summary!J$27)</f>
        <v>76.606480605747038</v>
      </c>
      <c r="K10" s="132">
        <f>IF(SER_hh_tesh_in!K10=0,0,SER_hh_tesh_in!K10/SER_summary!K$27)</f>
        <v>71.15317649770644</v>
      </c>
      <c r="L10" s="132">
        <f>IF(SER_hh_tesh_in!L10=0,0,SER_hh_tesh_in!L10/SER_summary!L$27)</f>
        <v>74.788523420085227</v>
      </c>
      <c r="M10" s="132">
        <f>IF(SER_hh_tesh_in!M10=0,0,SER_hh_tesh_in!M10/SER_summary!M$27)</f>
        <v>66.33265348152807</v>
      </c>
      <c r="N10" s="132">
        <f>IF(SER_hh_tesh_in!N10=0,0,SER_hh_tesh_in!N10/SER_summary!N$27)</f>
        <v>63.256573232567128</v>
      </c>
      <c r="O10" s="132">
        <f>IF(SER_hh_tesh_in!O10=0,0,SER_hh_tesh_in!O10/SER_summary!O$27)</f>
        <v>58.870131896944763</v>
      </c>
      <c r="P10" s="132">
        <f>IF(SER_hh_tesh_in!P10=0,0,SER_hh_tesh_in!P10/SER_summary!P$27)</f>
        <v>53.646197242823192</v>
      </c>
      <c r="Q10" s="132">
        <f>IF(SER_hh_tesh_in!Q10=0,0,SER_hh_tesh_in!Q10/SER_summary!Q$27)</f>
        <v>47.620106507903984</v>
      </c>
      <c r="R10" s="132">
        <f>IF(SER_hh_tesh_in!R10=0,0,SER_hh_tesh_in!R10/SER_summary!R$27)</f>
        <v>43.156365016429277</v>
      </c>
      <c r="S10" s="132">
        <f>IF(SER_hh_tesh_in!S10=0,0,SER_hh_tesh_in!S10/SER_summary!S$27)</f>
        <v>47.962188511297491</v>
      </c>
      <c r="T10" s="132">
        <f>IF(SER_hh_tesh_in!T10=0,0,SER_hh_tesh_in!T10/SER_summary!T$27)</f>
        <v>43.915117955350027</v>
      </c>
      <c r="U10" s="132">
        <f>IF(SER_hh_tesh_in!U10=0,0,SER_hh_tesh_in!U10/SER_summary!U$27)</f>
        <v>42.201208531738779</v>
      </c>
      <c r="V10" s="132">
        <f>IF(SER_hh_tesh_in!V10=0,0,SER_hh_tesh_in!V10/SER_summary!V$27)</f>
        <v>38.835272045141423</v>
      </c>
      <c r="W10" s="132">
        <f>IF(SER_hh_tesh_in!W10=0,0,SER_hh_tesh_in!W10/SER_summary!W$27)</f>
        <v>29.517342480257621</v>
      </c>
      <c r="X10" s="132">
        <f>IF(SER_hh_tesh_in!X10=0,0,SER_hh_tesh_in!X10/SER_summary!X$27)</f>
        <v>18.980095668641887</v>
      </c>
      <c r="Y10" s="132">
        <f>IF(SER_hh_tesh_in!Y10=0,0,SER_hh_tesh_in!Y10/SER_summary!Y$27)</f>
        <v>21.774081845964812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66.356367248903865</v>
      </c>
      <c r="D12" s="132">
        <f>IF(SER_hh_tesh_in!D12=0,0,SER_hh_tesh_in!D12/SER_summary!D$27)</f>
        <v>95.803604974651165</v>
      </c>
      <c r="E12" s="132">
        <f>IF(SER_hh_tesh_in!E12=0,0,SER_hh_tesh_in!E12/SER_summary!E$27)</f>
        <v>79.317709535995149</v>
      </c>
      <c r="F12" s="132">
        <f>IF(SER_hh_tesh_in!F12=0,0,SER_hh_tesh_in!F12/SER_summary!F$27)</f>
        <v>0</v>
      </c>
      <c r="G12" s="132">
        <f>IF(SER_hh_tesh_in!G12=0,0,SER_hh_tesh_in!G12/SER_summary!G$27)</f>
        <v>60.742099397482285</v>
      </c>
      <c r="H12" s="132">
        <f>IF(SER_hh_tesh_in!H12=0,0,SER_hh_tesh_in!H12/SER_summary!H$27)</f>
        <v>70.058098557338354</v>
      </c>
      <c r="I12" s="132">
        <f>IF(SER_hh_tesh_in!I12=0,0,SER_hh_tesh_in!I12/SER_summary!I$27)</f>
        <v>78.831156262586774</v>
      </c>
      <c r="J12" s="132">
        <f>IF(SER_hh_tesh_in!J12=0,0,SER_hh_tesh_in!J12/SER_summary!J$27)</f>
        <v>68.891264364863758</v>
      </c>
      <c r="K12" s="132">
        <f>IF(SER_hh_tesh_in!K12=0,0,SER_hh_tesh_in!K12/SER_summary!K$27)</f>
        <v>81.997367127463747</v>
      </c>
      <c r="L12" s="132">
        <f>IF(SER_hh_tesh_in!L12=0,0,SER_hh_tesh_in!L12/SER_summary!L$27)</f>
        <v>76.363342536015836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46.45132975311617</v>
      </c>
      <c r="R12" s="132">
        <f>IF(SER_hh_tesh_in!R12=0,0,SER_hh_tesh_in!R12/SER_summary!R$27)</f>
        <v>43.391247826234249</v>
      </c>
      <c r="S12" s="132">
        <f>IF(SER_hh_tesh_in!S12=0,0,SER_hh_tesh_in!S12/SER_summary!S$27)</f>
        <v>52.203744461435015</v>
      </c>
      <c r="T12" s="132">
        <f>IF(SER_hh_tesh_in!T12=0,0,SER_hh_tesh_in!T12/SER_summary!T$27)</f>
        <v>41.001247463086592</v>
      </c>
      <c r="U12" s="132">
        <f>IF(SER_hh_tesh_in!U12=0,0,SER_hh_tesh_in!U12/SER_summary!U$27)</f>
        <v>42.067424249044819</v>
      </c>
      <c r="V12" s="132">
        <f>IF(SER_hh_tesh_in!V12=0,0,SER_hh_tesh_in!V12/SER_summary!V$27)</f>
        <v>38.157332600773444</v>
      </c>
      <c r="W12" s="132">
        <f>IF(SER_hh_tesh_in!W12=0,0,SER_hh_tesh_in!W12/SER_summary!W$27)</f>
        <v>27.127432034175811</v>
      </c>
      <c r="X12" s="132">
        <f>IF(SER_hh_tesh_in!X12=0,0,SER_hh_tesh_in!X12/SER_summary!X$27)</f>
        <v>23.54879455760188</v>
      </c>
      <c r="Y12" s="132">
        <f>IF(SER_hh_tesh_in!Y12=0,0,SER_hh_tesh_in!Y12/SER_summary!Y$27)</f>
        <v>20.07532552513447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74.138559958288283</v>
      </c>
      <c r="D13" s="132">
        <f>IF(SER_hh_tesh_in!D13=0,0,SER_hh_tesh_in!D13/SER_summary!D$27)</f>
        <v>75.595992006064733</v>
      </c>
      <c r="E13" s="132">
        <f>IF(SER_hh_tesh_in!E13=0,0,SER_hh_tesh_in!E13/SER_summary!E$27)</f>
        <v>70.646825853451986</v>
      </c>
      <c r="F13" s="132">
        <f>IF(SER_hh_tesh_in!F13=0,0,SER_hh_tesh_in!F13/SER_summary!F$27)</f>
        <v>77.583352069104663</v>
      </c>
      <c r="G13" s="132">
        <f>IF(SER_hh_tesh_in!G13=0,0,SER_hh_tesh_in!G13/SER_summary!G$27)</f>
        <v>76.114627891513578</v>
      </c>
      <c r="H13" s="132">
        <f>IF(SER_hh_tesh_in!H13=0,0,SER_hh_tesh_in!H13/SER_summary!H$27)</f>
        <v>70.420053130735369</v>
      </c>
      <c r="I13" s="132">
        <f>IF(SER_hh_tesh_in!I13=0,0,SER_hh_tesh_in!I13/SER_summary!I$27)</f>
        <v>70.278545521210347</v>
      </c>
      <c r="J13" s="132">
        <f>IF(SER_hh_tesh_in!J13=0,0,SER_hh_tesh_in!J13/SER_summary!J$27)</f>
        <v>72.509663815850203</v>
      </c>
      <c r="K13" s="132">
        <f>IF(SER_hh_tesh_in!K13=0,0,SER_hh_tesh_in!K13/SER_summary!K$27)</f>
        <v>72.259911909581675</v>
      </c>
      <c r="L13" s="132">
        <f>IF(SER_hh_tesh_in!L13=0,0,SER_hh_tesh_in!L13/SER_summary!L$27)</f>
        <v>72.395133027268812</v>
      </c>
      <c r="M13" s="132">
        <f>IF(SER_hh_tesh_in!M13=0,0,SER_hh_tesh_in!M13/SER_summary!M$27)</f>
        <v>67.679867659221287</v>
      </c>
      <c r="N13" s="132">
        <f>IF(SER_hh_tesh_in!N13=0,0,SER_hh_tesh_in!N13/SER_summary!N$27)</f>
        <v>63.517252180243545</v>
      </c>
      <c r="O13" s="132">
        <f>IF(SER_hh_tesh_in!O13=0,0,SER_hh_tesh_in!O13/SER_summary!O$27)</f>
        <v>58.973123212359269</v>
      </c>
      <c r="P13" s="132">
        <f>IF(SER_hh_tesh_in!P13=0,0,SER_hh_tesh_in!P13/SER_summary!P$27)</f>
        <v>52.714888033746618</v>
      </c>
      <c r="Q13" s="132">
        <f>IF(SER_hh_tesh_in!Q13=0,0,SER_hh_tesh_in!Q13/SER_summary!Q$27)</f>
        <v>50.430221113387177</v>
      </c>
      <c r="R13" s="132">
        <f>IF(SER_hh_tesh_in!R13=0,0,SER_hh_tesh_in!R13/SER_summary!R$27)</f>
        <v>48.197931989214872</v>
      </c>
      <c r="S13" s="132">
        <f>IF(SER_hh_tesh_in!S13=0,0,SER_hh_tesh_in!S13/SER_summary!S$27)</f>
        <v>46.521854737451164</v>
      </c>
      <c r="T13" s="132">
        <f>IF(SER_hh_tesh_in!T13=0,0,SER_hh_tesh_in!T13/SER_summary!T$27)</f>
        <v>43.716826045782078</v>
      </c>
      <c r="U13" s="132">
        <f>IF(SER_hh_tesh_in!U13=0,0,SER_hh_tesh_in!U13/SER_summary!U$27)</f>
        <v>39.7405993888949</v>
      </c>
      <c r="V13" s="132">
        <f>IF(SER_hh_tesh_in!V13=0,0,SER_hh_tesh_in!V13/SER_summary!V$27)</f>
        <v>35.192871020967779</v>
      </c>
      <c r="W13" s="132">
        <f>IF(SER_hh_tesh_in!W13=0,0,SER_hh_tesh_in!W13/SER_summary!W$27)</f>
        <v>28.451809518789602</v>
      </c>
      <c r="X13" s="132">
        <f>IF(SER_hh_tesh_in!X13=0,0,SER_hh_tesh_in!X13/SER_summary!X$27)</f>
        <v>21.618648798117317</v>
      </c>
      <c r="Y13" s="132">
        <f>IF(SER_hh_tesh_in!Y13=0,0,SER_hh_tesh_in!Y13/SER_summary!Y$27)</f>
        <v>22.089487725133537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78.937087626185956</v>
      </c>
      <c r="D14" s="65">
        <f>IF(SER_hh_tesh_in!D14=0,0,SER_hh_tesh_in!D14/SER_summary!D$27)</f>
        <v>74.934855205969768</v>
      </c>
      <c r="E14" s="65">
        <f>IF(SER_hh_tesh_in!E14=0,0,SER_hh_tesh_in!E14/SER_summary!E$27)</f>
        <v>80.222428106675423</v>
      </c>
      <c r="F14" s="65">
        <f>IF(SER_hh_tesh_in!F14=0,0,SER_hh_tesh_in!F14/SER_summary!F$27)</f>
        <v>83.63362452142367</v>
      </c>
      <c r="G14" s="65">
        <f>IF(SER_hh_tesh_in!G14=0,0,SER_hh_tesh_in!G14/SER_summary!G$27)</f>
        <v>78.122436275243871</v>
      </c>
      <c r="H14" s="65">
        <f>IF(SER_hh_tesh_in!H14=0,0,SER_hh_tesh_in!H14/SER_summary!H$27)</f>
        <v>75.890635319693232</v>
      </c>
      <c r="I14" s="65">
        <f>IF(SER_hh_tesh_in!I14=0,0,SER_hh_tesh_in!I14/SER_summary!I$27)</f>
        <v>73.49108281471635</v>
      </c>
      <c r="J14" s="65">
        <f>IF(SER_hh_tesh_in!J14=0,0,SER_hh_tesh_in!J14/SER_summary!J$27)</f>
        <v>70.96454671882951</v>
      </c>
      <c r="K14" s="65">
        <f>IF(SER_hh_tesh_in!K14=0,0,SER_hh_tesh_in!K14/SER_summary!K$27)</f>
        <v>73.886730481740614</v>
      </c>
      <c r="L14" s="65">
        <f>IF(SER_hh_tesh_in!L14=0,0,SER_hh_tesh_in!L14/SER_summary!L$27)</f>
        <v>72.104611474369918</v>
      </c>
      <c r="M14" s="65">
        <f>IF(SER_hh_tesh_in!M14=0,0,SER_hh_tesh_in!M14/SER_summary!M$27)</f>
        <v>68.017293464304771</v>
      </c>
      <c r="N14" s="65">
        <f>IF(SER_hh_tesh_in!N14=0,0,SER_hh_tesh_in!N14/SER_summary!N$27)</f>
        <v>65.296580989622271</v>
      </c>
      <c r="O14" s="65">
        <f>IF(SER_hh_tesh_in!O14=0,0,SER_hh_tesh_in!O14/SER_summary!O$27)</f>
        <v>66.006390506224832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44.472198691763296</v>
      </c>
      <c r="S14" s="65">
        <f>IF(SER_hh_tesh_in!S14=0,0,SER_hh_tesh_in!S14/SER_summary!S$27)</f>
        <v>47.223406810851515</v>
      </c>
      <c r="T14" s="65">
        <f>IF(SER_hh_tesh_in!T14=0,0,SER_hh_tesh_in!T14/SER_summary!T$27)</f>
        <v>48.313375148129303</v>
      </c>
      <c r="U14" s="65">
        <f>IF(SER_hh_tesh_in!U14=0,0,SER_hh_tesh_in!U14/SER_summary!U$27)</f>
        <v>39.100519434493833</v>
      </c>
      <c r="V14" s="65">
        <f>IF(SER_hh_tesh_in!V14=0,0,SER_hh_tesh_in!V14/SER_summary!V$27)</f>
        <v>29.536423241080552</v>
      </c>
      <c r="W14" s="65">
        <f>IF(SER_hh_tesh_in!W14=0,0,SER_hh_tesh_in!W14/SER_summary!W$27)</f>
        <v>28.004742241271646</v>
      </c>
      <c r="X14" s="65">
        <f>IF(SER_hh_tesh_in!X14=0,0,SER_hh_tesh_in!X14/SER_summary!X$27)</f>
        <v>22.907099914086754</v>
      </c>
      <c r="Y14" s="65">
        <f>IF(SER_hh_tesh_in!Y14=0,0,SER_hh_tesh_in!Y14/SER_summary!Y$27)</f>
        <v>21.375229701698036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1.2661608148294528</v>
      </c>
      <c r="D15" s="134">
        <f>IF(SER_hh_tesh_in!D15=0,0,SER_hh_tesh_in!D15/SER_summary!D$27)</f>
        <v>1.2157357518898677</v>
      </c>
      <c r="E15" s="134">
        <f>IF(SER_hh_tesh_in!E15=0,0,SER_hh_tesh_in!E15/SER_summary!E$27)</f>
        <v>1.3570356267778114</v>
      </c>
      <c r="F15" s="134">
        <f>IF(SER_hh_tesh_in!F15=0,0,SER_hh_tesh_in!F15/SER_summary!F$27)</f>
        <v>1.5626027472479607</v>
      </c>
      <c r="G15" s="134">
        <f>IF(SER_hh_tesh_in!G15=0,0,SER_hh_tesh_in!G15/SER_summary!G$27)</f>
        <v>1.304771298868284</v>
      </c>
      <c r="H15" s="134">
        <f>IF(SER_hh_tesh_in!H15=0,0,SER_hh_tesh_in!H15/SER_summary!H$27)</f>
        <v>1.2195153907410898</v>
      </c>
      <c r="I15" s="134">
        <f>IF(SER_hh_tesh_in!I15=0,0,SER_hh_tesh_in!I15/SER_summary!I$27)</f>
        <v>1.0265898409122918</v>
      </c>
      <c r="J15" s="134">
        <f>IF(SER_hh_tesh_in!J15=0,0,SER_hh_tesh_in!J15/SER_summary!J$27)</f>
        <v>1.0965709272182447</v>
      </c>
      <c r="K15" s="134">
        <f>IF(SER_hh_tesh_in!K15=0,0,SER_hh_tesh_in!K15/SER_summary!K$27)</f>
        <v>1.1052426156622384</v>
      </c>
      <c r="L15" s="134">
        <f>IF(SER_hh_tesh_in!L15=0,0,SER_hh_tesh_in!L15/SER_summary!L$27)</f>
        <v>1.3202340938292962</v>
      </c>
      <c r="M15" s="134">
        <f>IF(SER_hh_tesh_in!M15=0,0,SER_hh_tesh_in!M15/SER_summary!M$27)</f>
        <v>0.99824284683130982</v>
      </c>
      <c r="N15" s="134">
        <f>IF(SER_hh_tesh_in!N15=0,0,SER_hh_tesh_in!N15/SER_summary!N$27)</f>
        <v>1.0746921371200544</v>
      </c>
      <c r="O15" s="134">
        <f>IF(SER_hh_tesh_in!O15=0,0,SER_hh_tesh_in!O15/SER_summary!O$27)</f>
        <v>1.0348385912128029</v>
      </c>
      <c r="P15" s="134">
        <f>IF(SER_hh_tesh_in!P15=0,0,SER_hh_tesh_in!P15/SER_summary!P$27)</f>
        <v>0.74489430203411433</v>
      </c>
      <c r="Q15" s="134">
        <f>IF(SER_hh_tesh_in!Q15=0,0,SER_hh_tesh_in!Q15/SER_summary!Q$27)</f>
        <v>0.74463232557377701</v>
      </c>
      <c r="R15" s="134">
        <f>IF(SER_hh_tesh_in!R15=0,0,SER_hh_tesh_in!R15/SER_summary!R$27)</f>
        <v>0.6679875070772372</v>
      </c>
      <c r="S15" s="134">
        <f>IF(SER_hh_tesh_in!S15=0,0,SER_hh_tesh_in!S15/SER_summary!S$27)</f>
        <v>0.61143781465679481</v>
      </c>
      <c r="T15" s="134">
        <f>IF(SER_hh_tesh_in!T15=0,0,SER_hh_tesh_in!T15/SER_summary!T$27)</f>
        <v>0.58503809127392081</v>
      </c>
      <c r="U15" s="134">
        <f>IF(SER_hh_tesh_in!U15=0,0,SER_hh_tesh_in!U15/SER_summary!U$27)</f>
        <v>0.53280743671026665</v>
      </c>
      <c r="V15" s="134">
        <f>IF(SER_hh_tesh_in!V15=0,0,SER_hh_tesh_in!V15/SER_summary!V$27)</f>
        <v>0.47546011152003181</v>
      </c>
      <c r="W15" s="134">
        <f>IF(SER_hh_tesh_in!W15=0,0,SER_hh_tesh_in!W15/SER_summary!W$27)</f>
        <v>0.42022934785900168</v>
      </c>
      <c r="X15" s="134">
        <f>IF(SER_hh_tesh_in!X15=0,0,SER_hh_tesh_in!X15/SER_summary!X$27)</f>
        <v>0.2745055799512881</v>
      </c>
      <c r="Y15" s="134">
        <f>IF(SER_hh_tesh_in!Y15=0,0,SER_hh_tesh_in!Y15/SER_summary!Y$27)</f>
        <v>0.28628302461256483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28.608788032694182</v>
      </c>
      <c r="D16" s="130">
        <f>IF(SER_hh_tesh_in!D16=0,0,SER_hh_tesh_in!D16/SER_summary!D$27)</f>
        <v>28.140259921301347</v>
      </c>
      <c r="E16" s="130">
        <f>IF(SER_hh_tesh_in!E16=0,0,SER_hh_tesh_in!E16/SER_summary!E$27)</f>
        <v>30.645127835850396</v>
      </c>
      <c r="F16" s="130">
        <f>IF(SER_hh_tesh_in!F16=0,0,SER_hh_tesh_in!F16/SER_summary!F$27)</f>
        <v>27.727777118795306</v>
      </c>
      <c r="G16" s="130">
        <f>IF(SER_hh_tesh_in!G16=0,0,SER_hh_tesh_in!G16/SER_summary!G$27)</f>
        <v>27.179651935354318</v>
      </c>
      <c r="H16" s="130">
        <f>IF(SER_hh_tesh_in!H16=0,0,SER_hh_tesh_in!H16/SER_summary!H$27)</f>
        <v>29.582008185107188</v>
      </c>
      <c r="I16" s="130">
        <f>IF(SER_hh_tesh_in!I16=0,0,SER_hh_tesh_in!I16/SER_summary!I$27)</f>
        <v>26.90558285183311</v>
      </c>
      <c r="J16" s="130">
        <f>IF(SER_hh_tesh_in!J16=0,0,SER_hh_tesh_in!J16/SER_summary!J$27)</f>
        <v>26.747602033279481</v>
      </c>
      <c r="K16" s="130">
        <f>IF(SER_hh_tesh_in!K16=0,0,SER_hh_tesh_in!K16/SER_summary!K$27)</f>
        <v>26.401578177431393</v>
      </c>
      <c r="L16" s="130">
        <f>IF(SER_hh_tesh_in!L16=0,0,SER_hh_tesh_in!L16/SER_summary!L$27)</f>
        <v>26.912240970695564</v>
      </c>
      <c r="M16" s="130">
        <f>IF(SER_hh_tesh_in!M16=0,0,SER_hh_tesh_in!M16/SER_summary!M$27)</f>
        <v>25.662276199438338</v>
      </c>
      <c r="N16" s="130">
        <f>IF(SER_hh_tesh_in!N16=0,0,SER_hh_tesh_in!N16/SER_summary!N$27)</f>
        <v>25.272465451572337</v>
      </c>
      <c r="O16" s="130">
        <f>IF(SER_hh_tesh_in!O16=0,0,SER_hh_tesh_in!O16/SER_summary!O$27)</f>
        <v>24.825632544776568</v>
      </c>
      <c r="P16" s="130">
        <f>IF(SER_hh_tesh_in!P16=0,0,SER_hh_tesh_in!P16/SER_summary!P$27)</f>
        <v>23.894177431863952</v>
      </c>
      <c r="Q16" s="130">
        <f>IF(SER_hh_tesh_in!Q16=0,0,SER_hh_tesh_in!Q16/SER_summary!Q$27)</f>
        <v>24.343831029759585</v>
      </c>
      <c r="R16" s="130">
        <f>IF(SER_hh_tesh_in!R16=0,0,SER_hh_tesh_in!R16/SER_summary!R$27)</f>
        <v>23.003241171104353</v>
      </c>
      <c r="S16" s="130">
        <f>IF(SER_hh_tesh_in!S16=0,0,SER_hh_tesh_in!S16/SER_summary!S$27)</f>
        <v>21.779243892175582</v>
      </c>
      <c r="T16" s="130">
        <f>IF(SER_hh_tesh_in!T16=0,0,SER_hh_tesh_in!T16/SER_summary!T$27)</f>
        <v>23.124195237655712</v>
      </c>
      <c r="U16" s="130">
        <f>IF(SER_hh_tesh_in!U16=0,0,SER_hh_tesh_in!U16/SER_summary!U$27)</f>
        <v>21.786167081894142</v>
      </c>
      <c r="V16" s="130">
        <f>IF(SER_hh_tesh_in!V16=0,0,SER_hh_tesh_in!V16/SER_summary!V$27)</f>
        <v>20.150169104168977</v>
      </c>
      <c r="W16" s="130">
        <f>IF(SER_hh_tesh_in!W16=0,0,SER_hh_tesh_in!W16/SER_summary!W$27)</f>
        <v>16.428543431936017</v>
      </c>
      <c r="X16" s="130">
        <f>IF(SER_hh_tesh_in!X16=0,0,SER_hh_tesh_in!X16/SER_summary!X$27)</f>
        <v>15.070830147687062</v>
      </c>
      <c r="Y16" s="130">
        <f>IF(SER_hh_tesh_in!Y16=0,0,SER_hh_tesh_in!Y16/SER_summary!Y$27)</f>
        <v>14.876547865007293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28.605985272697918</v>
      </c>
      <c r="D17" s="132">
        <f>IF(SER_hh_tesh_in!D17=0,0,SER_hh_tesh_in!D17/SER_summary!D$27)</f>
        <v>28.148612711805995</v>
      </c>
      <c r="E17" s="132">
        <f>IF(SER_hh_tesh_in!E17=0,0,SER_hh_tesh_in!E17/SER_summary!E$27)</f>
        <v>30.651389500615462</v>
      </c>
      <c r="F17" s="132">
        <f>IF(SER_hh_tesh_in!F17=0,0,SER_hh_tesh_in!F17/SER_summary!F$27)</f>
        <v>27.734315255118442</v>
      </c>
      <c r="G17" s="132">
        <f>IF(SER_hh_tesh_in!G17=0,0,SER_hh_tesh_in!G17/SER_summary!G$27)</f>
        <v>27.195657440160534</v>
      </c>
      <c r="H17" s="132">
        <f>IF(SER_hh_tesh_in!H17=0,0,SER_hh_tesh_in!H17/SER_summary!H$27)</f>
        <v>29.660193038946598</v>
      </c>
      <c r="I17" s="132">
        <f>IF(SER_hh_tesh_in!I17=0,0,SER_hh_tesh_in!I17/SER_summary!I$27)</f>
        <v>27.022774307260214</v>
      </c>
      <c r="J17" s="132">
        <f>IF(SER_hh_tesh_in!J17=0,0,SER_hh_tesh_in!J17/SER_summary!J$27)</f>
        <v>26.847229702323933</v>
      </c>
      <c r="K17" s="132">
        <f>IF(SER_hh_tesh_in!K17=0,0,SER_hh_tesh_in!K17/SER_summary!K$27)</f>
        <v>26.467580919171276</v>
      </c>
      <c r="L17" s="132">
        <f>IF(SER_hh_tesh_in!L17=0,0,SER_hh_tesh_in!L17/SER_summary!L$27)</f>
        <v>26.968779611427927</v>
      </c>
      <c r="M17" s="132">
        <f>IF(SER_hh_tesh_in!M17=0,0,SER_hh_tesh_in!M17/SER_summary!M$27)</f>
        <v>25.714271103425581</v>
      </c>
      <c r="N17" s="132">
        <f>IF(SER_hh_tesh_in!N17=0,0,SER_hh_tesh_in!N17/SER_summary!N$27)</f>
        <v>25.305228957979899</v>
      </c>
      <c r="O17" s="132">
        <f>IF(SER_hh_tesh_in!O17=0,0,SER_hh_tesh_in!O17/SER_summary!O$27)</f>
        <v>24.82536100940041</v>
      </c>
      <c r="P17" s="132">
        <f>IF(SER_hh_tesh_in!P17=0,0,SER_hh_tesh_in!P17/SER_summary!P$27)</f>
        <v>23.885488895838243</v>
      </c>
      <c r="Q17" s="132">
        <f>IF(SER_hh_tesh_in!Q17=0,0,SER_hh_tesh_in!Q17/SER_summary!Q$27)</f>
        <v>24.218059089238103</v>
      </c>
      <c r="R17" s="132">
        <f>IF(SER_hh_tesh_in!R17=0,0,SER_hh_tesh_in!R17/SER_summary!R$27)</f>
        <v>23.278534348575448</v>
      </c>
      <c r="S17" s="132">
        <f>IF(SER_hh_tesh_in!S17=0,0,SER_hh_tesh_in!S17/SER_summary!S$27)</f>
        <v>23.121629393473288</v>
      </c>
      <c r="T17" s="132">
        <f>IF(SER_hh_tesh_in!T17=0,0,SER_hh_tesh_in!T17/SER_summary!T$27)</f>
        <v>22.791908299218886</v>
      </c>
      <c r="U17" s="132">
        <f>IF(SER_hh_tesh_in!U17=0,0,SER_hh_tesh_in!U17/SER_summary!U$27)</f>
        <v>21.908710588813427</v>
      </c>
      <c r="V17" s="132">
        <f>IF(SER_hh_tesh_in!V17=0,0,SER_hh_tesh_in!V17/SER_summary!V$27)</f>
        <v>21.273270206931215</v>
      </c>
      <c r="W17" s="132">
        <f>IF(SER_hh_tesh_in!W17=0,0,SER_hh_tesh_in!W17/SER_summary!W$27)</f>
        <v>20.068860720949115</v>
      </c>
      <c r="X17" s="132">
        <f>IF(SER_hh_tesh_in!X17=0,0,SER_hh_tesh_in!X17/SER_summary!X$27)</f>
        <v>15.249406478377415</v>
      </c>
      <c r="Y17" s="132">
        <f>IF(SER_hh_tesh_in!Y17=0,0,SER_hh_tesh_in!Y17/SER_summary!Y$27)</f>
        <v>14.843545317259945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28.608795403014213</v>
      </c>
      <c r="D18" s="132">
        <f>IF(SER_hh_tesh_in!D18=0,0,SER_hh_tesh_in!D18/SER_summary!D$27)</f>
        <v>28.140226730986683</v>
      </c>
      <c r="E18" s="132">
        <f>IF(SER_hh_tesh_in!E18=0,0,SER_hh_tesh_in!E18/SER_summary!E$27)</f>
        <v>30.645109662688863</v>
      </c>
      <c r="F18" s="132">
        <f>IF(SER_hh_tesh_in!F18=0,0,SER_hh_tesh_in!F18/SER_summary!F$27)</f>
        <v>27.727734119158704</v>
      </c>
      <c r="G18" s="132">
        <f>IF(SER_hh_tesh_in!G18=0,0,SER_hh_tesh_in!G18/SER_summary!G$27)</f>
        <v>27.179581511394726</v>
      </c>
      <c r="H18" s="132">
        <f>IF(SER_hh_tesh_in!H18=0,0,SER_hh_tesh_in!H18/SER_summary!H$27)</f>
        <v>29.581546281896635</v>
      </c>
      <c r="I18" s="132">
        <f>IF(SER_hh_tesh_in!I18=0,0,SER_hh_tesh_in!I18/SER_summary!I$27)</f>
        <v>26.904763729287552</v>
      </c>
      <c r="J18" s="132">
        <f>IF(SER_hh_tesh_in!J18=0,0,SER_hh_tesh_in!J18/SER_summary!J$27)</f>
        <v>26.746889988759353</v>
      </c>
      <c r="K18" s="132">
        <f>IF(SER_hh_tesh_in!K18=0,0,SER_hh_tesh_in!K18/SER_summary!K$27)</f>
        <v>26.401110344916361</v>
      </c>
      <c r="L18" s="132">
        <f>IF(SER_hh_tesh_in!L18=0,0,SER_hh_tesh_in!L18/SER_summary!L$27)</f>
        <v>26.911859351703587</v>
      </c>
      <c r="M18" s="132">
        <f>IF(SER_hh_tesh_in!M18=0,0,SER_hh_tesh_in!M18/SER_summary!M$27)</f>
        <v>25.661862169783742</v>
      </c>
      <c r="N18" s="132">
        <f>IF(SER_hh_tesh_in!N18=0,0,SER_hh_tesh_in!N18/SER_summary!N$27)</f>
        <v>25.272106517674668</v>
      </c>
      <c r="O18" s="132">
        <f>IF(SER_hh_tesh_in!O18=0,0,SER_hh_tesh_in!O18/SER_summary!O$27)</f>
        <v>24.82563723139662</v>
      </c>
      <c r="P18" s="132">
        <f>IF(SER_hh_tesh_in!P18=0,0,SER_hh_tesh_in!P18/SER_summary!P$27)</f>
        <v>23.894412144471744</v>
      </c>
      <c r="Q18" s="132">
        <f>IF(SER_hh_tesh_in!Q18=0,0,SER_hh_tesh_in!Q18/SER_summary!Q$27)</f>
        <v>24.348036105854632</v>
      </c>
      <c r="R18" s="132">
        <f>IF(SER_hh_tesh_in!R18=0,0,SER_hh_tesh_in!R18/SER_summary!R$27)</f>
        <v>22.993510414783813</v>
      </c>
      <c r="S18" s="132">
        <f>IF(SER_hh_tesh_in!S18=0,0,SER_hh_tesh_in!S18/SER_summary!S$27)</f>
        <v>21.741855395476794</v>
      </c>
      <c r="T18" s="132">
        <f>IF(SER_hh_tesh_in!T18=0,0,SER_hh_tesh_in!T18/SER_summary!T$27)</f>
        <v>23.132884148389603</v>
      </c>
      <c r="U18" s="132">
        <f>IF(SER_hh_tesh_in!U18=0,0,SER_hh_tesh_in!U18/SER_summary!U$27)</f>
        <v>21.783051901443688</v>
      </c>
      <c r="V18" s="132">
        <f>IF(SER_hh_tesh_in!V18=0,0,SER_hh_tesh_in!V18/SER_summary!V$27)</f>
        <v>20.125000653659811</v>
      </c>
      <c r="W18" s="132">
        <f>IF(SER_hh_tesh_in!W18=0,0,SER_hh_tesh_in!W18/SER_summary!W$27)</f>
        <v>16.356779699340141</v>
      </c>
      <c r="X18" s="132">
        <f>IF(SER_hh_tesh_in!X18=0,0,SER_hh_tesh_in!X18/SER_summary!X$27)</f>
        <v>15.065622823274539</v>
      </c>
      <c r="Y18" s="132">
        <f>IF(SER_hh_tesh_in!Y18=0,0,SER_hh_tesh_in!Y18/SER_summary!Y$27)</f>
        <v>14.877454882637918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16.902594830615946</v>
      </c>
      <c r="D19" s="130">
        <f>IF(SER_hh_tesh_in!D19=0,0,SER_hh_tesh_in!D19/SER_summary!D$27)</f>
        <v>16.889103216320905</v>
      </c>
      <c r="E19" s="130">
        <f>IF(SER_hh_tesh_in!E19=0,0,SER_hh_tesh_in!E19/SER_summary!E$27)</f>
        <v>16.678852500248119</v>
      </c>
      <c r="F19" s="130">
        <f>IF(SER_hh_tesh_in!F19=0,0,SER_hh_tesh_in!F19/SER_summary!F$27)</f>
        <v>16.709816875706078</v>
      </c>
      <c r="G19" s="130">
        <f>IF(SER_hh_tesh_in!G19=0,0,SER_hh_tesh_in!G19/SER_summary!G$27)</f>
        <v>16.438864961941711</v>
      </c>
      <c r="H19" s="130">
        <f>IF(SER_hh_tesh_in!H19=0,0,SER_hh_tesh_in!H19/SER_summary!H$27)</f>
        <v>15.965487938722893</v>
      </c>
      <c r="I19" s="130">
        <f>IF(SER_hh_tesh_in!I19=0,0,SER_hh_tesh_in!I19/SER_summary!I$27)</f>
        <v>15.436028221044955</v>
      </c>
      <c r="J19" s="130">
        <f>IF(SER_hh_tesh_in!J19=0,0,SER_hh_tesh_in!J19/SER_summary!J$27)</f>
        <v>15.124405267612152</v>
      </c>
      <c r="K19" s="130">
        <f>IF(SER_hh_tesh_in!K19=0,0,SER_hh_tesh_in!K19/SER_summary!K$27)</f>
        <v>15.218319641946895</v>
      </c>
      <c r="L19" s="130">
        <f>IF(SER_hh_tesh_in!L19=0,0,SER_hh_tesh_in!L19/SER_summary!L$27)</f>
        <v>15.035076849490597</v>
      </c>
      <c r="M19" s="130">
        <f>IF(SER_hh_tesh_in!M19=0,0,SER_hh_tesh_in!M19/SER_summary!M$27)</f>
        <v>14.855937416108457</v>
      </c>
      <c r="N19" s="130">
        <f>IF(SER_hh_tesh_in!N19=0,0,SER_hh_tesh_in!N19/SER_summary!N$27)</f>
        <v>14.901199201456789</v>
      </c>
      <c r="O19" s="130">
        <f>IF(SER_hh_tesh_in!O19=0,0,SER_hh_tesh_in!O19/SER_summary!O$27)</f>
        <v>14.762336498721533</v>
      </c>
      <c r="P19" s="130">
        <f>IF(SER_hh_tesh_in!P19=0,0,SER_hh_tesh_in!P19/SER_summary!P$27)</f>
        <v>14.803806238460044</v>
      </c>
      <c r="Q19" s="130">
        <f>IF(SER_hh_tesh_in!Q19=0,0,SER_hh_tesh_in!Q19/SER_summary!Q$27)</f>
        <v>14.729008108341693</v>
      </c>
      <c r="R19" s="130">
        <f>IF(SER_hh_tesh_in!R19=0,0,SER_hh_tesh_in!R19/SER_summary!R$27)</f>
        <v>14.368376601732251</v>
      </c>
      <c r="S19" s="130">
        <f>IF(SER_hh_tesh_in!S19=0,0,SER_hh_tesh_in!S19/SER_summary!S$27)</f>
        <v>14.336179299325254</v>
      </c>
      <c r="T19" s="130">
        <f>IF(SER_hh_tesh_in!T19=0,0,SER_hh_tesh_in!T19/SER_summary!T$27)</f>
        <v>14.109231590329818</v>
      </c>
      <c r="U19" s="130">
        <f>IF(SER_hh_tesh_in!U19=0,0,SER_hh_tesh_in!U19/SER_summary!U$27)</f>
        <v>13.904840218061302</v>
      </c>
      <c r="V19" s="130">
        <f>IF(SER_hh_tesh_in!V19=0,0,SER_hh_tesh_in!V19/SER_summary!V$27)</f>
        <v>13.86063342908291</v>
      </c>
      <c r="W19" s="130">
        <f>IF(SER_hh_tesh_in!W19=0,0,SER_hh_tesh_in!W19/SER_summary!W$27)</f>
        <v>13.815162984448094</v>
      </c>
      <c r="X19" s="130">
        <f>IF(SER_hh_tesh_in!X19=0,0,SER_hh_tesh_in!X19/SER_summary!X$27)</f>
        <v>13.68761867588587</v>
      </c>
      <c r="Y19" s="130">
        <f>IF(SER_hh_tesh_in!Y19=0,0,SER_hh_tesh_in!Y19/SER_summary!Y$27)</f>
        <v>13.827688936759428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16.882484492295379</v>
      </c>
      <c r="D22" s="132">
        <f>IF(SER_hh_tesh_in!D22=0,0,SER_hh_tesh_in!D22/SER_summary!D$27)</f>
        <v>16.486094137764166</v>
      </c>
      <c r="E22" s="132">
        <f>IF(SER_hh_tesh_in!E22=0,0,SER_hh_tesh_in!E22/SER_summary!E$27)</f>
        <v>16.431368028808453</v>
      </c>
      <c r="F22" s="132">
        <f>IF(SER_hh_tesh_in!F22=0,0,SER_hh_tesh_in!F22/SER_summary!F$27)</f>
        <v>16.236497057910757</v>
      </c>
      <c r="G22" s="132">
        <f>IF(SER_hh_tesh_in!G22=0,0,SER_hh_tesh_in!G22/SER_summary!G$27)</f>
        <v>16.223379881629487</v>
      </c>
      <c r="H22" s="132">
        <f>IF(SER_hh_tesh_in!H22=0,0,SER_hh_tesh_in!H22/SER_summary!H$27)</f>
        <v>15.800910676865119</v>
      </c>
      <c r="I22" s="132">
        <f>IF(SER_hh_tesh_in!I22=0,0,SER_hh_tesh_in!I22/SER_summary!I$27)</f>
        <v>15.353057633512623</v>
      </c>
      <c r="J22" s="132">
        <f>IF(SER_hh_tesh_in!J22=0,0,SER_hh_tesh_in!J22/SER_summary!J$27)</f>
        <v>15.300804887835278</v>
      </c>
      <c r="K22" s="132">
        <f>IF(SER_hh_tesh_in!K22=0,0,SER_hh_tesh_in!K22/SER_summary!K$27)</f>
        <v>14.675173906935292</v>
      </c>
      <c r="L22" s="132">
        <f>IF(SER_hh_tesh_in!L22=0,0,SER_hh_tesh_in!L22/SER_summary!L$27)</f>
        <v>14.912851379512487</v>
      </c>
      <c r="M22" s="132">
        <f>IF(SER_hh_tesh_in!M22=0,0,SER_hh_tesh_in!M22/SER_summary!M$27)</f>
        <v>14.561217638617022</v>
      </c>
      <c r="N22" s="132">
        <f>IF(SER_hh_tesh_in!N22=0,0,SER_hh_tesh_in!N22/SER_summary!N$27)</f>
        <v>14.598705271060606</v>
      </c>
      <c r="O22" s="132">
        <f>IF(SER_hh_tesh_in!O22=0,0,SER_hh_tesh_in!O22/SER_summary!O$27)</f>
        <v>14.194338008462111</v>
      </c>
      <c r="P22" s="132">
        <f>IF(SER_hh_tesh_in!P22=0,0,SER_hh_tesh_in!P22/SER_summary!P$27)</f>
        <v>14.141168362580352</v>
      </c>
      <c r="Q22" s="132">
        <f>IF(SER_hh_tesh_in!Q22=0,0,SER_hh_tesh_in!Q22/SER_summary!Q$27)</f>
        <v>14.719013695325442</v>
      </c>
      <c r="R22" s="132">
        <f>IF(SER_hh_tesh_in!R22=0,0,SER_hh_tesh_in!R22/SER_summary!R$27)</f>
        <v>14.205262431194125</v>
      </c>
      <c r="S22" s="132">
        <f>IF(SER_hh_tesh_in!S22=0,0,SER_hh_tesh_in!S22/SER_summary!S$27)</f>
        <v>14.013665544326686</v>
      </c>
      <c r="T22" s="132">
        <f>IF(SER_hh_tesh_in!T22=0,0,SER_hh_tesh_in!T22/SER_summary!T$27)</f>
        <v>14.074806185665841</v>
      </c>
      <c r="U22" s="132">
        <f>IF(SER_hh_tesh_in!U22=0,0,SER_hh_tesh_in!U22/SER_summary!U$27)</f>
        <v>13.966063101229221</v>
      </c>
      <c r="V22" s="132">
        <f>IF(SER_hh_tesh_in!V22=0,0,SER_hh_tesh_in!V22/SER_summary!V$27)</f>
        <v>13.469622528170088</v>
      </c>
      <c r="W22" s="132">
        <f>IF(SER_hh_tesh_in!W22=0,0,SER_hh_tesh_in!W22/SER_summary!W$27)</f>
        <v>14.11026207406657</v>
      </c>
      <c r="X22" s="132">
        <f>IF(SER_hh_tesh_in!X22=0,0,SER_hh_tesh_in!X22/SER_summary!X$27)</f>
        <v>13.232203535650546</v>
      </c>
      <c r="Y22" s="132">
        <f>IF(SER_hh_tesh_in!Y22=0,0,SER_hh_tesh_in!Y22/SER_summary!Y$27)</f>
        <v>13.624156080144473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16.692027602102733</v>
      </c>
      <c r="D23" s="132">
        <f>IF(SER_hh_tesh_in!D23=0,0,SER_hh_tesh_in!D23/SER_summary!D$27)</f>
        <v>17.142837890764682</v>
      </c>
      <c r="E23" s="132">
        <f>IF(SER_hh_tesh_in!E23=0,0,SER_hh_tesh_in!E23/SER_summary!E$27)</f>
        <v>16.542690949001742</v>
      </c>
      <c r="F23" s="132">
        <f>IF(SER_hh_tesh_in!F23=0,0,SER_hh_tesh_in!F23/SER_summary!F$27)</f>
        <v>16.166142028657191</v>
      </c>
      <c r="G23" s="132">
        <f>IF(SER_hh_tesh_in!G23=0,0,SER_hh_tesh_in!G23/SER_summary!G$27)</f>
        <v>16.166326247347921</v>
      </c>
      <c r="H23" s="132">
        <f>IF(SER_hh_tesh_in!H23=0,0,SER_hh_tesh_in!H23/SER_summary!H$27)</f>
        <v>15.978469076115539</v>
      </c>
      <c r="I23" s="132">
        <f>IF(SER_hh_tesh_in!I23=0,0,SER_hh_tesh_in!I23/SER_summary!I$27)</f>
        <v>15.383192800832372</v>
      </c>
      <c r="J23" s="132">
        <f>IF(SER_hh_tesh_in!J23=0,0,SER_hh_tesh_in!J23/SER_summary!J$27)</f>
        <v>15.129448137252018</v>
      </c>
      <c r="K23" s="132">
        <f>IF(SER_hh_tesh_in!K23=0,0,SER_hh_tesh_in!K23/SER_summary!K$27)</f>
        <v>14.590471998561442</v>
      </c>
      <c r="L23" s="132">
        <f>IF(SER_hh_tesh_in!L23=0,0,SER_hh_tesh_in!L23/SER_summary!L$27)</f>
        <v>14.92518816355912</v>
      </c>
      <c r="M23" s="132">
        <f>IF(SER_hh_tesh_in!M23=0,0,SER_hh_tesh_in!M23/SER_summary!M$27)</f>
        <v>14.330229629117138</v>
      </c>
      <c r="N23" s="132">
        <f>IF(SER_hh_tesh_in!N23=0,0,SER_hh_tesh_in!N23/SER_summary!N$27)</f>
        <v>14.906384526912063</v>
      </c>
      <c r="O23" s="132">
        <f>IF(SER_hh_tesh_in!O23=0,0,SER_hh_tesh_in!O23/SER_summary!O$27)</f>
        <v>14.715279666470098</v>
      </c>
      <c r="P23" s="132">
        <f>IF(SER_hh_tesh_in!P23=0,0,SER_hh_tesh_in!P23/SER_summary!P$27)</f>
        <v>14.332305017190384</v>
      </c>
      <c r="Q23" s="132">
        <f>IF(SER_hh_tesh_in!Q23=0,0,SER_hh_tesh_in!Q23/SER_summary!Q$27)</f>
        <v>14.102302581889992</v>
      </c>
      <c r="R23" s="132">
        <f>IF(SER_hh_tesh_in!R23=0,0,SER_hh_tesh_in!R23/SER_summary!R$27)</f>
        <v>13.920660260706876</v>
      </c>
      <c r="S23" s="132">
        <f>IF(SER_hh_tesh_in!S23=0,0,SER_hh_tesh_in!S23/SER_summary!S$27)</f>
        <v>14.426268296206043</v>
      </c>
      <c r="T23" s="132">
        <f>IF(SER_hh_tesh_in!T23=0,0,SER_hh_tesh_in!T23/SER_summary!T$27)</f>
        <v>14.477748416360926</v>
      </c>
      <c r="U23" s="132">
        <f>IF(SER_hh_tesh_in!U23=0,0,SER_hh_tesh_in!U23/SER_summary!U$27)</f>
        <v>14.513130802199045</v>
      </c>
      <c r="V23" s="132">
        <f>IF(SER_hh_tesh_in!V23=0,0,SER_hh_tesh_in!V23/SER_summary!V$27)</f>
        <v>12.817694913745555</v>
      </c>
      <c r="W23" s="132">
        <f>IF(SER_hh_tesh_in!W23=0,0,SER_hh_tesh_in!W23/SER_summary!W$27)</f>
        <v>13.319348874174795</v>
      </c>
      <c r="X23" s="132">
        <f>IF(SER_hh_tesh_in!X23=0,0,SER_hh_tesh_in!X23/SER_summary!X$27)</f>
        <v>13.564883830257857</v>
      </c>
      <c r="Y23" s="132">
        <f>IF(SER_hh_tesh_in!Y23=0,0,SER_hh_tesh_in!Y23/SER_summary!Y$27)</f>
        <v>13.750061982945832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16.871975531808499</v>
      </c>
      <c r="D25" s="132">
        <f>IF(SER_hh_tesh_in!D25=0,0,SER_hh_tesh_in!D25/SER_summary!D$27)</f>
        <v>16.636528365353545</v>
      </c>
      <c r="E25" s="132">
        <f>IF(SER_hh_tesh_in!E25=0,0,SER_hh_tesh_in!E25/SER_summary!E$27)</f>
        <v>16.517433249255312</v>
      </c>
      <c r="F25" s="132">
        <f>IF(SER_hh_tesh_in!F25=0,0,SER_hh_tesh_in!F25/SER_summary!F$27)</f>
        <v>16.100154587378995</v>
      </c>
      <c r="G25" s="132">
        <f>IF(SER_hh_tesh_in!G25=0,0,SER_hh_tesh_in!G25/SER_summary!G$27)</f>
        <v>16.109498908622331</v>
      </c>
      <c r="H25" s="132">
        <f>IF(SER_hh_tesh_in!H25=0,0,SER_hh_tesh_in!H25/SER_summary!H$27)</f>
        <v>15.79588747265554</v>
      </c>
      <c r="I25" s="132">
        <f>IF(SER_hh_tesh_in!I25=0,0,SER_hh_tesh_in!I25/SER_summary!I$27)</f>
        <v>15.391723313762043</v>
      </c>
      <c r="J25" s="132">
        <f>IF(SER_hh_tesh_in!J25=0,0,SER_hh_tesh_in!J25/SER_summary!J$27)</f>
        <v>15.11143232509637</v>
      </c>
      <c r="K25" s="132">
        <f>IF(SER_hh_tesh_in!K25=0,0,SER_hh_tesh_in!K25/SER_summary!K$27)</f>
        <v>14.703621832024938</v>
      </c>
      <c r="L25" s="132">
        <f>IF(SER_hh_tesh_in!L25=0,0,SER_hh_tesh_in!L25/SER_summary!L$27)</f>
        <v>15.092363868695571</v>
      </c>
      <c r="M25" s="132">
        <f>IF(SER_hh_tesh_in!M25=0,0,SER_hh_tesh_in!M25/SER_summary!M$27)</f>
        <v>14.802774256544048</v>
      </c>
      <c r="N25" s="132">
        <f>IF(SER_hh_tesh_in!N25=0,0,SER_hh_tesh_in!N25/SER_summary!N$27)</f>
        <v>14.850646381067941</v>
      </c>
      <c r="O25" s="132">
        <f>IF(SER_hh_tesh_in!O25=0,0,SER_hh_tesh_in!O25/SER_summary!O$27)</f>
        <v>14.327898297838722</v>
      </c>
      <c r="P25" s="132">
        <f>IF(SER_hh_tesh_in!P25=0,0,SER_hh_tesh_in!P25/SER_summary!P$27)</f>
        <v>0</v>
      </c>
      <c r="Q25" s="132">
        <f>IF(SER_hh_tesh_in!Q25=0,0,SER_hh_tesh_in!Q25/SER_summary!Q$27)</f>
        <v>14.346350814357534</v>
      </c>
      <c r="R25" s="132">
        <f>IF(SER_hh_tesh_in!R25=0,0,SER_hh_tesh_in!R25/SER_summary!R$27)</f>
        <v>14.00270521787168</v>
      </c>
      <c r="S25" s="132">
        <f>IF(SER_hh_tesh_in!S25=0,0,SER_hh_tesh_in!S25/SER_summary!S$27)</f>
        <v>14.017025545140777</v>
      </c>
      <c r="T25" s="132">
        <f>IF(SER_hh_tesh_in!T25=0,0,SER_hh_tesh_in!T25/SER_summary!T$27)</f>
        <v>14.142360455597546</v>
      </c>
      <c r="U25" s="132">
        <f>IF(SER_hh_tesh_in!U25=0,0,SER_hh_tesh_in!U25/SER_summary!U$27)</f>
        <v>13.910755202205754</v>
      </c>
      <c r="V25" s="132">
        <f>IF(SER_hh_tesh_in!V25=0,0,SER_hh_tesh_in!V25/SER_summary!V$27)</f>
        <v>13.673146622651949</v>
      </c>
      <c r="W25" s="132">
        <f>IF(SER_hh_tesh_in!W25=0,0,SER_hh_tesh_in!W25/SER_summary!W$27)</f>
        <v>13.524958137600489</v>
      </c>
      <c r="X25" s="132">
        <f>IF(SER_hh_tesh_in!X25=0,0,SER_hh_tesh_in!X25/SER_summary!X$27)</f>
        <v>13.471958123993206</v>
      </c>
      <c r="Y25" s="132">
        <f>IF(SER_hh_tesh_in!Y25=0,0,SER_hh_tesh_in!Y25/SER_summary!Y$27)</f>
        <v>13.601182568306292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16.384643542829018</v>
      </c>
      <c r="D26" s="65">
        <f>IF(SER_hh_tesh_in!D26=0,0,SER_hh_tesh_in!D26/SER_summary!D$27)</f>
        <v>14.082341313793529</v>
      </c>
      <c r="E26" s="65">
        <f>IF(SER_hh_tesh_in!E26=0,0,SER_hh_tesh_in!E26/SER_summary!E$27)</f>
        <v>14.621694451514106</v>
      </c>
      <c r="F26" s="65">
        <f>IF(SER_hh_tesh_in!F26=0,0,SER_hh_tesh_in!F26/SER_summary!F$27)</f>
        <v>12.805603226710813</v>
      </c>
      <c r="G26" s="65">
        <f>IF(SER_hh_tesh_in!G26=0,0,SER_hh_tesh_in!G26/SER_summary!G$27)</f>
        <v>15.390448950875991</v>
      </c>
      <c r="H26" s="65">
        <f>IF(SER_hh_tesh_in!H26=0,0,SER_hh_tesh_in!H26/SER_summary!H$27)</f>
        <v>15.346745160144348</v>
      </c>
      <c r="I26" s="65">
        <f>IF(SER_hh_tesh_in!I26=0,0,SER_hh_tesh_in!I26/SER_summary!I$27)</f>
        <v>14.464574177921998</v>
      </c>
      <c r="J26" s="65">
        <f>IF(SER_hh_tesh_in!J26=0,0,SER_hh_tesh_in!J26/SER_summary!J$27)</f>
        <v>14.949887916620675</v>
      </c>
      <c r="K26" s="65">
        <f>IF(SER_hh_tesh_in!K26=0,0,SER_hh_tesh_in!K26/SER_summary!K$27)</f>
        <v>7.9837538793803215</v>
      </c>
      <c r="L26" s="65">
        <f>IF(SER_hh_tesh_in!L26=0,0,SER_hh_tesh_in!L26/SER_summary!L$27)</f>
        <v>15.116724605163547</v>
      </c>
      <c r="M26" s="65">
        <f>IF(SER_hh_tesh_in!M26=0,0,SER_hh_tesh_in!M26/SER_summary!M$27)</f>
        <v>12.76309639029893</v>
      </c>
      <c r="N26" s="65">
        <f>IF(SER_hh_tesh_in!N26=0,0,SER_hh_tesh_in!N26/SER_summary!N$27)</f>
        <v>13.402684951299515</v>
      </c>
      <c r="O26" s="65">
        <f>IF(SER_hh_tesh_in!O26=0,0,SER_hh_tesh_in!O26/SER_summary!O$27)</f>
        <v>9.5232189027127063</v>
      </c>
      <c r="P26" s="65">
        <f>IF(SER_hh_tesh_in!P26=0,0,SER_hh_tesh_in!P26/SER_summary!P$27)</f>
        <v>10.805855643125543</v>
      </c>
      <c r="Q26" s="65">
        <f>IF(SER_hh_tesh_in!Q26=0,0,SER_hh_tesh_in!Q26/SER_summary!Q$27)</f>
        <v>14.426380052750092</v>
      </c>
      <c r="R26" s="65">
        <f>IF(SER_hh_tesh_in!R26=0,0,SER_hh_tesh_in!R26/SER_summary!R$27)</f>
        <v>11.544869516538986</v>
      </c>
      <c r="S26" s="65">
        <f>IF(SER_hh_tesh_in!S26=0,0,SER_hh_tesh_in!S26/SER_summary!S$27)</f>
        <v>12.392190196676154</v>
      </c>
      <c r="T26" s="65">
        <f>IF(SER_hh_tesh_in!T26=0,0,SER_hh_tesh_in!T26/SER_summary!T$27)</f>
        <v>12.768116443705097</v>
      </c>
      <c r="U26" s="65">
        <f>IF(SER_hh_tesh_in!U26=0,0,SER_hh_tesh_in!U26/SER_summary!U$27)</f>
        <v>12.619553898542788</v>
      </c>
      <c r="V26" s="65">
        <f>IF(SER_hh_tesh_in!V26=0,0,SER_hh_tesh_in!V26/SER_summary!V$27)</f>
        <v>12.849655474716078</v>
      </c>
      <c r="W26" s="65">
        <f>IF(SER_hh_tesh_in!W26=0,0,SER_hh_tesh_in!W26/SER_summary!W$27)</f>
        <v>13.948057855406979</v>
      </c>
      <c r="X26" s="65">
        <f>IF(SER_hh_tesh_in!X26=0,0,SER_hh_tesh_in!X26/SER_summary!X$27)</f>
        <v>11.96159990963422</v>
      </c>
      <c r="Y26" s="65">
        <f>IF(SER_hh_tesh_in!Y26=0,0,SER_hh_tesh_in!Y26/SER_summary!Y$27)</f>
        <v>11.781177654186507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0.36110122942820783</v>
      </c>
      <c r="D27" s="145">
        <f>IF(SER_hh_tesh_in!D27=0,0,SER_hh_tesh_in!D27/SER_summary!D$27)</f>
        <v>1.4126437400840695</v>
      </c>
      <c r="E27" s="145">
        <f>IF(SER_hh_tesh_in!E27=0,0,SER_hh_tesh_in!E27/SER_summary!E$27)</f>
        <v>1.2664696743589952</v>
      </c>
      <c r="F27" s="145">
        <f>IF(SER_hh_tesh_in!F27=0,0,SER_hh_tesh_in!F27/SER_summary!F$27)</f>
        <v>2.352161280493609</v>
      </c>
      <c r="G27" s="145">
        <f>IF(SER_hh_tesh_in!G27=0,0,SER_hh_tesh_in!G27/SER_summary!G$27)</f>
        <v>0.73221118358856296</v>
      </c>
      <c r="H27" s="145">
        <f>IF(SER_hh_tesh_in!H27=0,0,SER_hh_tesh_in!H27/SER_summary!H$27)</f>
        <v>0.37386267887633368</v>
      </c>
      <c r="I27" s="145">
        <f>IF(SER_hh_tesh_in!I27=0,0,SER_hh_tesh_in!I27/SER_summary!I$27)</f>
        <v>0.60933128158207872</v>
      </c>
      <c r="J27" s="145">
        <f>IF(SER_hh_tesh_in!J27=0,0,SER_hh_tesh_in!J27/SER_summary!J$27)</f>
        <v>9.0609269083854055E-2</v>
      </c>
      <c r="K27" s="145">
        <f>IF(SER_hh_tesh_in!K27=0,0,SER_hh_tesh_in!K27/SER_summary!K$27)</f>
        <v>3.6292423399866727</v>
      </c>
      <c r="L27" s="145">
        <f>IF(SER_hh_tesh_in!L27=0,0,SER_hh_tesh_in!L27/SER_summary!L$27)</f>
        <v>0</v>
      </c>
      <c r="M27" s="145">
        <f>IF(SER_hh_tesh_in!M27=0,0,SER_hh_tesh_in!M27/SER_summary!M$27)</f>
        <v>1.2783407714785369</v>
      </c>
      <c r="N27" s="145">
        <f>IF(SER_hh_tesh_in!N27=0,0,SER_hh_tesh_in!N27/SER_summary!N$27)</f>
        <v>0.69170946731465455</v>
      </c>
      <c r="O27" s="145">
        <f>IF(SER_hh_tesh_in!O27=0,0,SER_hh_tesh_in!O27/SER_summary!O$27)</f>
        <v>2.9107750419712035</v>
      </c>
      <c r="P27" s="145">
        <f>IF(SER_hh_tesh_in!P27=0,0,SER_hh_tesh_in!P27/SER_summary!P$27)</f>
        <v>3.1930504493465732</v>
      </c>
      <c r="Q27" s="145">
        <f>IF(SER_hh_tesh_in!Q27=0,0,SER_hh_tesh_in!Q27/SER_summary!Q$27)</f>
        <v>0.36190170104559827</v>
      </c>
      <c r="R27" s="145">
        <f>IF(SER_hh_tesh_in!R27=0,0,SER_hh_tesh_in!R27/SER_summary!R$27)</f>
        <v>1.6068972134095909</v>
      </c>
      <c r="S27" s="145">
        <f>IF(SER_hh_tesh_in!S27=0,0,SER_hh_tesh_in!S27/SER_summary!S$27)</f>
        <v>0.89195071441147233</v>
      </c>
      <c r="T27" s="145">
        <f>IF(SER_hh_tesh_in!T27=0,0,SER_hh_tesh_in!T27/SER_summary!T$27)</f>
        <v>0.71793227673448712</v>
      </c>
      <c r="U27" s="145">
        <f>IF(SER_hh_tesh_in!U27=0,0,SER_hh_tesh_in!U27/SER_summary!U$27)</f>
        <v>0.87687286314121604</v>
      </c>
      <c r="V27" s="145">
        <f>IF(SER_hh_tesh_in!V27=0,0,SER_hh_tesh_in!V27/SER_summary!V$27)</f>
        <v>0.94093660180618854</v>
      </c>
      <c r="W27" s="145">
        <f>IF(SER_hh_tesh_in!W27=0,0,SER_hh_tesh_in!W27/SER_summary!W$27)</f>
        <v>8.8013470594698569E-15</v>
      </c>
      <c r="X27" s="145">
        <f>IF(SER_hh_tesh_in!X27=0,0,SER_hh_tesh_in!X27/SER_summary!X$27)</f>
        <v>1.1306554904688615</v>
      </c>
      <c r="Y27" s="145">
        <f>IF(SER_hh_tesh_in!Y27=0,0,SER_hh_tesh_in!Y27/SER_summary!Y$27)</f>
        <v>1.1043873109296602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8.8912036816826454</v>
      </c>
      <c r="D28" s="146">
        <f>IF(SER_hh_tesh_in!D28=0,0,SER_hh_tesh_in!D28/SER_summary!D$27)</f>
        <v>8.4697969797025756</v>
      </c>
      <c r="E28" s="146">
        <f>IF(SER_hh_tesh_in!E28=0,0,SER_hh_tesh_in!E28/SER_summary!E$27)</f>
        <v>8.6458986600991405</v>
      </c>
      <c r="F28" s="146">
        <f>IF(SER_hh_tesh_in!F28=0,0,SER_hh_tesh_in!F28/SER_summary!F$27)</f>
        <v>8.7221106438604235</v>
      </c>
      <c r="G28" s="146">
        <f>IF(SER_hh_tesh_in!G28=0,0,SER_hh_tesh_in!G28/SER_summary!G$27)</f>
        <v>8.5210743185968987</v>
      </c>
      <c r="H28" s="146">
        <f>IF(SER_hh_tesh_in!H28=0,0,SER_hh_tesh_in!H28/SER_summary!H$27)</f>
        <v>8.4860456804268534</v>
      </c>
      <c r="I28" s="146">
        <f>IF(SER_hh_tesh_in!I28=0,0,SER_hh_tesh_in!I28/SER_summary!I$27)</f>
        <v>7.6953577970000069</v>
      </c>
      <c r="J28" s="146">
        <f>IF(SER_hh_tesh_in!J28=0,0,SER_hh_tesh_in!J28/SER_summary!J$27)</f>
        <v>8.3818284048204372</v>
      </c>
      <c r="K28" s="146">
        <f>IF(SER_hh_tesh_in!K28=0,0,SER_hh_tesh_in!K28/SER_summary!K$27)</f>
        <v>8.2159405519107054</v>
      </c>
      <c r="L28" s="146">
        <f>IF(SER_hh_tesh_in!L28=0,0,SER_hh_tesh_in!L28/SER_summary!L$27)</f>
        <v>0</v>
      </c>
      <c r="M28" s="146">
        <f>IF(SER_hh_tesh_in!M28=0,0,SER_hh_tesh_in!M28/SER_summary!M$27)</f>
        <v>8.6928179932428797</v>
      </c>
      <c r="N28" s="146">
        <f>IF(SER_hh_tesh_in!N28=0,0,SER_hh_tesh_in!N28/SER_summary!N$27)</f>
        <v>9.2247048515689176</v>
      </c>
      <c r="O28" s="146">
        <f>IF(SER_hh_tesh_in!O28=0,0,SER_hh_tesh_in!O28/SER_summary!O$27)</f>
        <v>8.945812555833534</v>
      </c>
      <c r="P28" s="146">
        <f>IF(SER_hh_tesh_in!P28=0,0,SER_hh_tesh_in!P28/SER_summary!P$27)</f>
        <v>8.5543102923604142</v>
      </c>
      <c r="Q28" s="146">
        <f>IF(SER_hh_tesh_in!Q28=0,0,SER_hh_tesh_in!Q28/SER_summary!Q$27)</f>
        <v>8.6073376757968134</v>
      </c>
      <c r="R28" s="146">
        <f>IF(SER_hh_tesh_in!R28=0,0,SER_hh_tesh_in!R28/SER_summary!R$27)</f>
        <v>8.1729157871250244</v>
      </c>
      <c r="S28" s="146">
        <f>IF(SER_hh_tesh_in!S28=0,0,SER_hh_tesh_in!S28/SER_summary!S$27)</f>
        <v>8.0974512695197625</v>
      </c>
      <c r="T28" s="146">
        <f>IF(SER_hh_tesh_in!T28=0,0,SER_hh_tesh_in!T28/SER_summary!T$27)</f>
        <v>8.2985189720941257</v>
      </c>
      <c r="U28" s="146">
        <f>IF(SER_hh_tesh_in!U28=0,0,SER_hh_tesh_in!U28/SER_summary!U$27)</f>
        <v>8.4655193280343148</v>
      </c>
      <c r="V28" s="146">
        <f>IF(SER_hh_tesh_in!V28=0,0,SER_hh_tesh_in!V28/SER_summary!V$27)</f>
        <v>8.4826352830564016</v>
      </c>
      <c r="W28" s="146">
        <f>IF(SER_hh_tesh_in!W28=0,0,SER_hh_tesh_in!W28/SER_summary!W$27)</f>
        <v>9.5037258816680694</v>
      </c>
      <c r="X28" s="146">
        <f>IF(SER_hh_tesh_in!X28=0,0,SER_hh_tesh_in!X28/SER_summary!X$27)</f>
        <v>9.0263164577011299</v>
      </c>
      <c r="Y28" s="146">
        <f>IF(SER_hh_tesh_in!Y28=0,0,SER_hh_tesh_in!Y28/SER_summary!Y$27)</f>
        <v>9.043856958650565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14.701106624303867</v>
      </c>
      <c r="D29" s="130">
        <f>IF(SER_hh_tesh_in!D29=0,0,SER_hh_tesh_in!D29/SER_summary!D$27)</f>
        <v>14.747676191497813</v>
      </c>
      <c r="E29" s="130">
        <f>IF(SER_hh_tesh_in!E29=0,0,SER_hh_tesh_in!E29/SER_summary!E$27)</f>
        <v>14.825989186372912</v>
      </c>
      <c r="F29" s="130">
        <f>IF(SER_hh_tesh_in!F29=0,0,SER_hh_tesh_in!F29/SER_summary!F$27)</f>
        <v>15.02703137389897</v>
      </c>
      <c r="G29" s="130">
        <f>IF(SER_hh_tesh_in!G29=0,0,SER_hh_tesh_in!G29/SER_summary!G$27)</f>
        <v>15.072742872696146</v>
      </c>
      <c r="H29" s="130">
        <f>IF(SER_hh_tesh_in!H29=0,0,SER_hh_tesh_in!H29/SER_summary!H$27)</f>
        <v>14.768391924613914</v>
      </c>
      <c r="I29" s="130">
        <f>IF(SER_hh_tesh_in!I29=0,0,SER_hh_tesh_in!I29/SER_summary!I$27)</f>
        <v>14.87600993057583</v>
      </c>
      <c r="J29" s="130">
        <f>IF(SER_hh_tesh_in!J29=0,0,SER_hh_tesh_in!J29/SER_summary!J$27)</f>
        <v>14.880791157494723</v>
      </c>
      <c r="K29" s="130">
        <f>IF(SER_hh_tesh_in!K29=0,0,SER_hh_tesh_in!K29/SER_summary!K$27)</f>
        <v>14.927496203810097</v>
      </c>
      <c r="L29" s="130">
        <f>IF(SER_hh_tesh_in!L29=0,0,SER_hh_tesh_in!L29/SER_summary!L$27)</f>
        <v>15.066697488122131</v>
      </c>
      <c r="M29" s="130">
        <f>IF(SER_hh_tesh_in!M29=0,0,SER_hh_tesh_in!M29/SER_summary!M$27)</f>
        <v>14.870484579980539</v>
      </c>
      <c r="N29" s="130">
        <f>IF(SER_hh_tesh_in!N29=0,0,SER_hh_tesh_in!N29/SER_summary!N$27)</f>
        <v>14.65504218280738</v>
      </c>
      <c r="O29" s="130">
        <f>IF(SER_hh_tesh_in!O29=0,0,SER_hh_tesh_in!O29/SER_summary!O$27)</f>
        <v>14.728070442176964</v>
      </c>
      <c r="P29" s="130">
        <f>IF(SER_hh_tesh_in!P29=0,0,SER_hh_tesh_in!P29/SER_summary!P$27)</f>
        <v>14.280709611929383</v>
      </c>
      <c r="Q29" s="130">
        <f>IF(SER_hh_tesh_in!Q29=0,0,SER_hh_tesh_in!Q29/SER_summary!Q$27)</f>
        <v>14.96029595387045</v>
      </c>
      <c r="R29" s="130">
        <f>IF(SER_hh_tesh_in!R29=0,0,SER_hh_tesh_in!R29/SER_summary!R$27)</f>
        <v>14.759089758781782</v>
      </c>
      <c r="S29" s="130">
        <f>IF(SER_hh_tesh_in!S29=0,0,SER_hh_tesh_in!S29/SER_summary!S$27)</f>
        <v>14.429376465544788</v>
      </c>
      <c r="T29" s="130">
        <f>IF(SER_hh_tesh_in!T29=0,0,SER_hh_tesh_in!T29/SER_summary!T$27)</f>
        <v>14.017486719241685</v>
      </c>
      <c r="U29" s="130">
        <f>IF(SER_hh_tesh_in!U29=0,0,SER_hh_tesh_in!U29/SER_summary!U$27)</f>
        <v>13.637771921048346</v>
      </c>
      <c r="V29" s="130">
        <f>IF(SER_hh_tesh_in!V29=0,0,SER_hh_tesh_in!V29/SER_summary!V$27)</f>
        <v>13.747073819563747</v>
      </c>
      <c r="W29" s="130">
        <f>IF(SER_hh_tesh_in!W29=0,0,SER_hh_tesh_in!W29/SER_summary!W$27)</f>
        <v>14.45928025547326</v>
      </c>
      <c r="X29" s="130">
        <f>IF(SER_hh_tesh_in!X29=0,0,SER_hh_tesh_in!X29/SER_summary!X$27)</f>
        <v>14.806082437535098</v>
      </c>
      <c r="Y29" s="130">
        <f>IF(SER_hh_tesh_in!Y29=0,0,SER_hh_tesh_in!Y29/SER_summary!Y$27)</f>
        <v>14.966921988501824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14.733397981174656</v>
      </c>
      <c r="D30" s="132">
        <f>IF(SER_hh_tesh_in!D30=0,0,SER_hh_tesh_in!D30/SER_summary!D$27)</f>
        <v>15.703613941737526</v>
      </c>
      <c r="E30" s="132">
        <f>IF(SER_hh_tesh_in!E30=0,0,SER_hh_tesh_in!E30/SER_summary!E$27)</f>
        <v>14.164275084511043</v>
      </c>
      <c r="F30" s="132">
        <f>IF(SER_hh_tesh_in!F30=0,0,SER_hh_tesh_in!F30/SER_summary!F$27)</f>
        <v>15.036044110481669</v>
      </c>
      <c r="G30" s="132">
        <f>IF(SER_hh_tesh_in!G30=0,0,SER_hh_tesh_in!G30/SER_summary!G$27)</f>
        <v>14.797739146127261</v>
      </c>
      <c r="H30" s="132">
        <f>IF(SER_hh_tesh_in!H30=0,0,SER_hh_tesh_in!H30/SER_summary!H$27)</f>
        <v>19.139862392228977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16.272111609637008</v>
      </c>
      <c r="L30" s="132">
        <f>IF(SER_hh_tesh_in!L30=0,0,SER_hh_tesh_in!L30/SER_summary!L$27)</f>
        <v>18.46449546566091</v>
      </c>
      <c r="M30" s="132">
        <f>IF(SER_hh_tesh_in!M30=0,0,SER_hh_tesh_in!M30/SER_summary!M$27)</f>
        <v>0</v>
      </c>
      <c r="N30" s="132">
        <f>IF(SER_hh_tesh_in!N30=0,0,SER_hh_tesh_in!N30/SER_summary!N$27)</f>
        <v>16.629965810455889</v>
      </c>
      <c r="O30" s="132">
        <f>IF(SER_hh_tesh_in!O30=0,0,SER_hh_tesh_in!O30/SER_summary!O$27)</f>
        <v>17.7387871319428</v>
      </c>
      <c r="P30" s="132">
        <f>IF(SER_hh_tesh_in!P30=0,0,SER_hh_tesh_in!P30/SER_summary!P$27)</f>
        <v>2.6882575921043448</v>
      </c>
      <c r="Q30" s="132">
        <f>IF(SER_hh_tesh_in!Q30=0,0,SER_hh_tesh_in!Q30/SER_summary!Q$27)</f>
        <v>18.123701087155649</v>
      </c>
      <c r="R30" s="132">
        <f>IF(SER_hh_tesh_in!R30=0,0,SER_hh_tesh_in!R30/SER_summary!R$27)</f>
        <v>16.21880979282798</v>
      </c>
      <c r="S30" s="132">
        <f>IF(SER_hh_tesh_in!S30=0,0,SER_hh_tesh_in!S30/SER_summary!S$27)</f>
        <v>14.295308729527401</v>
      </c>
      <c r="T30" s="132">
        <f>IF(SER_hh_tesh_in!T30=0,0,SER_hh_tesh_in!T30/SER_summary!T$27)</f>
        <v>13.967622386584933</v>
      </c>
      <c r="U30" s="132">
        <f>IF(SER_hh_tesh_in!U30=0,0,SER_hh_tesh_in!U30/SER_summary!U$27)</f>
        <v>13.524230844654285</v>
      </c>
      <c r="V30" s="132">
        <f>IF(SER_hh_tesh_in!V30=0,0,SER_hh_tesh_in!V30/SER_summary!V$27)</f>
        <v>13.429010596255718</v>
      </c>
      <c r="W30" s="132">
        <f>IF(SER_hh_tesh_in!W30=0,0,SER_hh_tesh_in!W30/SER_summary!W$27)</f>
        <v>15.913507311237304</v>
      </c>
      <c r="X30" s="132">
        <f>IF(SER_hh_tesh_in!X30=0,0,SER_hh_tesh_in!X30/SER_summary!X$27)</f>
        <v>14.139141280375956</v>
      </c>
      <c r="Y30" s="132">
        <f>IF(SER_hh_tesh_in!Y30=0,0,SER_hh_tesh_in!Y30/SER_summary!Y$27)</f>
        <v>14.740941702112925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14.79000678030817</v>
      </c>
      <c r="D31" s="132">
        <f>IF(SER_hh_tesh_in!D31=0,0,SER_hh_tesh_in!D31/SER_summary!D$27)</f>
        <v>14.622577686095516</v>
      </c>
      <c r="E31" s="132">
        <f>IF(SER_hh_tesh_in!E31=0,0,SER_hh_tesh_in!E31/SER_summary!E$27)</f>
        <v>15.062772765663741</v>
      </c>
      <c r="F31" s="132">
        <f>IF(SER_hh_tesh_in!F31=0,0,SER_hh_tesh_in!F31/SER_summary!F$27)</f>
        <v>15.004576813353808</v>
      </c>
      <c r="G31" s="132">
        <f>IF(SER_hh_tesh_in!G31=0,0,SER_hh_tesh_in!G31/SER_summary!G$27)</f>
        <v>14.958152027927143</v>
      </c>
      <c r="H31" s="132">
        <f>IF(SER_hh_tesh_in!H31=0,0,SER_hh_tesh_in!H31/SER_summary!H$27)</f>
        <v>13.952766274816943</v>
      </c>
      <c r="I31" s="132">
        <f>IF(SER_hh_tesh_in!I31=0,0,SER_hh_tesh_in!I31/SER_summary!I$27)</f>
        <v>15.241700893919791</v>
      </c>
      <c r="J31" s="132">
        <f>IF(SER_hh_tesh_in!J31=0,0,SER_hh_tesh_in!J31/SER_summary!J$27)</f>
        <v>15.530566251269553</v>
      </c>
      <c r="K31" s="132">
        <f>IF(SER_hh_tesh_in!K31=0,0,SER_hh_tesh_in!K31/SER_summary!K$27)</f>
        <v>14.664570384409386</v>
      </c>
      <c r="L31" s="132">
        <f>IF(SER_hh_tesh_in!L31=0,0,SER_hh_tesh_in!L31/SER_summary!L$27)</f>
        <v>14.182129907703764</v>
      </c>
      <c r="M31" s="132">
        <f>IF(SER_hh_tesh_in!M31=0,0,SER_hh_tesh_in!M31/SER_summary!M$27)</f>
        <v>15.32231817114126</v>
      </c>
      <c r="N31" s="132">
        <f>IF(SER_hh_tesh_in!N31=0,0,SER_hh_tesh_in!N31/SER_summary!N$27)</f>
        <v>14.437736712960936</v>
      </c>
      <c r="O31" s="132">
        <f>IF(SER_hh_tesh_in!O31=0,0,SER_hh_tesh_in!O31/SER_summary!O$27)</f>
        <v>14.464341610341288</v>
      </c>
      <c r="P31" s="132">
        <f>IF(SER_hh_tesh_in!P31=0,0,SER_hh_tesh_in!P31/SER_summary!P$27)</f>
        <v>16.160922168506328</v>
      </c>
      <c r="Q31" s="132">
        <f>IF(SER_hh_tesh_in!Q31=0,0,SER_hh_tesh_in!Q31/SER_summary!Q$27)</f>
        <v>14.310692413511878</v>
      </c>
      <c r="R31" s="132">
        <f>IF(SER_hh_tesh_in!R31=0,0,SER_hh_tesh_in!R31/SER_summary!R$27)</f>
        <v>14.618386092866562</v>
      </c>
      <c r="S31" s="132">
        <f>IF(SER_hh_tesh_in!S31=0,0,SER_hh_tesh_in!S31/SER_summary!S$27)</f>
        <v>15.07424714044974</v>
      </c>
      <c r="T31" s="132">
        <f>IF(SER_hh_tesh_in!T31=0,0,SER_hh_tesh_in!T31/SER_summary!T$27)</f>
        <v>13.960741782989784</v>
      </c>
      <c r="U31" s="132">
        <f>IF(SER_hh_tesh_in!U31=0,0,SER_hh_tesh_in!U31/SER_summary!U$27)</f>
        <v>12.335067292123528</v>
      </c>
      <c r="V31" s="132">
        <f>IF(SER_hh_tesh_in!V31=0,0,SER_hh_tesh_in!V31/SER_summary!V$27)</f>
        <v>13.714496332081556</v>
      </c>
      <c r="W31" s="132">
        <f>IF(SER_hh_tesh_in!W31=0,0,SER_hh_tesh_in!W31/SER_summary!W$27)</f>
        <v>14.730624833898984</v>
      </c>
      <c r="X31" s="132">
        <f>IF(SER_hh_tesh_in!X31=0,0,SER_hh_tesh_in!X31/SER_summary!X$27)</f>
        <v>14.737473905044197</v>
      </c>
      <c r="Y31" s="132">
        <f>IF(SER_hh_tesh_in!Y31=0,0,SER_hh_tesh_in!Y31/SER_summary!Y$27)</f>
        <v>14.951547089861053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14.65250151608015</v>
      </c>
      <c r="D33" s="68">
        <f>IF(SER_hh_tesh_in!D33=0,0,SER_hh_tesh_in!D33/SER_summary!D$27)</f>
        <v>14.66521278383151</v>
      </c>
      <c r="E33" s="68">
        <f>IF(SER_hh_tesh_in!E33=0,0,SER_hh_tesh_in!E33/SER_summary!E$27)</f>
        <v>14.772426213354969</v>
      </c>
      <c r="F33" s="68">
        <f>IF(SER_hh_tesh_in!F33=0,0,SER_hh_tesh_in!F33/SER_summary!F$27)</f>
        <v>15.037363002199823</v>
      </c>
      <c r="G33" s="68">
        <f>IF(SER_hh_tesh_in!G33=0,0,SER_hh_tesh_in!G33/SER_summary!G$27)</f>
        <v>15.148281788657421</v>
      </c>
      <c r="H33" s="68">
        <f>IF(SER_hh_tesh_in!H33=0,0,SER_hh_tesh_in!H33/SER_summary!H$27)</f>
        <v>14.881493638686779</v>
      </c>
      <c r="I33" s="68">
        <f>IF(SER_hh_tesh_in!I33=0,0,SER_hh_tesh_in!I33/SER_summary!I$27)</f>
        <v>14.672862145594133</v>
      </c>
      <c r="J33" s="68">
        <f>IF(SER_hh_tesh_in!J33=0,0,SER_hh_tesh_in!J33/SER_summary!J$27)</f>
        <v>14.551671413914272</v>
      </c>
      <c r="K33" s="68">
        <f>IF(SER_hh_tesh_in!K33=0,0,SER_hh_tesh_in!K33/SER_summary!K$27)</f>
        <v>14.902679309403421</v>
      </c>
      <c r="L33" s="68">
        <f>IF(SER_hh_tesh_in!L33=0,0,SER_hh_tesh_in!L33/SER_summary!L$27)</f>
        <v>14.937784106268222</v>
      </c>
      <c r="M33" s="68">
        <f>IF(SER_hh_tesh_in!M33=0,0,SER_hh_tesh_in!M33/SER_summary!M$27)</f>
        <v>14.672670763259712</v>
      </c>
      <c r="N33" s="68">
        <f>IF(SER_hh_tesh_in!N33=0,0,SER_hh_tesh_in!N33/SER_summary!N$27)</f>
        <v>14.710040054112815</v>
      </c>
      <c r="O33" s="68">
        <f>IF(SER_hh_tesh_in!O33=0,0,SER_hh_tesh_in!O33/SER_summary!O$27)</f>
        <v>14.742179396363362</v>
      </c>
      <c r="P33" s="68">
        <f>IF(SER_hh_tesh_in!P33=0,0,SER_hh_tesh_in!P33/SER_summary!P$27)</f>
        <v>15.001543382888679</v>
      </c>
      <c r="Q33" s="68">
        <f>IF(SER_hh_tesh_in!Q33=0,0,SER_hh_tesh_in!Q33/SER_summary!Q$27)</f>
        <v>14.872510159056057</v>
      </c>
      <c r="R33" s="68">
        <f>IF(SER_hh_tesh_in!R33=0,0,SER_hh_tesh_in!R33/SER_summary!R$27)</f>
        <v>14.617588476609251</v>
      </c>
      <c r="S33" s="68">
        <f>IF(SER_hh_tesh_in!S33=0,0,SER_hh_tesh_in!S33/SER_summary!S$27)</f>
        <v>14.332627591583073</v>
      </c>
      <c r="T33" s="68">
        <f>IF(SER_hh_tesh_in!T33=0,0,SER_hh_tesh_in!T33/SER_summary!T$27)</f>
        <v>14.028307557000954</v>
      </c>
      <c r="U33" s="68">
        <f>IF(SER_hh_tesh_in!U33=0,0,SER_hh_tesh_in!U33/SER_summary!U$27)</f>
        <v>13.882888734263734</v>
      </c>
      <c r="V33" s="68">
        <f>IF(SER_hh_tesh_in!V33=0,0,SER_hh_tesh_in!V33/SER_summary!V$27)</f>
        <v>13.777631860767768</v>
      </c>
      <c r="W33" s="68">
        <f>IF(SER_hh_tesh_in!W33=0,0,SER_hh_tesh_in!W33/SER_summary!W$27)</f>
        <v>14.223321647480679</v>
      </c>
      <c r="X33" s="68">
        <f>IF(SER_hh_tesh_in!X33=0,0,SER_hh_tesh_in!X33/SER_summary!X$27)</f>
        <v>14.848247504012978</v>
      </c>
      <c r="Y33" s="68">
        <f>IF(SER_hh_tesh_in!Y33=0,0,SER_hh_tesh_in!Y33/SER_summary!Y$27)</f>
        <v>14.972740709192337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21.425089198198098</v>
      </c>
      <c r="D3" s="125">
        <f>IF(SER_hh_emih_in!D3=0,0,SER_hh_emih_in!D3/SER_summary!D$27)</f>
        <v>20.524602581621689</v>
      </c>
      <c r="E3" s="125">
        <f>IF(SER_hh_emih_in!E3=0,0,SER_hh_emih_in!E3/SER_summary!E$27)</f>
        <v>21.997391343448069</v>
      </c>
      <c r="F3" s="125">
        <f>IF(SER_hh_emih_in!F3=0,0,SER_hh_emih_in!F3/SER_summary!F$27)</f>
        <v>25.446912465586525</v>
      </c>
      <c r="G3" s="125">
        <f>IF(SER_hh_emih_in!G3=0,0,SER_hh_emih_in!G3/SER_summary!G$27)</f>
        <v>21.012543542691635</v>
      </c>
      <c r="H3" s="125">
        <f>IF(SER_hh_emih_in!H3=0,0,SER_hh_emih_in!H3/SER_summary!H$27)</f>
        <v>21.032774218680185</v>
      </c>
      <c r="I3" s="125">
        <f>IF(SER_hh_emih_in!I3=0,0,SER_hh_emih_in!I3/SER_summary!I$27)</f>
        <v>18.781351774992103</v>
      </c>
      <c r="J3" s="125">
        <f>IF(SER_hh_emih_in!J3=0,0,SER_hh_emih_in!J3/SER_summary!J$27)</f>
        <v>20.795268970642145</v>
      </c>
      <c r="K3" s="125">
        <f>IF(SER_hh_emih_in!K3=0,0,SER_hh_emih_in!K3/SER_summary!K$27)</f>
        <v>21.046187400400303</v>
      </c>
      <c r="L3" s="125">
        <f>IF(SER_hh_emih_in!L3=0,0,SER_hh_emih_in!L3/SER_summary!L$27)</f>
        <v>25.880904686329689</v>
      </c>
      <c r="M3" s="125">
        <f>IF(SER_hh_emih_in!M3=0,0,SER_hh_emih_in!M3/SER_summary!M$27)</f>
        <v>18.382498440314134</v>
      </c>
      <c r="N3" s="125">
        <f>IF(SER_hh_emih_in!N3=0,0,SER_hh_emih_in!N3/SER_summary!N$27)</f>
        <v>20.687319225496385</v>
      </c>
      <c r="O3" s="125">
        <f>IF(SER_hh_emih_in!O3=0,0,SER_hh_emih_in!O3/SER_summary!O$27)</f>
        <v>18.933183188805828</v>
      </c>
      <c r="P3" s="125">
        <f>IF(SER_hh_emih_in!P3=0,0,SER_hh_emih_in!P3/SER_summary!P$27)</f>
        <v>12.752931934728206</v>
      </c>
      <c r="Q3" s="125">
        <f>IF(SER_hh_emih_in!Q3=0,0,SER_hh_emih_in!Q3/SER_summary!Q$27)</f>
        <v>12.593904320631102</v>
      </c>
      <c r="R3" s="125">
        <f>IF(SER_hh_emih_in!R3=0,0,SER_hh_emih_in!R3/SER_summary!R$27)</f>
        <v>11.80209112071412</v>
      </c>
      <c r="S3" s="125">
        <f>IF(SER_hh_emih_in!S3=0,0,SER_hh_emih_in!S3/SER_summary!S$27)</f>
        <v>9.4846697171521797</v>
      </c>
      <c r="T3" s="125">
        <f>IF(SER_hh_emih_in!T3=0,0,SER_hh_emih_in!T3/SER_summary!T$27)</f>
        <v>8.2005572648092926</v>
      </c>
      <c r="U3" s="125">
        <f>IF(SER_hh_emih_in!U3=0,0,SER_hh_emih_in!U3/SER_summary!U$27)</f>
        <v>7.5724353701561276</v>
      </c>
      <c r="V3" s="125">
        <f>IF(SER_hh_emih_in!V3=0,0,SER_hh_emih_in!V3/SER_summary!V$27)</f>
        <v>6.6520813986688729</v>
      </c>
      <c r="W3" s="125">
        <f>IF(SER_hh_emih_in!W3=0,0,SER_hh_emih_in!W3/SER_summary!W$27)</f>
        <v>6.4259728565197394</v>
      </c>
      <c r="X3" s="125">
        <f>IF(SER_hh_emih_in!X3=0,0,SER_hh_emih_in!X3/SER_summary!X$27)</f>
        <v>4.603574934879072</v>
      </c>
      <c r="Y3" s="125">
        <f>IF(SER_hh_emih_in!Y3=0,0,SER_hh_emih_in!Y3/SER_summary!Y$27)</f>
        <v>5.1736770220913968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17.296355404883727</v>
      </c>
      <c r="D4" s="130">
        <f>IF(SER_hh_emih_in!D4=0,0,SER_hh_emih_in!D4/SER_summary!D$27)</f>
        <v>16.168886844446256</v>
      </c>
      <c r="E4" s="130">
        <f>IF(SER_hh_emih_in!E4=0,0,SER_hh_emih_in!E4/SER_summary!E$27)</f>
        <v>18.029927871358399</v>
      </c>
      <c r="F4" s="130">
        <f>IF(SER_hh_emih_in!F4=0,0,SER_hh_emih_in!F4/SER_summary!F$27)</f>
        <v>21.214521418970122</v>
      </c>
      <c r="G4" s="130">
        <f>IF(SER_hh_emih_in!G4=0,0,SER_hh_emih_in!G4/SER_summary!G$27)</f>
        <v>17.450341726658966</v>
      </c>
      <c r="H4" s="130">
        <f>IF(SER_hh_emih_in!H4=0,0,SER_hh_emih_in!H4/SER_summary!H$27)</f>
        <v>17.560602550007225</v>
      </c>
      <c r="I4" s="130">
        <f>IF(SER_hh_emih_in!I4=0,0,SER_hh_emih_in!I4/SER_summary!I$27)</f>
        <v>15.413275601054492</v>
      </c>
      <c r="J4" s="130">
        <f>IF(SER_hh_emih_in!J4=0,0,SER_hh_emih_in!J4/SER_summary!J$27)</f>
        <v>17.373897593032289</v>
      </c>
      <c r="K4" s="130">
        <f>IF(SER_hh_emih_in!K4=0,0,SER_hh_emih_in!K4/SER_summary!K$27)</f>
        <v>17.156844436258432</v>
      </c>
      <c r="L4" s="130">
        <f>IF(SER_hh_emih_in!L4=0,0,SER_hh_emih_in!L4/SER_summary!L$27)</f>
        <v>22.323425811315115</v>
      </c>
      <c r="M4" s="130">
        <f>IF(SER_hh_emih_in!M4=0,0,SER_hh_emih_in!M4/SER_summary!M$27)</f>
        <v>15.033207013138389</v>
      </c>
      <c r="N4" s="130">
        <f>IF(SER_hh_emih_in!N4=0,0,SER_hh_emih_in!N4/SER_summary!N$27)</f>
        <v>16.949395530488921</v>
      </c>
      <c r="O4" s="130">
        <f>IF(SER_hh_emih_in!O4=0,0,SER_hh_emih_in!O4/SER_summary!O$27)</f>
        <v>15.436172323817688</v>
      </c>
      <c r="P4" s="130">
        <f>IF(SER_hh_emih_in!P4=0,0,SER_hh_emih_in!P4/SER_summary!P$27)</f>
        <v>9.9299509326339379</v>
      </c>
      <c r="Q4" s="130">
        <f>IF(SER_hh_emih_in!Q4=0,0,SER_hh_emih_in!Q4/SER_summary!Q$27)</f>
        <v>10.45320293079153</v>
      </c>
      <c r="R4" s="130">
        <f>IF(SER_hh_emih_in!R4=0,0,SER_hh_emih_in!R4/SER_summary!R$27)</f>
        <v>8.7441169475297169</v>
      </c>
      <c r="S4" s="130">
        <f>IF(SER_hh_emih_in!S4=0,0,SER_hh_emih_in!S4/SER_summary!S$27)</f>
        <v>6.7064351395725561</v>
      </c>
      <c r="T4" s="130">
        <f>IF(SER_hh_emih_in!T4=0,0,SER_hh_emih_in!T4/SER_summary!T$27)</f>
        <v>6.2267841985484536</v>
      </c>
      <c r="U4" s="130">
        <f>IF(SER_hh_emih_in!U4=0,0,SER_hh_emih_in!U4/SER_summary!U$27)</f>
        <v>6.0516579115024545</v>
      </c>
      <c r="V4" s="130">
        <f>IF(SER_hh_emih_in!V4=0,0,SER_hh_emih_in!V4/SER_summary!V$27)</f>
        <v>5.0069931733389259</v>
      </c>
      <c r="W4" s="130">
        <f>IF(SER_hh_emih_in!W4=0,0,SER_hh_emih_in!W4/SER_summary!W$27)</f>
        <v>4.0235260926545919</v>
      </c>
      <c r="X4" s="130">
        <f>IF(SER_hh_emih_in!X4=0,0,SER_hh_emih_in!X4/SER_summary!X$27)</f>
        <v>2.206949921051939</v>
      </c>
      <c r="Y4" s="130">
        <f>IF(SER_hh_emih_in!Y4=0,0,SER_hh_emih_in!Y4/SER_summary!Y$27)</f>
        <v>2.6627787935649545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39.4276366580687</v>
      </c>
      <c r="D5" s="132">
        <f>IF(SER_hh_emih_in!D5=0,0,SER_hh_emih_in!D5/SER_summary!D$27)</f>
        <v>33.447807808132637</v>
      </c>
      <c r="E5" s="132">
        <f>IF(SER_hh_emih_in!E5=0,0,SER_hh_emih_in!E5/SER_summary!E$27)</f>
        <v>54.277759410038399</v>
      </c>
      <c r="F5" s="132">
        <f>IF(SER_hh_emih_in!F5=0,0,SER_hh_emih_in!F5/SER_summary!F$27)</f>
        <v>26.70818472156839</v>
      </c>
      <c r="G5" s="132">
        <f>IF(SER_hh_emih_in!G5=0,0,SER_hh_emih_in!G5/SER_summary!G$27)</f>
        <v>36.257161179747861</v>
      </c>
      <c r="H5" s="132">
        <f>IF(SER_hh_emih_in!H5=0,0,SER_hh_emih_in!H5/SER_summary!H$27)</f>
        <v>24.330187325050552</v>
      </c>
      <c r="I5" s="132">
        <f>IF(SER_hh_emih_in!I5=0,0,SER_hh_emih_in!I5/SER_summary!I$27)</f>
        <v>37.20327552208753</v>
      </c>
      <c r="J5" s="132">
        <f>IF(SER_hh_emih_in!J5=0,0,SER_hh_emih_in!J5/SER_summary!J$27)</f>
        <v>39.344465294095791</v>
      </c>
      <c r="K5" s="132">
        <f>IF(SER_hh_emih_in!K5=0,0,SER_hh_emih_in!K5/SER_summary!K$27)</f>
        <v>38.030029707114352</v>
      </c>
      <c r="L5" s="132">
        <f>IF(SER_hh_emih_in!L5=0,0,SER_hh_emih_in!L5/SER_summary!L$27)</f>
        <v>35.566559021758749</v>
      </c>
      <c r="M5" s="132">
        <f>IF(SER_hh_emih_in!M5=0,0,SER_hh_emih_in!M5/SER_summary!M$27)</f>
        <v>33.866835830445289</v>
      </c>
      <c r="N5" s="132">
        <f>IF(SER_hh_emih_in!N5=0,0,SER_hh_emih_in!N5/SER_summary!N$27)</f>
        <v>32.171201384771102</v>
      </c>
      <c r="O5" s="132">
        <f>IF(SER_hh_emih_in!O5=0,0,SER_hh_emih_in!O5/SER_summary!O$27)</f>
        <v>18.817612943310049</v>
      </c>
      <c r="P5" s="132">
        <f>IF(SER_hh_emih_in!P5=0,0,SER_hh_emih_in!P5/SER_summary!P$27)</f>
        <v>6.8374262329871254</v>
      </c>
      <c r="Q5" s="132">
        <f>IF(SER_hh_emih_in!Q5=0,0,SER_hh_emih_in!Q5/SER_summary!Q$27)</f>
        <v>29.069249985028232</v>
      </c>
      <c r="R5" s="132">
        <f>IF(SER_hh_emih_in!R5=0,0,SER_hh_emih_in!R5/SER_summary!R$27)</f>
        <v>26.349131058559497</v>
      </c>
      <c r="S5" s="132">
        <f>IF(SER_hh_emih_in!S5=0,0,SER_hh_emih_in!S5/SER_summary!S$27)</f>
        <v>23.400116184720343</v>
      </c>
      <c r="T5" s="132">
        <f>IF(SER_hh_emih_in!T5=0,0,SER_hh_emih_in!T5/SER_summary!T$27)</f>
        <v>21.56288673231089</v>
      </c>
      <c r="U5" s="132">
        <f>IF(SER_hh_emih_in!U5=0,0,SER_hh_emih_in!U5/SER_summary!U$27)</f>
        <v>0</v>
      </c>
      <c r="V5" s="132">
        <f>IF(SER_hh_emih_in!V5=0,0,SER_hh_emih_in!V5/SER_summary!V$27)</f>
        <v>16.449281745032422</v>
      </c>
      <c r="W5" s="132">
        <f>IF(SER_hh_emih_in!W5=0,0,SER_hh_emih_in!W5/SER_summary!W$27)</f>
        <v>8.2222020150175723</v>
      </c>
      <c r="X5" s="132">
        <f>IF(SER_hh_emih_in!X5=0,0,SER_hh_emih_in!X5/SER_summary!X$27)</f>
        <v>10.479485779651121</v>
      </c>
      <c r="Y5" s="132">
        <f>IF(SER_hh_emih_in!Y5=0,0,SER_hh_emih_in!Y5/SER_summary!Y$27)</f>
        <v>10.264060025470409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34.85645654224038</v>
      </c>
      <c r="D7" s="132">
        <f>IF(SER_hh_emih_in!D7=0,0,SER_hh_emih_in!D7/SER_summary!D$27)</f>
        <v>35.759758888360459</v>
      </c>
      <c r="E7" s="132">
        <f>IF(SER_hh_emih_in!E7=0,0,SER_hh_emih_in!E7/SER_summary!E$27)</f>
        <v>37.0680692704614</v>
      </c>
      <c r="F7" s="132">
        <f>IF(SER_hh_emih_in!F7=0,0,SER_hh_emih_in!F7/SER_summary!F$27)</f>
        <v>35.155576046547388</v>
      </c>
      <c r="G7" s="132">
        <f>IF(SER_hh_emih_in!G7=0,0,SER_hh_emih_in!G7/SER_summary!G$27)</f>
        <v>35.346053076550767</v>
      </c>
      <c r="H7" s="132">
        <f>IF(SER_hh_emih_in!H7=0,0,SER_hh_emih_in!H7/SER_summary!H$27)</f>
        <v>33.010188433801403</v>
      </c>
      <c r="I7" s="132">
        <f>IF(SER_hh_emih_in!I7=0,0,SER_hh_emih_in!I7/SER_summary!I$27)</f>
        <v>32.455822993523064</v>
      </c>
      <c r="J7" s="132">
        <f>IF(SER_hh_emih_in!J7=0,0,SER_hh_emih_in!J7/SER_summary!J$27)</f>
        <v>31.477174428726926</v>
      </c>
      <c r="K7" s="132">
        <f>IF(SER_hh_emih_in!K7=0,0,SER_hh_emih_in!K7/SER_summary!K$27)</f>
        <v>29.676322458341929</v>
      </c>
      <c r="L7" s="132">
        <f>IF(SER_hh_emih_in!L7=0,0,SER_hh_emih_in!L7/SER_summary!L$27)</f>
        <v>33.181084207235514</v>
      </c>
      <c r="M7" s="132">
        <f>IF(SER_hh_emih_in!M7=0,0,SER_hh_emih_in!M7/SER_summary!M$27)</f>
        <v>28.57687705044053</v>
      </c>
      <c r="N7" s="132">
        <f>IF(SER_hh_emih_in!N7=0,0,SER_hh_emih_in!N7/SER_summary!N$27)</f>
        <v>26.079827250690023</v>
      </c>
      <c r="O7" s="132">
        <f>IF(SER_hh_emih_in!O7=0,0,SER_hh_emih_in!O7/SER_summary!O$27)</f>
        <v>24.034085000321998</v>
      </c>
      <c r="P7" s="132">
        <f>IF(SER_hh_emih_in!P7=0,0,SER_hh_emih_in!P7/SER_summary!P$27)</f>
        <v>20.82503489367047</v>
      </c>
      <c r="Q7" s="132">
        <f>IF(SER_hh_emih_in!Q7=0,0,SER_hh_emih_in!Q7/SER_summary!Q$27)</f>
        <v>18.119125191099361</v>
      </c>
      <c r="R7" s="132">
        <f>IF(SER_hh_emih_in!R7=0,0,SER_hh_emih_in!R7/SER_summary!R$27)</f>
        <v>16.932493843935777</v>
      </c>
      <c r="S7" s="132">
        <f>IF(SER_hh_emih_in!S7=0,0,SER_hh_emih_in!S7/SER_summary!S$27)</f>
        <v>15.921158809913297</v>
      </c>
      <c r="T7" s="132">
        <f>IF(SER_hh_emih_in!T7=0,0,SER_hh_emih_in!T7/SER_summary!T$27)</f>
        <v>14.701198953003447</v>
      </c>
      <c r="U7" s="132">
        <f>IF(SER_hh_emih_in!U7=0,0,SER_hh_emih_in!U7/SER_summary!U$27)</f>
        <v>13.962618676079289</v>
      </c>
      <c r="V7" s="132">
        <f>IF(SER_hh_emih_in!V7=0,0,SER_hh_emih_in!V7/SER_summary!V$27)</f>
        <v>11.829774029004968</v>
      </c>
      <c r="W7" s="132">
        <f>IF(SER_hh_emih_in!W7=0,0,SER_hh_emih_in!W7/SER_summary!W$27)</f>
        <v>9.6509823354020696</v>
      </c>
      <c r="X7" s="132">
        <f>IF(SER_hh_emih_in!X7=0,0,SER_hh_emih_in!X7/SER_summary!X$27)</f>
        <v>7.5570449449517545</v>
      </c>
      <c r="Y7" s="132">
        <f>IF(SER_hh_emih_in!Y7=0,0,SER_hh_emih_in!Y7/SER_summary!Y$27)</f>
        <v>7.2327827042441548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10.702901041481784</v>
      </c>
      <c r="D8" s="132">
        <f>IF(SER_hh_emih_in!D8=0,0,SER_hh_emih_in!D8/SER_summary!D$27)</f>
        <v>9.5826857447838609</v>
      </c>
      <c r="E8" s="132">
        <f>IF(SER_hh_emih_in!E8=0,0,SER_hh_emih_in!E8/SER_summary!E$27)</f>
        <v>10.492848094336171</v>
      </c>
      <c r="F8" s="132">
        <f>IF(SER_hh_emih_in!F8=0,0,SER_hh_emih_in!F8/SER_summary!F$27)</f>
        <v>10.376886049465009</v>
      </c>
      <c r="G8" s="132">
        <f>IF(SER_hh_emih_in!G8=0,0,SER_hh_emih_in!G8/SER_summary!G$27)</f>
        <v>8.7731533641776274</v>
      </c>
      <c r="H8" s="132">
        <f>IF(SER_hh_emih_in!H8=0,0,SER_hh_emih_in!H8/SER_summary!H$27)</f>
        <v>7.9498679987425778</v>
      </c>
      <c r="I8" s="132">
        <f>IF(SER_hh_emih_in!I8=0,0,SER_hh_emih_in!I8/SER_summary!I$27)</f>
        <v>8.0186646183799972</v>
      </c>
      <c r="J8" s="132">
        <f>IF(SER_hh_emih_in!J8=0,0,SER_hh_emih_in!J8/SER_summary!J$27)</f>
        <v>7.6953866441452003</v>
      </c>
      <c r="K8" s="132">
        <f>IF(SER_hh_emih_in!K8=0,0,SER_hh_emih_in!K8/SER_summary!K$27)</f>
        <v>7.3119795647839823</v>
      </c>
      <c r="L8" s="132">
        <f>IF(SER_hh_emih_in!L8=0,0,SER_hh_emih_in!L8/SER_summary!L$27)</f>
        <v>7.0503824230705119</v>
      </c>
      <c r="M8" s="132">
        <f>IF(SER_hh_emih_in!M8=0,0,SER_hh_emih_in!M8/SER_summary!M$27)</f>
        <v>6.6964475637777525</v>
      </c>
      <c r="N8" s="132">
        <f>IF(SER_hh_emih_in!N8=0,0,SER_hh_emih_in!N8/SER_summary!N$27)</f>
        <v>5.4240266527391485</v>
      </c>
      <c r="O8" s="132">
        <f>IF(SER_hh_emih_in!O8=0,0,SER_hh_emih_in!O8/SER_summary!O$27)</f>
        <v>4.229843737940695</v>
      </c>
      <c r="P8" s="132">
        <f>IF(SER_hh_emih_in!P8=0,0,SER_hh_emih_in!P8/SER_summary!P$27)</f>
        <v>4.2539686536829002</v>
      </c>
      <c r="Q8" s="132">
        <f>IF(SER_hh_emih_in!Q8=0,0,SER_hh_emih_in!Q8/SER_summary!Q$27)</f>
        <v>4.2336572919401494</v>
      </c>
      <c r="R8" s="132">
        <f>IF(SER_hh_emih_in!R8=0,0,SER_hh_emih_in!R8/SER_summary!R$27)</f>
        <v>3.7471159244687602</v>
      </c>
      <c r="S8" s="132">
        <f>IF(SER_hh_emih_in!S8=0,0,SER_hh_emih_in!S8/SER_summary!S$27)</f>
        <v>3.3477512124906736</v>
      </c>
      <c r="T8" s="132">
        <f>IF(SER_hh_emih_in!T8=0,0,SER_hh_emih_in!T8/SER_summary!T$27)</f>
        <v>3.0744536217522738</v>
      </c>
      <c r="U8" s="132">
        <f>IF(SER_hh_emih_in!U8=0,0,SER_hh_emih_in!U8/SER_summary!U$27)</f>
        <v>2.7247933326582414</v>
      </c>
      <c r="V8" s="132">
        <f>IF(SER_hh_emih_in!V8=0,0,SER_hh_emih_in!V8/SER_summary!V$27)</f>
        <v>2.3262320105574013</v>
      </c>
      <c r="W8" s="132">
        <f>IF(SER_hh_emih_in!W8=0,0,SER_hh_emih_in!W8/SER_summary!W$27)</f>
        <v>1.9909896510828213</v>
      </c>
      <c r="X8" s="132">
        <f>IF(SER_hh_emih_in!X8=0,0,SER_hh_emih_in!X8/SER_summary!X$27)</f>
        <v>1.4453764473633215</v>
      </c>
      <c r="Y8" s="132">
        <f>IF(SER_hh_emih_in!Y8=0,0,SER_hh_emih_in!Y8/SER_summary!Y$27)</f>
        <v>1.4982111486114082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25.854199697760727</v>
      </c>
      <c r="D9" s="132">
        <f>IF(SER_hh_emih_in!D9=0,0,SER_hh_emih_in!D9/SER_summary!D$27)</f>
        <v>23.679770892145338</v>
      </c>
      <c r="E9" s="132">
        <f>IF(SER_hh_emih_in!E9=0,0,SER_hh_emih_in!E9/SER_summary!E$27)</f>
        <v>25.440732054570077</v>
      </c>
      <c r="F9" s="132">
        <f>IF(SER_hh_emih_in!F9=0,0,SER_hh_emih_in!F9/SER_summary!F$27)</f>
        <v>28.267459889202225</v>
      </c>
      <c r="G9" s="132">
        <f>IF(SER_hh_emih_in!G9=0,0,SER_hh_emih_in!G9/SER_summary!G$27)</f>
        <v>24.953451111715619</v>
      </c>
      <c r="H9" s="132">
        <f>IF(SER_hh_emih_in!H9=0,0,SER_hh_emih_in!H9/SER_summary!H$27)</f>
        <v>24.345497866736117</v>
      </c>
      <c r="I9" s="132">
        <f>IF(SER_hh_emih_in!I9=0,0,SER_hh_emih_in!I9/SER_summary!I$27)</f>
        <v>20.333721432517098</v>
      </c>
      <c r="J9" s="132">
        <f>IF(SER_hh_emih_in!J9=0,0,SER_hh_emih_in!J9/SER_summary!J$27)</f>
        <v>21.605006222589235</v>
      </c>
      <c r="K9" s="132">
        <f>IF(SER_hh_emih_in!K9=0,0,SER_hh_emih_in!K9/SER_summary!K$27)</f>
        <v>22.020379268508801</v>
      </c>
      <c r="L9" s="132">
        <f>IF(SER_hh_emih_in!L9=0,0,SER_hh_emih_in!L9/SER_summary!L$27)</f>
        <v>24.511656083016145</v>
      </c>
      <c r="M9" s="132">
        <f>IF(SER_hh_emih_in!M9=0,0,SER_hh_emih_in!M9/SER_summary!M$27)</f>
        <v>17.757504869209981</v>
      </c>
      <c r="N9" s="132">
        <f>IF(SER_hh_emih_in!N9=0,0,SER_hh_emih_in!N9/SER_summary!N$27)</f>
        <v>18.922618629545926</v>
      </c>
      <c r="O9" s="132">
        <f>IF(SER_hh_emih_in!O9=0,0,SER_hh_emih_in!O9/SER_summary!O$27)</f>
        <v>17.670195457590456</v>
      </c>
      <c r="P9" s="132">
        <f>IF(SER_hh_emih_in!P9=0,0,SER_hh_emih_in!P9/SER_summary!P$27)</f>
        <v>12.09789478232044</v>
      </c>
      <c r="Q9" s="132">
        <f>IF(SER_hh_emih_in!Q9=0,0,SER_hh_emih_in!Q9/SER_summary!Q$27)</f>
        <v>12.28177215515365</v>
      </c>
      <c r="R9" s="132">
        <f>IF(SER_hh_emih_in!R9=0,0,SER_hh_emih_in!R9/SER_summary!R$27)</f>
        <v>11.669418334166268</v>
      </c>
      <c r="S9" s="132">
        <f>IF(SER_hh_emih_in!S9=0,0,SER_hh_emih_in!S9/SER_summary!S$27)</f>
        <v>11.03420624620688</v>
      </c>
      <c r="T9" s="132">
        <f>IF(SER_hh_emih_in!T9=0,0,SER_hh_emih_in!T9/SER_summary!T$27)</f>
        <v>10.278413098794449</v>
      </c>
      <c r="U9" s="132">
        <f>IF(SER_hh_emih_in!U9=0,0,SER_hh_emih_in!U9/SER_summary!U$27)</f>
        <v>9.0011369601894771</v>
      </c>
      <c r="V9" s="132">
        <f>IF(SER_hh_emih_in!V9=0,0,SER_hh_emih_in!V9/SER_summary!V$27)</f>
        <v>7.4948974111897551</v>
      </c>
      <c r="W9" s="132">
        <f>IF(SER_hh_emih_in!W9=0,0,SER_hh_emih_in!W9/SER_summary!W$27)</f>
        <v>7.0316860046832188</v>
      </c>
      <c r="X9" s="132">
        <f>IF(SER_hh_emih_in!X9=0,0,SER_hh_emih_in!X9/SER_summary!X$27)</f>
        <v>4.6251527443954705</v>
      </c>
      <c r="Y9" s="132">
        <f>IF(SER_hh_emih_in!Y9=0,0,SER_hh_emih_in!Y9/SER_summary!Y$27)</f>
        <v>4.5057129769042117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14.038256165464741</v>
      </c>
      <c r="D10" s="132">
        <f>IF(SER_hh_emih_in!D10=0,0,SER_hh_emih_in!D10/SER_summary!D$27)</f>
        <v>13.75612732879139</v>
      </c>
      <c r="E10" s="132">
        <f>IF(SER_hh_emih_in!E10=0,0,SER_hh_emih_in!E10/SER_summary!E$27)</f>
        <v>13.8005128127945</v>
      </c>
      <c r="F10" s="132">
        <f>IF(SER_hh_emih_in!F10=0,0,SER_hh_emih_in!F10/SER_summary!F$27)</f>
        <v>16.03493360532433</v>
      </c>
      <c r="G10" s="132">
        <f>IF(SER_hh_emih_in!G10=0,0,SER_hh_emih_in!G10/SER_summary!G$27)</f>
        <v>15.902389000935708</v>
      </c>
      <c r="H10" s="132">
        <f>IF(SER_hh_emih_in!H10=0,0,SER_hh_emih_in!H10/SER_summary!H$27)</f>
        <v>16.375327277476401</v>
      </c>
      <c r="I10" s="132">
        <f>IF(SER_hh_emih_in!I10=0,0,SER_hh_emih_in!I10/SER_summary!I$27)</f>
        <v>14.730702035617849</v>
      </c>
      <c r="J10" s="132">
        <f>IF(SER_hh_emih_in!J10=0,0,SER_hh_emih_in!J10/SER_summary!J$27)</f>
        <v>15.941239609660506</v>
      </c>
      <c r="K10" s="132">
        <f>IF(SER_hh_emih_in!K10=0,0,SER_hh_emih_in!K10/SER_summary!K$27)</f>
        <v>16.287353745583896</v>
      </c>
      <c r="L10" s="132">
        <f>IF(SER_hh_emih_in!L10=0,0,SER_hh_emih_in!L10/SER_summary!L$27)</f>
        <v>16.724823712692793</v>
      </c>
      <c r="M10" s="132">
        <f>IF(SER_hh_emih_in!M10=0,0,SER_hh_emih_in!M10/SER_summary!M$27)</f>
        <v>13.935825579327375</v>
      </c>
      <c r="N10" s="132">
        <f>IF(SER_hh_emih_in!N10=0,0,SER_hh_emih_in!N10/SER_summary!N$27)</f>
        <v>11.316579049180325</v>
      </c>
      <c r="O10" s="132">
        <f>IF(SER_hh_emih_in!O10=0,0,SER_hh_emih_in!O10/SER_summary!O$27)</f>
        <v>11.086222347665709</v>
      </c>
      <c r="P10" s="132">
        <f>IF(SER_hh_emih_in!P10=0,0,SER_hh_emih_in!P10/SER_summary!P$27)</f>
        <v>10.084142831851111</v>
      </c>
      <c r="Q10" s="132">
        <f>IF(SER_hh_emih_in!Q10=0,0,SER_hh_emih_in!Q10/SER_summary!Q$27)</f>
        <v>8.37807507700626</v>
      </c>
      <c r="R10" s="132">
        <f>IF(SER_hh_emih_in!R10=0,0,SER_hh_emih_in!R10/SER_summary!R$27)</f>
        <v>7.2622331401241764</v>
      </c>
      <c r="S10" s="132">
        <f>IF(SER_hh_emih_in!S10=0,0,SER_hh_emih_in!S10/SER_summary!S$27)</f>
        <v>5.4804966544451501</v>
      </c>
      <c r="T10" s="132">
        <f>IF(SER_hh_emih_in!T10=0,0,SER_hh_emih_in!T10/SER_summary!T$27)</f>
        <v>5.7720604791572212</v>
      </c>
      <c r="U10" s="132">
        <f>IF(SER_hh_emih_in!U10=0,0,SER_hh_emih_in!U10/SER_summary!U$27)</f>
        <v>4.9577347807895178</v>
      </c>
      <c r="V10" s="132">
        <f>IF(SER_hh_emih_in!V10=0,0,SER_hh_emih_in!V10/SER_summary!V$27)</f>
        <v>4.2189369050999073</v>
      </c>
      <c r="W10" s="132">
        <f>IF(SER_hh_emih_in!W10=0,0,SER_hh_emih_in!W10/SER_summary!W$27)</f>
        <v>3.3267741135076032</v>
      </c>
      <c r="X10" s="132">
        <f>IF(SER_hh_emih_in!X10=0,0,SER_hh_emih_in!X10/SER_summary!X$27)</f>
        <v>2.6725980465951507</v>
      </c>
      <c r="Y10" s="132">
        <f>IF(SER_hh_emih_in!Y10=0,0,SER_hh_emih_in!Y10/SER_summary!Y$27)</f>
        <v>2.4540953003564923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1.2064839009417974E-2</v>
      </c>
      <c r="D16" s="130">
        <f>IF(SER_hh_emih_in!D16=0,0,SER_hh_emih_in!D16/SER_summary!D$27)</f>
        <v>1.7598988844357417E-2</v>
      </c>
      <c r="E16" s="130">
        <f>IF(SER_hh_emih_in!E16=0,0,SER_hh_emih_in!E16/SER_summary!E$27)</f>
        <v>1.3793497295559606E-2</v>
      </c>
      <c r="F16" s="130">
        <f>IF(SER_hh_emih_in!F16=0,0,SER_hh_emih_in!F16/SER_summary!F$27)</f>
        <v>2.7737587084517061E-2</v>
      </c>
      <c r="G16" s="130">
        <f>IF(SER_hh_emih_in!G16=0,0,SER_hh_emih_in!G16/SER_summary!G$27)</f>
        <v>1.7942416981581978E-2</v>
      </c>
      <c r="H16" s="130">
        <f>IF(SER_hh_emih_in!H16=0,0,SER_hh_emih_in!H16/SER_summary!H$27)</f>
        <v>2.584198447006E-2</v>
      </c>
      <c r="I16" s="130">
        <f>IF(SER_hh_emih_in!I16=0,0,SER_hh_emih_in!I16/SER_summary!I$27)</f>
        <v>2.7397745627119548E-2</v>
      </c>
      <c r="J16" s="130">
        <f>IF(SER_hh_emih_in!J16=0,0,SER_hh_emih_in!J16/SER_summary!J$27)</f>
        <v>2.7439947927961547E-2</v>
      </c>
      <c r="K16" s="130">
        <f>IF(SER_hh_emih_in!K16=0,0,SER_hh_emih_in!K16/SER_summary!K$27)</f>
        <v>2.6441539198682914E-2</v>
      </c>
      <c r="L16" s="130">
        <f>IF(SER_hh_emih_in!L16=0,0,SER_hh_emih_in!L16/SER_summary!L$27)</f>
        <v>2.5319472205912331E-2</v>
      </c>
      <c r="M16" s="130">
        <f>IF(SER_hh_emih_in!M16=0,0,SER_hh_emih_in!M16/SER_summary!M$27)</f>
        <v>2.7910472716044601E-2</v>
      </c>
      <c r="N16" s="130">
        <f>IF(SER_hh_emih_in!N16=0,0,SER_hh_emih_in!N16/SER_summary!N$27)</f>
        <v>3.7023545554861086E-2</v>
      </c>
      <c r="O16" s="130">
        <f>IF(SER_hh_emih_in!O16=0,0,SER_hh_emih_in!O16/SER_summary!O$27)</f>
        <v>5.570019212002475E-2</v>
      </c>
      <c r="P16" s="130">
        <f>IF(SER_hh_emih_in!P16=0,0,SER_hh_emih_in!P16/SER_summary!P$27)</f>
        <v>8.1113724177462571E-2</v>
      </c>
      <c r="Q16" s="130">
        <f>IF(SER_hh_emih_in!Q16=0,0,SER_hh_emih_in!Q16/SER_summary!Q$27)</f>
        <v>0.10011741336154477</v>
      </c>
      <c r="R16" s="130">
        <f>IF(SER_hh_emih_in!R16=0,0,SER_hh_emih_in!R16/SER_summary!R$27)</f>
        <v>9.98686510068202E-2</v>
      </c>
      <c r="S16" s="130">
        <f>IF(SER_hh_emih_in!S16=0,0,SER_hh_emih_in!S16/SER_summary!S$27)</f>
        <v>7.7150730024145672E-2</v>
      </c>
      <c r="T16" s="130">
        <f>IF(SER_hh_emih_in!T16=0,0,SER_hh_emih_in!T16/SER_summary!T$27)</f>
        <v>7.0011198796346069E-2</v>
      </c>
      <c r="U16" s="130">
        <f>IF(SER_hh_emih_in!U16=0,0,SER_hh_emih_in!U16/SER_summary!U$27)</f>
        <v>6.4113092670730662E-2</v>
      </c>
      <c r="V16" s="130">
        <f>IF(SER_hh_emih_in!V16=0,0,SER_hh_emih_in!V16/SER_summary!V$27)</f>
        <v>5.3951319934988369E-2</v>
      </c>
      <c r="W16" s="130">
        <f>IF(SER_hh_emih_in!W16=0,0,SER_hh_emih_in!W16/SER_summary!W$27)</f>
        <v>4.4441361407424697E-2</v>
      </c>
      <c r="X16" s="130">
        <f>IF(SER_hh_emih_in!X16=0,0,SER_hh_emih_in!X16/SER_summary!X$27)</f>
        <v>4.9093918803522339E-2</v>
      </c>
      <c r="Y16" s="130">
        <f>IF(SER_hh_emih_in!Y16=0,0,SER_hh_emih_in!Y16/SER_summary!Y$27)</f>
        <v>4.4881497800873617E-2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4.6000403941692332</v>
      </c>
      <c r="D17" s="132">
        <f>IF(SER_hh_emih_in!D17=0,0,SER_hh_emih_in!D17/SER_summary!D$27)</f>
        <v>4.4466219851316806</v>
      </c>
      <c r="E17" s="132">
        <f>IF(SER_hh_emih_in!E17=0,0,SER_hh_emih_in!E17/SER_summary!E$27)</f>
        <v>4.7664203778863605</v>
      </c>
      <c r="F17" s="132">
        <f>IF(SER_hh_emih_in!F17=0,0,SER_hh_emih_in!F17/SER_summary!F$27)</f>
        <v>4.2452645235880544</v>
      </c>
      <c r="G17" s="132">
        <f>IF(SER_hh_emih_in!G17=0,0,SER_hh_emih_in!G17/SER_summary!G$27)</f>
        <v>4.0957796034091878</v>
      </c>
      <c r="H17" s="132">
        <f>IF(SER_hh_emih_in!H17=0,0,SER_hh_emih_in!H17/SER_summary!H$27)</f>
        <v>4.4000306294695486</v>
      </c>
      <c r="I17" s="132">
        <f>IF(SER_hh_emih_in!I17=0,0,SER_hh_emih_in!I17/SER_summary!I$27)</f>
        <v>3.9471795937434551</v>
      </c>
      <c r="J17" s="132">
        <f>IF(SER_hh_emih_in!J17=0,0,SER_hh_emih_in!J17/SER_summary!J$27)</f>
        <v>3.8667757948837291</v>
      </c>
      <c r="K17" s="132">
        <f>IF(SER_hh_emih_in!K17=0,0,SER_hh_emih_in!K17/SER_summary!K$27)</f>
        <v>3.7568664815626653</v>
      </c>
      <c r="L17" s="132">
        <f>IF(SER_hh_emih_in!L17=0,0,SER_hh_emih_in!L17/SER_summary!L$27)</f>
        <v>3.7765178472502159</v>
      </c>
      <c r="M17" s="132">
        <f>IF(SER_hh_emih_in!M17=0,0,SER_hh_emih_in!M17/SER_summary!M$27)</f>
        <v>3.5329790903865006</v>
      </c>
      <c r="N17" s="132">
        <f>IF(SER_hh_emih_in!N17=0,0,SER_hh_emih_in!N17/SER_summary!N$27)</f>
        <v>3.4165348703191363</v>
      </c>
      <c r="O17" s="132">
        <f>IF(SER_hh_emih_in!O17=0,0,SER_hh_emih_in!O17/SER_summary!O$27)</f>
        <v>3.2828814967928448</v>
      </c>
      <c r="P17" s="132">
        <f>IF(SER_hh_emih_in!P17=0,0,SER_hh_emih_in!P17/SER_summary!P$27)</f>
        <v>3.0837624583983652</v>
      </c>
      <c r="Q17" s="132">
        <f>IF(SER_hh_emih_in!Q17=0,0,SER_hh_emih_in!Q17/SER_summary!Q$27)</f>
        <v>3.0945843561373829</v>
      </c>
      <c r="R17" s="132">
        <f>IF(SER_hh_emih_in!R17=0,0,SER_hh_emih_in!R17/SER_summary!R$27)</f>
        <v>2.9252562529326696</v>
      </c>
      <c r="S17" s="132">
        <f>IF(SER_hh_emih_in!S17=0,0,SER_hh_emih_in!S17/SER_summary!S$27)</f>
        <v>2.8471476687431547</v>
      </c>
      <c r="T17" s="132">
        <f>IF(SER_hh_emih_in!T17=0,0,SER_hh_emih_in!T17/SER_summary!T$27)</f>
        <v>2.7474246993872504</v>
      </c>
      <c r="U17" s="132">
        <f>IF(SER_hh_emih_in!U17=0,0,SER_hh_emih_in!U17/SER_summary!U$27)</f>
        <v>2.5861638503269222</v>
      </c>
      <c r="V17" s="132">
        <f>IF(SER_hh_emih_in!V17=0,0,SER_hh_emih_in!V17/SER_summary!V$27)</f>
        <v>2.4614410814676875</v>
      </c>
      <c r="W17" s="132">
        <f>IF(SER_hh_emih_in!W17=0,0,SER_hh_emih_in!W17/SER_summary!W$27)</f>
        <v>2.2987925556208304</v>
      </c>
      <c r="X17" s="132">
        <f>IF(SER_hh_emih_in!X17=0,0,SER_hh_emih_in!X17/SER_summary!X$27)</f>
        <v>1.7326863329931987</v>
      </c>
      <c r="Y17" s="132">
        <f>IF(SER_hh_emih_in!Y17=0,0,SER_hh_emih_in!Y17/SER_summary!Y$27)</f>
        <v>1.6779299900646236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2.1264565075927004</v>
      </c>
      <c r="D19" s="130">
        <f>IF(SER_hh_emih_in!D19=0,0,SER_hh_emih_in!D19/SER_summary!D$27)</f>
        <v>2.2693224506358258</v>
      </c>
      <c r="E19" s="130">
        <f>IF(SER_hh_emih_in!E19=0,0,SER_hh_emih_in!E19/SER_summary!E$27)</f>
        <v>1.9108012764357432</v>
      </c>
      <c r="F19" s="130">
        <f>IF(SER_hh_emih_in!F19=0,0,SER_hh_emih_in!F19/SER_summary!F$27)</f>
        <v>2.0689988642511601</v>
      </c>
      <c r="G19" s="130">
        <f>IF(SER_hh_emih_in!G19=0,0,SER_hh_emih_in!G19/SER_summary!G$27)</f>
        <v>1.7777560135322146</v>
      </c>
      <c r="H19" s="130">
        <f>IF(SER_hh_emih_in!H19=0,0,SER_hh_emih_in!H19/SER_summary!H$27)</f>
        <v>1.750337094386184</v>
      </c>
      <c r="I19" s="130">
        <f>IF(SER_hh_emih_in!I19=0,0,SER_hh_emih_in!I19/SER_summary!I$27)</f>
        <v>1.5607826346117044</v>
      </c>
      <c r="J19" s="130">
        <f>IF(SER_hh_emih_in!J19=0,0,SER_hh_emih_in!J19/SER_summary!J$27)</f>
        <v>1.6864486335517059</v>
      </c>
      <c r="K19" s="130">
        <f>IF(SER_hh_emih_in!K19=0,0,SER_hh_emih_in!K19/SER_summary!K$27)</f>
        <v>1.9853269596837344</v>
      </c>
      <c r="L19" s="130">
        <f>IF(SER_hh_emih_in!L19=0,0,SER_hh_emih_in!L19/SER_summary!L$27)</f>
        <v>1.8391269183487844</v>
      </c>
      <c r="M19" s="130">
        <f>IF(SER_hh_emih_in!M19=0,0,SER_hh_emih_in!M19/SER_summary!M$27)</f>
        <v>1.8014511435672416</v>
      </c>
      <c r="N19" s="130">
        <f>IF(SER_hh_emih_in!N19=0,0,SER_hh_emih_in!N19/SER_summary!N$27)</f>
        <v>2.0726863154403294</v>
      </c>
      <c r="O19" s="130">
        <f>IF(SER_hh_emih_in!O19=0,0,SER_hh_emih_in!O19/SER_summary!O$27)</f>
        <v>1.6806788959277448</v>
      </c>
      <c r="P19" s="130">
        <f>IF(SER_hh_emih_in!P19=0,0,SER_hh_emih_in!P19/SER_summary!P$27)</f>
        <v>0.93761927561967595</v>
      </c>
      <c r="Q19" s="130">
        <f>IF(SER_hh_emih_in!Q19=0,0,SER_hh_emih_in!Q19/SER_summary!Q$27)</f>
        <v>1.0378138827765204</v>
      </c>
      <c r="R19" s="130">
        <f>IF(SER_hh_emih_in!R19=0,0,SER_hh_emih_in!R19/SER_summary!R$27)</f>
        <v>1.5917151830239982</v>
      </c>
      <c r="S19" s="130">
        <f>IF(SER_hh_emih_in!S19=0,0,SER_hh_emih_in!S19/SER_summary!S$27)</f>
        <v>1.6969196791110384</v>
      </c>
      <c r="T19" s="130">
        <f>IF(SER_hh_emih_in!T19=0,0,SER_hh_emih_in!T19/SER_summary!T$27)</f>
        <v>1.1537468150534957</v>
      </c>
      <c r="U19" s="130">
        <f>IF(SER_hh_emih_in!U19=0,0,SER_hh_emih_in!U19/SER_summary!U$27)</f>
        <v>0.69008427458420363</v>
      </c>
      <c r="V19" s="130">
        <f>IF(SER_hh_emih_in!V19=0,0,SER_hh_emih_in!V19/SER_summary!V$27)</f>
        <v>0.29314983587303445</v>
      </c>
      <c r="W19" s="130">
        <f>IF(SER_hh_emih_in!W19=0,0,SER_hh_emih_in!W19/SER_summary!W$27)</f>
        <v>0.75021131516804784</v>
      </c>
      <c r="X19" s="130">
        <f>IF(SER_hh_emih_in!X19=0,0,SER_hh_emih_in!X19/SER_summary!X$27)</f>
        <v>1.0287674518109946</v>
      </c>
      <c r="Y19" s="130">
        <f>IF(SER_hh_emih_in!Y19=0,0,SER_hh_emih_in!Y19/SER_summary!Y$27)</f>
        <v>1.3423040540818656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7.5235915729567253</v>
      </c>
      <c r="D22" s="132">
        <f>IF(SER_hh_emih_in!D22=0,0,SER_hh_emih_in!D22/SER_summary!D$27)</f>
        <v>7.3149133982125267</v>
      </c>
      <c r="E22" s="132">
        <f>IF(SER_hh_emih_in!E22=0,0,SER_hh_emih_in!E22/SER_summary!E$27)</f>
        <v>7.2657441508536778</v>
      </c>
      <c r="F22" s="132">
        <f>IF(SER_hh_emih_in!F22=0,0,SER_hh_emih_in!F22/SER_summary!F$27)</f>
        <v>7.1523671422503119</v>
      </c>
      <c r="G22" s="132">
        <f>IF(SER_hh_emih_in!G22=0,0,SER_hh_emih_in!G22/SER_summary!G$27)</f>
        <v>7.1113915661674119</v>
      </c>
      <c r="H22" s="132">
        <f>IF(SER_hh_emih_in!H22=0,0,SER_hh_emih_in!H22/SER_summary!H$27)</f>
        <v>6.9061312239639561</v>
      </c>
      <c r="I22" s="132">
        <f>IF(SER_hh_emih_in!I22=0,0,SER_hh_emih_in!I22/SER_summary!I$27)</f>
        <v>6.6736100257927058</v>
      </c>
      <c r="J22" s="132">
        <f>IF(SER_hh_emih_in!J22=0,0,SER_hh_emih_in!J22/SER_summary!J$27)</f>
        <v>6.6040208748062632</v>
      </c>
      <c r="K22" s="132">
        <f>IF(SER_hh_emih_in!K22=0,0,SER_hh_emih_in!K22/SER_summary!K$27)</f>
        <v>6.2878622072490362</v>
      </c>
      <c r="L22" s="132">
        <f>IF(SER_hh_emih_in!L22=0,0,SER_hh_emih_in!L22/SER_summary!L$27)</f>
        <v>6.3390347930265127</v>
      </c>
      <c r="M22" s="132">
        <f>IF(SER_hh_emih_in!M22=0,0,SER_hh_emih_in!M22/SER_summary!M$27)</f>
        <v>6.0882785811531237</v>
      </c>
      <c r="N22" s="132">
        <f>IF(SER_hh_emih_in!N22=0,0,SER_hh_emih_in!N22/SER_summary!N$27)</f>
        <v>5.9403193169576056</v>
      </c>
      <c r="O22" s="132">
        <f>IF(SER_hh_emih_in!O22=0,0,SER_hh_emih_in!O22/SER_summary!O$27)</f>
        <v>5.5560344492507605</v>
      </c>
      <c r="P22" s="132">
        <f>IF(SER_hh_emih_in!P22=0,0,SER_hh_emih_in!P22/SER_summary!P$27)</f>
        <v>5.2890580105545242</v>
      </c>
      <c r="Q22" s="132">
        <f>IF(SER_hh_emih_in!Q22=0,0,SER_hh_emih_in!Q22/SER_summary!Q$27)</f>
        <v>5.282474285567984</v>
      </c>
      <c r="R22" s="132">
        <f>IF(SER_hh_emih_in!R22=0,0,SER_hh_emih_in!R22/SER_summary!R$27)</f>
        <v>4.973925682710389</v>
      </c>
      <c r="S22" s="132">
        <f>IF(SER_hh_emih_in!S22=0,0,SER_hh_emih_in!S22/SER_summary!S$27)</f>
        <v>4.8008176137098033</v>
      </c>
      <c r="T22" s="132">
        <f>IF(SER_hh_emih_in!T22=0,0,SER_hh_emih_in!T22/SER_summary!T$27)</f>
        <v>4.5532567603892327</v>
      </c>
      <c r="U22" s="132">
        <f>IF(SER_hh_emih_in!U22=0,0,SER_hh_emih_in!U22/SER_summary!U$27)</f>
        <v>4.4430060849656394</v>
      </c>
      <c r="V22" s="132">
        <f>IF(SER_hh_emih_in!V22=0,0,SER_hh_emih_in!V22/SER_summary!V$27)</f>
        <v>4.2272762027874817</v>
      </c>
      <c r="W22" s="132">
        <f>IF(SER_hh_emih_in!W22=0,0,SER_hh_emih_in!W22/SER_summary!W$27)</f>
        <v>4.4068267255104496</v>
      </c>
      <c r="X22" s="132">
        <f>IF(SER_hh_emih_in!X22=0,0,SER_hh_emih_in!X22/SER_summary!X$27)</f>
        <v>4.1424522528498944</v>
      </c>
      <c r="Y22" s="132">
        <f>IF(SER_hh_emih_in!Y22=0,0,SER_hh_emih_in!Y22/SER_summary!Y$27)</f>
        <v>4.2758015830830569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5.1745031719436803</v>
      </c>
      <c r="D23" s="132">
        <f>IF(SER_hh_emih_in!D23=0,0,SER_hh_emih_in!D23/SER_summary!D$27)</f>
        <v>5.2681835713557268</v>
      </c>
      <c r="E23" s="132">
        <f>IF(SER_hh_emih_in!E23=0,0,SER_hh_emih_in!E23/SER_summary!E$27)</f>
        <v>5.0454574851993286</v>
      </c>
      <c r="F23" s="132">
        <f>IF(SER_hh_emih_in!F23=0,0,SER_hh_emih_in!F23/SER_summary!F$27)</f>
        <v>4.8898145046590962</v>
      </c>
      <c r="G23" s="132">
        <f>IF(SER_hh_emih_in!G23=0,0,SER_hh_emih_in!G23/SER_summary!G$27)</f>
        <v>4.8433735666126649</v>
      </c>
      <c r="H23" s="132">
        <f>IF(SER_hh_emih_in!H23=0,0,SER_hh_emih_in!H23/SER_summary!H$27)</f>
        <v>4.7435409146683467</v>
      </c>
      <c r="I23" s="132">
        <f>IF(SER_hh_emih_in!I23=0,0,SER_hh_emih_in!I23/SER_summary!I$27)</f>
        <v>4.5202514977533435</v>
      </c>
      <c r="J23" s="132">
        <f>IF(SER_hh_emih_in!J23=0,0,SER_hh_emih_in!J23/SER_summary!J$27)</f>
        <v>4.4028819315043082</v>
      </c>
      <c r="K23" s="132">
        <f>IF(SER_hh_emih_in!K23=0,0,SER_hh_emih_in!K23/SER_summary!K$27)</f>
        <v>4.1989177995774316</v>
      </c>
      <c r="L23" s="132">
        <f>IF(SER_hh_emih_in!L23=0,0,SER_hh_emih_in!L23/SER_summary!L$27)</f>
        <v>4.2480176343909406</v>
      </c>
      <c r="M23" s="132">
        <f>IF(SER_hh_emih_in!M23=0,0,SER_hh_emih_in!M23/SER_summary!M$27)</f>
        <v>3.9953479005831185</v>
      </c>
      <c r="N23" s="132">
        <f>IF(SER_hh_emih_in!N23=0,0,SER_hh_emih_in!N23/SER_summary!N$27)</f>
        <v>4.0551424466281674</v>
      </c>
      <c r="O23" s="132">
        <f>IF(SER_hh_emih_in!O23=0,0,SER_hh_emih_in!O23/SER_summary!O$27)</f>
        <v>3.868034237349423</v>
      </c>
      <c r="P23" s="132">
        <f>IF(SER_hh_emih_in!P23=0,0,SER_hh_emih_in!P23/SER_summary!P$27)</f>
        <v>3.6116475223721873</v>
      </c>
      <c r="Q23" s="132">
        <f>IF(SER_hh_emih_in!Q23=0,0,SER_hh_emih_in!Q23/SER_summary!Q$27)</f>
        <v>3.4564534430452967</v>
      </c>
      <c r="R23" s="132">
        <f>IF(SER_hh_emih_in!R23=0,0,SER_hh_emih_in!R23/SER_summary!R$27)</f>
        <v>3.3474150318586027</v>
      </c>
      <c r="S23" s="132">
        <f>IF(SER_hh_emih_in!S23=0,0,SER_hh_emih_in!S23/SER_summary!S$27)</f>
        <v>3.4133203628189648</v>
      </c>
      <c r="T23" s="132">
        <f>IF(SER_hh_emih_in!T23=0,0,SER_hh_emih_in!T23/SER_summary!T$27)</f>
        <v>3.3792154537084573</v>
      </c>
      <c r="U23" s="132">
        <f>IF(SER_hh_emih_in!U23=0,0,SER_hh_emih_in!U23/SER_summary!U$27)</f>
        <v>3.3435121208382852</v>
      </c>
      <c r="V23" s="132">
        <f>IF(SER_hh_emih_in!V23=0,0,SER_hh_emih_in!V23/SER_summary!V$27)</f>
        <v>2.9176460219091904</v>
      </c>
      <c r="W23" s="132">
        <f>IF(SER_hh_emih_in!W23=0,0,SER_hh_emih_in!W23/SER_summary!W$27)</f>
        <v>3.0227848822645824</v>
      </c>
      <c r="X23" s="132">
        <f>IF(SER_hh_emih_in!X23=0,0,SER_hh_emih_in!X23/SER_summary!X$27)</f>
        <v>3.061041472049749</v>
      </c>
      <c r="Y23" s="132">
        <f>IF(SER_hh_emih_in!Y23=0,0,SER_hh_emih_in!Y23/SER_summary!Y$27)</f>
        <v>3.0850024971179737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1.9902124467122524</v>
      </c>
      <c r="D29" s="130">
        <f>IF(SER_hh_emih_in!D29=0,0,SER_hh_emih_in!D29/SER_summary!D$27)</f>
        <v>2.0687942976952534</v>
      </c>
      <c r="E29" s="130">
        <f>IF(SER_hh_emih_in!E29=0,0,SER_hh_emih_in!E29/SER_summary!E$27)</f>
        <v>2.042868698358367</v>
      </c>
      <c r="F29" s="130">
        <f>IF(SER_hh_emih_in!F29=0,0,SER_hh_emih_in!F29/SER_summary!F$27)</f>
        <v>2.1356545952807213</v>
      </c>
      <c r="G29" s="130">
        <f>IF(SER_hh_emih_in!G29=0,0,SER_hh_emih_in!G29/SER_summary!G$27)</f>
        <v>1.7665033855188725</v>
      </c>
      <c r="H29" s="130">
        <f>IF(SER_hh_emih_in!H29=0,0,SER_hh_emih_in!H29/SER_summary!H$27)</f>
        <v>1.6959925898167143</v>
      </c>
      <c r="I29" s="130">
        <f>IF(SER_hh_emih_in!I29=0,0,SER_hh_emih_in!I29/SER_summary!I$27)</f>
        <v>1.7798957936987847</v>
      </c>
      <c r="J29" s="130">
        <f>IF(SER_hh_emih_in!J29=0,0,SER_hh_emih_in!J29/SER_summary!J$27)</f>
        <v>1.7074827961301839</v>
      </c>
      <c r="K29" s="130">
        <f>IF(SER_hh_emih_in!K29=0,0,SER_hh_emih_in!K29/SER_summary!K$27)</f>
        <v>1.877574465259447</v>
      </c>
      <c r="L29" s="130">
        <f>IF(SER_hh_emih_in!L29=0,0,SER_hh_emih_in!L29/SER_summary!L$27)</f>
        <v>1.6930324844598803</v>
      </c>
      <c r="M29" s="130">
        <f>IF(SER_hh_emih_in!M29=0,0,SER_hh_emih_in!M29/SER_summary!M$27)</f>
        <v>1.519929810892455</v>
      </c>
      <c r="N29" s="130">
        <f>IF(SER_hh_emih_in!N29=0,0,SER_hh_emih_in!N29/SER_summary!N$27)</f>
        <v>1.6282138340122723</v>
      </c>
      <c r="O29" s="130">
        <f>IF(SER_hh_emih_in!O29=0,0,SER_hh_emih_in!O29/SER_summary!O$27)</f>
        <v>1.7606317769403697</v>
      </c>
      <c r="P29" s="130">
        <f>IF(SER_hh_emih_in!P29=0,0,SER_hh_emih_in!P29/SER_summary!P$27)</f>
        <v>1.804248002297129</v>
      </c>
      <c r="Q29" s="130">
        <f>IF(SER_hh_emih_in!Q29=0,0,SER_hh_emih_in!Q29/SER_summary!Q$27)</f>
        <v>1.0027700937015067</v>
      </c>
      <c r="R29" s="130">
        <f>IF(SER_hh_emih_in!R29=0,0,SER_hh_emih_in!R29/SER_summary!R$27)</f>
        <v>1.3663903391535848</v>
      </c>
      <c r="S29" s="130">
        <f>IF(SER_hh_emih_in!S29=0,0,SER_hh_emih_in!S29/SER_summary!S$27)</f>
        <v>1.0041641684444385</v>
      </c>
      <c r="T29" s="130">
        <f>IF(SER_hh_emih_in!T29=0,0,SER_hh_emih_in!T29/SER_summary!T$27)</f>
        <v>0.75001505241099586</v>
      </c>
      <c r="U29" s="130">
        <f>IF(SER_hh_emih_in!U29=0,0,SER_hh_emih_in!U29/SER_summary!U$27)</f>
        <v>0.76658009139873984</v>
      </c>
      <c r="V29" s="130">
        <f>IF(SER_hh_emih_in!V29=0,0,SER_hh_emih_in!V29/SER_summary!V$27)</f>
        <v>1.2979870695219229</v>
      </c>
      <c r="W29" s="130">
        <f>IF(SER_hh_emih_in!W29=0,0,SER_hh_emih_in!W29/SER_summary!W$27)</f>
        <v>1.6077940872896732</v>
      </c>
      <c r="X29" s="130">
        <f>IF(SER_hh_emih_in!X29=0,0,SER_hh_emih_in!X29/SER_summary!X$27)</f>
        <v>1.3187636432126157</v>
      </c>
      <c r="Y29" s="130">
        <f>IF(SER_hh_emih_in!Y29=0,0,SER_hh_emih_in!Y29/SER_summary!Y$27)</f>
        <v>1.1237126766437047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5.5590232007509641</v>
      </c>
      <c r="D30" s="132">
        <f>IF(SER_hh_emih_in!D30=0,0,SER_hh_emih_in!D30/SER_summary!D$27)</f>
        <v>5.9229956585882997</v>
      </c>
      <c r="E30" s="132">
        <f>IF(SER_hh_emih_in!E30=0,0,SER_hh_emih_in!E30/SER_summary!E$27)</f>
        <v>5.3405063458754176</v>
      </c>
      <c r="F30" s="132">
        <f>IF(SER_hh_emih_in!F30=0,0,SER_hh_emih_in!F30/SER_summary!F$27)</f>
        <v>5.6671930252245408</v>
      </c>
      <c r="G30" s="132">
        <f>IF(SER_hh_emih_in!G30=0,0,SER_hh_emih_in!G30/SER_summary!G$27)</f>
        <v>5.5754015809898272</v>
      </c>
      <c r="H30" s="132">
        <f>IF(SER_hh_emih_in!H30=0,0,SER_hh_emih_in!H30/SER_summary!H$27)</f>
        <v>7.2088504029818017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6.1222429866789136</v>
      </c>
      <c r="L30" s="132">
        <f>IF(SER_hh_emih_in!L30=0,0,SER_hh_emih_in!L30/SER_summary!L$27)</f>
        <v>6.9446540430663282</v>
      </c>
      <c r="M30" s="132">
        <f>IF(SER_hh_emih_in!M30=0,0,SER_hh_emih_in!M30/SER_summary!M$27)</f>
        <v>0</v>
      </c>
      <c r="N30" s="132">
        <f>IF(SER_hh_emih_in!N30=0,0,SER_hh_emih_in!N30/SER_summary!N$27)</f>
        <v>6.2520564309114111</v>
      </c>
      <c r="O30" s="132">
        <f>IF(SER_hh_emih_in!O30=0,0,SER_hh_emih_in!O30/SER_summary!O$27)</f>
        <v>6.6683216713496565</v>
      </c>
      <c r="P30" s="132">
        <f>IF(SER_hh_emih_in!P30=0,0,SER_hh_emih_in!P30/SER_summary!P$27)</f>
        <v>1.0103106632274419</v>
      </c>
      <c r="Q30" s="132">
        <f>IF(SER_hh_emih_in!Q30=0,0,SER_hh_emih_in!Q30/SER_summary!Q$27)</f>
        <v>6.8043923424849169</v>
      </c>
      <c r="R30" s="132">
        <f>IF(SER_hh_emih_in!R30=0,0,SER_hh_emih_in!R30/SER_summary!R$27)</f>
        <v>6.0730044559926633</v>
      </c>
      <c r="S30" s="132">
        <f>IF(SER_hh_emih_in!S30=0,0,SER_hh_emih_in!S30/SER_summary!S$27)</f>
        <v>5.3327365257755375</v>
      </c>
      <c r="T30" s="132">
        <f>IF(SER_hh_emih_in!T30=0,0,SER_hh_emih_in!T30/SER_summary!T$27)</f>
        <v>5.1891926902408851</v>
      </c>
      <c r="U30" s="132">
        <f>IF(SER_hh_emih_in!U30=0,0,SER_hh_emih_in!U30/SER_summary!U$27)</f>
        <v>5.005802957362433</v>
      </c>
      <c r="V30" s="132">
        <f>IF(SER_hh_emih_in!V30=0,0,SER_hh_emih_in!V30/SER_summary!V$27)</f>
        <v>4.9574927790355536</v>
      </c>
      <c r="W30" s="132">
        <f>IF(SER_hh_emih_in!W30=0,0,SER_hh_emih_in!W30/SER_summary!W$27)</f>
        <v>5.8672645025004764</v>
      </c>
      <c r="X30" s="132">
        <f>IF(SER_hh_emih_in!X30=0,0,SER_hh_emih_in!X30/SER_summary!X$27)</f>
        <v>5.2097186493899663</v>
      </c>
      <c r="Y30" s="132">
        <f>IF(SER_hh_emih_in!Y30=0,0,SER_hh_emih_in!Y30/SER_summary!Y$27)</f>
        <v>5.431110287994863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4.8453930713214666</v>
      </c>
      <c r="D31" s="132">
        <f>IF(SER_hh_emih_in!D31=0,0,SER_hh_emih_in!D31/SER_summary!D$27)</f>
        <v>4.7876236503947291</v>
      </c>
      <c r="E31" s="132">
        <f>IF(SER_hh_emih_in!E31=0,0,SER_hh_emih_in!E31/SER_summary!E$27)</f>
        <v>4.9359338466700597</v>
      </c>
      <c r="F31" s="132">
        <f>IF(SER_hh_emih_in!F31=0,0,SER_hh_emih_in!F31/SER_summary!F$27)</f>
        <v>4.9173055804144452</v>
      </c>
      <c r="G31" s="132">
        <f>IF(SER_hh_emih_in!G31=0,0,SER_hh_emih_in!G31/SER_summary!G$27)</f>
        <v>4.8977361156072821</v>
      </c>
      <c r="H31" s="132">
        <f>IF(SER_hh_emih_in!H31=0,0,SER_hh_emih_in!H31/SER_summary!H$27)</f>
        <v>4.5673945911453586</v>
      </c>
      <c r="I31" s="132">
        <f>IF(SER_hh_emih_in!I31=0,0,SER_hh_emih_in!I31/SER_summary!I$27)</f>
        <v>4.9839268271073598</v>
      </c>
      <c r="J31" s="132">
        <f>IF(SER_hh_emih_in!J31=0,0,SER_hh_emih_in!J31/SER_summary!J$27)</f>
        <v>5.0785348694713299</v>
      </c>
      <c r="K31" s="132">
        <f>IF(SER_hh_emih_in!K31=0,0,SER_hh_emih_in!K31/SER_summary!K$27)</f>
        <v>4.7919457816419841</v>
      </c>
      <c r="L31" s="132">
        <f>IF(SER_hh_emih_in!L31=0,0,SER_hh_emih_in!L31/SER_summary!L$27)</f>
        <v>4.6350413058990227</v>
      </c>
      <c r="M31" s="132">
        <f>IF(SER_hh_emih_in!M31=0,0,SER_hh_emih_in!M31/SER_summary!M$27)</f>
        <v>4.9916556799554463</v>
      </c>
      <c r="N31" s="132">
        <f>IF(SER_hh_emih_in!N31=0,0,SER_hh_emih_in!N31/SER_summary!N$27)</f>
        <v>4.7055107327405761</v>
      </c>
      <c r="O31" s="132">
        <f>IF(SER_hh_emih_in!O31=0,0,SER_hh_emih_in!O31/SER_summary!O$27)</f>
        <v>4.7080228507692574</v>
      </c>
      <c r="P31" s="132">
        <f>IF(SER_hh_emih_in!P31=0,0,SER_hh_emih_in!P31/SER_summary!P$27)</f>
        <v>5.2321710666176342</v>
      </c>
      <c r="Q31" s="132">
        <f>IF(SER_hh_emih_in!Q31=0,0,SER_hh_emih_in!Q31/SER_summary!Q$27)</f>
        <v>4.6437382012132105</v>
      </c>
      <c r="R31" s="132">
        <f>IF(SER_hh_emih_in!R31=0,0,SER_hh_emih_in!R31/SER_summary!R$27)</f>
        <v>4.7239395316125998</v>
      </c>
      <c r="S31" s="132">
        <f>IF(SER_hh_emih_in!S31=0,0,SER_hh_emih_in!S31/SER_summary!S$27)</f>
        <v>4.8428644451509211</v>
      </c>
      <c r="T31" s="132">
        <f>IF(SER_hh_emih_in!T31=0,0,SER_hh_emih_in!T31/SER_summary!T$27)</f>
        <v>4.4563480509861897</v>
      </c>
      <c r="U31" s="132">
        <f>IF(SER_hh_emih_in!U31=0,0,SER_hh_emih_in!U31/SER_summary!U$27)</f>
        <v>3.9072165643688166</v>
      </c>
      <c r="V31" s="132">
        <f>IF(SER_hh_emih_in!V31=0,0,SER_hh_emih_in!V31/SER_summary!V$27)</f>
        <v>4.3131045942091388</v>
      </c>
      <c r="W31" s="132">
        <f>IF(SER_hh_emih_in!W31=0,0,SER_hh_emih_in!W31/SER_summary!W$27)</f>
        <v>4.6366588542486094</v>
      </c>
      <c r="X31" s="132">
        <f>IF(SER_hh_emih_in!X31=0,0,SER_hh_emih_in!X31/SER_summary!X$27)</f>
        <v>4.6205595726159814</v>
      </c>
      <c r="Y31" s="132">
        <f>IF(SER_hh_emih_in!Y31=0,0,SER_hh_emih_in!Y31/SER_summary!Y$27)</f>
        <v>4.6669777394972893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1235.1589308331372</v>
      </c>
      <c r="C3" s="179">
        <f t="shared" ref="C3:W3" si="1">SUM(C4:C9)</f>
        <v>1284.8171924686494</v>
      </c>
      <c r="D3" s="179">
        <f t="shared" si="1"/>
        <v>1330.7456475543745</v>
      </c>
      <c r="E3" s="179">
        <f t="shared" si="1"/>
        <v>1375.074880288885</v>
      </c>
      <c r="F3" s="179">
        <f t="shared" si="1"/>
        <v>1418.7094489186659</v>
      </c>
      <c r="G3" s="179">
        <f t="shared" si="1"/>
        <v>1469.5431080117255</v>
      </c>
      <c r="H3" s="179">
        <f t="shared" si="1"/>
        <v>1522.0334595428262</v>
      </c>
      <c r="I3" s="179">
        <f t="shared" si="1"/>
        <v>1576.7860498249649</v>
      </c>
      <c r="J3" s="179">
        <f t="shared" si="1"/>
        <v>1621.1553307242984</v>
      </c>
      <c r="K3" s="179">
        <f t="shared" si="1"/>
        <v>1648.5453317442255</v>
      </c>
      <c r="L3" s="179">
        <f t="shared" si="1"/>
        <v>1684.4301498659779</v>
      </c>
      <c r="M3" s="179">
        <f t="shared" si="1"/>
        <v>1720.4703542251366</v>
      </c>
      <c r="N3" s="179">
        <f t="shared" si="1"/>
        <v>1736.149388538576</v>
      </c>
      <c r="O3" s="179">
        <f t="shared" si="1"/>
        <v>1755.1613628438215</v>
      </c>
      <c r="P3" s="179">
        <f t="shared" si="1"/>
        <v>1789.7922680049078</v>
      </c>
      <c r="Q3" s="179">
        <f t="shared" si="1"/>
        <v>1848.9978923876674</v>
      </c>
      <c r="R3" s="179">
        <f t="shared" si="1"/>
        <v>1860.1087759947873</v>
      </c>
      <c r="S3" s="179">
        <f t="shared" si="1"/>
        <v>1879.4719031026002</v>
      </c>
      <c r="T3" s="179">
        <f t="shared" si="1"/>
        <v>1864.0383232792733</v>
      </c>
      <c r="U3" s="179">
        <f t="shared" si="1"/>
        <v>1851.3051580340675</v>
      </c>
      <c r="V3" s="179">
        <f t="shared" si="1"/>
        <v>1826.3648351421421</v>
      </c>
      <c r="W3" s="179">
        <f t="shared" si="1"/>
        <v>1823.8301353757047</v>
      </c>
      <c r="X3" s="179">
        <f t="shared" ref="X3:Y3" si="2">SUM(X4:X9)</f>
        <v>1817.686330830531</v>
      </c>
      <c r="Y3" s="179">
        <f t="shared" si="2"/>
        <v>1807.8274089382226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109.96819585078039</v>
      </c>
      <c r="C4" s="180">
        <f t="shared" ref="C4:R9" si="4">C12*C44/11630</f>
        <v>112.04738033621787</v>
      </c>
      <c r="D4" s="180">
        <f t="shared" si="4"/>
        <v>113.51328315459067</v>
      </c>
      <c r="E4" s="180">
        <f t="shared" si="4"/>
        <v>114.64347777068629</v>
      </c>
      <c r="F4" s="180">
        <f t="shared" si="4"/>
        <v>114.86353979462955</v>
      </c>
      <c r="G4" s="180">
        <f t="shared" si="4"/>
        <v>116.87640225531038</v>
      </c>
      <c r="H4" s="180">
        <f t="shared" si="4"/>
        <v>119.8134076485687</v>
      </c>
      <c r="I4" s="180">
        <f t="shared" si="4"/>
        <v>123.69003171015552</v>
      </c>
      <c r="J4" s="180">
        <f t="shared" si="4"/>
        <v>126.14022321585703</v>
      </c>
      <c r="K4" s="180">
        <f t="shared" si="4"/>
        <v>125.93564685442009</v>
      </c>
      <c r="L4" s="180">
        <f t="shared" si="4"/>
        <v>127.23805429109613</v>
      </c>
      <c r="M4" s="180">
        <f t="shared" si="4"/>
        <v>128.76878776350574</v>
      </c>
      <c r="N4" s="180">
        <f t="shared" si="4"/>
        <v>128.9459654585981</v>
      </c>
      <c r="O4" s="180">
        <f t="shared" si="4"/>
        <v>128.42247595148049</v>
      </c>
      <c r="P4" s="180">
        <f t="shared" si="4"/>
        <v>128.04004936827096</v>
      </c>
      <c r="Q4" s="180">
        <f t="shared" si="4"/>
        <v>128.9258331362054</v>
      </c>
      <c r="R4" s="180">
        <f t="shared" si="4"/>
        <v>128.5630556907395</v>
      </c>
      <c r="S4" s="180">
        <f t="shared" ref="D4:W9" si="5">S12*S44/11630</f>
        <v>128.35573528418348</v>
      </c>
      <c r="T4" s="180">
        <f t="shared" si="5"/>
        <v>127.96778109963519</v>
      </c>
      <c r="U4" s="180">
        <f t="shared" si="5"/>
        <v>128.24039405335787</v>
      </c>
      <c r="V4" s="180">
        <f t="shared" si="5"/>
        <v>128.49557276890613</v>
      </c>
      <c r="W4" s="180">
        <f t="shared" si="5"/>
        <v>128.63377160583914</v>
      </c>
      <c r="X4" s="180">
        <f t="shared" ref="X4:Y4" si="6">X12*X44/11630</f>
        <v>128.57451452642417</v>
      </c>
      <c r="Y4" s="180">
        <f t="shared" si="6"/>
        <v>127.96995127865205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83.334293087847428</v>
      </c>
      <c r="C5" s="180">
        <f t="shared" si="4"/>
        <v>84.497664665606152</v>
      </c>
      <c r="D5" s="180">
        <f t="shared" si="5"/>
        <v>85.97814097708013</v>
      </c>
      <c r="E5" s="180">
        <f t="shared" si="5"/>
        <v>87.52584548055134</v>
      </c>
      <c r="F5" s="180">
        <f t="shared" si="5"/>
        <v>89.088279470848775</v>
      </c>
      <c r="G5" s="180">
        <f t="shared" si="5"/>
        <v>90.037467713588001</v>
      </c>
      <c r="H5" s="180">
        <f t="shared" si="5"/>
        <v>91.663641011341568</v>
      </c>
      <c r="I5" s="180">
        <f t="shared" si="5"/>
        <v>92.611479531957798</v>
      </c>
      <c r="J5" s="180">
        <f t="shared" si="5"/>
        <v>94.659493112340868</v>
      </c>
      <c r="K5" s="180">
        <f t="shared" si="5"/>
        <v>96.893902089951951</v>
      </c>
      <c r="L5" s="180">
        <f t="shared" si="5"/>
        <v>99.228635972662687</v>
      </c>
      <c r="M5" s="180">
        <f t="shared" si="5"/>
        <v>100.63546987640325</v>
      </c>
      <c r="N5" s="180">
        <f t="shared" si="5"/>
        <v>102.59615544430702</v>
      </c>
      <c r="O5" s="180">
        <f t="shared" si="5"/>
        <v>104.27742401924593</v>
      </c>
      <c r="P5" s="180">
        <f t="shared" si="5"/>
        <v>106.46429202659165</v>
      </c>
      <c r="Q5" s="180">
        <f t="shared" si="5"/>
        <v>107.20412929468924</v>
      </c>
      <c r="R5" s="180">
        <f t="shared" si="5"/>
        <v>106.13488865175263</v>
      </c>
      <c r="S5" s="180">
        <f t="shared" si="5"/>
        <v>106.66021030256016</v>
      </c>
      <c r="T5" s="180">
        <f t="shared" si="5"/>
        <v>104.50048638547614</v>
      </c>
      <c r="U5" s="180">
        <f t="shared" si="5"/>
        <v>101.84421620059409</v>
      </c>
      <c r="V5" s="180">
        <f t="shared" si="5"/>
        <v>98.447656495244615</v>
      </c>
      <c r="W5" s="180">
        <f t="shared" si="5"/>
        <v>96.112660671634174</v>
      </c>
      <c r="X5" s="180">
        <f t="shared" ref="X5:Y5" si="7">X13*X45/11630</f>
        <v>93.58765340044873</v>
      </c>
      <c r="Y5" s="180">
        <f t="shared" si="7"/>
        <v>91.740412838201735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477.87407323270645</v>
      </c>
      <c r="C6" s="180">
        <f t="shared" si="4"/>
        <v>487.9035946037518</v>
      </c>
      <c r="D6" s="180">
        <f t="shared" si="5"/>
        <v>492.02080061957986</v>
      </c>
      <c r="E6" s="180">
        <f t="shared" si="5"/>
        <v>492.47730648343935</v>
      </c>
      <c r="F6" s="180">
        <f t="shared" si="5"/>
        <v>489.58589642866218</v>
      </c>
      <c r="G6" s="180">
        <f t="shared" si="5"/>
        <v>491.78553972876932</v>
      </c>
      <c r="H6" s="180">
        <f t="shared" si="5"/>
        <v>497.79118440581055</v>
      </c>
      <c r="I6" s="180">
        <f t="shared" si="5"/>
        <v>510.54411800886368</v>
      </c>
      <c r="J6" s="180">
        <f t="shared" si="5"/>
        <v>519.63456801708242</v>
      </c>
      <c r="K6" s="180">
        <f t="shared" si="5"/>
        <v>520.36310131825292</v>
      </c>
      <c r="L6" s="180">
        <f t="shared" si="5"/>
        <v>527.28791755735131</v>
      </c>
      <c r="M6" s="180">
        <f t="shared" si="5"/>
        <v>533.89170951328015</v>
      </c>
      <c r="N6" s="180">
        <f t="shared" si="5"/>
        <v>533.20268861315833</v>
      </c>
      <c r="O6" s="180">
        <f t="shared" si="5"/>
        <v>530.12969204113892</v>
      </c>
      <c r="P6" s="180">
        <f t="shared" si="5"/>
        <v>531.3291843708173</v>
      </c>
      <c r="Q6" s="180">
        <f t="shared" si="5"/>
        <v>542.94025756893677</v>
      </c>
      <c r="R6" s="180">
        <f t="shared" si="5"/>
        <v>534.55151803875651</v>
      </c>
      <c r="S6" s="180">
        <f t="shared" si="5"/>
        <v>533.39494904719299</v>
      </c>
      <c r="T6" s="180">
        <f t="shared" si="5"/>
        <v>511.25942316013106</v>
      </c>
      <c r="U6" s="180">
        <f t="shared" si="5"/>
        <v>486.26424560536759</v>
      </c>
      <c r="V6" s="180">
        <f t="shared" si="5"/>
        <v>454.95657518527889</v>
      </c>
      <c r="W6" s="180">
        <f t="shared" si="5"/>
        <v>435.11363631445579</v>
      </c>
      <c r="X6" s="180">
        <f t="shared" ref="X6:Y6" si="8">X14*X46/11630</f>
        <v>415.28357371764406</v>
      </c>
      <c r="Y6" s="180">
        <f t="shared" si="8"/>
        <v>391.75377797769079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199.31064220780482</v>
      </c>
      <c r="C7" s="180">
        <f t="shared" si="4"/>
        <v>199.40675138715673</v>
      </c>
      <c r="D7" s="180">
        <f t="shared" si="5"/>
        <v>199.4175145153273</v>
      </c>
      <c r="E7" s="180">
        <f t="shared" si="5"/>
        <v>199.05714213539903</v>
      </c>
      <c r="F7" s="180">
        <f t="shared" si="5"/>
        <v>198.53398746217198</v>
      </c>
      <c r="G7" s="180">
        <f t="shared" si="5"/>
        <v>197.93140899456981</v>
      </c>
      <c r="H7" s="180">
        <f t="shared" si="5"/>
        <v>197.3345241995797</v>
      </c>
      <c r="I7" s="180">
        <f t="shared" si="5"/>
        <v>196.90741092384596</v>
      </c>
      <c r="J7" s="180">
        <f t="shared" si="5"/>
        <v>196.90462249257615</v>
      </c>
      <c r="K7" s="180">
        <f t="shared" si="5"/>
        <v>197.40256356687064</v>
      </c>
      <c r="L7" s="180">
        <f t="shared" si="5"/>
        <v>198.15304601961299</v>
      </c>
      <c r="M7" s="180">
        <f t="shared" si="5"/>
        <v>199.28043389034289</v>
      </c>
      <c r="N7" s="180">
        <f t="shared" si="5"/>
        <v>200.78424448597167</v>
      </c>
      <c r="O7" s="180">
        <f t="shared" si="5"/>
        <v>202.41665386129554</v>
      </c>
      <c r="P7" s="180">
        <f t="shared" si="5"/>
        <v>204.5091432515097</v>
      </c>
      <c r="Q7" s="180">
        <f t="shared" si="5"/>
        <v>207.82459779377672</v>
      </c>
      <c r="R7" s="180">
        <f t="shared" si="5"/>
        <v>209.98297627430961</v>
      </c>
      <c r="S7" s="180">
        <f t="shared" si="5"/>
        <v>212.22186449344747</v>
      </c>
      <c r="T7" s="180">
        <f t="shared" si="5"/>
        <v>213.92692225945913</v>
      </c>
      <c r="U7" s="180">
        <f t="shared" si="5"/>
        <v>215.15782682942077</v>
      </c>
      <c r="V7" s="180">
        <f t="shared" si="5"/>
        <v>215.71534035983933</v>
      </c>
      <c r="W7" s="180">
        <f t="shared" si="5"/>
        <v>216.36384342700151</v>
      </c>
      <c r="X7" s="180">
        <f t="shared" ref="X7:Y7" si="9">X15*X47/11630</f>
        <v>216.38786001165982</v>
      </c>
      <c r="Y7" s="180">
        <f t="shared" si="9"/>
        <v>216.77825275960404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109.19535598395321</v>
      </c>
      <c r="C8" s="55">
        <f t="shared" si="4"/>
        <v>115.57255347747889</v>
      </c>
      <c r="D8" s="55">
        <f t="shared" si="5"/>
        <v>122.78866088580851</v>
      </c>
      <c r="E8" s="55">
        <f t="shared" si="5"/>
        <v>132.50928264000072</v>
      </c>
      <c r="F8" s="55">
        <f t="shared" si="5"/>
        <v>145.15655036758577</v>
      </c>
      <c r="G8" s="55">
        <f t="shared" si="5"/>
        <v>160.68982749863235</v>
      </c>
      <c r="H8" s="55">
        <f t="shared" si="5"/>
        <v>176.8746483776888</v>
      </c>
      <c r="I8" s="55">
        <f t="shared" si="5"/>
        <v>192.38228416891673</v>
      </c>
      <c r="J8" s="55">
        <f t="shared" si="5"/>
        <v>204.25960488518325</v>
      </c>
      <c r="K8" s="55">
        <f t="shared" si="5"/>
        <v>211.31720709956863</v>
      </c>
      <c r="L8" s="55">
        <f t="shared" si="5"/>
        <v>218.26208309048778</v>
      </c>
      <c r="M8" s="55">
        <f t="shared" si="5"/>
        <v>224.60336217557685</v>
      </c>
      <c r="N8" s="55">
        <f t="shared" si="5"/>
        <v>229.71629774580498</v>
      </c>
      <c r="O8" s="55">
        <f t="shared" si="5"/>
        <v>232.57731211154706</v>
      </c>
      <c r="P8" s="55">
        <f t="shared" si="5"/>
        <v>234.67169747472929</v>
      </c>
      <c r="Q8" s="55">
        <f t="shared" si="5"/>
        <v>237.92237679491566</v>
      </c>
      <c r="R8" s="55">
        <f t="shared" si="5"/>
        <v>241.3579033769557</v>
      </c>
      <c r="S8" s="55">
        <f t="shared" si="5"/>
        <v>249.67121095931896</v>
      </c>
      <c r="T8" s="55">
        <f t="shared" si="5"/>
        <v>253.29401236470491</v>
      </c>
      <c r="U8" s="55">
        <f t="shared" si="5"/>
        <v>257.20877125323517</v>
      </c>
      <c r="V8" s="55">
        <f t="shared" si="5"/>
        <v>256.07609992517115</v>
      </c>
      <c r="W8" s="55">
        <f t="shared" si="5"/>
        <v>259.66462073348123</v>
      </c>
      <c r="X8" s="55">
        <f t="shared" ref="X8:Y8" si="10">X16*X48/11630</f>
        <v>261.88869888215157</v>
      </c>
      <c r="Y8" s="55">
        <f t="shared" si="10"/>
        <v>263.19767825825483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255.47637047004511</v>
      </c>
      <c r="C9" s="63">
        <f t="shared" si="4"/>
        <v>285.38924799843778</v>
      </c>
      <c r="D9" s="63">
        <f t="shared" si="5"/>
        <v>317.02724740198789</v>
      </c>
      <c r="E9" s="63">
        <f t="shared" si="5"/>
        <v>348.86182577880817</v>
      </c>
      <c r="F9" s="63">
        <f t="shared" si="5"/>
        <v>381.48119539476761</v>
      </c>
      <c r="G9" s="63">
        <f t="shared" si="5"/>
        <v>412.22246182085564</v>
      </c>
      <c r="H9" s="63">
        <f t="shared" si="5"/>
        <v>438.55605389983708</v>
      </c>
      <c r="I9" s="63">
        <f t="shared" si="5"/>
        <v>460.65072548122515</v>
      </c>
      <c r="J9" s="63">
        <f t="shared" si="5"/>
        <v>479.55681900125876</v>
      </c>
      <c r="K9" s="63">
        <f t="shared" si="5"/>
        <v>496.63291081516121</v>
      </c>
      <c r="L9" s="63">
        <f t="shared" si="5"/>
        <v>514.26041293476715</v>
      </c>
      <c r="M9" s="63">
        <f t="shared" si="5"/>
        <v>533.29059100602763</v>
      </c>
      <c r="N9" s="63">
        <f t="shared" si="5"/>
        <v>540.90403679073597</v>
      </c>
      <c r="O9" s="63">
        <f t="shared" si="5"/>
        <v>557.33780485911348</v>
      </c>
      <c r="P9" s="63">
        <f t="shared" si="5"/>
        <v>584.77790151298893</v>
      </c>
      <c r="Q9" s="63">
        <f t="shared" si="5"/>
        <v>624.18069779914356</v>
      </c>
      <c r="R9" s="63">
        <f t="shared" si="5"/>
        <v>639.51843396227321</v>
      </c>
      <c r="S9" s="63">
        <f t="shared" si="5"/>
        <v>649.16793301589712</v>
      </c>
      <c r="T9" s="63">
        <f t="shared" si="5"/>
        <v>653.08969800986677</v>
      </c>
      <c r="U9" s="63">
        <f t="shared" si="5"/>
        <v>662.58970409209189</v>
      </c>
      <c r="V9" s="63">
        <f t="shared" si="5"/>
        <v>672.67359040770202</v>
      </c>
      <c r="W9" s="63">
        <f t="shared" si="5"/>
        <v>687.94160262329297</v>
      </c>
      <c r="X9" s="63">
        <f t="shared" ref="X9:Y9" si="11">X17*X49/11630</f>
        <v>701.96403029220244</v>
      </c>
      <c r="Y9" s="63">
        <f t="shared" si="11"/>
        <v>716.38733582581926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5710.211339948286</v>
      </c>
      <c r="C11" s="179">
        <f t="shared" ref="C11:W11" si="13">SUM(C12:C17)</f>
        <v>5885.0117359793694</v>
      </c>
      <c r="D11" s="179">
        <f t="shared" si="13"/>
        <v>6051.5572980411143</v>
      </c>
      <c r="E11" s="179">
        <f t="shared" si="13"/>
        <v>6239.1767305133408</v>
      </c>
      <c r="F11" s="179">
        <f t="shared" si="13"/>
        <v>6455.1574995874316</v>
      </c>
      <c r="G11" s="179">
        <f t="shared" si="13"/>
        <v>6740.8657341029602</v>
      </c>
      <c r="H11" s="179">
        <f t="shared" si="13"/>
        <v>7040.9724533245171</v>
      </c>
      <c r="I11" s="179">
        <f t="shared" si="13"/>
        <v>7344.5872667220592</v>
      </c>
      <c r="J11" s="179">
        <f t="shared" si="13"/>
        <v>7572.305366803108</v>
      </c>
      <c r="K11" s="179">
        <f t="shared" si="13"/>
        <v>7687.9535455475443</v>
      </c>
      <c r="L11" s="179">
        <f t="shared" si="13"/>
        <v>7830.690642174839</v>
      </c>
      <c r="M11" s="179">
        <f t="shared" si="13"/>
        <v>7973.0217727714389</v>
      </c>
      <c r="N11" s="179">
        <f t="shared" si="13"/>
        <v>8051.1578139024368</v>
      </c>
      <c r="O11" s="179">
        <f t="shared" si="13"/>
        <v>8118.8098045758197</v>
      </c>
      <c r="P11" s="179">
        <f t="shared" si="13"/>
        <v>8237.5900961999505</v>
      </c>
      <c r="Q11" s="179">
        <f t="shared" si="13"/>
        <v>8475.3651047290186</v>
      </c>
      <c r="R11" s="179">
        <f t="shared" si="13"/>
        <v>8526.246360527779</v>
      </c>
      <c r="S11" s="179">
        <f t="shared" si="13"/>
        <v>8546.9540580481425</v>
      </c>
      <c r="T11" s="179">
        <f t="shared" si="13"/>
        <v>8555.8398667700712</v>
      </c>
      <c r="U11" s="179">
        <f t="shared" si="13"/>
        <v>8561.3867789338365</v>
      </c>
      <c r="V11" s="179">
        <f t="shared" si="13"/>
        <v>8520.5025431635113</v>
      </c>
      <c r="W11" s="179">
        <f t="shared" si="13"/>
        <v>8452.0673709491275</v>
      </c>
      <c r="X11" s="179">
        <f t="shared" ref="X11:Y11" si="14">SUM(X12:X17)</f>
        <v>8384.9797708213555</v>
      </c>
      <c r="Y11" s="179">
        <f t="shared" si="14"/>
        <v>8303.1523262250084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145.99658878362743</v>
      </c>
      <c r="C12" s="180">
        <f t="shared" ref="C12:W12" si="15">C20*C52</f>
        <v>148.75696727285549</v>
      </c>
      <c r="D12" s="180">
        <f t="shared" si="15"/>
        <v>150.70313733880019</v>
      </c>
      <c r="E12" s="180">
        <f t="shared" si="15"/>
        <v>152.20361261108241</v>
      </c>
      <c r="F12" s="180">
        <f t="shared" si="15"/>
        <v>152.49577258122622</v>
      </c>
      <c r="G12" s="180">
        <f t="shared" si="15"/>
        <v>155.16810025448177</v>
      </c>
      <c r="H12" s="180">
        <f t="shared" si="15"/>
        <v>159.06734371607925</v>
      </c>
      <c r="I12" s="180">
        <f t="shared" si="15"/>
        <v>164.21404894852839</v>
      </c>
      <c r="J12" s="180">
        <f t="shared" si="15"/>
        <v>167.46698584479654</v>
      </c>
      <c r="K12" s="180">
        <f t="shared" si="15"/>
        <v>167.19538503617636</v>
      </c>
      <c r="L12" s="180">
        <f t="shared" si="15"/>
        <v>168.92449445267675</v>
      </c>
      <c r="M12" s="180">
        <f t="shared" si="15"/>
        <v>170.95673535269083</v>
      </c>
      <c r="N12" s="180">
        <f t="shared" si="15"/>
        <v>171.19196099126665</v>
      </c>
      <c r="O12" s="180">
        <f t="shared" si="15"/>
        <v>170.49696293558429</v>
      </c>
      <c r="P12" s="180">
        <f t="shared" si="15"/>
        <v>169.98924362477072</v>
      </c>
      <c r="Q12" s="180">
        <f t="shared" si="15"/>
        <v>171.16523280525902</v>
      </c>
      <c r="R12" s="180">
        <f t="shared" si="15"/>
        <v>170.6836001921576</v>
      </c>
      <c r="S12" s="180">
        <f t="shared" si="15"/>
        <v>170.40835631907009</v>
      </c>
      <c r="T12" s="180">
        <f t="shared" si="15"/>
        <v>169.89329842337412</v>
      </c>
      <c r="U12" s="180">
        <f t="shared" si="15"/>
        <v>170.25522635166118</v>
      </c>
      <c r="V12" s="180">
        <f t="shared" si="15"/>
        <v>170.5940081395409</v>
      </c>
      <c r="W12" s="180">
        <f t="shared" si="15"/>
        <v>170.77748444930472</v>
      </c>
      <c r="X12" s="180">
        <f t="shared" ref="X12:Y12" si="16">X20*X52</f>
        <v>170.69881323542387</v>
      </c>
      <c r="Y12" s="180">
        <f t="shared" si="16"/>
        <v>169.89617960853005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237.14434019156289</v>
      </c>
      <c r="C13" s="180">
        <f t="shared" ref="C13:W13" si="17">C21*C53/1000</f>
        <v>240.35829216122389</v>
      </c>
      <c r="D13" s="180">
        <f t="shared" si="17"/>
        <v>244.54930425460662</v>
      </c>
      <c r="E13" s="180">
        <f t="shared" si="17"/>
        <v>248.92425141430334</v>
      </c>
      <c r="F13" s="180">
        <f t="shared" si="17"/>
        <v>253.3362424798452</v>
      </c>
      <c r="G13" s="180">
        <f t="shared" si="17"/>
        <v>256.23011745145379</v>
      </c>
      <c r="H13" s="180">
        <f t="shared" si="17"/>
        <v>260.97957036562883</v>
      </c>
      <c r="I13" s="180">
        <f t="shared" si="17"/>
        <v>263.91949759115397</v>
      </c>
      <c r="J13" s="180">
        <f t="shared" si="17"/>
        <v>270.15098173140262</v>
      </c>
      <c r="K13" s="180">
        <f t="shared" si="17"/>
        <v>277.0048111252687</v>
      </c>
      <c r="L13" s="180">
        <f t="shared" si="17"/>
        <v>284.42763402614054</v>
      </c>
      <c r="M13" s="180">
        <f t="shared" si="17"/>
        <v>290.25197415111535</v>
      </c>
      <c r="N13" s="180">
        <f t="shared" si="17"/>
        <v>298.1123511903516</v>
      </c>
      <c r="O13" s="180">
        <f t="shared" si="17"/>
        <v>305.65144964037512</v>
      </c>
      <c r="P13" s="180">
        <f t="shared" si="17"/>
        <v>314.64218359752465</v>
      </c>
      <c r="Q13" s="180">
        <f t="shared" si="17"/>
        <v>319.76941649619471</v>
      </c>
      <c r="R13" s="180">
        <f t="shared" si="17"/>
        <v>318.70236800058814</v>
      </c>
      <c r="S13" s="180">
        <f t="shared" si="17"/>
        <v>316.60762343975171</v>
      </c>
      <c r="T13" s="180">
        <f t="shared" si="17"/>
        <v>313.36410657713702</v>
      </c>
      <c r="U13" s="180">
        <f t="shared" si="17"/>
        <v>308.39065162261335</v>
      </c>
      <c r="V13" s="180">
        <f t="shared" si="17"/>
        <v>301.06590197410912</v>
      </c>
      <c r="W13" s="180">
        <f t="shared" si="17"/>
        <v>293.22087936825523</v>
      </c>
      <c r="X13" s="180">
        <f t="shared" ref="X13:Y13" si="18">X21*X53/1000</f>
        <v>287.11511742932635</v>
      </c>
      <c r="Y13" s="180">
        <f t="shared" si="18"/>
        <v>283.03164704859887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2456.5887323231054</v>
      </c>
      <c r="C14" s="180">
        <f t="shared" ref="C14:W14" si="19">C22*C54</f>
        <v>2491.0687166558714</v>
      </c>
      <c r="D14" s="180">
        <f t="shared" si="19"/>
        <v>2500.9575406207236</v>
      </c>
      <c r="E14" s="180">
        <f t="shared" si="19"/>
        <v>2492.4619664676025</v>
      </c>
      <c r="F14" s="180">
        <f t="shared" si="19"/>
        <v>2463.5301515316751</v>
      </c>
      <c r="G14" s="180">
        <f t="shared" si="19"/>
        <v>2466.0488490241105</v>
      </c>
      <c r="H14" s="180">
        <f t="shared" si="19"/>
        <v>2484.8190270895275</v>
      </c>
      <c r="I14" s="180">
        <f t="shared" si="19"/>
        <v>2531.2323089418178</v>
      </c>
      <c r="J14" s="180">
        <f t="shared" si="19"/>
        <v>2563.957049907036</v>
      </c>
      <c r="K14" s="180">
        <f t="shared" si="19"/>
        <v>2558.7197201048671</v>
      </c>
      <c r="L14" s="180">
        <f t="shared" si="19"/>
        <v>2581.7241271995586</v>
      </c>
      <c r="M14" s="180">
        <f t="shared" si="19"/>
        <v>2607.2700934819695</v>
      </c>
      <c r="N14" s="180">
        <f t="shared" si="19"/>
        <v>2593.7451788778844</v>
      </c>
      <c r="O14" s="180">
        <f t="shared" si="19"/>
        <v>2572.0682536103664</v>
      </c>
      <c r="P14" s="180">
        <f t="shared" si="19"/>
        <v>2567.9693601945301</v>
      </c>
      <c r="Q14" s="180">
        <f t="shared" si="19"/>
        <v>2610.948902256579</v>
      </c>
      <c r="R14" s="180">
        <f t="shared" si="19"/>
        <v>2564.276268594966</v>
      </c>
      <c r="S14" s="180">
        <f t="shared" si="19"/>
        <v>2505.0762956568688</v>
      </c>
      <c r="T14" s="180">
        <f t="shared" si="19"/>
        <v>2427.7650417864938</v>
      </c>
      <c r="U14" s="180">
        <f t="shared" si="19"/>
        <v>2332.1072764923556</v>
      </c>
      <c r="V14" s="180">
        <f t="shared" si="19"/>
        <v>2224.4356786951766</v>
      </c>
      <c r="W14" s="180">
        <f t="shared" si="19"/>
        <v>2110.6134268913161</v>
      </c>
      <c r="X14" s="180">
        <f t="shared" ref="X14:Y14" si="20">X22*X54</f>
        <v>2013.4770217846353</v>
      </c>
      <c r="Y14" s="180">
        <f t="shared" si="20"/>
        <v>1898.9481858709119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264.60990512291897</v>
      </c>
      <c r="C15" s="180">
        <f t="shared" ref="C15:W15" si="21">C23*C55/1000</f>
        <v>264.73750212701282</v>
      </c>
      <c r="D15" s="180">
        <f t="shared" si="21"/>
        <v>264.7517915311937</v>
      </c>
      <c r="E15" s="180">
        <f t="shared" si="21"/>
        <v>264.27335194459943</v>
      </c>
      <c r="F15" s="180">
        <f t="shared" si="21"/>
        <v>263.57879842295193</v>
      </c>
      <c r="G15" s="180">
        <f t="shared" si="21"/>
        <v>262.77879984096433</v>
      </c>
      <c r="H15" s="180">
        <f t="shared" si="21"/>
        <v>261.9863603243279</v>
      </c>
      <c r="I15" s="180">
        <f t="shared" si="21"/>
        <v>261.4193138178457</v>
      </c>
      <c r="J15" s="180">
        <f t="shared" si="21"/>
        <v>261.41561182518956</v>
      </c>
      <c r="K15" s="180">
        <f t="shared" si="21"/>
        <v>262.07669112816279</v>
      </c>
      <c r="L15" s="180">
        <f t="shared" si="21"/>
        <v>263.0730508228425</v>
      </c>
      <c r="M15" s="180">
        <f t="shared" si="21"/>
        <v>264.56979978820641</v>
      </c>
      <c r="N15" s="180">
        <f t="shared" si="21"/>
        <v>266.56629718856743</v>
      </c>
      <c r="O15" s="180">
        <f t="shared" si="21"/>
        <v>268.73352561722237</v>
      </c>
      <c r="P15" s="180">
        <f t="shared" si="21"/>
        <v>271.51156803824858</v>
      </c>
      <c r="Q15" s="180">
        <f t="shared" si="21"/>
        <v>275.91325026730863</v>
      </c>
      <c r="R15" s="180">
        <f t="shared" si="21"/>
        <v>278.77876872947729</v>
      </c>
      <c r="S15" s="180">
        <f t="shared" si="21"/>
        <v>281.75117397931444</v>
      </c>
      <c r="T15" s="180">
        <f t="shared" si="21"/>
        <v>284.01485226912223</v>
      </c>
      <c r="U15" s="180">
        <f t="shared" si="21"/>
        <v>285.64903265138855</v>
      </c>
      <c r="V15" s="180">
        <f t="shared" si="21"/>
        <v>286.38920187042595</v>
      </c>
      <c r="W15" s="180">
        <f t="shared" si="21"/>
        <v>287.25017112511728</v>
      </c>
      <c r="X15" s="180">
        <f t="shared" ref="X15:Y15" si="22">X23*X55/1000</f>
        <v>287.28205615703234</v>
      </c>
      <c r="Y15" s="180">
        <f t="shared" si="22"/>
        <v>287.80035155184868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1532.1131459758135</v>
      </c>
      <c r="C16" s="55">
        <f t="shared" ref="C16:W16" si="23">C24*C56</f>
        <v>1613.8818779618907</v>
      </c>
      <c r="D16" s="55">
        <f t="shared" si="23"/>
        <v>1707.2057752300054</v>
      </c>
      <c r="E16" s="55">
        <f t="shared" si="23"/>
        <v>1834.9988894265334</v>
      </c>
      <c r="F16" s="55">
        <f t="shared" si="23"/>
        <v>2002.7046555546985</v>
      </c>
      <c r="G16" s="55">
        <f t="shared" si="23"/>
        <v>2209.3803752406143</v>
      </c>
      <c r="H16" s="55">
        <f t="shared" si="23"/>
        <v>2424.0761623925746</v>
      </c>
      <c r="I16" s="55">
        <f t="shared" si="23"/>
        <v>2628.6290386436422</v>
      </c>
      <c r="J16" s="55">
        <f t="shared" si="23"/>
        <v>2782.9508272375665</v>
      </c>
      <c r="K16" s="55">
        <f t="shared" si="23"/>
        <v>2871.3349193582676</v>
      </c>
      <c r="L16" s="55">
        <f t="shared" si="23"/>
        <v>2958.1041893413176</v>
      </c>
      <c r="M16" s="55">
        <f t="shared" si="23"/>
        <v>3039.100862798754</v>
      </c>
      <c r="N16" s="55">
        <f t="shared" si="23"/>
        <v>3103.4676507609734</v>
      </c>
      <c r="O16" s="55">
        <f t="shared" si="23"/>
        <v>3137.4676492334406</v>
      </c>
      <c r="P16" s="55">
        <f t="shared" si="23"/>
        <v>3161.2330272501208</v>
      </c>
      <c r="Q16" s="55">
        <f t="shared" si="23"/>
        <v>3200.6643064550212</v>
      </c>
      <c r="R16" s="55">
        <f t="shared" si="23"/>
        <v>3262.3737745504991</v>
      </c>
      <c r="S16" s="55">
        <f t="shared" si="23"/>
        <v>3320.8927562980753</v>
      </c>
      <c r="T16" s="55">
        <f t="shared" si="23"/>
        <v>3391.7879599524827</v>
      </c>
      <c r="U16" s="55">
        <f t="shared" si="23"/>
        <v>3473.6025429252777</v>
      </c>
      <c r="V16" s="55">
        <f t="shared" si="23"/>
        <v>3525.6331102920326</v>
      </c>
      <c r="W16" s="55">
        <f t="shared" si="23"/>
        <v>3546.8020152084528</v>
      </c>
      <c r="X16" s="55">
        <f t="shared" ref="X16:Y16" si="24">X24*X56</f>
        <v>3555.090297182714</v>
      </c>
      <c r="Y16" s="55">
        <f t="shared" si="24"/>
        <v>3561.8613667995655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1073.7586275512574</v>
      </c>
      <c r="C17" s="63">
        <f t="shared" ref="C17:W17" si="25">C25*C57/1000</f>
        <v>1126.2083798005146</v>
      </c>
      <c r="D17" s="63">
        <f t="shared" si="25"/>
        <v>1183.3897490657841</v>
      </c>
      <c r="E17" s="63">
        <f t="shared" si="25"/>
        <v>1246.3146586492192</v>
      </c>
      <c r="F17" s="63">
        <f t="shared" si="25"/>
        <v>1319.5118790170345</v>
      </c>
      <c r="G17" s="63">
        <f t="shared" si="25"/>
        <v>1391.2594922913349</v>
      </c>
      <c r="H17" s="63">
        <f t="shared" si="25"/>
        <v>1450.0439894363785</v>
      </c>
      <c r="I17" s="63">
        <f t="shared" si="25"/>
        <v>1495.1730587790719</v>
      </c>
      <c r="J17" s="63">
        <f t="shared" si="25"/>
        <v>1526.3639102571167</v>
      </c>
      <c r="K17" s="63">
        <f t="shared" si="25"/>
        <v>1551.6220187948011</v>
      </c>
      <c r="L17" s="63">
        <f t="shared" si="25"/>
        <v>1574.4371463323034</v>
      </c>
      <c r="M17" s="63">
        <f t="shared" si="25"/>
        <v>1600.8723071987029</v>
      </c>
      <c r="N17" s="63">
        <f t="shared" si="25"/>
        <v>1618.0743748933924</v>
      </c>
      <c r="O17" s="63">
        <f t="shared" si="25"/>
        <v>1664.3919635388315</v>
      </c>
      <c r="P17" s="63">
        <f t="shared" si="25"/>
        <v>1752.2447134947561</v>
      </c>
      <c r="Q17" s="63">
        <f t="shared" si="25"/>
        <v>1896.903996448656</v>
      </c>
      <c r="R17" s="63">
        <f t="shared" si="25"/>
        <v>1931.4315804600917</v>
      </c>
      <c r="S17" s="63">
        <f t="shared" si="25"/>
        <v>1952.2178523550622</v>
      </c>
      <c r="T17" s="63">
        <f t="shared" si="25"/>
        <v>1969.0146077614606</v>
      </c>
      <c r="U17" s="63">
        <f t="shared" si="25"/>
        <v>1991.3820488905412</v>
      </c>
      <c r="V17" s="63">
        <f t="shared" si="25"/>
        <v>2012.3846421922265</v>
      </c>
      <c r="W17" s="63">
        <f t="shared" si="25"/>
        <v>2043.4033939066805</v>
      </c>
      <c r="X17" s="63">
        <f t="shared" ref="X17:Y17" si="26">X25*X57/1000</f>
        <v>2071.3164650322228</v>
      </c>
      <c r="Y17" s="63">
        <f t="shared" si="26"/>
        <v>2101.6145953455534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233.75397436399666</v>
      </c>
      <c r="C20" s="181">
        <v>239.85761833731627</v>
      </c>
      <c r="D20" s="181">
        <v>244.68418592569915</v>
      </c>
      <c r="E20" s="181">
        <v>248.8857514702884</v>
      </c>
      <c r="F20" s="181">
        <v>251.05710785196655</v>
      </c>
      <c r="G20" s="181">
        <v>257.83696567332959</v>
      </c>
      <c r="H20" s="181">
        <v>267.19286029461142</v>
      </c>
      <c r="I20" s="181">
        <v>279.22938722435902</v>
      </c>
      <c r="J20" s="181">
        <v>288.04038719457549</v>
      </c>
      <c r="K20" s="181">
        <v>290.35313780248856</v>
      </c>
      <c r="L20" s="181">
        <v>296.9761393534568</v>
      </c>
      <c r="M20" s="181">
        <v>304.63328706285643</v>
      </c>
      <c r="N20" s="181">
        <v>309.04837125288952</v>
      </c>
      <c r="O20" s="181">
        <v>311.94405722112037</v>
      </c>
      <c r="P20" s="181">
        <v>315.6408383424386</v>
      </c>
      <c r="Q20" s="181">
        <v>323.43455784341188</v>
      </c>
      <c r="R20" s="181">
        <v>327.92447671475509</v>
      </c>
      <c r="S20" s="181">
        <v>333.22155376703222</v>
      </c>
      <c r="T20" s="181">
        <v>338.34453047692642</v>
      </c>
      <c r="U20" s="181">
        <v>343.23313409567828</v>
      </c>
      <c r="V20" s="181">
        <v>347.80190197612427</v>
      </c>
      <c r="W20" s="181">
        <v>351.87554416613136</v>
      </c>
      <c r="X20" s="181">
        <v>354.86984755502391</v>
      </c>
      <c r="Y20" s="181">
        <v>357.28991967952612</v>
      </c>
      <c r="DA20" s="190" t="s">
        <v>922</v>
      </c>
    </row>
    <row r="21" spans="1:105" ht="12" customHeight="1" x14ac:dyDescent="0.25">
      <c r="A21" s="131" t="s">
        <v>156</v>
      </c>
      <c r="B21" s="181">
        <v>1303.7334304745691</v>
      </c>
      <c r="C21" s="181">
        <v>1334.1078387122725</v>
      </c>
      <c r="D21" s="181">
        <v>1373.6227351988121</v>
      </c>
      <c r="E21" s="181">
        <v>1418.4019654329236</v>
      </c>
      <c r="F21" s="181">
        <v>1468.5245601658617</v>
      </c>
      <c r="G21" s="181">
        <v>1514.0280329264417</v>
      </c>
      <c r="H21" s="181">
        <v>1576.4939626829901</v>
      </c>
      <c r="I21" s="181">
        <v>1633.8565456721037</v>
      </c>
      <c r="J21" s="181">
        <v>1700.0224428480956</v>
      </c>
      <c r="K21" s="181">
        <v>1775.0445783432829</v>
      </c>
      <c r="L21" s="181">
        <v>1858.9996275766384</v>
      </c>
      <c r="M21" s="181">
        <v>1938.1716732307702</v>
      </c>
      <c r="N21" s="181">
        <v>2040.027806070781</v>
      </c>
      <c r="O21" s="181">
        <v>2152.9275841269937</v>
      </c>
      <c r="P21" s="181">
        <v>2289.5746248252485</v>
      </c>
      <c r="Q21" s="181">
        <v>2407.5953044155117</v>
      </c>
      <c r="R21" s="181">
        <v>2491.4826439985477</v>
      </c>
      <c r="S21" s="181">
        <v>2581.4583012943262</v>
      </c>
      <c r="T21" s="181">
        <v>2670.0011478829106</v>
      </c>
      <c r="U21" s="181">
        <v>2756.1873233306428</v>
      </c>
      <c r="V21" s="181">
        <v>2837.416462917141</v>
      </c>
      <c r="W21" s="181">
        <v>2910.7975668011677</v>
      </c>
      <c r="X21" s="181">
        <v>2974.7255096475969</v>
      </c>
      <c r="Y21" s="181">
        <v>3044.1485355482869</v>
      </c>
      <c r="DA21" s="190" t="s">
        <v>923</v>
      </c>
    </row>
    <row r="22" spans="1:105" ht="12" customHeight="1" x14ac:dyDescent="0.25">
      <c r="A22" s="131" t="s">
        <v>160</v>
      </c>
      <c r="B22" s="181">
        <v>70.498009523840764</v>
      </c>
      <c r="C22" s="181">
        <v>72.29830136438612</v>
      </c>
      <c r="D22" s="181">
        <v>73.861436883926501</v>
      </c>
      <c r="E22" s="181">
        <v>75.127981271439864</v>
      </c>
      <c r="F22" s="181">
        <v>75.948824960515523</v>
      </c>
      <c r="G22" s="181">
        <v>78.156728049999302</v>
      </c>
      <c r="H22" s="181">
        <v>81.393363892838821</v>
      </c>
      <c r="I22" s="181">
        <v>85.071034498868059</v>
      </c>
      <c r="J22" s="181">
        <v>88.082061158661375</v>
      </c>
      <c r="K22" s="181">
        <v>89.696454112032313</v>
      </c>
      <c r="L22" s="181">
        <v>92.580313889776392</v>
      </c>
      <c r="M22" s="181">
        <v>96.117311363997601</v>
      </c>
      <c r="N22" s="181">
        <v>98.577713953439471</v>
      </c>
      <c r="O22" s="181">
        <v>101.06832278725994</v>
      </c>
      <c r="P22" s="181">
        <v>104.55606587229141</v>
      </c>
      <c r="Q22" s="181">
        <v>110.83333693583808</v>
      </c>
      <c r="R22" s="181">
        <v>113.7645467189087</v>
      </c>
      <c r="S22" s="181">
        <v>117.01815909774237</v>
      </c>
      <c r="T22" s="181">
        <v>120.14936316047613</v>
      </c>
      <c r="U22" s="181">
        <v>123.0684584863757</v>
      </c>
      <c r="V22" s="181">
        <v>125.61902413175915</v>
      </c>
      <c r="W22" s="181">
        <v>127.56374921661664</v>
      </c>
      <c r="X22" s="181">
        <v>128.88864426254528</v>
      </c>
      <c r="Y22" s="181">
        <v>129.88829058004586</v>
      </c>
      <c r="DA22" s="190" t="s">
        <v>924</v>
      </c>
    </row>
    <row r="23" spans="1:105" ht="12" customHeight="1" x14ac:dyDescent="0.25">
      <c r="A23" s="131" t="s">
        <v>172</v>
      </c>
      <c r="B23" s="181">
        <v>428.58643346051673</v>
      </c>
      <c r="C23" s="181">
        <v>432.79765662212503</v>
      </c>
      <c r="D23" s="181">
        <v>437.80673398138731</v>
      </c>
      <c r="E23" s="181">
        <v>442.80271681393293</v>
      </c>
      <c r="F23" s="181">
        <v>447.97761406130491</v>
      </c>
      <c r="G23" s="181">
        <v>453.57385623658229</v>
      </c>
      <c r="H23" s="181">
        <v>459.85598893399782</v>
      </c>
      <c r="I23" s="181">
        <v>467.22847388866256</v>
      </c>
      <c r="J23" s="181">
        <v>476.53956894114617</v>
      </c>
      <c r="K23" s="181">
        <v>488.53834334714361</v>
      </c>
      <c r="L23" s="181">
        <v>502.61172197180315</v>
      </c>
      <c r="M23" s="181">
        <v>513.59088847038493</v>
      </c>
      <c r="N23" s="181">
        <v>525.77755835832329</v>
      </c>
      <c r="O23" s="181">
        <v>538.48139108130442</v>
      </c>
      <c r="P23" s="181">
        <v>554.19221004946485</v>
      </c>
      <c r="Q23" s="181">
        <v>574.12278006841177</v>
      </c>
      <c r="R23" s="181">
        <v>591.26125737272514</v>
      </c>
      <c r="S23" s="181">
        <v>609.83778199745518</v>
      </c>
      <c r="T23" s="181">
        <v>627.93434124340445</v>
      </c>
      <c r="U23" s="181">
        <v>645.25112148728545</v>
      </c>
      <c r="V23" s="181">
        <v>661.02017765372398</v>
      </c>
      <c r="W23" s="181">
        <v>674.53376559857134</v>
      </c>
      <c r="X23" s="181">
        <v>686.79738043920383</v>
      </c>
      <c r="Y23" s="181">
        <v>701.00416862931149</v>
      </c>
      <c r="DA23" s="190" t="s">
        <v>925</v>
      </c>
    </row>
    <row r="24" spans="1:105" ht="12" customHeight="1" x14ac:dyDescent="0.25">
      <c r="A24" s="60" t="s">
        <v>159</v>
      </c>
      <c r="B24" s="36">
        <v>34.293311765532131</v>
      </c>
      <c r="C24" s="36">
        <v>36.296611884814375</v>
      </c>
      <c r="D24" s="36">
        <v>38.604759936170055</v>
      </c>
      <c r="E24" s="36">
        <v>41.781190939647168</v>
      </c>
      <c r="F24" s="36">
        <v>45.974581798239129</v>
      </c>
      <c r="G24" s="36">
        <v>51.190191120220717</v>
      </c>
      <c r="H24" s="36">
        <v>56.688770381450411</v>
      </c>
      <c r="I24" s="36">
        <v>62.023988600241935</v>
      </c>
      <c r="J24" s="36">
        <v>66.199534797673721</v>
      </c>
      <c r="K24" s="36">
        <v>68.794443017393419</v>
      </c>
      <c r="L24" s="36">
        <v>71.467736225180801</v>
      </c>
      <c r="M24" s="36">
        <v>74.148638883588418</v>
      </c>
      <c r="N24" s="36">
        <v>76.573380469332392</v>
      </c>
      <c r="O24" s="36">
        <v>78.379924737919879</v>
      </c>
      <c r="P24" s="36">
        <v>80.156740348388539</v>
      </c>
      <c r="Q24" s="36">
        <v>82.702146586322343</v>
      </c>
      <c r="R24" s="36">
        <v>85.312410162071515</v>
      </c>
      <c r="S24" s="36">
        <v>87.996654252244895</v>
      </c>
      <c r="T24" s="36">
        <v>91.387486527091099</v>
      </c>
      <c r="U24" s="36">
        <v>95.511017181618001</v>
      </c>
      <c r="V24" s="36">
        <v>99.103074755885117</v>
      </c>
      <c r="W24" s="36">
        <v>101.85812090416036</v>
      </c>
      <c r="X24" s="36">
        <v>104.21713244712791</v>
      </c>
      <c r="Y24" s="36">
        <v>106.24113436400754</v>
      </c>
      <c r="DA24" s="89" t="s">
        <v>926</v>
      </c>
    </row>
    <row r="25" spans="1:105" ht="12" customHeight="1" x14ac:dyDescent="0.25">
      <c r="A25" s="62" t="s">
        <v>157</v>
      </c>
      <c r="B25" s="38">
        <v>2915.4242965270478</v>
      </c>
      <c r="C25" s="38">
        <v>3127.7376048169453</v>
      </c>
      <c r="D25" s="38">
        <v>3391.5096812850416</v>
      </c>
      <c r="E25" s="38">
        <v>3705.7425251671211</v>
      </c>
      <c r="F25" s="38">
        <v>4095.1689104244442</v>
      </c>
      <c r="G25" s="38">
        <v>4522.1561234147184</v>
      </c>
      <c r="H25" s="38">
        <v>4951.5815302548599</v>
      </c>
      <c r="I25" s="38">
        <v>5388.1763786307547</v>
      </c>
      <c r="J25" s="38">
        <v>5848.4194868202212</v>
      </c>
      <c r="K25" s="38">
        <v>6381.987327129088</v>
      </c>
      <c r="L25" s="38">
        <v>7009.0093317667233</v>
      </c>
      <c r="M25" s="38">
        <v>7774.5035598008226</v>
      </c>
      <c r="N25" s="38">
        <v>8503.2749970466975</v>
      </c>
      <c r="O25" s="38">
        <v>9373.0043180130851</v>
      </c>
      <c r="P25" s="38">
        <v>10439.908498917124</v>
      </c>
      <c r="Q25" s="38">
        <v>11779.108884833438</v>
      </c>
      <c r="R25" s="38">
        <v>12384.406590540493</v>
      </c>
      <c r="S25" s="38">
        <v>12820.603455582474</v>
      </c>
      <c r="T25" s="38">
        <v>13230.609662728053</v>
      </c>
      <c r="U25" s="38">
        <v>13741.384622255404</v>
      </c>
      <c r="V25" s="38">
        <v>14320.01548297971</v>
      </c>
      <c r="W25" s="38">
        <v>14909.987186950939</v>
      </c>
      <c r="X25" s="38">
        <v>15434.868516905521</v>
      </c>
      <c r="Y25" s="38">
        <v>15980.272631155116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16.242331575144306</v>
      </c>
      <c r="D28" s="182">
        <v>15.252033994425858</v>
      </c>
      <c r="E28" s="182">
        <v>14.921922463759813</v>
      </c>
      <c r="F28" s="182">
        <v>13.194944967392956</v>
      </c>
      <c r="G28" s="182">
        <v>18.115255161520224</v>
      </c>
      <c r="H28" s="182">
        <v>21.011920411808063</v>
      </c>
      <c r="I28" s="182">
        <v>24.022250336910389</v>
      </c>
      <c r="J28" s="182">
        <v>21.135746687040978</v>
      </c>
      <c r="K28" s="182">
        <v>14.98611011019392</v>
      </c>
      <c r="L28" s="182">
        <v>19.654834558521941</v>
      </c>
      <c r="M28" s="182">
        <v>21.05759385836285</v>
      </c>
      <c r="N28" s="182">
        <v>18.194569922176584</v>
      </c>
      <c r="O28" s="182">
        <v>17.064932643427312</v>
      </c>
      <c r="P28" s="182">
        <v>18.266813359476032</v>
      </c>
      <c r="Q28" s="182">
        <v>22.775873759926753</v>
      </c>
      <c r="R28" s="182">
        <v>19.895852267373868</v>
      </c>
      <c r="S28" s="182">
        <v>21.138776430128189</v>
      </c>
      <c r="T28" s="182">
        <v>21.412767969336301</v>
      </c>
      <c r="U28" s="182">
        <v>21.130935193896164</v>
      </c>
      <c r="V28" s="182">
        <v>19.820801874871847</v>
      </c>
      <c r="W28" s="182">
        <v>18.995564653766905</v>
      </c>
      <c r="X28" s="182">
        <v>16.189248356285532</v>
      </c>
      <c r="Y28" s="182">
        <v>20.535327286022437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193.92050471933544</v>
      </c>
      <c r="D29" s="182">
        <v>210.10081531275</v>
      </c>
      <c r="E29" s="182">
        <v>222.70799972357872</v>
      </c>
      <c r="F29" s="182">
        <v>235.71028702241188</v>
      </c>
      <c r="G29" s="182">
        <v>239.07976527448614</v>
      </c>
      <c r="H29" s="182">
        <v>264.37469084498298</v>
      </c>
      <c r="I29" s="182">
        <v>267.96248277455857</v>
      </c>
      <c r="J29" s="182">
        <v>260.0864018953273</v>
      </c>
      <c r="K29" s="182">
        <v>285.12295080793729</v>
      </c>
      <c r="L29" s="182">
        <v>306.66304895693429</v>
      </c>
      <c r="M29" s="182">
        <v>314.88233267654368</v>
      </c>
      <c r="N29" s="182">
        <v>340.93589811449692</v>
      </c>
      <c r="O29" s="182">
        <v>377.27446890119563</v>
      </c>
      <c r="P29" s="182">
        <v>404.60952347281341</v>
      </c>
      <c r="Q29" s="182">
        <v>378.10708148559047</v>
      </c>
      <c r="R29" s="182">
        <v>369.0102903909733</v>
      </c>
      <c r="S29" s="182">
        <v>396.63870625271284</v>
      </c>
      <c r="T29" s="182">
        <v>403.42517926512801</v>
      </c>
      <c r="U29" s="182">
        <v>427.12207356222916</v>
      </c>
      <c r="V29" s="182">
        <v>458.50360848769378</v>
      </c>
      <c r="W29" s="182">
        <v>477.99062735684038</v>
      </c>
      <c r="X29" s="182">
        <v>442.03502433201947</v>
      </c>
      <c r="Y29" s="182">
        <v>438.43331629166323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12.809690851148034</v>
      </c>
      <c r="D30" s="182">
        <v>12.858540573886444</v>
      </c>
      <c r="E30" s="182">
        <v>12.855385451305658</v>
      </c>
      <c r="F30" s="182">
        <v>12.710743746282041</v>
      </c>
      <c r="G30" s="182">
        <v>14.406683156633562</v>
      </c>
      <c r="H30" s="182">
        <v>15.752320113583082</v>
      </c>
      <c r="I30" s="182">
        <v>16.487361457177272</v>
      </c>
      <c r="J30" s="182">
        <v>15.86956723367976</v>
      </c>
      <c r="K30" s="182">
        <v>14.469778404676589</v>
      </c>
      <c r="L30" s="182">
        <v>15.594603524026127</v>
      </c>
      <c r="M30" s="182">
        <v>17.943680630854772</v>
      </c>
      <c r="N30" s="182">
        <v>18.212722703024951</v>
      </c>
      <c r="O30" s="182">
        <v>18.977970290997746</v>
      </c>
      <c r="P30" s="182">
        <v>19.357310318711228</v>
      </c>
      <c r="Q30" s="182">
        <v>20.747049468223253</v>
      </c>
      <c r="R30" s="182">
        <v>18.525813307096755</v>
      </c>
      <c r="S30" s="182">
        <v>21.197293009688437</v>
      </c>
      <c r="T30" s="182">
        <v>21.34392676575871</v>
      </c>
      <c r="U30" s="182">
        <v>21.897065616897322</v>
      </c>
      <c r="V30" s="182">
        <v>21.907875964094671</v>
      </c>
      <c r="W30" s="182">
        <v>22.691774553080748</v>
      </c>
      <c r="X30" s="182">
        <v>19.850708353025396</v>
      </c>
      <c r="Y30" s="182">
        <v>22.196939327189014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43.162487872799943</v>
      </c>
      <c r="D31" s="182">
        <v>44.780818723861159</v>
      </c>
      <c r="E31" s="182">
        <v>45.605483522726274</v>
      </c>
      <c r="F31" s="182">
        <v>46.639803980716295</v>
      </c>
      <c r="G31" s="182">
        <v>47.934573383094346</v>
      </c>
      <c r="H31" s="182">
        <v>49.512286354588241</v>
      </c>
      <c r="I31" s="182">
        <v>51.513246574426319</v>
      </c>
      <c r="J31" s="182">
        <v>54.381645849596964</v>
      </c>
      <c r="K31" s="182">
        <v>58.018699631885454</v>
      </c>
      <c r="L31" s="182">
        <v>61.062676078108097</v>
      </c>
      <c r="M31" s="182">
        <v>54.141654371381719</v>
      </c>
      <c r="N31" s="182">
        <v>56.967488611799524</v>
      </c>
      <c r="O31" s="182">
        <v>58.309316245707407</v>
      </c>
      <c r="P31" s="182">
        <v>62.350622948876719</v>
      </c>
      <c r="Q31" s="182">
        <v>67.865143402041269</v>
      </c>
      <c r="R31" s="182">
        <v>66.65076365890161</v>
      </c>
      <c r="S31" s="182">
        <v>70.089771199156417</v>
      </c>
      <c r="T31" s="182">
        <v>72.478205095546286</v>
      </c>
      <c r="U31" s="182">
        <v>75.335479875766396</v>
      </c>
      <c r="V31" s="182">
        <v>76.831732244546629</v>
      </c>
      <c r="W31" s="182">
        <v>67.655242316229078</v>
      </c>
      <c r="X31" s="182">
        <v>69.23110345243208</v>
      </c>
      <c r="Y31" s="182">
        <v>72.516104435815009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2.9800578128418138</v>
      </c>
      <c r="D32" s="41">
        <v>3.3948217299601069</v>
      </c>
      <c r="E32" s="41">
        <v>4.3853896751700958</v>
      </c>
      <c r="F32" s="41">
        <v>5.5383954341502033</v>
      </c>
      <c r="G32" s="41">
        <v>6.7119692477839266</v>
      </c>
      <c r="H32" s="41">
        <v>7.1633267782541949</v>
      </c>
      <c r="I32" s="41">
        <v>7.1873022312347601</v>
      </c>
      <c r="J32" s="41">
        <v>6.2360479576499586</v>
      </c>
      <c r="K32" s="41">
        <v>4.8872812845146285</v>
      </c>
      <c r="L32" s="41">
        <v>5.2236303973275113</v>
      </c>
      <c r="M32" s="41">
        <v>5.5182330564304749</v>
      </c>
      <c r="N32" s="41">
        <v>5.5813609616297697</v>
      </c>
      <c r="O32" s="41">
        <v>5.3183826823164821</v>
      </c>
      <c r="P32" s="41">
        <v>5.6838463847069249</v>
      </c>
      <c r="Q32" s="41">
        <v>6.8921009523514982</v>
      </c>
      <c r="R32" s="41">
        <v>5.5903213885909935</v>
      </c>
      <c r="S32" s="41">
        <v>6.0790658201334793</v>
      </c>
      <c r="T32" s="41">
        <v>7.776221950016307</v>
      </c>
      <c r="U32" s="41">
        <v>9.6619260886771059</v>
      </c>
      <c r="V32" s="41">
        <v>10.304026822051043</v>
      </c>
      <c r="W32" s="41">
        <v>9.9183729265294289</v>
      </c>
      <c r="X32" s="41">
        <v>9.5463137742023036</v>
      </c>
      <c r="Y32" s="41">
        <v>8.2600498745295852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795.39816759530731</v>
      </c>
      <c r="D33" s="42">
        <v>846.85693577350594</v>
      </c>
      <c r="E33" s="42">
        <v>897.31770318748931</v>
      </c>
      <c r="F33" s="42">
        <v>972.51124456273283</v>
      </c>
      <c r="G33" s="42">
        <v>1010.0720722956839</v>
      </c>
      <c r="H33" s="42">
        <v>1224.8235744354488</v>
      </c>
      <c r="I33" s="42">
        <v>1283.4517841494007</v>
      </c>
      <c r="J33" s="42">
        <v>1357.5608113769558</v>
      </c>
      <c r="K33" s="42">
        <v>1506.0790848715997</v>
      </c>
      <c r="L33" s="42">
        <v>1637.0940769333192</v>
      </c>
      <c r="M33" s="42">
        <v>1990.317802469548</v>
      </c>
      <c r="N33" s="42">
        <v>2012.2232213952757</v>
      </c>
      <c r="O33" s="42">
        <v>2227.2901323433434</v>
      </c>
      <c r="P33" s="42">
        <v>2572.9832657756388</v>
      </c>
      <c r="Q33" s="42">
        <v>2976.2944628496334</v>
      </c>
      <c r="R33" s="42">
        <v>2595.6155081766028</v>
      </c>
      <c r="S33" s="42">
        <v>2448.420086437256</v>
      </c>
      <c r="T33" s="42">
        <v>2637.296339488923</v>
      </c>
      <c r="U33" s="42">
        <v>3083.7582253029886</v>
      </c>
      <c r="V33" s="42">
        <v>3554.9253235739397</v>
      </c>
      <c r="W33" s="42">
        <v>3185.5872121478315</v>
      </c>
      <c r="X33" s="42">
        <v>2973.3014163918378</v>
      </c>
      <c r="Y33" s="42">
        <v>3182.7004537385183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10.138687601824699</v>
      </c>
      <c r="D36" s="182">
        <v>10.425466406042972</v>
      </c>
      <c r="E36" s="182">
        <v>10.720356919170598</v>
      </c>
      <c r="F36" s="182">
        <v>11.023588585714805</v>
      </c>
      <c r="G36" s="182">
        <v>11.335397340157215</v>
      </c>
      <c r="H36" s="182">
        <v>11.656025790526257</v>
      </c>
      <c r="I36" s="182">
        <v>11.985723407162823</v>
      </c>
      <c r="J36" s="182">
        <v>12.324746716824507</v>
      </c>
      <c r="K36" s="182">
        <v>12.673359502280846</v>
      </c>
      <c r="L36" s="182">
        <v>13.031833007553701</v>
      </c>
      <c r="M36" s="182">
        <v>13.400446148963226</v>
      </c>
      <c r="N36" s="182">
        <v>13.779485732143485</v>
      </c>
      <c r="O36" s="182">
        <v>14.169246675196462</v>
      </c>
      <c r="P36" s="182">
        <v>14.570032238157808</v>
      </c>
      <c r="Q36" s="182">
        <v>14.982154258953472</v>
      </c>
      <c r="R36" s="182">
        <v>15.405933396030662</v>
      </c>
      <c r="S36" s="182">
        <v>15.841699377851057</v>
      </c>
      <c r="T36" s="182">
        <v>16.289791259442097</v>
      </c>
      <c r="U36" s="182">
        <v>16.242331575144306</v>
      </c>
      <c r="V36" s="182">
        <v>15.252033994425858</v>
      </c>
      <c r="W36" s="182">
        <v>14.921922463759813</v>
      </c>
      <c r="X36" s="182">
        <v>13.194944967392985</v>
      </c>
      <c r="Y36" s="182">
        <v>18.115255161520224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163.54609648163205</v>
      </c>
      <c r="D37" s="182">
        <v>170.58591882621045</v>
      </c>
      <c r="E37" s="182">
        <v>177.92876948946719</v>
      </c>
      <c r="F37" s="182">
        <v>185.58769228947381</v>
      </c>
      <c r="G37" s="182">
        <v>193.57629251390608</v>
      </c>
      <c r="H37" s="182">
        <v>201.90876108843463</v>
      </c>
      <c r="I37" s="182">
        <v>210.5998997854449</v>
      </c>
      <c r="J37" s="182">
        <v>193.92050471933544</v>
      </c>
      <c r="K37" s="182">
        <v>210.10081531275</v>
      </c>
      <c r="L37" s="182">
        <v>222.70799972357872</v>
      </c>
      <c r="M37" s="182">
        <v>235.71028702241188</v>
      </c>
      <c r="N37" s="182">
        <v>239.07976527448636</v>
      </c>
      <c r="O37" s="182">
        <v>264.37469084498298</v>
      </c>
      <c r="P37" s="182">
        <v>267.96248277455879</v>
      </c>
      <c r="Q37" s="182">
        <v>260.08640189532753</v>
      </c>
      <c r="R37" s="182">
        <v>285.12295080793729</v>
      </c>
      <c r="S37" s="182">
        <v>306.66304895693429</v>
      </c>
      <c r="T37" s="182">
        <v>314.88233267654368</v>
      </c>
      <c r="U37" s="182">
        <v>340.93589811449692</v>
      </c>
      <c r="V37" s="182">
        <v>377.27446890119563</v>
      </c>
      <c r="W37" s="182">
        <v>404.60952347281363</v>
      </c>
      <c r="X37" s="182">
        <v>378.10708148559024</v>
      </c>
      <c r="Y37" s="182">
        <v>369.0102903909733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11.009399010602678</v>
      </c>
      <c r="D38" s="182">
        <v>11.295405054346062</v>
      </c>
      <c r="E38" s="182">
        <v>11.588841063792302</v>
      </c>
      <c r="F38" s="182">
        <v>11.88990005720639</v>
      </c>
      <c r="G38" s="182">
        <v>12.198780067149784</v>
      </c>
      <c r="H38" s="182">
        <v>12.515684270743563</v>
      </c>
      <c r="I38" s="182">
        <v>12.809690851148034</v>
      </c>
      <c r="J38" s="182">
        <v>12.858540573886444</v>
      </c>
      <c r="K38" s="182">
        <v>12.855385451305651</v>
      </c>
      <c r="L38" s="182">
        <v>12.710743746282049</v>
      </c>
      <c r="M38" s="182">
        <v>14.406683156633562</v>
      </c>
      <c r="N38" s="182">
        <v>15.752320113583082</v>
      </c>
      <c r="O38" s="182">
        <v>16.487361457177272</v>
      </c>
      <c r="P38" s="182">
        <v>15.86956723367976</v>
      </c>
      <c r="Q38" s="182">
        <v>14.469778404676589</v>
      </c>
      <c r="R38" s="182">
        <v>15.594603524026141</v>
      </c>
      <c r="S38" s="182">
        <v>17.943680630854772</v>
      </c>
      <c r="T38" s="182">
        <v>18.212722703024951</v>
      </c>
      <c r="U38" s="182">
        <v>18.977970290997746</v>
      </c>
      <c r="V38" s="182">
        <v>19.357310318711228</v>
      </c>
      <c r="W38" s="182">
        <v>20.747049468223238</v>
      </c>
      <c r="X38" s="182">
        <v>18.52581330709674</v>
      </c>
      <c r="Y38" s="182">
        <v>21.197293009688451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38.951264711191641</v>
      </c>
      <c r="D39" s="182">
        <v>39.771741364598881</v>
      </c>
      <c r="E39" s="182">
        <v>40.609500690180653</v>
      </c>
      <c r="F39" s="182">
        <v>41.464906733344321</v>
      </c>
      <c r="G39" s="182">
        <v>42.338331207816964</v>
      </c>
      <c r="H39" s="182">
        <v>43.230153657172707</v>
      </c>
      <c r="I39" s="182">
        <v>44.140761619761577</v>
      </c>
      <c r="J39" s="182">
        <v>45.070550797113356</v>
      </c>
      <c r="K39" s="182">
        <v>46.019925225888073</v>
      </c>
      <c r="L39" s="182">
        <v>46.989297453448557</v>
      </c>
      <c r="M39" s="182">
        <v>43.162487872799943</v>
      </c>
      <c r="N39" s="182">
        <v>44.780818723861216</v>
      </c>
      <c r="O39" s="182">
        <v>45.605483522726331</v>
      </c>
      <c r="P39" s="182">
        <v>46.639803980716351</v>
      </c>
      <c r="Q39" s="182">
        <v>47.934573383094289</v>
      </c>
      <c r="R39" s="182">
        <v>49.512286354588241</v>
      </c>
      <c r="S39" s="182">
        <v>51.513246574426375</v>
      </c>
      <c r="T39" s="182">
        <v>54.381645849597021</v>
      </c>
      <c r="U39" s="182">
        <v>58.018699631885397</v>
      </c>
      <c r="V39" s="182">
        <v>61.062676078108097</v>
      </c>
      <c r="W39" s="182">
        <v>54.141654371381719</v>
      </c>
      <c r="X39" s="182">
        <v>56.967488611799581</v>
      </c>
      <c r="Y39" s="182">
        <v>58.30931624570735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0.97675769355956987</v>
      </c>
      <c r="D40" s="41">
        <v>1.0866736786044271</v>
      </c>
      <c r="E40" s="41">
        <v>1.208958671692983</v>
      </c>
      <c r="F40" s="41">
        <v>1.3450045755582423</v>
      </c>
      <c r="G40" s="41">
        <v>1.4963599258023379</v>
      </c>
      <c r="H40" s="41">
        <v>1.6647475170245016</v>
      </c>
      <c r="I40" s="41">
        <v>1.8520840124432354</v>
      </c>
      <c r="J40" s="41">
        <v>2.0605017602181732</v>
      </c>
      <c r="K40" s="41">
        <v>2.2923730647949299</v>
      </c>
      <c r="L40" s="41">
        <v>2.5503371895401301</v>
      </c>
      <c r="M40" s="41">
        <v>2.837330398022857</v>
      </c>
      <c r="N40" s="41">
        <v>3.1566193758857963</v>
      </c>
      <c r="O40" s="41">
        <v>3.5118384137289951</v>
      </c>
      <c r="P40" s="41">
        <v>3.9070307742382653</v>
      </c>
      <c r="Q40" s="41">
        <v>4.3466947144176942</v>
      </c>
      <c r="R40" s="41">
        <v>2.9800578128418209</v>
      </c>
      <c r="S40" s="41">
        <v>3.3948217299600998</v>
      </c>
      <c r="T40" s="41">
        <v>4.3853896751701029</v>
      </c>
      <c r="U40" s="41">
        <v>5.5383954341502033</v>
      </c>
      <c r="V40" s="41">
        <v>6.7119692477839266</v>
      </c>
      <c r="W40" s="41">
        <v>7.1633267782541878</v>
      </c>
      <c r="X40" s="41">
        <v>7.187302231234753</v>
      </c>
      <c r="Y40" s="41">
        <v>6.2360479576499586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583.08485930540974</v>
      </c>
      <c r="D41" s="42">
        <v>583.08485930540974</v>
      </c>
      <c r="E41" s="42">
        <v>583.08485930540974</v>
      </c>
      <c r="F41" s="42">
        <v>583.08485930540974</v>
      </c>
      <c r="G41" s="42">
        <v>583.08485930540974</v>
      </c>
      <c r="H41" s="42">
        <v>795.39816759530731</v>
      </c>
      <c r="I41" s="42">
        <v>846.85693577350594</v>
      </c>
      <c r="J41" s="42">
        <v>897.31770318748931</v>
      </c>
      <c r="K41" s="42">
        <v>972.51124456273283</v>
      </c>
      <c r="L41" s="42">
        <v>1010.0720722956839</v>
      </c>
      <c r="M41" s="42">
        <v>1224.8235744354488</v>
      </c>
      <c r="N41" s="42">
        <v>1283.4517841494016</v>
      </c>
      <c r="O41" s="42">
        <v>1357.5608113769558</v>
      </c>
      <c r="P41" s="42">
        <v>1506.0790848715988</v>
      </c>
      <c r="Q41" s="42">
        <v>1637.0940769333192</v>
      </c>
      <c r="R41" s="42">
        <v>1990.317802469548</v>
      </c>
      <c r="S41" s="42">
        <v>2012.2232213952757</v>
      </c>
      <c r="T41" s="42">
        <v>2227.2901323433434</v>
      </c>
      <c r="U41" s="42">
        <v>2572.9832657756378</v>
      </c>
      <c r="V41" s="42">
        <v>2976.2944628496334</v>
      </c>
      <c r="W41" s="42">
        <v>2595.6155081766028</v>
      </c>
      <c r="X41" s="42">
        <v>2448.4200864372579</v>
      </c>
      <c r="Y41" s="42">
        <v>2637.296339488923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8759.9999999999982</v>
      </c>
      <c r="D44" s="184">
        <v>8759.9999999999982</v>
      </c>
      <c r="E44" s="184">
        <v>8759.9999999999982</v>
      </c>
      <c r="F44" s="184">
        <v>8760</v>
      </c>
      <c r="G44" s="184">
        <v>8759.9999999999964</v>
      </c>
      <c r="H44" s="184">
        <v>8759.9999999999982</v>
      </c>
      <c r="I44" s="184">
        <v>8760</v>
      </c>
      <c r="J44" s="184">
        <v>8759.9999999999982</v>
      </c>
      <c r="K44" s="184">
        <v>8760.0000000000036</v>
      </c>
      <c r="L44" s="184">
        <v>8759.9999999999982</v>
      </c>
      <c r="M44" s="184">
        <v>8760</v>
      </c>
      <c r="N44" s="184">
        <v>8760</v>
      </c>
      <c r="O44" s="184">
        <v>8759.9999999999982</v>
      </c>
      <c r="P44" s="184">
        <v>8759.9999999999982</v>
      </c>
      <c r="Q44" s="184">
        <v>8759.9999999999982</v>
      </c>
      <c r="R44" s="184">
        <v>8760</v>
      </c>
      <c r="S44" s="184">
        <v>8760</v>
      </c>
      <c r="T44" s="184">
        <v>8760</v>
      </c>
      <c r="U44" s="184">
        <v>8760</v>
      </c>
      <c r="V44" s="184">
        <v>8760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4086.868899459178</v>
      </c>
      <c r="C45" s="184">
        <v>4088.5123255986259</v>
      </c>
      <c r="D45" s="184">
        <v>4088.8514592639904</v>
      </c>
      <c r="E45" s="184">
        <v>4089.2985603262978</v>
      </c>
      <c r="F45" s="184">
        <v>4089.8083910295645</v>
      </c>
      <c r="G45" s="184">
        <v>4086.7005015810537</v>
      </c>
      <c r="H45" s="184">
        <v>4084.795386352976</v>
      </c>
      <c r="I45" s="184">
        <v>4081.0607658294148</v>
      </c>
      <c r="J45" s="184">
        <v>4075.0912613417158</v>
      </c>
      <c r="K45" s="184">
        <v>4068.0740407665289</v>
      </c>
      <c r="L45" s="184">
        <v>4057.3731181689791</v>
      </c>
      <c r="M45" s="184">
        <v>4032.325768276165</v>
      </c>
      <c r="N45" s="184">
        <v>4002.4953110896404</v>
      </c>
      <c r="O45" s="184">
        <v>3967.7431360810797</v>
      </c>
      <c r="P45" s="184">
        <v>3935.1993496621603</v>
      </c>
      <c r="Q45" s="184">
        <v>3899.0095968482738</v>
      </c>
      <c r="R45" s="184">
        <v>3873.045446018165</v>
      </c>
      <c r="S45" s="184">
        <v>3917.9670796992841</v>
      </c>
      <c r="T45" s="184">
        <v>3878.3658726527501</v>
      </c>
      <c r="U45" s="184">
        <v>3840.7397506405391</v>
      </c>
      <c r="V45" s="184">
        <v>3802.9754865370219</v>
      </c>
      <c r="W45" s="184">
        <v>3812.1099903232885</v>
      </c>
      <c r="X45" s="184">
        <v>3790.8989912909597</v>
      </c>
      <c r="Y45" s="184">
        <v>3769.6879922586309</v>
      </c>
      <c r="DA45" s="193" t="s">
        <v>941</v>
      </c>
    </row>
    <row r="46" spans="1:105" ht="12" customHeight="1" x14ac:dyDescent="0.25">
      <c r="A46" s="131" t="s">
        <v>5</v>
      </c>
      <c r="B46" s="184">
        <v>2262.354865741278</v>
      </c>
      <c r="C46" s="184">
        <v>2277.8652259979031</v>
      </c>
      <c r="D46" s="184">
        <v>2288.0044216126498</v>
      </c>
      <c r="E46" s="184">
        <v>2297.9331887337135</v>
      </c>
      <c r="F46" s="184">
        <v>2311.2702606563294</v>
      </c>
      <c r="G46" s="184">
        <v>2319.2832653371611</v>
      </c>
      <c r="H46" s="184">
        <v>2329.872482271116</v>
      </c>
      <c r="I46" s="184">
        <v>2345.7460113273091</v>
      </c>
      <c r="J46" s="184">
        <v>2357.040273454576</v>
      </c>
      <c r="K46" s="184">
        <v>2365.176154613469</v>
      </c>
      <c r="L46" s="184">
        <v>2375.2958019739594</v>
      </c>
      <c r="M46" s="184">
        <v>2381.479616232321</v>
      </c>
      <c r="N46" s="184">
        <v>2390.8082101009609</v>
      </c>
      <c r="O46" s="184">
        <v>2397.0624845527218</v>
      </c>
      <c r="P46" s="184">
        <v>2406.3209281299614</v>
      </c>
      <c r="Q46" s="184">
        <v>2418.4292500206948</v>
      </c>
      <c r="R46" s="184">
        <v>2424.4010799183911</v>
      </c>
      <c r="S46" s="184">
        <v>2476.3250796687744</v>
      </c>
      <c r="T46" s="184">
        <v>2449.1443731214381</v>
      </c>
      <c r="U46" s="184">
        <v>2424.9541319970076</v>
      </c>
      <c r="V46" s="184">
        <v>2378.64597303551</v>
      </c>
      <c r="W46" s="184">
        <v>2397.5833403990277</v>
      </c>
      <c r="X46" s="184">
        <v>2398.7102460475944</v>
      </c>
      <c r="Y46" s="184">
        <v>2399.2736988718775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8760.0000000000018</v>
      </c>
      <c r="D47" s="184">
        <v>8759.9999999999982</v>
      </c>
      <c r="E47" s="184">
        <v>8760</v>
      </c>
      <c r="F47" s="184">
        <v>8760.0000000000036</v>
      </c>
      <c r="G47" s="184">
        <v>8759.9999999999982</v>
      </c>
      <c r="H47" s="184">
        <v>8759.9999999999982</v>
      </c>
      <c r="I47" s="184">
        <v>8760</v>
      </c>
      <c r="J47" s="184">
        <v>8760</v>
      </c>
      <c r="K47" s="184">
        <v>8759.9999999999982</v>
      </c>
      <c r="L47" s="184">
        <v>8759.9999999999964</v>
      </c>
      <c r="M47" s="184">
        <v>8760</v>
      </c>
      <c r="N47" s="184">
        <v>8759.9999999999982</v>
      </c>
      <c r="O47" s="184">
        <v>8759.9999999999982</v>
      </c>
      <c r="P47" s="184">
        <v>8760</v>
      </c>
      <c r="Q47" s="184">
        <v>8759.9999999999982</v>
      </c>
      <c r="R47" s="184">
        <v>8759.9999999999982</v>
      </c>
      <c r="S47" s="184">
        <v>8759.9999999999982</v>
      </c>
      <c r="T47" s="184">
        <v>8759.9999999999964</v>
      </c>
      <c r="U47" s="184">
        <v>8760</v>
      </c>
      <c r="V47" s="184">
        <v>8760</v>
      </c>
      <c r="W47" s="184">
        <v>8760.0000000000018</v>
      </c>
      <c r="X47" s="184">
        <v>8760.0000000000018</v>
      </c>
      <c r="Y47" s="184">
        <v>8760.0000000000018</v>
      </c>
      <c r="DA47" s="193" t="s">
        <v>943</v>
      </c>
    </row>
    <row r="48" spans="1:105" ht="12" customHeight="1" x14ac:dyDescent="0.25">
      <c r="A48" s="60" t="s">
        <v>4</v>
      </c>
      <c r="B48" s="44">
        <v>828.8826405732201</v>
      </c>
      <c r="C48" s="44">
        <v>832.84211521137024</v>
      </c>
      <c r="D48" s="44">
        <v>836.4733454053362</v>
      </c>
      <c r="E48" s="44">
        <v>839.82773285755036</v>
      </c>
      <c r="F48" s="44">
        <v>842.94540190572525</v>
      </c>
      <c r="G48" s="44">
        <v>845.85828440952309</v>
      </c>
      <c r="H48" s="44">
        <v>848.59221527189993</v>
      </c>
      <c r="I48" s="44">
        <v>851.16839690662107</v>
      </c>
      <c r="J48" s="44">
        <v>853.60444804290955</v>
      </c>
      <c r="K48" s="44">
        <v>855.91517102339697</v>
      </c>
      <c r="L48" s="44">
        <v>858.11312376647459</v>
      </c>
      <c r="M48" s="44">
        <v>859.50984189988424</v>
      </c>
      <c r="N48" s="44">
        <v>860.84368951892668</v>
      </c>
      <c r="O48" s="44">
        <v>862.12016895796796</v>
      </c>
      <c r="P48" s="44">
        <v>863.34408697646484</v>
      </c>
      <c r="Q48" s="44">
        <v>864.51966754038403</v>
      </c>
      <c r="R48" s="44">
        <v>860.41410649236593</v>
      </c>
      <c r="S48" s="44">
        <v>874.36614083669394</v>
      </c>
      <c r="T48" s="44">
        <v>868.51224150308838</v>
      </c>
      <c r="U48" s="44">
        <v>861.16300662193328</v>
      </c>
      <c r="V48" s="44">
        <v>844.71779931833441</v>
      </c>
      <c r="W48" s="44">
        <v>851.44294104414541</v>
      </c>
      <c r="X48" s="44">
        <v>856.73367295707976</v>
      </c>
      <c r="Y48" s="44">
        <v>859.37903891354699</v>
      </c>
      <c r="DA48" s="95" t="s">
        <v>944</v>
      </c>
    </row>
    <row r="49" spans="1:105" ht="12" customHeight="1" x14ac:dyDescent="0.25">
      <c r="A49" s="62" t="s">
        <v>3</v>
      </c>
      <c r="B49" s="185">
        <v>2767.0931923895446</v>
      </c>
      <c r="C49" s="185">
        <v>2947.1250736118122</v>
      </c>
      <c r="D49" s="185">
        <v>3115.6488301473014</v>
      </c>
      <c r="E49" s="185">
        <v>3255.4082595842065</v>
      </c>
      <c r="F49" s="185">
        <v>3362.3238812720624</v>
      </c>
      <c r="G49" s="185">
        <v>3445.9044179320063</v>
      </c>
      <c r="H49" s="185">
        <v>3517.415294992255</v>
      </c>
      <c r="I49" s="185">
        <v>3583.108929023485</v>
      </c>
      <c r="J49" s="185">
        <v>3653.9423970297817</v>
      </c>
      <c r="K49" s="185">
        <v>3722.4534601968471</v>
      </c>
      <c r="L49" s="185">
        <v>3798.7217313589817</v>
      </c>
      <c r="M49" s="185">
        <v>3874.2437766651169</v>
      </c>
      <c r="N49" s="185">
        <v>3887.777994315451</v>
      </c>
      <c r="O49" s="185">
        <v>3894.4183897222138</v>
      </c>
      <c r="P49" s="185">
        <v>3881.2883510042984</v>
      </c>
      <c r="Q49" s="185">
        <v>3826.8787081447467</v>
      </c>
      <c r="R49" s="185">
        <v>3850.8220856622352</v>
      </c>
      <c r="S49" s="185">
        <v>3867.3056144154903</v>
      </c>
      <c r="T49" s="185">
        <v>3857.4793492720041</v>
      </c>
      <c r="U49" s="185">
        <v>3869.6332845242969</v>
      </c>
      <c r="V49" s="185">
        <v>3887.5241305356226</v>
      </c>
      <c r="W49" s="185">
        <v>3915.4093911983987</v>
      </c>
      <c r="X49" s="185">
        <v>3941.3782539363501</v>
      </c>
      <c r="Y49" s="185">
        <v>3964.3732652534113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0.6245737176484738</v>
      </c>
      <c r="C52" s="180">
        <v>0.62018862817046649</v>
      </c>
      <c r="D52" s="180">
        <v>0.61590877550444856</v>
      </c>
      <c r="E52" s="180">
        <v>0.61154008098873525</v>
      </c>
      <c r="F52" s="180">
        <v>0.60741467901854396</v>
      </c>
      <c r="G52" s="180">
        <v>0.6018070366646896</v>
      </c>
      <c r="H52" s="180">
        <v>0.59532782253496175</v>
      </c>
      <c r="I52" s="180">
        <v>0.58809730086390744</v>
      </c>
      <c r="J52" s="180">
        <v>0.58140105794146901</v>
      </c>
      <c r="K52" s="180">
        <v>0.57583460713247148</v>
      </c>
      <c r="L52" s="180">
        <v>0.56881503955314472</v>
      </c>
      <c r="M52" s="180">
        <v>0.56118862452945439</v>
      </c>
      <c r="N52" s="180">
        <v>0.55393257792380635</v>
      </c>
      <c r="O52" s="180">
        <v>0.54656262553746349</v>
      </c>
      <c r="P52" s="180">
        <v>0.53855275672645841</v>
      </c>
      <c r="Q52" s="180">
        <v>0.52921133086875405</v>
      </c>
      <c r="R52" s="180">
        <v>0.52049667625337592</v>
      </c>
      <c r="S52" s="180">
        <v>0.51139656001426914</v>
      </c>
      <c r="T52" s="180">
        <v>0.50213106203872881</v>
      </c>
      <c r="U52" s="180">
        <v>0.49603377249762115</v>
      </c>
      <c r="V52" s="180">
        <v>0.49049187819350037</v>
      </c>
      <c r="W52" s="180">
        <v>0.4853349068461415</v>
      </c>
      <c r="X52" s="180">
        <v>0.48101808145014735</v>
      </c>
      <c r="Y52" s="180">
        <v>0.47551349828430567</v>
      </c>
      <c r="DA52" s="189" t="s">
        <v>946</v>
      </c>
    </row>
    <row r="53" spans="1:105" ht="12" customHeight="1" x14ac:dyDescent="0.25">
      <c r="A53" s="131" t="s">
        <v>100</v>
      </c>
      <c r="B53" s="180">
        <v>181.89634065396368</v>
      </c>
      <c r="C53" s="180">
        <v>180.16406559249822</v>
      </c>
      <c r="D53" s="180">
        <v>178.03236506507855</v>
      </c>
      <c r="E53" s="180">
        <v>175.49626796965617</v>
      </c>
      <c r="F53" s="180">
        <v>172.51072903488401</v>
      </c>
      <c r="G53" s="180">
        <v>169.23736673236527</v>
      </c>
      <c r="H53" s="180">
        <v>165.54428785853079</v>
      </c>
      <c r="I53" s="180">
        <v>161.53162178787733</v>
      </c>
      <c r="J53" s="180">
        <v>158.91024431348745</v>
      </c>
      <c r="K53" s="180">
        <v>156.05512926543395</v>
      </c>
      <c r="L53" s="180">
        <v>153.000371709012</v>
      </c>
      <c r="M53" s="180">
        <v>149.75555476326281</v>
      </c>
      <c r="N53" s="180">
        <v>146.13151365055867</v>
      </c>
      <c r="O53" s="180">
        <v>141.97014887721639</v>
      </c>
      <c r="P53" s="180">
        <v>137.42386039133348</v>
      </c>
      <c r="Q53" s="180">
        <v>132.81692978456138</v>
      </c>
      <c r="R53" s="180">
        <v>127.91675220707415</v>
      </c>
      <c r="S53" s="180">
        <v>122.64680908500699</v>
      </c>
      <c r="T53" s="180">
        <v>117.36478346670702</v>
      </c>
      <c r="U53" s="180">
        <v>111.89030912817157</v>
      </c>
      <c r="V53" s="180">
        <v>106.10564431017082</v>
      </c>
      <c r="W53" s="180">
        <v>100.73557938640558</v>
      </c>
      <c r="X53" s="180">
        <v>96.518188484335028</v>
      </c>
      <c r="Y53" s="180">
        <v>92.975636288267225</v>
      </c>
      <c r="DA53" s="189" t="s">
        <v>947</v>
      </c>
    </row>
    <row r="54" spans="1:105" ht="12" customHeight="1" x14ac:dyDescent="0.25">
      <c r="A54" s="131" t="s">
        <v>140</v>
      </c>
      <c r="B54" s="180">
        <v>34.846214083425224</v>
      </c>
      <c r="C54" s="180">
        <v>34.45542522639353</v>
      </c>
      <c r="D54" s="180">
        <v>33.860125745332937</v>
      </c>
      <c r="E54" s="180">
        <v>33.176213765976961</v>
      </c>
      <c r="F54" s="180">
        <v>32.436711862394468</v>
      </c>
      <c r="G54" s="180">
        <v>31.552611151358615</v>
      </c>
      <c r="H54" s="180">
        <v>30.528521101069124</v>
      </c>
      <c r="I54" s="180">
        <v>29.754337934793753</v>
      </c>
      <c r="J54" s="180">
        <v>29.108731291932468</v>
      </c>
      <c r="K54" s="180">
        <v>28.526431121892344</v>
      </c>
      <c r="L54" s="180">
        <v>27.886318578194597</v>
      </c>
      <c r="M54" s="180">
        <v>27.125915784391857</v>
      </c>
      <c r="N54" s="180">
        <v>26.311679129655715</v>
      </c>
      <c r="O54" s="180">
        <v>25.448807130443303</v>
      </c>
      <c r="P54" s="180">
        <v>24.560692282847953</v>
      </c>
      <c r="Q54" s="180">
        <v>23.557432938864498</v>
      </c>
      <c r="R54" s="180">
        <v>22.540205560971657</v>
      </c>
      <c r="S54" s="180">
        <v>21.40758592488573</v>
      </c>
      <c r="T54" s="180">
        <v>20.206224801573665</v>
      </c>
      <c r="U54" s="180">
        <v>18.949674881566274</v>
      </c>
      <c r="V54" s="180">
        <v>17.707793019964978</v>
      </c>
      <c r="W54" s="180">
        <v>16.545558121745643</v>
      </c>
      <c r="X54" s="180">
        <v>15.621834129026887</v>
      </c>
      <c r="Y54" s="180">
        <v>14.619856627496786</v>
      </c>
      <c r="DA54" s="189" t="s">
        <v>948</v>
      </c>
    </row>
    <row r="55" spans="1:105" ht="12" customHeight="1" x14ac:dyDescent="0.25">
      <c r="A55" s="131" t="s">
        <v>173</v>
      </c>
      <c r="B55" s="180">
        <v>617.40149585788504</v>
      </c>
      <c r="C55" s="180">
        <v>611.68885292314496</v>
      </c>
      <c r="D55" s="180">
        <v>604.72297701672449</v>
      </c>
      <c r="E55" s="180">
        <v>596.8196262346961</v>
      </c>
      <c r="F55" s="180">
        <v>588.3749324734822</v>
      </c>
      <c r="G55" s="180">
        <v>579.35173341185691</v>
      </c>
      <c r="H55" s="180">
        <v>569.71392485644083</v>
      </c>
      <c r="I55" s="180">
        <v>559.51066432680682</v>
      </c>
      <c r="J55" s="180">
        <v>548.57063056913762</v>
      </c>
      <c r="K55" s="180">
        <v>536.45060760755359</v>
      </c>
      <c r="L55" s="180">
        <v>523.41208794489887</v>
      </c>
      <c r="M55" s="180">
        <v>515.1372536537167</v>
      </c>
      <c r="N55" s="180">
        <v>506.99443700276663</v>
      </c>
      <c r="O55" s="180">
        <v>499.05814772463833</v>
      </c>
      <c r="P55" s="180">
        <v>489.92310450198249</v>
      </c>
      <c r="Q55" s="180">
        <v>480.58230721036904</v>
      </c>
      <c r="R55" s="180">
        <v>471.49845394611737</v>
      </c>
      <c r="S55" s="180">
        <v>462.01003331815576</v>
      </c>
      <c r="T55" s="180">
        <v>452.3002384401052</v>
      </c>
      <c r="U55" s="180">
        <v>442.69436059712024</v>
      </c>
      <c r="V55" s="180">
        <v>433.25334316867281</v>
      </c>
      <c r="W55" s="180">
        <v>425.84995114398123</v>
      </c>
      <c r="X55" s="180">
        <v>418.29230037732049</v>
      </c>
      <c r="Y55" s="180">
        <v>410.55440813510558</v>
      </c>
      <c r="DA55" s="189" t="s">
        <v>949</v>
      </c>
    </row>
    <row r="56" spans="1:105" ht="12" customHeight="1" x14ac:dyDescent="0.25">
      <c r="A56" s="60" t="s">
        <v>99</v>
      </c>
      <c r="B56" s="55">
        <v>44.67673336570909</v>
      </c>
      <c r="C56" s="55">
        <v>44.463705953698117</v>
      </c>
      <c r="D56" s="55">
        <v>44.22267559888305</v>
      </c>
      <c r="E56" s="55">
        <v>43.919257641008485</v>
      </c>
      <c r="F56" s="55">
        <v>43.561128284834211</v>
      </c>
      <c r="G56" s="55">
        <v>43.160229076931174</v>
      </c>
      <c r="H56" s="55">
        <v>42.761134984606684</v>
      </c>
      <c r="I56" s="55">
        <v>42.380844862875989</v>
      </c>
      <c r="J56" s="55">
        <v>42.038827549817775</v>
      </c>
      <c r="K56" s="55">
        <v>41.737890350130506</v>
      </c>
      <c r="L56" s="55">
        <v>41.390763798938757</v>
      </c>
      <c r="M56" s="55">
        <v>40.986603510956812</v>
      </c>
      <c r="N56" s="55">
        <v>40.529327969318409</v>
      </c>
      <c r="O56" s="55">
        <v>40.028969914480498</v>
      </c>
      <c r="P56" s="55">
        <v>39.438143486253601</v>
      </c>
      <c r="Q56" s="55">
        <v>38.701103158359395</v>
      </c>
      <c r="R56" s="55">
        <v>38.240318944838535</v>
      </c>
      <c r="S56" s="55">
        <v>37.738852511126645</v>
      </c>
      <c r="T56" s="55">
        <v>37.114358746993375</v>
      </c>
      <c r="U56" s="55">
        <v>36.368605899360112</v>
      </c>
      <c r="V56" s="55">
        <v>35.575415989630201</v>
      </c>
      <c r="W56" s="55">
        <v>34.821003801412019</v>
      </c>
      <c r="X56" s="55">
        <v>34.112340396491959</v>
      </c>
      <c r="Y56" s="55">
        <v>33.526198568209715</v>
      </c>
      <c r="DA56" s="101" t="s">
        <v>950</v>
      </c>
    </row>
    <row r="57" spans="1:105" ht="12" customHeight="1" x14ac:dyDescent="0.25">
      <c r="A57" s="62" t="s">
        <v>98</v>
      </c>
      <c r="B57" s="63">
        <v>368.30269571065696</v>
      </c>
      <c r="C57" s="63">
        <v>360.07124704645014</v>
      </c>
      <c r="D57" s="63">
        <v>348.92713283289174</v>
      </c>
      <c r="E57" s="63">
        <v>336.31981989709686</v>
      </c>
      <c r="F57" s="63">
        <v>322.21183249808212</v>
      </c>
      <c r="G57" s="63">
        <v>307.65401598757347</v>
      </c>
      <c r="H57" s="63">
        <v>292.84461551857839</v>
      </c>
      <c r="I57" s="63">
        <v>277.49148389218573</v>
      </c>
      <c r="J57" s="63">
        <v>260.98741954076195</v>
      </c>
      <c r="K57" s="63">
        <v>243.1252115150771</v>
      </c>
      <c r="L57" s="63">
        <v>224.63048225610561</v>
      </c>
      <c r="M57" s="63">
        <v>205.91312292610436</v>
      </c>
      <c r="N57" s="63">
        <v>190.2883742387929</v>
      </c>
      <c r="O57" s="63">
        <v>177.57294321738388</v>
      </c>
      <c r="P57" s="63">
        <v>167.841002981636</v>
      </c>
      <c r="Q57" s="63">
        <v>161.03968602336926</v>
      </c>
      <c r="R57" s="63">
        <v>155.95673206783809</v>
      </c>
      <c r="S57" s="63">
        <v>152.27191599198932</v>
      </c>
      <c r="T57" s="63">
        <v>148.8226663740501</v>
      </c>
      <c r="U57" s="63">
        <v>144.91858743734744</v>
      </c>
      <c r="V57" s="63">
        <v>140.52950184195535</v>
      </c>
      <c r="W57" s="63">
        <v>137.04930583005768</v>
      </c>
      <c r="X57" s="63">
        <v>134.19722123084813</v>
      </c>
      <c r="Y57" s="63">
        <v>131.5130626274954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0.55981718232441957</v>
      </c>
      <c r="D60" s="180">
        <v>0.55452553937902171</v>
      </c>
      <c r="E60" s="180">
        <v>0.54926759388494761</v>
      </c>
      <c r="F60" s="180">
        <v>0.54393585518447563</v>
      </c>
      <c r="G60" s="180">
        <v>0.53833737609918952</v>
      </c>
      <c r="H60" s="180">
        <v>0.53204517262070727</v>
      </c>
      <c r="I60" s="180">
        <v>0.52587384122614511</v>
      </c>
      <c r="J60" s="180">
        <v>0.5181103811669584</v>
      </c>
      <c r="K60" s="180">
        <v>0.51006207712403306</v>
      </c>
      <c r="L60" s="180">
        <v>0.50208765565637958</v>
      </c>
      <c r="M60" s="180">
        <v>0.49396941736955574</v>
      </c>
      <c r="N60" s="180">
        <v>0.48594335053823889</v>
      </c>
      <c r="O60" s="180">
        <v>0.47786540895983104</v>
      </c>
      <c r="P60" s="180">
        <v>0.47037979319876316</v>
      </c>
      <c r="Q60" s="180">
        <v>0.46248276028465596</v>
      </c>
      <c r="R60" s="180">
        <v>0.45941779015374112</v>
      </c>
      <c r="S60" s="180">
        <v>0.45504361300197355</v>
      </c>
      <c r="T60" s="180">
        <v>0.45109149852851921</v>
      </c>
      <c r="U60" s="180">
        <v>0.44743236105301931</v>
      </c>
      <c r="V60" s="180">
        <v>0.44379759309424038</v>
      </c>
      <c r="W60" s="180">
        <v>0.44113480753567497</v>
      </c>
      <c r="X60" s="180">
        <v>0.43847202197710949</v>
      </c>
      <c r="Y60" s="180">
        <v>0.43580923641854408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169.97887095857666</v>
      </c>
      <c r="D61" s="180">
        <v>167.6336497911114</v>
      </c>
      <c r="E61" s="180">
        <v>164.96730819051811</v>
      </c>
      <c r="F61" s="180">
        <v>161.93486353771954</v>
      </c>
      <c r="G61" s="180">
        <v>159.38067436824531</v>
      </c>
      <c r="H61" s="180">
        <v>156.88308729392034</v>
      </c>
      <c r="I61" s="180">
        <v>153.92930350362175</v>
      </c>
      <c r="J61" s="180">
        <v>150.69558539985641</v>
      </c>
      <c r="K61" s="180">
        <v>147.5636940821787</v>
      </c>
      <c r="L61" s="180">
        <v>144.00940145210362</v>
      </c>
      <c r="M61" s="180">
        <v>139.71585167840365</v>
      </c>
      <c r="N61" s="180">
        <v>134.82027416499625</v>
      </c>
      <c r="O61" s="180">
        <v>129.91872016920573</v>
      </c>
      <c r="P61" s="180">
        <v>124.16418640999737</v>
      </c>
      <c r="Q61" s="180">
        <v>117.21839567957889</v>
      </c>
      <c r="R61" s="180">
        <v>111.12629772404607</v>
      </c>
      <c r="S61" s="180">
        <v>106.06029342009286</v>
      </c>
      <c r="T61" s="180">
        <v>101.01138580393399</v>
      </c>
      <c r="U61" s="180">
        <v>95.971664400505034</v>
      </c>
      <c r="V61" s="180">
        <v>90.926801298609305</v>
      </c>
      <c r="W61" s="180">
        <v>88.690001986663518</v>
      </c>
      <c r="X61" s="180">
        <v>86.45320267471773</v>
      </c>
      <c r="Y61" s="180">
        <v>84.216403362771956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32.64058938226475</v>
      </c>
      <c r="D62" s="180">
        <v>31.379216352672316</v>
      </c>
      <c r="E62" s="180">
        <v>30.752221629762435</v>
      </c>
      <c r="F62" s="180">
        <v>30.319719725349888</v>
      </c>
      <c r="G62" s="180">
        <v>29.68066935462997</v>
      </c>
      <c r="H62" s="180">
        <v>28.8779296182569</v>
      </c>
      <c r="I62" s="180">
        <v>28.174862439019783</v>
      </c>
      <c r="J62" s="180">
        <v>27.487559124299342</v>
      </c>
      <c r="K62" s="180">
        <v>26.959247185591241</v>
      </c>
      <c r="L62" s="180">
        <v>26.187943435273105</v>
      </c>
      <c r="M62" s="180">
        <v>25.253791285839547</v>
      </c>
      <c r="N62" s="180">
        <v>24.234129303847173</v>
      </c>
      <c r="O62" s="180">
        <v>23.335067395532601</v>
      </c>
      <c r="P62" s="180">
        <v>22.323182667546831</v>
      </c>
      <c r="Q62" s="180">
        <v>20.873998274201035</v>
      </c>
      <c r="R62" s="180">
        <v>19.525078620031696</v>
      </c>
      <c r="S62" s="180">
        <v>18.584731193422396</v>
      </c>
      <c r="T62" s="180">
        <v>17.056759381028694</v>
      </c>
      <c r="U62" s="180">
        <v>15.855752389433839</v>
      </c>
      <c r="V62" s="180">
        <v>14.809522243577703</v>
      </c>
      <c r="W62" s="180">
        <v>14.069046131398817</v>
      </c>
      <c r="X62" s="180">
        <v>13.328570019219931</v>
      </c>
      <c r="Y62" s="180">
        <v>12.588093907041046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560.11984697423679</v>
      </c>
      <c r="D63" s="180">
        <v>548.65950904255146</v>
      </c>
      <c r="E63" s="180">
        <v>539.27565252782244</v>
      </c>
      <c r="F63" s="180">
        <v>534.00614486768814</v>
      </c>
      <c r="G63" s="180">
        <v>528.63202172113358</v>
      </c>
      <c r="H63" s="180">
        <v>523.06051536374446</v>
      </c>
      <c r="I63" s="180">
        <v>518.0323027652646</v>
      </c>
      <c r="J63" s="180">
        <v>511.62341731197648</v>
      </c>
      <c r="K63" s="180">
        <v>501.11171331262148</v>
      </c>
      <c r="L63" s="180">
        <v>491.42330731404206</v>
      </c>
      <c r="M63" s="180">
        <v>474.18046910059303</v>
      </c>
      <c r="N63" s="180">
        <v>466.33474747236147</v>
      </c>
      <c r="O63" s="180">
        <v>458.95162278103572</v>
      </c>
      <c r="P63" s="180">
        <v>444.00493584245618</v>
      </c>
      <c r="Q63" s="180">
        <v>438.24312711922482</v>
      </c>
      <c r="R63" s="180">
        <v>431.55455242552728</v>
      </c>
      <c r="S63" s="180">
        <v>423.14207177864307</v>
      </c>
      <c r="T63" s="180">
        <v>415.11240156631641</v>
      </c>
      <c r="U63" s="180">
        <v>407.61710696753426</v>
      </c>
      <c r="V63" s="180">
        <v>400.19651454584647</v>
      </c>
      <c r="W63" s="180">
        <v>392.19258425492956</v>
      </c>
      <c r="X63" s="180">
        <v>384.18865396401259</v>
      </c>
      <c r="Y63" s="180">
        <v>376.18472367309568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42.082094677402715</v>
      </c>
      <c r="D64" s="55">
        <v>41.79098013029563</v>
      </c>
      <c r="E64" s="55">
        <v>41.457077224241331</v>
      </c>
      <c r="F64" s="55">
        <v>41.130356189706028</v>
      </c>
      <c r="G64" s="55">
        <v>40.752301301205819</v>
      </c>
      <c r="H64" s="55">
        <v>40.354332147575327</v>
      </c>
      <c r="I64" s="55">
        <v>39.972987165802024</v>
      </c>
      <c r="J64" s="55">
        <v>39.508720588417745</v>
      </c>
      <c r="K64" s="55">
        <v>39.040075903923956</v>
      </c>
      <c r="L64" s="55">
        <v>38.423469756871128</v>
      </c>
      <c r="M64" s="55">
        <v>37.649610843858675</v>
      </c>
      <c r="N64" s="55">
        <v>36.800026296046035</v>
      </c>
      <c r="O64" s="55">
        <v>35.89389449932267</v>
      </c>
      <c r="P64" s="55">
        <v>34.891644978749511</v>
      </c>
      <c r="Q64" s="55">
        <v>33.897849378332914</v>
      </c>
      <c r="R64" s="55">
        <v>33.471518024258295</v>
      </c>
      <c r="S64" s="55">
        <v>32.964260486627815</v>
      </c>
      <c r="T64" s="55">
        <v>32.49658300658389</v>
      </c>
      <c r="U64" s="55">
        <v>32.044414028551721</v>
      </c>
      <c r="V64" s="55">
        <v>31.595294354258037</v>
      </c>
      <c r="W64" s="55">
        <v>31.279341410715457</v>
      </c>
      <c r="X64" s="55">
        <v>30.963388467172877</v>
      </c>
      <c r="Y64" s="55">
        <v>30.647435523630296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335.934238530279</v>
      </c>
      <c r="D65" s="63">
        <v>321.10865872184337</v>
      </c>
      <c r="E65" s="63">
        <v>309.4518631553932</v>
      </c>
      <c r="F65" s="63">
        <v>296.08803752961921</v>
      </c>
      <c r="G65" s="63">
        <v>283.64247130741728</v>
      </c>
      <c r="H65" s="63">
        <v>266.14933098002058</v>
      </c>
      <c r="I65" s="63">
        <v>247.03862508426434</v>
      </c>
      <c r="J65" s="63">
        <v>227.51650164271555</v>
      </c>
      <c r="K65" s="63">
        <v>207.96189095372338</v>
      </c>
      <c r="L65" s="63">
        <v>188.94116757265212</v>
      </c>
      <c r="M65" s="63">
        <v>177.06777045036421</v>
      </c>
      <c r="N65" s="63">
        <v>166.11687424078372</v>
      </c>
      <c r="O65" s="63">
        <v>159.46960391885654</v>
      </c>
      <c r="P65" s="63">
        <v>155.87346008283291</v>
      </c>
      <c r="Q65" s="63">
        <v>152.52985043734552</v>
      </c>
      <c r="R65" s="63">
        <v>149.07782703695401</v>
      </c>
      <c r="S65" s="63">
        <v>145.01208582409362</v>
      </c>
      <c r="T65" s="63">
        <v>141.04665640102266</v>
      </c>
      <c r="U65" s="63">
        <v>137.30883375565341</v>
      </c>
      <c r="V65" s="63">
        <v>133.61077922731786</v>
      </c>
      <c r="W65" s="63">
        <v>131.20578520122615</v>
      </c>
      <c r="X65" s="63">
        <v>128.80079117513441</v>
      </c>
      <c r="Y65" s="63">
        <v>126.39579714904269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601.27178601774096</v>
      </c>
      <c r="C68" s="187">
        <f>1000000*C20/SER_summary!C$8</f>
        <v>607.57359072318536</v>
      </c>
      <c r="D68" s="187">
        <f>1000000*D20/SER_summary!D$8</f>
        <v>614.57893210550799</v>
      </c>
      <c r="E68" s="187">
        <f>1000000*E20/SER_summary!E$8</f>
        <v>622.85908043215716</v>
      </c>
      <c r="F68" s="187">
        <f>1000000*F20/SER_summary!F$8</f>
        <v>630.89904077835536</v>
      </c>
      <c r="G68" s="187">
        <f>1000000*G20/SER_summary!G$8</f>
        <v>638.2644942355912</v>
      </c>
      <c r="H68" s="187">
        <f>1000000*H20/SER_summary!H$8</f>
        <v>644.98550179645758</v>
      </c>
      <c r="I68" s="187">
        <f>1000000*I20/SER_summary!I$8</f>
        <v>653.50901916579073</v>
      </c>
      <c r="J68" s="187">
        <f>1000000*J20/SER_summary!J$8</f>
        <v>662.37567350567747</v>
      </c>
      <c r="K68" s="187">
        <f>1000000*K20/SER_summary!K$8</f>
        <v>670.35417685374614</v>
      </c>
      <c r="L68" s="187">
        <f>1000000*L20/SER_summary!L$8</f>
        <v>678.68436979489309</v>
      </c>
      <c r="M68" s="187">
        <f>1000000*M20/SER_summary!M$8</f>
        <v>687.25141278134902</v>
      </c>
      <c r="N68" s="187">
        <f>1000000*N20/SER_summary!N$8</f>
        <v>695.0820898983236</v>
      </c>
      <c r="O68" s="187">
        <f>1000000*O20/SER_summary!O$8</f>
        <v>703.40008635383606</v>
      </c>
      <c r="P68" s="187">
        <f>1000000*P20/SER_summary!P$8</f>
        <v>711.5502641900049</v>
      </c>
      <c r="Q68" s="187">
        <f>1000000*Q20/SER_summary!Q$8</f>
        <v>718.50301756115982</v>
      </c>
      <c r="R68" s="187">
        <f>1000000*R20/SER_summary!R$8</f>
        <v>725.31546767521161</v>
      </c>
      <c r="S68" s="187">
        <f>1000000*S20/SER_summary!S$8</f>
        <v>732.17624485350188</v>
      </c>
      <c r="T68" s="187">
        <f>1000000*T20/SER_summary!T$8</f>
        <v>738.82976047357965</v>
      </c>
      <c r="U68" s="187">
        <f>1000000*U20/SER_summary!U$8</f>
        <v>745.12099649830338</v>
      </c>
      <c r="V68" s="187">
        <f>1000000*V20/SER_summary!V$8</f>
        <v>750.76140880980302</v>
      </c>
      <c r="W68" s="187">
        <f>1000000*W20/SER_summary!W$8</f>
        <v>755.28295759305115</v>
      </c>
      <c r="X68" s="187">
        <f>1000000*X20/SER_summary!X$8</f>
        <v>757.55393359195216</v>
      </c>
      <c r="Y68" s="187">
        <f>1000000*Y20/SER_summary!Y$8</f>
        <v>758.69198093870341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8.2182144451701439E-2</v>
      </c>
      <c r="C69" s="187">
        <f>1000*C21/SER_summary!C$3</f>
        <v>8.3449151186960252E-2</v>
      </c>
      <c r="D69" s="187">
        <f>1000*D21/SER_summary!D$3</f>
        <v>8.529018488023106E-2</v>
      </c>
      <c r="E69" s="187">
        <f>1000*E21/SER_summary!E$3</f>
        <v>8.7595841193908133E-2</v>
      </c>
      <c r="F69" s="187">
        <f>1000*F21/SER_summary!F$3</f>
        <v>9.0326096059219319E-2</v>
      </c>
      <c r="G69" s="187">
        <f>1000*G21/SER_summary!G$3</f>
        <v>9.2853676289034875E-2</v>
      </c>
      <c r="H69" s="187">
        <f>1000*H21/SER_summary!H$3</f>
        <v>9.6514858244322196E-2</v>
      </c>
      <c r="I69" s="187">
        <f>1000*I21/SER_summary!I$3</f>
        <v>9.9881241271673429E-2</v>
      </c>
      <c r="J69" s="187">
        <f>1000*J21/SER_summary!J$3</f>
        <v>0.10362579068318276</v>
      </c>
      <c r="K69" s="187">
        <f>1000*K21/SER_summary!K$3</f>
        <v>0.10767120661836059</v>
      </c>
      <c r="L69" s="187">
        <f>1000*L21/SER_summary!L$3</f>
        <v>0.11215691470906186</v>
      </c>
      <c r="M69" s="187">
        <f>1000*M21/SER_summary!M$3</f>
        <v>0.11636617812395372</v>
      </c>
      <c r="N69" s="187">
        <f>1000*N21/SER_summary!N$3</f>
        <v>0.12193576643299835</v>
      </c>
      <c r="O69" s="187">
        <f>1000*O21/SER_summary!O$3</f>
        <v>0.12830644304918293</v>
      </c>
      <c r="P69" s="187">
        <f>1000*P21/SER_summary!P$3</f>
        <v>0.13604702045494901</v>
      </c>
      <c r="Q69" s="187">
        <f>1000*Q21/SER_summary!Q$3</f>
        <v>0.1424551409457506</v>
      </c>
      <c r="R69" s="187">
        <f>1000*R21/SER_summary!R$3</f>
        <v>0.14673803141732597</v>
      </c>
      <c r="S69" s="187">
        <f>1000*S21/SER_summary!S$3</f>
        <v>0.15112591068775877</v>
      </c>
      <c r="T69" s="187">
        <f>1000*T21/SER_summary!T$3</f>
        <v>0.15540353262244166</v>
      </c>
      <c r="U69" s="187">
        <f>1000*U21/SER_summary!U$3</f>
        <v>0.15948161832119293</v>
      </c>
      <c r="V69" s="187">
        <f>1000*V21/SER_summary!V$3</f>
        <v>0.16299885727498337</v>
      </c>
      <c r="W69" s="187">
        <f>1000*W21/SER_summary!W$3</f>
        <v>0.16656528996886011</v>
      </c>
      <c r="X69" s="187">
        <f>1000*X21/SER_summary!X$3</f>
        <v>0.16910812217109142</v>
      </c>
      <c r="Y69" s="187">
        <f>1000*Y21/SER_summary!Y$3</f>
        <v>0.17091116727856992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181.33793965397589</v>
      </c>
      <c r="C70" s="187">
        <f>1000000*C22/SER_summary!C$8</f>
        <v>183.13589064897801</v>
      </c>
      <c r="D70" s="187">
        <f>1000000*D22/SER_summary!D$8</f>
        <v>185.51948027277163</v>
      </c>
      <c r="E70" s="187">
        <f>1000000*E22/SER_summary!E$8</f>
        <v>188.0145611109424</v>
      </c>
      <c r="F70" s="187">
        <f>1000000*F22/SER_summary!F$8</f>
        <v>190.85713695103067</v>
      </c>
      <c r="G70" s="187">
        <f>1000000*G22/SER_summary!G$8</f>
        <v>193.47367189832497</v>
      </c>
      <c r="H70" s="187">
        <f>1000000*H22/SER_summary!H$8</f>
        <v>196.47807802738302</v>
      </c>
      <c r="I70" s="187">
        <f>1000000*I22/SER_summary!I$8</f>
        <v>199.10042015063564</v>
      </c>
      <c r="J70" s="187">
        <f>1000000*J22/SER_summary!J$8</f>
        <v>202.55289597401065</v>
      </c>
      <c r="K70" s="187">
        <f>1000000*K22/SER_summary!K$8</f>
        <v>207.08711163945921</v>
      </c>
      <c r="L70" s="187">
        <f>1000000*L22/SER_summary!L$8</f>
        <v>211.5752872418937</v>
      </c>
      <c r="M70" s="187">
        <f>1000000*M22/SER_summary!M$8</f>
        <v>216.84024968033896</v>
      </c>
      <c r="N70" s="187">
        <f>1000000*N22/SER_summary!N$8</f>
        <v>221.71158241143846</v>
      </c>
      <c r="O70" s="187">
        <f>1000000*O22/SER_summary!O$8</f>
        <v>227.89812894497013</v>
      </c>
      <c r="P70" s="187">
        <f>1000000*P22/SER_summary!P$8</f>
        <v>235.7011110627686</v>
      </c>
      <c r="Q70" s="187">
        <f>1000000*Q22/SER_summary!Q$8</f>
        <v>246.21390974963964</v>
      </c>
      <c r="R70" s="187">
        <f>1000000*R22/SER_summary!R$8</f>
        <v>251.62862569743314</v>
      </c>
      <c r="S70" s="187">
        <f>1000000*S22/SER_summary!S$8</f>
        <v>257.11997120016832</v>
      </c>
      <c r="T70" s="187">
        <f>1000000*T22/SER_summary!T$8</f>
        <v>262.36548018015446</v>
      </c>
      <c r="U70" s="187">
        <f>1000000*U22/SER_summary!U$8</f>
        <v>267.16794888256965</v>
      </c>
      <c r="V70" s="187">
        <f>1000000*V22/SER_summary!V$8</f>
        <v>271.15986138841265</v>
      </c>
      <c r="W70" s="187">
        <f>1000000*W22/SER_summary!W$8</f>
        <v>273.80909923224505</v>
      </c>
      <c r="X70" s="187">
        <f>1000000*X22/SER_summary!X$8</f>
        <v>275.14340857399986</v>
      </c>
      <c r="Y70" s="187">
        <f>1000000*Y22/SER_summary!Y$8</f>
        <v>275.81299962033012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2.7016375710999893E-2</v>
      </c>
      <c r="C71" s="187">
        <f>1000*C23/SER_summary!C$3</f>
        <v>2.7071722414645893E-2</v>
      </c>
      <c r="D71" s="187">
        <f>1000*D23/SER_summary!D$3</f>
        <v>2.7184041386500598E-2</v>
      </c>
      <c r="E71" s="187">
        <f>1000*E23/SER_summary!E$3</f>
        <v>2.7346039703509295E-2</v>
      </c>
      <c r="F71" s="187">
        <f>1000*F23/SER_summary!F$3</f>
        <v>2.755423375112713E-2</v>
      </c>
      <c r="G71" s="187">
        <f>1000*G23/SER_summary!G$3</f>
        <v>2.7817186408864228E-2</v>
      </c>
      <c r="H71" s="187">
        <f>1000*H23/SER_summary!H$3</f>
        <v>2.8152937236266572E-2</v>
      </c>
      <c r="I71" s="187">
        <f>1000*I23/SER_summary!I$3</f>
        <v>2.8562703410581359E-2</v>
      </c>
      <c r="J71" s="187">
        <f>1000*J23/SER_summary!J$3</f>
        <v>2.9047728064471104E-2</v>
      </c>
      <c r="K71" s="187">
        <f>1000*K23/SER_summary!K$3</f>
        <v>2.9633910916545485E-2</v>
      </c>
      <c r="L71" s="187">
        <f>1000*L23/SER_summary!L$3</f>
        <v>3.0323502596098444E-2</v>
      </c>
      <c r="M71" s="187">
        <f>1000*M23/SER_summary!M$3</f>
        <v>3.0835559943439814E-2</v>
      </c>
      <c r="N71" s="187">
        <f>1000*N23/SER_summary!N$3</f>
        <v>3.1426576324552445E-2</v>
      </c>
      <c r="O71" s="187">
        <f>1000*O23/SER_summary!O$3</f>
        <v>3.2091479735410725E-2</v>
      </c>
      <c r="P71" s="187">
        <f>1000*P23/SER_summary!P$3</f>
        <v>3.2930221238072793E-2</v>
      </c>
      <c r="Q71" s="187">
        <f>1000*Q23/SER_summary!Q$3</f>
        <v>3.3970302818258323E-2</v>
      </c>
      <c r="R71" s="187">
        <f>1000*R23/SER_summary!R$3</f>
        <v>3.4822844609892926E-2</v>
      </c>
      <c r="S71" s="187">
        <f>1000*S23/SER_summary!S$3</f>
        <v>3.5701638151566788E-2</v>
      </c>
      <c r="T71" s="187">
        <f>1000*T23/SER_summary!T$3</f>
        <v>3.6548004843198742E-2</v>
      </c>
      <c r="U71" s="187">
        <f>1000*U23/SER_summary!U$3</f>
        <v>3.7336247869394906E-2</v>
      </c>
      <c r="V71" s="187">
        <f>1000*V23/SER_summary!V$3</f>
        <v>3.7973112160803693E-2</v>
      </c>
      <c r="W71" s="187">
        <f>1000*W23/SER_summary!W$3</f>
        <v>3.8599012704337576E-2</v>
      </c>
      <c r="X71" s="187">
        <f>1000*X23/SER_summary!X$3</f>
        <v>3.9043271367870641E-2</v>
      </c>
      <c r="Y71" s="187">
        <f>1000*Y23/SER_summary!Y$3</f>
        <v>3.9357291317586779E-2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88.210696181004025</v>
      </c>
      <c r="C72" s="187">
        <f>1000000*C24/SER_summary!C$8</f>
        <v>91.941473307423408</v>
      </c>
      <c r="D72" s="187">
        <f>1000000*D24/SER_summary!D$8</f>
        <v>96.964468896921019</v>
      </c>
      <c r="E72" s="187">
        <f>1000000*E24/SER_summary!E$8</f>
        <v>104.56120534941789</v>
      </c>
      <c r="F72" s="187">
        <f>1000000*F24/SER_summary!F$8</f>
        <v>115.53275589312457</v>
      </c>
      <c r="G72" s="187">
        <f>1000000*G24/SER_summary!G$8</f>
        <v>126.71915122739354</v>
      </c>
      <c r="H72" s="187">
        <f>1000000*H24/SER_summary!H$8</f>
        <v>136.84285938774144</v>
      </c>
      <c r="I72" s="187">
        <f>1000000*I24/SER_summary!I$8</f>
        <v>145.16106760040302</v>
      </c>
      <c r="J72" s="187">
        <f>1000000*J24/SER_summary!J$8</f>
        <v>152.2319903623482</v>
      </c>
      <c r="K72" s="187">
        <f>1000000*K24/SER_summary!K$8</f>
        <v>158.82949490426157</v>
      </c>
      <c r="L72" s="187">
        <f>1000000*L24/SER_summary!L$8</f>
        <v>163.32637236867595</v>
      </c>
      <c r="M72" s="187">
        <f>1000000*M24/SER_summary!M$8</f>
        <v>167.27901707617937</v>
      </c>
      <c r="N72" s="187">
        <f>1000000*N24/SER_summary!N$8</f>
        <v>172.22153642625094</v>
      </c>
      <c r="O72" s="187">
        <f>1000000*O24/SER_summary!O$8</f>
        <v>176.73824697990509</v>
      </c>
      <c r="P72" s="187">
        <f>1000000*P24/SER_summary!P$8</f>
        <v>180.69762477828564</v>
      </c>
      <c r="Q72" s="187">
        <f>1000000*Q24/SER_summary!Q$8</f>
        <v>183.7210664106787</v>
      </c>
      <c r="R72" s="187">
        <f>1000000*R24/SER_summary!R$8</f>
        <v>188.69713933866328</v>
      </c>
      <c r="S72" s="187">
        <f>1000000*S24/SER_summary!S$8</f>
        <v>193.35201802439644</v>
      </c>
      <c r="T72" s="187">
        <f>1000000*T24/SER_summary!T$8</f>
        <v>199.55929148882086</v>
      </c>
      <c r="U72" s="187">
        <f>1000000*U24/SER_summary!U$8</f>
        <v>207.34380579671975</v>
      </c>
      <c r="V72" s="187">
        <f>1000000*V24/SER_summary!V$8</f>
        <v>213.92282100348922</v>
      </c>
      <c r="W72" s="187">
        <f>1000000*W24/SER_summary!W$8</f>
        <v>218.63327556246134</v>
      </c>
      <c r="X72" s="187">
        <f>1000000*X24/SER_summary!X$8</f>
        <v>222.47620973420038</v>
      </c>
      <c r="Y72" s="187">
        <f>1000000*Y24/SER_summary!Y$8</f>
        <v>225.59913461903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0.18377669474040498</v>
      </c>
      <c r="C73" s="52">
        <f>1000*C25/SER_summary!C$3</f>
        <v>0.19564164206503976</v>
      </c>
      <c r="D73" s="52">
        <f>1000*D25/SER_summary!D$3</f>
        <v>0.21058364886340361</v>
      </c>
      <c r="E73" s="52">
        <f>1000*E25/SER_summary!E$3</f>
        <v>0.22885447260429789</v>
      </c>
      <c r="F73" s="52">
        <f>1000*F25/SER_summary!F$3</f>
        <v>0.25188589310344844</v>
      </c>
      <c r="G73" s="52">
        <f>1000*G25/SER_summary!G$3</f>
        <v>0.27733886802638064</v>
      </c>
      <c r="H73" s="52">
        <f>1000*H25/SER_summary!H$3</f>
        <v>0.30314178220157934</v>
      </c>
      <c r="I73" s="52">
        <f>1000*I25/SER_summary!I$3</f>
        <v>0.32939106331820889</v>
      </c>
      <c r="J73" s="52">
        <f>1000*J25/SER_summary!J$3</f>
        <v>0.35649358402195647</v>
      </c>
      <c r="K73" s="52">
        <f>1000*K25/SER_summary!K$3</f>
        <v>0.38712057405139882</v>
      </c>
      <c r="L73" s="52">
        <f>1000*L25/SER_summary!L$3</f>
        <v>0.42286660532726289</v>
      </c>
      <c r="M73" s="52">
        <f>1000*M25/SER_summary!M$3</f>
        <v>0.46677457861978416</v>
      </c>
      <c r="N73" s="52">
        <f>1000*N25/SER_summary!N$3</f>
        <v>0.50825452029131124</v>
      </c>
      <c r="O73" s="52">
        <f>1000*O25/SER_summary!O$3</f>
        <v>0.55859605013911762</v>
      </c>
      <c r="P73" s="52">
        <f>1000*P25/SER_summary!P$3</f>
        <v>0.62034162577617658</v>
      </c>
      <c r="Q73" s="52">
        <f>1000*Q25/SER_summary!Q$3</f>
        <v>0.69695875105208138</v>
      </c>
      <c r="R73" s="52">
        <f>1000*R25/SER_summary!R$3</f>
        <v>0.72939036831947079</v>
      </c>
      <c r="S73" s="52">
        <f>1000*S25/SER_summary!S$3</f>
        <v>0.75055458839682432</v>
      </c>
      <c r="T73" s="52">
        <f>1000*T25/SER_summary!T$3</f>
        <v>0.77006838816037759</v>
      </c>
      <c r="U73" s="52">
        <f>1000*U25/SER_summary!U$3</f>
        <v>0.79511948951386491</v>
      </c>
      <c r="V73" s="52">
        <f>1000*V25/SER_summary!V$3</f>
        <v>0.82263079473572642</v>
      </c>
      <c r="W73" s="52">
        <f>1000*W25/SER_summary!W$3</f>
        <v>0.85319788897436422</v>
      </c>
      <c r="X73" s="52">
        <f>1000*X25/SER_summary!X$3</f>
        <v>0.87744621222574781</v>
      </c>
      <c r="Y73" s="52">
        <f>1000*Y25/SER_summary!Y$3</f>
        <v>0.89719900882845138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109.96819585078039</v>
      </c>
      <c r="C3" s="198">
        <f>'SER_se-appl'!C4</f>
        <v>112.04738033621787</v>
      </c>
      <c r="D3" s="198">
        <f>'SER_se-appl'!D4</f>
        <v>113.51328315459067</v>
      </c>
      <c r="E3" s="198">
        <f>'SER_se-appl'!E4</f>
        <v>114.64347777068629</v>
      </c>
      <c r="F3" s="198">
        <f>'SER_se-appl'!F4</f>
        <v>114.86353979462955</v>
      </c>
      <c r="G3" s="198">
        <f>'SER_se-appl'!G4</f>
        <v>116.87640225531038</v>
      </c>
      <c r="H3" s="198">
        <f>'SER_se-appl'!H4</f>
        <v>119.8134076485687</v>
      </c>
      <c r="I3" s="198">
        <f>'SER_se-appl'!I4</f>
        <v>123.69003171015552</v>
      </c>
      <c r="J3" s="198">
        <f>'SER_se-appl'!J4</f>
        <v>126.14022321585703</v>
      </c>
      <c r="K3" s="198">
        <f>'SER_se-appl'!K4</f>
        <v>125.93564685442009</v>
      </c>
      <c r="L3" s="198">
        <f>'SER_se-appl'!L4</f>
        <v>127.23805429109613</v>
      </c>
      <c r="M3" s="198">
        <f>'SER_se-appl'!M4</f>
        <v>128.76878776350574</v>
      </c>
      <c r="N3" s="198">
        <f>'SER_se-appl'!N4</f>
        <v>128.9459654585981</v>
      </c>
      <c r="O3" s="198">
        <f>'SER_se-appl'!O4</f>
        <v>128.42247595148049</v>
      </c>
      <c r="P3" s="198">
        <f>'SER_se-appl'!P4</f>
        <v>128.04004936827096</v>
      </c>
      <c r="Q3" s="198">
        <f>'SER_se-appl'!Q4</f>
        <v>128.9258331362054</v>
      </c>
      <c r="R3" s="198">
        <f>'SER_se-appl'!R4</f>
        <v>128.5630556907395</v>
      </c>
      <c r="S3" s="198">
        <f>'SER_se-appl'!S4</f>
        <v>128.35573528418348</v>
      </c>
      <c r="T3" s="198">
        <f>'SER_se-appl'!T4</f>
        <v>127.96778109963519</v>
      </c>
      <c r="U3" s="198">
        <f>'SER_se-appl'!U4</f>
        <v>128.24039405335787</v>
      </c>
      <c r="V3" s="198">
        <f>'SER_se-appl'!V4</f>
        <v>128.49557276890613</v>
      </c>
      <c r="W3" s="198">
        <f>'SER_se-appl'!W4</f>
        <v>128.63377160583914</v>
      </c>
      <c r="X3" s="198">
        <f>'SER_se-appl'!X4</f>
        <v>128.57451452642417</v>
      </c>
      <c r="Y3" s="198">
        <f>'SER_se-appl'!Y4</f>
        <v>127.96995127865205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145.99658878362743</v>
      </c>
      <c r="C5" s="59">
        <f>'SER_se-appl'!C12</f>
        <v>148.75696727285549</v>
      </c>
      <c r="D5" s="59">
        <f>'SER_se-appl'!D12</f>
        <v>150.70313733880019</v>
      </c>
      <c r="E5" s="59">
        <f>'SER_se-appl'!E12</f>
        <v>152.20361261108241</v>
      </c>
      <c r="F5" s="59">
        <f>'SER_se-appl'!F12</f>
        <v>152.49577258122622</v>
      </c>
      <c r="G5" s="59">
        <f>'SER_se-appl'!G12</f>
        <v>155.16810025448177</v>
      </c>
      <c r="H5" s="59">
        <f>'SER_se-appl'!H12</f>
        <v>159.06734371607925</v>
      </c>
      <c r="I5" s="59">
        <f>'SER_se-appl'!I12</f>
        <v>164.21404894852839</v>
      </c>
      <c r="J5" s="59">
        <f>'SER_se-appl'!J12</f>
        <v>167.46698584479654</v>
      </c>
      <c r="K5" s="59">
        <f>'SER_se-appl'!K12</f>
        <v>167.19538503617636</v>
      </c>
      <c r="L5" s="59">
        <f>'SER_se-appl'!L12</f>
        <v>168.92449445267675</v>
      </c>
      <c r="M5" s="59">
        <f>'SER_se-appl'!M12</f>
        <v>170.95673535269083</v>
      </c>
      <c r="N5" s="59">
        <f>'SER_se-appl'!N12</f>
        <v>171.19196099126665</v>
      </c>
      <c r="O5" s="59">
        <f>'SER_se-appl'!O12</f>
        <v>170.49696293558429</v>
      </c>
      <c r="P5" s="59">
        <f>'SER_se-appl'!P12</f>
        <v>169.98924362477072</v>
      </c>
      <c r="Q5" s="59">
        <f>'SER_se-appl'!Q12</f>
        <v>171.16523280525902</v>
      </c>
      <c r="R5" s="59">
        <f>'SER_se-appl'!R12</f>
        <v>170.6836001921576</v>
      </c>
      <c r="S5" s="59">
        <f>'SER_se-appl'!S12</f>
        <v>170.40835631907009</v>
      </c>
      <c r="T5" s="59">
        <f>'SER_se-appl'!T12</f>
        <v>169.89329842337412</v>
      </c>
      <c r="U5" s="59">
        <f>'SER_se-appl'!U12</f>
        <v>170.25522635166118</v>
      </c>
      <c r="V5" s="59">
        <f>'SER_se-appl'!V12</f>
        <v>170.5940081395409</v>
      </c>
      <c r="W5" s="59">
        <f>'SER_se-appl'!W12</f>
        <v>170.77748444930472</v>
      </c>
      <c r="X5" s="59">
        <f>'SER_se-appl'!X12</f>
        <v>170.69881323542387</v>
      </c>
      <c r="Y5" s="59">
        <f>'SER_se-appl'!Y12</f>
        <v>169.89617960853005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601.27178601774096</v>
      </c>
      <c r="C6" s="201">
        <f>'SER_se-appl'!C68</f>
        <v>607.57359072318536</v>
      </c>
      <c r="D6" s="201">
        <f>'SER_se-appl'!D68</f>
        <v>614.57893210550799</v>
      </c>
      <c r="E6" s="201">
        <f>'SER_se-appl'!E68</f>
        <v>622.85908043215716</v>
      </c>
      <c r="F6" s="201">
        <f>'SER_se-appl'!F68</f>
        <v>630.89904077835536</v>
      </c>
      <c r="G6" s="201">
        <f>'SER_se-appl'!G68</f>
        <v>638.2644942355912</v>
      </c>
      <c r="H6" s="201">
        <f>'SER_se-appl'!H68</f>
        <v>644.98550179645758</v>
      </c>
      <c r="I6" s="201">
        <f>'SER_se-appl'!I68</f>
        <v>653.50901916579073</v>
      </c>
      <c r="J6" s="201">
        <f>'SER_se-appl'!J68</f>
        <v>662.37567350567747</v>
      </c>
      <c r="K6" s="201">
        <f>'SER_se-appl'!K68</f>
        <v>670.35417685374614</v>
      </c>
      <c r="L6" s="201">
        <f>'SER_se-appl'!L68</f>
        <v>678.68436979489309</v>
      </c>
      <c r="M6" s="201">
        <f>'SER_se-appl'!M68</f>
        <v>687.25141278134902</v>
      </c>
      <c r="N6" s="201">
        <f>'SER_se-appl'!N68</f>
        <v>695.0820898983236</v>
      </c>
      <c r="O6" s="201">
        <f>'SER_se-appl'!O68</f>
        <v>703.40008635383606</v>
      </c>
      <c r="P6" s="201">
        <f>'SER_se-appl'!P68</f>
        <v>711.5502641900049</v>
      </c>
      <c r="Q6" s="201">
        <f>'SER_se-appl'!Q68</f>
        <v>718.50301756115982</v>
      </c>
      <c r="R6" s="201">
        <f>'SER_se-appl'!R68</f>
        <v>725.31546767521161</v>
      </c>
      <c r="S6" s="201">
        <f>'SER_se-appl'!S68</f>
        <v>732.17624485350188</v>
      </c>
      <c r="T6" s="201">
        <f>'SER_se-appl'!T68</f>
        <v>738.82976047357965</v>
      </c>
      <c r="U6" s="201">
        <f>'SER_se-appl'!U68</f>
        <v>745.12099649830338</v>
      </c>
      <c r="V6" s="201">
        <f>'SER_se-appl'!V68</f>
        <v>750.76140880980302</v>
      </c>
      <c r="W6" s="201">
        <f>'SER_se-appl'!W68</f>
        <v>755.28295759305115</v>
      </c>
      <c r="X6" s="201">
        <f>'SER_se-appl'!X68</f>
        <v>757.55393359195216</v>
      </c>
      <c r="Y6" s="201">
        <f>'SER_se-appl'!Y68</f>
        <v>758.69198093870341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233.75397436399666</v>
      </c>
      <c r="C8" s="34">
        <f>'SER_se-appl'!C20</f>
        <v>239.85761833731627</v>
      </c>
      <c r="D8" s="34">
        <f>'SER_se-appl'!D20</f>
        <v>244.68418592569915</v>
      </c>
      <c r="E8" s="34">
        <f>'SER_se-appl'!E20</f>
        <v>248.8857514702884</v>
      </c>
      <c r="F8" s="34">
        <f>'SER_se-appl'!F20</f>
        <v>251.05710785196655</v>
      </c>
      <c r="G8" s="34">
        <f>'SER_se-appl'!G20</f>
        <v>257.83696567332959</v>
      </c>
      <c r="H8" s="34">
        <f>'SER_se-appl'!H20</f>
        <v>267.19286029461142</v>
      </c>
      <c r="I8" s="34">
        <f>'SER_se-appl'!I20</f>
        <v>279.22938722435902</v>
      </c>
      <c r="J8" s="34">
        <f>'SER_se-appl'!J20</f>
        <v>288.04038719457549</v>
      </c>
      <c r="K8" s="34">
        <f>'SER_se-appl'!K20</f>
        <v>290.35313780248856</v>
      </c>
      <c r="L8" s="34">
        <f>'SER_se-appl'!L20</f>
        <v>296.9761393534568</v>
      </c>
      <c r="M8" s="34">
        <f>'SER_se-appl'!M20</f>
        <v>304.63328706285643</v>
      </c>
      <c r="N8" s="34">
        <f>'SER_se-appl'!N20</f>
        <v>309.04837125288952</v>
      </c>
      <c r="O8" s="34">
        <f>'SER_se-appl'!O20</f>
        <v>311.94405722112037</v>
      </c>
      <c r="P8" s="34">
        <f>'SER_se-appl'!P20</f>
        <v>315.6408383424386</v>
      </c>
      <c r="Q8" s="34">
        <f>'SER_se-appl'!Q20</f>
        <v>323.43455784341188</v>
      </c>
      <c r="R8" s="34">
        <f>'SER_se-appl'!R20</f>
        <v>327.92447671475509</v>
      </c>
      <c r="S8" s="34">
        <f>'SER_se-appl'!S20</f>
        <v>333.22155376703222</v>
      </c>
      <c r="T8" s="34">
        <f>'SER_se-appl'!T20</f>
        <v>338.34453047692642</v>
      </c>
      <c r="U8" s="34">
        <f>'SER_se-appl'!U20</f>
        <v>343.23313409567828</v>
      </c>
      <c r="V8" s="34">
        <f>'SER_se-appl'!V20</f>
        <v>347.80190197612427</v>
      </c>
      <c r="W8" s="34">
        <f>'SER_se-appl'!W20</f>
        <v>351.87554416613136</v>
      </c>
      <c r="X8" s="34">
        <f>'SER_se-appl'!X20</f>
        <v>354.86984755502391</v>
      </c>
      <c r="Y8" s="34">
        <f>'SER_se-appl'!Y20</f>
        <v>357.28991967952612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16.242331575144306</v>
      </c>
      <c r="D9" s="36">
        <f>'SER_se-appl'!D28</f>
        <v>15.252033994425858</v>
      </c>
      <c r="E9" s="36">
        <f>'SER_se-appl'!E28</f>
        <v>14.921922463759813</v>
      </c>
      <c r="F9" s="36">
        <f>'SER_se-appl'!F28</f>
        <v>13.194944967392956</v>
      </c>
      <c r="G9" s="36">
        <f>'SER_se-appl'!G28</f>
        <v>18.115255161520224</v>
      </c>
      <c r="H9" s="36">
        <f>'SER_se-appl'!H28</f>
        <v>21.011920411808063</v>
      </c>
      <c r="I9" s="36">
        <f>'SER_se-appl'!I28</f>
        <v>24.022250336910389</v>
      </c>
      <c r="J9" s="36">
        <f>'SER_se-appl'!J28</f>
        <v>21.135746687040978</v>
      </c>
      <c r="K9" s="36">
        <f>'SER_se-appl'!K28</f>
        <v>14.98611011019392</v>
      </c>
      <c r="L9" s="36">
        <f>'SER_se-appl'!L28</f>
        <v>19.654834558521941</v>
      </c>
      <c r="M9" s="36">
        <f>'SER_se-appl'!M28</f>
        <v>21.05759385836285</v>
      </c>
      <c r="N9" s="36">
        <f>'SER_se-appl'!N28</f>
        <v>18.194569922176584</v>
      </c>
      <c r="O9" s="36">
        <f>'SER_se-appl'!O28</f>
        <v>17.064932643427312</v>
      </c>
      <c r="P9" s="36">
        <f>'SER_se-appl'!P28</f>
        <v>18.266813359476032</v>
      </c>
      <c r="Q9" s="36">
        <f>'SER_se-appl'!Q28</f>
        <v>22.775873759926753</v>
      </c>
      <c r="R9" s="36">
        <f>'SER_se-appl'!R28</f>
        <v>19.895852267373868</v>
      </c>
      <c r="S9" s="36">
        <f>'SER_se-appl'!S28</f>
        <v>21.138776430128189</v>
      </c>
      <c r="T9" s="36">
        <f>'SER_se-appl'!T28</f>
        <v>21.412767969336301</v>
      </c>
      <c r="U9" s="36">
        <f>'SER_se-appl'!U28</f>
        <v>21.130935193896164</v>
      </c>
      <c r="V9" s="36">
        <f>'SER_se-appl'!V28</f>
        <v>19.820801874871847</v>
      </c>
      <c r="W9" s="36">
        <f>'SER_se-appl'!W28</f>
        <v>18.995564653766905</v>
      </c>
      <c r="X9" s="36">
        <f>'SER_se-appl'!X28</f>
        <v>16.189248356285532</v>
      </c>
      <c r="Y9" s="36">
        <f>'SER_se-appl'!Y28</f>
        <v>20.535327286022437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10.138687601824699</v>
      </c>
      <c r="D10" s="38">
        <f>'SER_se-appl'!D36</f>
        <v>10.425466406042972</v>
      </c>
      <c r="E10" s="38">
        <f>'SER_se-appl'!E36</f>
        <v>10.720356919170598</v>
      </c>
      <c r="F10" s="38">
        <f>'SER_se-appl'!F36</f>
        <v>11.023588585714805</v>
      </c>
      <c r="G10" s="38">
        <f>'SER_se-appl'!G36</f>
        <v>11.335397340157215</v>
      </c>
      <c r="H10" s="38">
        <f>'SER_se-appl'!H36</f>
        <v>11.656025790526257</v>
      </c>
      <c r="I10" s="38">
        <f>'SER_se-appl'!I36</f>
        <v>11.985723407162823</v>
      </c>
      <c r="J10" s="38">
        <f>'SER_se-appl'!J36</f>
        <v>12.324746716824507</v>
      </c>
      <c r="K10" s="38">
        <f>'SER_se-appl'!K36</f>
        <v>12.673359502280846</v>
      </c>
      <c r="L10" s="38">
        <f>'SER_se-appl'!L36</f>
        <v>13.031833007553701</v>
      </c>
      <c r="M10" s="38">
        <f>'SER_se-appl'!M36</f>
        <v>13.400446148963226</v>
      </c>
      <c r="N10" s="38">
        <f>'SER_se-appl'!N36</f>
        <v>13.779485732143485</v>
      </c>
      <c r="O10" s="38">
        <f>'SER_se-appl'!O36</f>
        <v>14.169246675196462</v>
      </c>
      <c r="P10" s="38">
        <f>'SER_se-appl'!P36</f>
        <v>14.570032238157808</v>
      </c>
      <c r="Q10" s="38">
        <f>'SER_se-appl'!Q36</f>
        <v>14.982154258953472</v>
      </c>
      <c r="R10" s="38">
        <f>'SER_se-appl'!R36</f>
        <v>15.405933396030662</v>
      </c>
      <c r="S10" s="38">
        <f>'SER_se-appl'!S36</f>
        <v>15.841699377851057</v>
      </c>
      <c r="T10" s="38">
        <f>'SER_se-appl'!T36</f>
        <v>16.289791259442097</v>
      </c>
      <c r="U10" s="38">
        <f>'SER_se-appl'!U36</f>
        <v>16.242331575144306</v>
      </c>
      <c r="V10" s="38">
        <f>'SER_se-appl'!V36</f>
        <v>15.252033994425858</v>
      </c>
      <c r="W10" s="38">
        <f>'SER_se-appl'!W36</f>
        <v>14.921922463759813</v>
      </c>
      <c r="X10" s="38">
        <f>'SER_se-appl'!X36</f>
        <v>13.194944967392985</v>
      </c>
      <c r="Y10" s="38">
        <f>'SER_se-appl'!Y36</f>
        <v>18.115255161520224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8759.9999999999982</v>
      </c>
      <c r="D12" s="204">
        <f>'SER_se-appl'!D44</f>
        <v>8759.9999999999982</v>
      </c>
      <c r="E12" s="204">
        <f>'SER_se-appl'!E44</f>
        <v>8759.9999999999982</v>
      </c>
      <c r="F12" s="204">
        <f>'SER_se-appl'!F44</f>
        <v>8760</v>
      </c>
      <c r="G12" s="204">
        <f>'SER_se-appl'!G44</f>
        <v>8759.9999999999964</v>
      </c>
      <c r="H12" s="204">
        <f>'SER_se-appl'!H44</f>
        <v>8759.9999999999982</v>
      </c>
      <c r="I12" s="204">
        <f>'SER_se-appl'!I44</f>
        <v>8760</v>
      </c>
      <c r="J12" s="204">
        <f>'SER_se-appl'!J44</f>
        <v>8759.9999999999982</v>
      </c>
      <c r="K12" s="204">
        <f>'SER_se-appl'!K44</f>
        <v>8760.0000000000036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8760</v>
      </c>
      <c r="O12" s="204">
        <f>'SER_se-appl'!O44</f>
        <v>8759.9999999999982</v>
      </c>
      <c r="P12" s="204">
        <f>'SER_se-appl'!P44</f>
        <v>8759.9999999999982</v>
      </c>
      <c r="Q12" s="204">
        <f>'SER_se-appl'!Q44</f>
        <v>8759.9999999999982</v>
      </c>
      <c r="R12" s="204">
        <f>'SER_se-appl'!R44</f>
        <v>8760</v>
      </c>
      <c r="S12" s="204">
        <f>'SER_se-appl'!S44</f>
        <v>8760</v>
      </c>
      <c r="T12" s="204">
        <f>'SER_se-appl'!T44</f>
        <v>8760</v>
      </c>
      <c r="U12" s="204">
        <f>'SER_se-appl'!U44</f>
        <v>8760</v>
      </c>
      <c r="V12" s="204">
        <f>'SER_se-appl'!V44</f>
        <v>8760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0.6245737176484738</v>
      </c>
      <c r="C14" s="59">
        <f>'SER_se-appl'!C52</f>
        <v>0.62018862817046649</v>
      </c>
      <c r="D14" s="59">
        <f>'SER_se-appl'!D52</f>
        <v>0.61590877550444856</v>
      </c>
      <c r="E14" s="59">
        <f>'SER_se-appl'!E52</f>
        <v>0.61154008098873525</v>
      </c>
      <c r="F14" s="59">
        <f>'SER_se-appl'!F52</f>
        <v>0.60741467901854396</v>
      </c>
      <c r="G14" s="59">
        <f>'SER_se-appl'!G52</f>
        <v>0.6018070366646896</v>
      </c>
      <c r="H14" s="59">
        <f>'SER_se-appl'!H52</f>
        <v>0.59532782253496175</v>
      </c>
      <c r="I14" s="59">
        <f>'SER_se-appl'!I52</f>
        <v>0.58809730086390744</v>
      </c>
      <c r="J14" s="59">
        <f>'SER_se-appl'!J52</f>
        <v>0.58140105794146901</v>
      </c>
      <c r="K14" s="59">
        <f>'SER_se-appl'!K52</f>
        <v>0.57583460713247148</v>
      </c>
      <c r="L14" s="59">
        <f>'SER_se-appl'!L52</f>
        <v>0.56881503955314472</v>
      </c>
      <c r="M14" s="59">
        <f>'SER_se-appl'!M52</f>
        <v>0.56118862452945439</v>
      </c>
      <c r="N14" s="59">
        <f>'SER_se-appl'!N52</f>
        <v>0.55393257792380635</v>
      </c>
      <c r="O14" s="59">
        <f>'SER_se-appl'!O52</f>
        <v>0.54656262553746349</v>
      </c>
      <c r="P14" s="59">
        <f>'SER_se-appl'!P52</f>
        <v>0.53855275672645841</v>
      </c>
      <c r="Q14" s="59">
        <f>'SER_se-appl'!Q52</f>
        <v>0.52921133086875405</v>
      </c>
      <c r="R14" s="59">
        <f>'SER_se-appl'!R52</f>
        <v>0.52049667625337592</v>
      </c>
      <c r="S14" s="59">
        <f>'SER_se-appl'!S52</f>
        <v>0.51139656001426914</v>
      </c>
      <c r="T14" s="59">
        <f>'SER_se-appl'!T52</f>
        <v>0.50213106203872881</v>
      </c>
      <c r="U14" s="59">
        <f>'SER_se-appl'!U52</f>
        <v>0.49603377249762115</v>
      </c>
      <c r="V14" s="59">
        <f>'SER_se-appl'!V52</f>
        <v>0.49049187819350037</v>
      </c>
      <c r="W14" s="59">
        <f>'SER_se-appl'!W52</f>
        <v>0.4853349068461415</v>
      </c>
      <c r="X14" s="59">
        <f>'SER_se-appl'!X52</f>
        <v>0.48101808145014735</v>
      </c>
      <c r="Y14" s="59">
        <f>'SER_se-appl'!Y52</f>
        <v>0.47551349828430567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0.55981718232441957</v>
      </c>
      <c r="D15" s="63">
        <f>'SER_se-appl'!D60</f>
        <v>0.55452553937902171</v>
      </c>
      <c r="E15" s="63">
        <f>'SER_se-appl'!E60</f>
        <v>0.54926759388494761</v>
      </c>
      <c r="F15" s="63">
        <f>'SER_se-appl'!F60</f>
        <v>0.54393585518447563</v>
      </c>
      <c r="G15" s="63">
        <f>'SER_se-appl'!G60</f>
        <v>0.53833737609918952</v>
      </c>
      <c r="H15" s="63">
        <f>'SER_se-appl'!H60</f>
        <v>0.53204517262070727</v>
      </c>
      <c r="I15" s="63">
        <f>'SER_se-appl'!I60</f>
        <v>0.52587384122614511</v>
      </c>
      <c r="J15" s="63">
        <f>'SER_se-appl'!J60</f>
        <v>0.5181103811669584</v>
      </c>
      <c r="K15" s="63">
        <f>'SER_se-appl'!K60</f>
        <v>0.51006207712403306</v>
      </c>
      <c r="L15" s="63">
        <f>'SER_se-appl'!L60</f>
        <v>0.50208765565637958</v>
      </c>
      <c r="M15" s="63">
        <f>'SER_se-appl'!M60</f>
        <v>0.49396941736955574</v>
      </c>
      <c r="N15" s="63">
        <f>'SER_se-appl'!N60</f>
        <v>0.48594335053823889</v>
      </c>
      <c r="O15" s="63">
        <f>'SER_se-appl'!O60</f>
        <v>0.47786540895983104</v>
      </c>
      <c r="P15" s="63">
        <f>'SER_se-appl'!P60</f>
        <v>0.47037979319876316</v>
      </c>
      <c r="Q15" s="63">
        <f>'SER_se-appl'!Q60</f>
        <v>0.46248276028465596</v>
      </c>
      <c r="R15" s="63">
        <f>'SER_se-appl'!R60</f>
        <v>0.45941779015374112</v>
      </c>
      <c r="S15" s="63">
        <f>'SER_se-appl'!S60</f>
        <v>0.45504361300197355</v>
      </c>
      <c r="T15" s="63">
        <f>'SER_se-appl'!T60</f>
        <v>0.45109149852851921</v>
      </c>
      <c r="U15" s="63">
        <f>'SER_se-appl'!U60</f>
        <v>0.44743236105301931</v>
      </c>
      <c r="V15" s="63">
        <f>'SER_se-appl'!V60</f>
        <v>0.44379759309424038</v>
      </c>
      <c r="W15" s="63">
        <f>'SER_se-appl'!W60</f>
        <v>0.44113480753567497</v>
      </c>
      <c r="X15" s="63">
        <f>'SER_se-appl'!X60</f>
        <v>0.43847202197710949</v>
      </c>
      <c r="Y15" s="63">
        <f>'SER_se-appl'!Y60</f>
        <v>0.43580923641854408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83.334293087847428</v>
      </c>
      <c r="C3" s="198">
        <f>'SER_se-appl'!C5</f>
        <v>84.497664665606152</v>
      </c>
      <c r="D3" s="198">
        <f>'SER_se-appl'!D5</f>
        <v>85.97814097708013</v>
      </c>
      <c r="E3" s="198">
        <f>'SER_se-appl'!E5</f>
        <v>87.52584548055134</v>
      </c>
      <c r="F3" s="198">
        <f>'SER_se-appl'!F5</f>
        <v>89.088279470848775</v>
      </c>
      <c r="G3" s="198">
        <f>'SER_se-appl'!G5</f>
        <v>90.037467713588001</v>
      </c>
      <c r="H3" s="198">
        <f>'SER_se-appl'!H5</f>
        <v>91.663641011341568</v>
      </c>
      <c r="I3" s="198">
        <f>'SER_se-appl'!I5</f>
        <v>92.611479531957798</v>
      </c>
      <c r="J3" s="198">
        <f>'SER_se-appl'!J5</f>
        <v>94.659493112340868</v>
      </c>
      <c r="K3" s="198">
        <f>'SER_se-appl'!K5</f>
        <v>96.893902089951951</v>
      </c>
      <c r="L3" s="198">
        <f>'SER_se-appl'!L5</f>
        <v>99.228635972662687</v>
      </c>
      <c r="M3" s="198">
        <f>'SER_se-appl'!M5</f>
        <v>100.63546987640325</v>
      </c>
      <c r="N3" s="198">
        <f>'SER_se-appl'!N5</f>
        <v>102.59615544430702</v>
      </c>
      <c r="O3" s="198">
        <f>'SER_se-appl'!O5</f>
        <v>104.27742401924593</v>
      </c>
      <c r="P3" s="198">
        <f>'SER_se-appl'!P5</f>
        <v>106.46429202659165</v>
      </c>
      <c r="Q3" s="198">
        <f>'SER_se-appl'!Q5</f>
        <v>107.20412929468924</v>
      </c>
      <c r="R3" s="198">
        <f>'SER_se-appl'!R5</f>
        <v>106.13488865175263</v>
      </c>
      <c r="S3" s="198">
        <f>'SER_se-appl'!S5</f>
        <v>106.66021030256016</v>
      </c>
      <c r="T3" s="198">
        <f>'SER_se-appl'!T5</f>
        <v>104.50048638547614</v>
      </c>
      <c r="U3" s="198">
        <f>'SER_se-appl'!U5</f>
        <v>101.84421620059409</v>
      </c>
      <c r="V3" s="198">
        <f>'SER_se-appl'!V5</f>
        <v>98.447656495244615</v>
      </c>
      <c r="W3" s="198">
        <f>'SER_se-appl'!W5</f>
        <v>96.112660671634174</v>
      </c>
      <c r="X3" s="198">
        <f>'SER_se-appl'!X5</f>
        <v>93.58765340044873</v>
      </c>
      <c r="Y3" s="198">
        <f>'SER_se-appl'!Y5</f>
        <v>91.740412838201735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237.14434019156289</v>
      </c>
      <c r="C5" s="59">
        <f>'SER_se-appl'!C13</f>
        <v>240.35829216122389</v>
      </c>
      <c r="D5" s="59">
        <f>'SER_se-appl'!D13</f>
        <v>244.54930425460662</v>
      </c>
      <c r="E5" s="59">
        <f>'SER_se-appl'!E13</f>
        <v>248.92425141430334</v>
      </c>
      <c r="F5" s="59">
        <f>'SER_se-appl'!F13</f>
        <v>253.3362424798452</v>
      </c>
      <c r="G5" s="59">
        <f>'SER_se-appl'!G13</f>
        <v>256.23011745145379</v>
      </c>
      <c r="H5" s="59">
        <f>'SER_se-appl'!H13</f>
        <v>260.97957036562883</v>
      </c>
      <c r="I5" s="59">
        <f>'SER_se-appl'!I13</f>
        <v>263.91949759115397</v>
      </c>
      <c r="J5" s="59">
        <f>'SER_se-appl'!J13</f>
        <v>270.15098173140262</v>
      </c>
      <c r="K5" s="59">
        <f>'SER_se-appl'!K13</f>
        <v>277.0048111252687</v>
      </c>
      <c r="L5" s="59">
        <f>'SER_se-appl'!L13</f>
        <v>284.42763402614054</v>
      </c>
      <c r="M5" s="59">
        <f>'SER_se-appl'!M13</f>
        <v>290.25197415111535</v>
      </c>
      <c r="N5" s="59">
        <f>'SER_se-appl'!N13</f>
        <v>298.1123511903516</v>
      </c>
      <c r="O5" s="59">
        <f>'SER_se-appl'!O13</f>
        <v>305.65144964037512</v>
      </c>
      <c r="P5" s="59">
        <f>'SER_se-appl'!P13</f>
        <v>314.64218359752465</v>
      </c>
      <c r="Q5" s="59">
        <f>'SER_se-appl'!Q13</f>
        <v>319.76941649619471</v>
      </c>
      <c r="R5" s="59">
        <f>'SER_se-appl'!R13</f>
        <v>318.70236800058814</v>
      </c>
      <c r="S5" s="59">
        <f>'SER_se-appl'!S13</f>
        <v>316.60762343975171</v>
      </c>
      <c r="T5" s="59">
        <f>'SER_se-appl'!T13</f>
        <v>313.36410657713702</v>
      </c>
      <c r="U5" s="59">
        <f>'SER_se-appl'!U13</f>
        <v>308.39065162261335</v>
      </c>
      <c r="V5" s="59">
        <f>'SER_se-appl'!V13</f>
        <v>301.06590197410912</v>
      </c>
      <c r="W5" s="59">
        <f>'SER_se-appl'!W13</f>
        <v>293.22087936825523</v>
      </c>
      <c r="X5" s="59">
        <f>'SER_se-appl'!X13</f>
        <v>287.11511742932635</v>
      </c>
      <c r="Y5" s="59">
        <f>'SER_se-appl'!Y13</f>
        <v>283.03164704859887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8.2182144451701439E-2</v>
      </c>
      <c r="C6" s="201">
        <f>'SER_se-appl'!C69</f>
        <v>8.3449151186960252E-2</v>
      </c>
      <c r="D6" s="201">
        <f>'SER_se-appl'!D69</f>
        <v>8.529018488023106E-2</v>
      </c>
      <c r="E6" s="201">
        <f>'SER_se-appl'!E69</f>
        <v>8.7595841193908133E-2</v>
      </c>
      <c r="F6" s="201">
        <f>'SER_se-appl'!F69</f>
        <v>9.0326096059219319E-2</v>
      </c>
      <c r="G6" s="201">
        <f>'SER_se-appl'!G69</f>
        <v>9.2853676289034875E-2</v>
      </c>
      <c r="H6" s="201">
        <f>'SER_se-appl'!H69</f>
        <v>9.6514858244322196E-2</v>
      </c>
      <c r="I6" s="201">
        <f>'SER_se-appl'!I69</f>
        <v>9.9881241271673429E-2</v>
      </c>
      <c r="J6" s="201">
        <f>'SER_se-appl'!J69</f>
        <v>0.10362579068318276</v>
      </c>
      <c r="K6" s="201">
        <f>'SER_se-appl'!K69</f>
        <v>0.10767120661836059</v>
      </c>
      <c r="L6" s="201">
        <f>'SER_se-appl'!L69</f>
        <v>0.11215691470906186</v>
      </c>
      <c r="M6" s="201">
        <f>'SER_se-appl'!M69</f>
        <v>0.11636617812395372</v>
      </c>
      <c r="N6" s="201">
        <f>'SER_se-appl'!N69</f>
        <v>0.12193576643299835</v>
      </c>
      <c r="O6" s="201">
        <f>'SER_se-appl'!O69</f>
        <v>0.12830644304918293</v>
      </c>
      <c r="P6" s="201">
        <f>'SER_se-appl'!P69</f>
        <v>0.13604702045494901</v>
      </c>
      <c r="Q6" s="201">
        <f>'SER_se-appl'!Q69</f>
        <v>0.1424551409457506</v>
      </c>
      <c r="R6" s="201">
        <f>'SER_se-appl'!R69</f>
        <v>0.14673803141732597</v>
      </c>
      <c r="S6" s="201">
        <f>'SER_se-appl'!S69</f>
        <v>0.15112591068775877</v>
      </c>
      <c r="T6" s="201">
        <f>'SER_se-appl'!T69</f>
        <v>0.15540353262244166</v>
      </c>
      <c r="U6" s="201">
        <f>'SER_se-appl'!U69</f>
        <v>0.15948161832119293</v>
      </c>
      <c r="V6" s="201">
        <f>'SER_se-appl'!V69</f>
        <v>0.16299885727498337</v>
      </c>
      <c r="W6" s="201">
        <f>'SER_se-appl'!W69</f>
        <v>0.16656528996886011</v>
      </c>
      <c r="X6" s="201">
        <f>'SER_se-appl'!X69</f>
        <v>0.16910812217109142</v>
      </c>
      <c r="Y6" s="201">
        <f>'SER_se-appl'!Y69</f>
        <v>0.17091116727856992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1303.7334304745691</v>
      </c>
      <c r="C8" s="34">
        <f>'SER_se-appl'!C21</f>
        <v>1334.1078387122725</v>
      </c>
      <c r="D8" s="34">
        <f>'SER_se-appl'!D21</f>
        <v>1373.6227351988121</v>
      </c>
      <c r="E8" s="34">
        <f>'SER_se-appl'!E21</f>
        <v>1418.4019654329236</v>
      </c>
      <c r="F8" s="34">
        <f>'SER_se-appl'!F21</f>
        <v>1468.5245601658617</v>
      </c>
      <c r="G8" s="34">
        <f>'SER_se-appl'!G21</f>
        <v>1514.0280329264417</v>
      </c>
      <c r="H8" s="34">
        <f>'SER_se-appl'!H21</f>
        <v>1576.4939626829901</v>
      </c>
      <c r="I8" s="34">
        <f>'SER_se-appl'!I21</f>
        <v>1633.8565456721037</v>
      </c>
      <c r="J8" s="34">
        <f>'SER_se-appl'!J21</f>
        <v>1700.0224428480956</v>
      </c>
      <c r="K8" s="34">
        <f>'SER_se-appl'!K21</f>
        <v>1775.0445783432829</v>
      </c>
      <c r="L8" s="34">
        <f>'SER_se-appl'!L21</f>
        <v>1858.9996275766384</v>
      </c>
      <c r="M8" s="34">
        <f>'SER_se-appl'!M21</f>
        <v>1938.1716732307702</v>
      </c>
      <c r="N8" s="34">
        <f>'SER_se-appl'!N21</f>
        <v>2040.027806070781</v>
      </c>
      <c r="O8" s="34">
        <f>'SER_se-appl'!O21</f>
        <v>2152.9275841269937</v>
      </c>
      <c r="P8" s="34">
        <f>'SER_se-appl'!P21</f>
        <v>2289.5746248252485</v>
      </c>
      <c r="Q8" s="34">
        <f>'SER_se-appl'!Q21</f>
        <v>2407.5953044155117</v>
      </c>
      <c r="R8" s="34">
        <f>'SER_se-appl'!R21</f>
        <v>2491.4826439985477</v>
      </c>
      <c r="S8" s="34">
        <f>'SER_se-appl'!S21</f>
        <v>2581.4583012943262</v>
      </c>
      <c r="T8" s="34">
        <f>'SER_se-appl'!T21</f>
        <v>2670.0011478829106</v>
      </c>
      <c r="U8" s="34">
        <f>'SER_se-appl'!U21</f>
        <v>2756.1873233306428</v>
      </c>
      <c r="V8" s="34">
        <f>'SER_se-appl'!V21</f>
        <v>2837.416462917141</v>
      </c>
      <c r="W8" s="34">
        <f>'SER_se-appl'!W21</f>
        <v>2910.7975668011677</v>
      </c>
      <c r="X8" s="34">
        <f>'SER_se-appl'!X21</f>
        <v>2974.7255096475969</v>
      </c>
      <c r="Y8" s="34">
        <f>'SER_se-appl'!Y21</f>
        <v>3044.1485355482869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193.92050471933544</v>
      </c>
      <c r="D9" s="36">
        <f>'SER_se-appl'!D29</f>
        <v>210.10081531275</v>
      </c>
      <c r="E9" s="36">
        <f>'SER_se-appl'!E29</f>
        <v>222.70799972357872</v>
      </c>
      <c r="F9" s="36">
        <f>'SER_se-appl'!F29</f>
        <v>235.71028702241188</v>
      </c>
      <c r="G9" s="36">
        <f>'SER_se-appl'!G29</f>
        <v>239.07976527448614</v>
      </c>
      <c r="H9" s="36">
        <f>'SER_se-appl'!H29</f>
        <v>264.37469084498298</v>
      </c>
      <c r="I9" s="36">
        <f>'SER_se-appl'!I29</f>
        <v>267.96248277455857</v>
      </c>
      <c r="J9" s="36">
        <f>'SER_se-appl'!J29</f>
        <v>260.0864018953273</v>
      </c>
      <c r="K9" s="36">
        <f>'SER_se-appl'!K29</f>
        <v>285.12295080793729</v>
      </c>
      <c r="L9" s="36">
        <f>'SER_se-appl'!L29</f>
        <v>306.66304895693429</v>
      </c>
      <c r="M9" s="36">
        <f>'SER_se-appl'!M29</f>
        <v>314.88233267654368</v>
      </c>
      <c r="N9" s="36">
        <f>'SER_se-appl'!N29</f>
        <v>340.93589811449692</v>
      </c>
      <c r="O9" s="36">
        <f>'SER_se-appl'!O29</f>
        <v>377.27446890119563</v>
      </c>
      <c r="P9" s="36">
        <f>'SER_se-appl'!P29</f>
        <v>404.60952347281341</v>
      </c>
      <c r="Q9" s="36">
        <f>'SER_se-appl'!Q29</f>
        <v>378.10708148559047</v>
      </c>
      <c r="R9" s="36">
        <f>'SER_se-appl'!R29</f>
        <v>369.0102903909733</v>
      </c>
      <c r="S9" s="36">
        <f>'SER_se-appl'!S29</f>
        <v>396.63870625271284</v>
      </c>
      <c r="T9" s="36">
        <f>'SER_se-appl'!T29</f>
        <v>403.42517926512801</v>
      </c>
      <c r="U9" s="36">
        <f>'SER_se-appl'!U29</f>
        <v>427.12207356222916</v>
      </c>
      <c r="V9" s="36">
        <f>'SER_se-appl'!V29</f>
        <v>458.50360848769378</v>
      </c>
      <c r="W9" s="36">
        <f>'SER_se-appl'!W29</f>
        <v>477.99062735684038</v>
      </c>
      <c r="X9" s="36">
        <f>'SER_se-appl'!X29</f>
        <v>442.03502433201947</v>
      </c>
      <c r="Y9" s="36">
        <f>'SER_se-appl'!Y29</f>
        <v>438.43331629166323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163.54609648163205</v>
      </c>
      <c r="D10" s="38">
        <f>'SER_se-appl'!D37</f>
        <v>170.58591882621045</v>
      </c>
      <c r="E10" s="38">
        <f>'SER_se-appl'!E37</f>
        <v>177.92876948946719</v>
      </c>
      <c r="F10" s="38">
        <f>'SER_se-appl'!F37</f>
        <v>185.58769228947381</v>
      </c>
      <c r="G10" s="38">
        <f>'SER_se-appl'!G37</f>
        <v>193.57629251390608</v>
      </c>
      <c r="H10" s="38">
        <f>'SER_se-appl'!H37</f>
        <v>201.90876108843463</v>
      </c>
      <c r="I10" s="38">
        <f>'SER_se-appl'!I37</f>
        <v>210.5998997854449</v>
      </c>
      <c r="J10" s="38">
        <f>'SER_se-appl'!J37</f>
        <v>193.92050471933544</v>
      </c>
      <c r="K10" s="38">
        <f>'SER_se-appl'!K37</f>
        <v>210.10081531275</v>
      </c>
      <c r="L10" s="38">
        <f>'SER_se-appl'!L37</f>
        <v>222.70799972357872</v>
      </c>
      <c r="M10" s="38">
        <f>'SER_se-appl'!M37</f>
        <v>235.71028702241188</v>
      </c>
      <c r="N10" s="38">
        <f>'SER_se-appl'!N37</f>
        <v>239.07976527448636</v>
      </c>
      <c r="O10" s="38">
        <f>'SER_se-appl'!O37</f>
        <v>264.37469084498298</v>
      </c>
      <c r="P10" s="38">
        <f>'SER_se-appl'!P37</f>
        <v>267.96248277455879</v>
      </c>
      <c r="Q10" s="38">
        <f>'SER_se-appl'!Q37</f>
        <v>260.08640189532753</v>
      </c>
      <c r="R10" s="38">
        <f>'SER_se-appl'!R37</f>
        <v>285.12295080793729</v>
      </c>
      <c r="S10" s="38">
        <f>'SER_se-appl'!S37</f>
        <v>306.66304895693429</v>
      </c>
      <c r="T10" s="38">
        <f>'SER_se-appl'!T37</f>
        <v>314.88233267654368</v>
      </c>
      <c r="U10" s="38">
        <f>'SER_se-appl'!U37</f>
        <v>340.93589811449692</v>
      </c>
      <c r="V10" s="38">
        <f>'SER_se-appl'!V37</f>
        <v>377.27446890119563</v>
      </c>
      <c r="W10" s="38">
        <f>'SER_se-appl'!W37</f>
        <v>404.60952347281363</v>
      </c>
      <c r="X10" s="38">
        <f>'SER_se-appl'!X37</f>
        <v>378.10708148559024</v>
      </c>
      <c r="Y10" s="38">
        <f>'SER_se-appl'!Y37</f>
        <v>369.0102903909733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4086.868899459178</v>
      </c>
      <c r="C12" s="204">
        <f>'SER_se-appl'!C45</f>
        <v>4088.5123255986259</v>
      </c>
      <c r="D12" s="204">
        <f>'SER_se-appl'!D45</f>
        <v>4088.8514592639904</v>
      </c>
      <c r="E12" s="204">
        <f>'SER_se-appl'!E45</f>
        <v>4089.2985603262978</v>
      </c>
      <c r="F12" s="204">
        <f>'SER_se-appl'!F45</f>
        <v>4089.8083910295645</v>
      </c>
      <c r="G12" s="204">
        <f>'SER_se-appl'!G45</f>
        <v>4086.7005015810537</v>
      </c>
      <c r="H12" s="204">
        <f>'SER_se-appl'!H45</f>
        <v>4084.795386352976</v>
      </c>
      <c r="I12" s="204">
        <f>'SER_se-appl'!I45</f>
        <v>4081.0607658294148</v>
      </c>
      <c r="J12" s="204">
        <f>'SER_se-appl'!J45</f>
        <v>4075.0912613417158</v>
      </c>
      <c r="K12" s="204">
        <f>'SER_se-appl'!K45</f>
        <v>4068.0740407665289</v>
      </c>
      <c r="L12" s="204">
        <f>'SER_se-appl'!L45</f>
        <v>4057.3731181689791</v>
      </c>
      <c r="M12" s="204">
        <f>'SER_se-appl'!M45</f>
        <v>4032.325768276165</v>
      </c>
      <c r="N12" s="204">
        <f>'SER_se-appl'!N45</f>
        <v>4002.4953110896404</v>
      </c>
      <c r="O12" s="204">
        <f>'SER_se-appl'!O45</f>
        <v>3967.7431360810797</v>
      </c>
      <c r="P12" s="204">
        <f>'SER_se-appl'!P45</f>
        <v>3935.1993496621603</v>
      </c>
      <c r="Q12" s="204">
        <f>'SER_se-appl'!Q45</f>
        <v>3899.0095968482738</v>
      </c>
      <c r="R12" s="204">
        <f>'SER_se-appl'!R45</f>
        <v>3873.045446018165</v>
      </c>
      <c r="S12" s="204">
        <f>'SER_se-appl'!S45</f>
        <v>3917.9670796992841</v>
      </c>
      <c r="T12" s="204">
        <f>'SER_se-appl'!T45</f>
        <v>3878.3658726527501</v>
      </c>
      <c r="U12" s="204">
        <f>'SER_se-appl'!U45</f>
        <v>3840.7397506405391</v>
      </c>
      <c r="V12" s="204">
        <f>'SER_se-appl'!V45</f>
        <v>3802.9754865370219</v>
      </c>
      <c r="W12" s="204">
        <f>'SER_se-appl'!W45</f>
        <v>3812.1099903232885</v>
      </c>
      <c r="X12" s="204">
        <f>'SER_se-appl'!X45</f>
        <v>3790.8989912909597</v>
      </c>
      <c r="Y12" s="204">
        <f>'SER_se-appl'!Y45</f>
        <v>3769.6879922586309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181.89634065396368</v>
      </c>
      <c r="C14" s="59">
        <f>'SER_se-appl'!C53</f>
        <v>180.16406559249822</v>
      </c>
      <c r="D14" s="59">
        <f>'SER_se-appl'!D53</f>
        <v>178.03236506507855</v>
      </c>
      <c r="E14" s="59">
        <f>'SER_se-appl'!E53</f>
        <v>175.49626796965617</v>
      </c>
      <c r="F14" s="59">
        <f>'SER_se-appl'!F53</f>
        <v>172.51072903488401</v>
      </c>
      <c r="G14" s="59">
        <f>'SER_se-appl'!G53</f>
        <v>169.23736673236527</v>
      </c>
      <c r="H14" s="59">
        <f>'SER_se-appl'!H53</f>
        <v>165.54428785853079</v>
      </c>
      <c r="I14" s="59">
        <f>'SER_se-appl'!I53</f>
        <v>161.53162178787733</v>
      </c>
      <c r="J14" s="59">
        <f>'SER_se-appl'!J53</f>
        <v>158.91024431348745</v>
      </c>
      <c r="K14" s="59">
        <f>'SER_se-appl'!K53</f>
        <v>156.05512926543395</v>
      </c>
      <c r="L14" s="59">
        <f>'SER_se-appl'!L53</f>
        <v>153.000371709012</v>
      </c>
      <c r="M14" s="59">
        <f>'SER_se-appl'!M53</f>
        <v>149.75555476326281</v>
      </c>
      <c r="N14" s="59">
        <f>'SER_se-appl'!N53</f>
        <v>146.13151365055867</v>
      </c>
      <c r="O14" s="59">
        <f>'SER_se-appl'!O53</f>
        <v>141.97014887721639</v>
      </c>
      <c r="P14" s="59">
        <f>'SER_se-appl'!P53</f>
        <v>137.42386039133348</v>
      </c>
      <c r="Q14" s="59">
        <f>'SER_se-appl'!Q53</f>
        <v>132.81692978456138</v>
      </c>
      <c r="R14" s="59">
        <f>'SER_se-appl'!R53</f>
        <v>127.91675220707415</v>
      </c>
      <c r="S14" s="59">
        <f>'SER_se-appl'!S53</f>
        <v>122.64680908500699</v>
      </c>
      <c r="T14" s="59">
        <f>'SER_se-appl'!T53</f>
        <v>117.36478346670702</v>
      </c>
      <c r="U14" s="59">
        <f>'SER_se-appl'!U53</f>
        <v>111.89030912817157</v>
      </c>
      <c r="V14" s="59">
        <f>'SER_se-appl'!V53</f>
        <v>106.10564431017082</v>
      </c>
      <c r="W14" s="59">
        <f>'SER_se-appl'!W53</f>
        <v>100.73557938640558</v>
      </c>
      <c r="X14" s="59">
        <f>'SER_se-appl'!X53</f>
        <v>96.518188484335028</v>
      </c>
      <c r="Y14" s="59">
        <f>'SER_se-appl'!Y53</f>
        <v>92.975636288267225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169.97887095857666</v>
      </c>
      <c r="D15" s="63">
        <f>'SER_se-appl'!D61</f>
        <v>167.6336497911114</v>
      </c>
      <c r="E15" s="63">
        <f>'SER_se-appl'!E61</f>
        <v>164.96730819051811</v>
      </c>
      <c r="F15" s="63">
        <f>'SER_se-appl'!F61</f>
        <v>161.93486353771954</v>
      </c>
      <c r="G15" s="63">
        <f>'SER_se-appl'!G61</f>
        <v>159.38067436824531</v>
      </c>
      <c r="H15" s="63">
        <f>'SER_se-appl'!H61</f>
        <v>156.88308729392034</v>
      </c>
      <c r="I15" s="63">
        <f>'SER_se-appl'!I61</f>
        <v>153.92930350362175</v>
      </c>
      <c r="J15" s="63">
        <f>'SER_se-appl'!J61</f>
        <v>150.69558539985641</v>
      </c>
      <c r="K15" s="63">
        <f>'SER_se-appl'!K61</f>
        <v>147.5636940821787</v>
      </c>
      <c r="L15" s="63">
        <f>'SER_se-appl'!L61</f>
        <v>144.00940145210362</v>
      </c>
      <c r="M15" s="63">
        <f>'SER_se-appl'!M61</f>
        <v>139.71585167840365</v>
      </c>
      <c r="N15" s="63">
        <f>'SER_se-appl'!N61</f>
        <v>134.82027416499625</v>
      </c>
      <c r="O15" s="63">
        <f>'SER_se-appl'!O61</f>
        <v>129.91872016920573</v>
      </c>
      <c r="P15" s="63">
        <f>'SER_se-appl'!P61</f>
        <v>124.16418640999737</v>
      </c>
      <c r="Q15" s="63">
        <f>'SER_se-appl'!Q61</f>
        <v>117.21839567957889</v>
      </c>
      <c r="R15" s="63">
        <f>'SER_se-appl'!R61</f>
        <v>111.12629772404607</v>
      </c>
      <c r="S15" s="63">
        <f>'SER_se-appl'!S61</f>
        <v>106.06029342009286</v>
      </c>
      <c r="T15" s="63">
        <f>'SER_se-appl'!T61</f>
        <v>101.01138580393399</v>
      </c>
      <c r="U15" s="63">
        <f>'SER_se-appl'!U61</f>
        <v>95.971664400505034</v>
      </c>
      <c r="V15" s="63">
        <f>'SER_se-appl'!V61</f>
        <v>90.926801298609305</v>
      </c>
      <c r="W15" s="63">
        <f>'SER_se-appl'!W61</f>
        <v>88.690001986663518</v>
      </c>
      <c r="X15" s="63">
        <f>'SER_se-appl'!X61</f>
        <v>86.45320267471773</v>
      </c>
      <c r="Y15" s="63">
        <f>'SER_se-appl'!Y61</f>
        <v>84.216403362771956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477.87407323270645</v>
      </c>
      <c r="C3" s="198">
        <f>'SER_se-appl'!C6</f>
        <v>487.9035946037518</v>
      </c>
      <c r="D3" s="198">
        <f>'SER_se-appl'!D6</f>
        <v>492.02080061957986</v>
      </c>
      <c r="E3" s="198">
        <f>'SER_se-appl'!E6</f>
        <v>492.47730648343935</v>
      </c>
      <c r="F3" s="198">
        <f>'SER_se-appl'!F6</f>
        <v>489.58589642866218</v>
      </c>
      <c r="G3" s="198">
        <f>'SER_se-appl'!G6</f>
        <v>491.78553972876932</v>
      </c>
      <c r="H3" s="198">
        <f>'SER_se-appl'!H6</f>
        <v>497.79118440581055</v>
      </c>
      <c r="I3" s="198">
        <f>'SER_se-appl'!I6</f>
        <v>510.54411800886368</v>
      </c>
      <c r="J3" s="198">
        <f>'SER_se-appl'!J6</f>
        <v>519.63456801708242</v>
      </c>
      <c r="K3" s="198">
        <f>'SER_se-appl'!K6</f>
        <v>520.36310131825292</v>
      </c>
      <c r="L3" s="198">
        <f>'SER_se-appl'!L6</f>
        <v>527.28791755735131</v>
      </c>
      <c r="M3" s="198">
        <f>'SER_se-appl'!M6</f>
        <v>533.89170951328015</v>
      </c>
      <c r="N3" s="198">
        <f>'SER_se-appl'!N6</f>
        <v>533.20268861315833</v>
      </c>
      <c r="O3" s="198">
        <f>'SER_se-appl'!O6</f>
        <v>530.12969204113892</v>
      </c>
      <c r="P3" s="198">
        <f>'SER_se-appl'!P6</f>
        <v>531.3291843708173</v>
      </c>
      <c r="Q3" s="198">
        <f>'SER_se-appl'!Q6</f>
        <v>542.94025756893677</v>
      </c>
      <c r="R3" s="198">
        <f>'SER_se-appl'!R6</f>
        <v>534.55151803875651</v>
      </c>
      <c r="S3" s="198">
        <f>'SER_se-appl'!S6</f>
        <v>533.39494904719299</v>
      </c>
      <c r="T3" s="198">
        <f>'SER_se-appl'!T6</f>
        <v>511.25942316013106</v>
      </c>
      <c r="U3" s="198">
        <f>'SER_se-appl'!U6</f>
        <v>486.26424560536759</v>
      </c>
      <c r="V3" s="198">
        <f>'SER_se-appl'!V6</f>
        <v>454.95657518527889</v>
      </c>
      <c r="W3" s="198">
        <f>'SER_se-appl'!W6</f>
        <v>435.11363631445579</v>
      </c>
      <c r="X3" s="198">
        <f>'SER_se-appl'!X6</f>
        <v>415.28357371764406</v>
      </c>
      <c r="Y3" s="198">
        <f>'SER_se-appl'!Y6</f>
        <v>391.75377797769079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2456.5887323231054</v>
      </c>
      <c r="C5" s="59">
        <f>'SER_se-appl'!C14</f>
        <v>2491.0687166558714</v>
      </c>
      <c r="D5" s="59">
        <f>'SER_se-appl'!D14</f>
        <v>2500.9575406207236</v>
      </c>
      <c r="E5" s="59">
        <f>'SER_se-appl'!E14</f>
        <v>2492.4619664676025</v>
      </c>
      <c r="F5" s="59">
        <f>'SER_se-appl'!F14</f>
        <v>2463.5301515316751</v>
      </c>
      <c r="G5" s="59">
        <f>'SER_se-appl'!G14</f>
        <v>2466.0488490241105</v>
      </c>
      <c r="H5" s="59">
        <f>'SER_se-appl'!H14</f>
        <v>2484.8190270895275</v>
      </c>
      <c r="I5" s="59">
        <f>'SER_se-appl'!I14</f>
        <v>2531.2323089418178</v>
      </c>
      <c r="J5" s="59">
        <f>'SER_se-appl'!J14</f>
        <v>2563.957049907036</v>
      </c>
      <c r="K5" s="59">
        <f>'SER_se-appl'!K14</f>
        <v>2558.7197201048671</v>
      </c>
      <c r="L5" s="59">
        <f>'SER_se-appl'!L14</f>
        <v>2581.7241271995586</v>
      </c>
      <c r="M5" s="59">
        <f>'SER_se-appl'!M14</f>
        <v>2607.2700934819695</v>
      </c>
      <c r="N5" s="59">
        <f>'SER_se-appl'!N14</f>
        <v>2593.7451788778844</v>
      </c>
      <c r="O5" s="59">
        <f>'SER_se-appl'!O14</f>
        <v>2572.0682536103664</v>
      </c>
      <c r="P5" s="59">
        <f>'SER_se-appl'!P14</f>
        <v>2567.9693601945301</v>
      </c>
      <c r="Q5" s="59">
        <f>'SER_se-appl'!Q14</f>
        <v>2610.948902256579</v>
      </c>
      <c r="R5" s="59">
        <f>'SER_se-appl'!R14</f>
        <v>2564.276268594966</v>
      </c>
      <c r="S5" s="59">
        <f>'SER_se-appl'!S14</f>
        <v>2505.0762956568688</v>
      </c>
      <c r="T5" s="59">
        <f>'SER_se-appl'!T14</f>
        <v>2427.7650417864938</v>
      </c>
      <c r="U5" s="59">
        <f>'SER_se-appl'!U14</f>
        <v>2332.1072764923556</v>
      </c>
      <c r="V5" s="59">
        <f>'SER_se-appl'!V14</f>
        <v>2224.4356786951766</v>
      </c>
      <c r="W5" s="59">
        <f>'SER_se-appl'!W14</f>
        <v>2110.6134268913161</v>
      </c>
      <c r="X5" s="59">
        <f>'SER_se-appl'!X14</f>
        <v>2013.4770217846353</v>
      </c>
      <c r="Y5" s="59">
        <f>'SER_se-appl'!Y14</f>
        <v>1898.9481858709119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181.33793965397589</v>
      </c>
      <c r="C6" s="201">
        <f>'SER_se-appl'!C70</f>
        <v>183.13589064897801</v>
      </c>
      <c r="D6" s="201">
        <f>'SER_se-appl'!D70</f>
        <v>185.51948027277163</v>
      </c>
      <c r="E6" s="201">
        <f>'SER_se-appl'!E70</f>
        <v>188.0145611109424</v>
      </c>
      <c r="F6" s="201">
        <f>'SER_se-appl'!F70</f>
        <v>190.85713695103067</v>
      </c>
      <c r="G6" s="201">
        <f>'SER_se-appl'!G70</f>
        <v>193.47367189832497</v>
      </c>
      <c r="H6" s="201">
        <f>'SER_se-appl'!H70</f>
        <v>196.47807802738302</v>
      </c>
      <c r="I6" s="201">
        <f>'SER_se-appl'!I70</f>
        <v>199.10042015063564</v>
      </c>
      <c r="J6" s="201">
        <f>'SER_se-appl'!J70</f>
        <v>202.55289597401065</v>
      </c>
      <c r="K6" s="201">
        <f>'SER_se-appl'!K70</f>
        <v>207.08711163945921</v>
      </c>
      <c r="L6" s="201">
        <f>'SER_se-appl'!L70</f>
        <v>211.5752872418937</v>
      </c>
      <c r="M6" s="201">
        <f>'SER_se-appl'!M70</f>
        <v>216.84024968033896</v>
      </c>
      <c r="N6" s="201">
        <f>'SER_se-appl'!N70</f>
        <v>221.71158241143846</v>
      </c>
      <c r="O6" s="201">
        <f>'SER_se-appl'!O70</f>
        <v>227.89812894497013</v>
      </c>
      <c r="P6" s="201">
        <f>'SER_se-appl'!P70</f>
        <v>235.7011110627686</v>
      </c>
      <c r="Q6" s="201">
        <f>'SER_se-appl'!Q70</f>
        <v>246.21390974963964</v>
      </c>
      <c r="R6" s="201">
        <f>'SER_se-appl'!R70</f>
        <v>251.62862569743314</v>
      </c>
      <c r="S6" s="201">
        <f>'SER_se-appl'!S70</f>
        <v>257.11997120016832</v>
      </c>
      <c r="T6" s="201">
        <f>'SER_se-appl'!T70</f>
        <v>262.36548018015446</v>
      </c>
      <c r="U6" s="201">
        <f>'SER_se-appl'!U70</f>
        <v>267.16794888256965</v>
      </c>
      <c r="V6" s="201">
        <f>'SER_se-appl'!V70</f>
        <v>271.15986138841265</v>
      </c>
      <c r="W6" s="201">
        <f>'SER_se-appl'!W70</f>
        <v>273.80909923224505</v>
      </c>
      <c r="X6" s="201">
        <f>'SER_se-appl'!X70</f>
        <v>275.14340857399986</v>
      </c>
      <c r="Y6" s="201">
        <f>'SER_se-appl'!Y70</f>
        <v>275.81299962033012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70.498009523840764</v>
      </c>
      <c r="C8" s="34">
        <f>'SER_se-appl'!C22</f>
        <v>72.29830136438612</v>
      </c>
      <c r="D8" s="34">
        <f>'SER_se-appl'!D22</f>
        <v>73.861436883926501</v>
      </c>
      <c r="E8" s="34">
        <f>'SER_se-appl'!E22</f>
        <v>75.127981271439864</v>
      </c>
      <c r="F8" s="34">
        <f>'SER_se-appl'!F22</f>
        <v>75.948824960515523</v>
      </c>
      <c r="G8" s="34">
        <f>'SER_se-appl'!G22</f>
        <v>78.156728049999302</v>
      </c>
      <c r="H8" s="34">
        <f>'SER_se-appl'!H22</f>
        <v>81.393363892838821</v>
      </c>
      <c r="I8" s="34">
        <f>'SER_se-appl'!I22</f>
        <v>85.071034498868059</v>
      </c>
      <c r="J8" s="34">
        <f>'SER_se-appl'!J22</f>
        <v>88.082061158661375</v>
      </c>
      <c r="K8" s="34">
        <f>'SER_se-appl'!K22</f>
        <v>89.696454112032313</v>
      </c>
      <c r="L8" s="34">
        <f>'SER_se-appl'!L22</f>
        <v>92.580313889776392</v>
      </c>
      <c r="M8" s="34">
        <f>'SER_se-appl'!M22</f>
        <v>96.117311363997601</v>
      </c>
      <c r="N8" s="34">
        <f>'SER_se-appl'!N22</f>
        <v>98.577713953439471</v>
      </c>
      <c r="O8" s="34">
        <f>'SER_se-appl'!O22</f>
        <v>101.06832278725994</v>
      </c>
      <c r="P8" s="34">
        <f>'SER_se-appl'!P22</f>
        <v>104.55606587229141</v>
      </c>
      <c r="Q8" s="34">
        <f>'SER_se-appl'!Q22</f>
        <v>110.83333693583808</v>
      </c>
      <c r="R8" s="34">
        <f>'SER_se-appl'!R22</f>
        <v>113.7645467189087</v>
      </c>
      <c r="S8" s="34">
        <f>'SER_se-appl'!S22</f>
        <v>117.01815909774237</v>
      </c>
      <c r="T8" s="34">
        <f>'SER_se-appl'!T22</f>
        <v>120.14936316047613</v>
      </c>
      <c r="U8" s="34">
        <f>'SER_se-appl'!U22</f>
        <v>123.0684584863757</v>
      </c>
      <c r="V8" s="34">
        <f>'SER_se-appl'!V22</f>
        <v>125.61902413175915</v>
      </c>
      <c r="W8" s="34">
        <f>'SER_se-appl'!W22</f>
        <v>127.56374921661664</v>
      </c>
      <c r="X8" s="34">
        <f>'SER_se-appl'!X22</f>
        <v>128.88864426254528</v>
      </c>
      <c r="Y8" s="34">
        <f>'SER_se-appl'!Y22</f>
        <v>129.88829058004586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12.809690851148034</v>
      </c>
      <c r="D9" s="36">
        <f>'SER_se-appl'!D30</f>
        <v>12.858540573886444</v>
      </c>
      <c r="E9" s="36">
        <f>'SER_se-appl'!E30</f>
        <v>12.855385451305658</v>
      </c>
      <c r="F9" s="36">
        <f>'SER_se-appl'!F30</f>
        <v>12.710743746282041</v>
      </c>
      <c r="G9" s="36">
        <f>'SER_se-appl'!G30</f>
        <v>14.406683156633562</v>
      </c>
      <c r="H9" s="36">
        <f>'SER_se-appl'!H30</f>
        <v>15.752320113583082</v>
      </c>
      <c r="I9" s="36">
        <f>'SER_se-appl'!I30</f>
        <v>16.487361457177272</v>
      </c>
      <c r="J9" s="36">
        <f>'SER_se-appl'!J30</f>
        <v>15.86956723367976</v>
      </c>
      <c r="K9" s="36">
        <f>'SER_se-appl'!K30</f>
        <v>14.469778404676589</v>
      </c>
      <c r="L9" s="36">
        <f>'SER_se-appl'!L30</f>
        <v>15.594603524026127</v>
      </c>
      <c r="M9" s="36">
        <f>'SER_se-appl'!M30</f>
        <v>17.943680630854772</v>
      </c>
      <c r="N9" s="36">
        <f>'SER_se-appl'!N30</f>
        <v>18.212722703024951</v>
      </c>
      <c r="O9" s="36">
        <f>'SER_se-appl'!O30</f>
        <v>18.977970290997746</v>
      </c>
      <c r="P9" s="36">
        <f>'SER_se-appl'!P30</f>
        <v>19.357310318711228</v>
      </c>
      <c r="Q9" s="36">
        <f>'SER_se-appl'!Q30</f>
        <v>20.747049468223253</v>
      </c>
      <c r="R9" s="36">
        <f>'SER_se-appl'!R30</f>
        <v>18.525813307096755</v>
      </c>
      <c r="S9" s="36">
        <f>'SER_se-appl'!S30</f>
        <v>21.197293009688437</v>
      </c>
      <c r="T9" s="36">
        <f>'SER_se-appl'!T30</f>
        <v>21.34392676575871</v>
      </c>
      <c r="U9" s="36">
        <f>'SER_se-appl'!U30</f>
        <v>21.897065616897322</v>
      </c>
      <c r="V9" s="36">
        <f>'SER_se-appl'!V30</f>
        <v>21.907875964094671</v>
      </c>
      <c r="W9" s="36">
        <f>'SER_se-appl'!W30</f>
        <v>22.691774553080748</v>
      </c>
      <c r="X9" s="36">
        <f>'SER_se-appl'!X30</f>
        <v>19.850708353025396</v>
      </c>
      <c r="Y9" s="36">
        <f>'SER_se-appl'!Y30</f>
        <v>22.196939327189014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11.009399010602678</v>
      </c>
      <c r="D10" s="38">
        <f>'SER_se-appl'!D38</f>
        <v>11.295405054346062</v>
      </c>
      <c r="E10" s="38">
        <f>'SER_se-appl'!E38</f>
        <v>11.588841063792302</v>
      </c>
      <c r="F10" s="38">
        <f>'SER_se-appl'!F38</f>
        <v>11.88990005720639</v>
      </c>
      <c r="G10" s="38">
        <f>'SER_se-appl'!G38</f>
        <v>12.198780067149784</v>
      </c>
      <c r="H10" s="38">
        <f>'SER_se-appl'!H38</f>
        <v>12.515684270743563</v>
      </c>
      <c r="I10" s="38">
        <f>'SER_se-appl'!I38</f>
        <v>12.809690851148034</v>
      </c>
      <c r="J10" s="38">
        <f>'SER_se-appl'!J38</f>
        <v>12.858540573886444</v>
      </c>
      <c r="K10" s="38">
        <f>'SER_se-appl'!K38</f>
        <v>12.855385451305651</v>
      </c>
      <c r="L10" s="38">
        <f>'SER_se-appl'!L38</f>
        <v>12.710743746282049</v>
      </c>
      <c r="M10" s="38">
        <f>'SER_se-appl'!M38</f>
        <v>14.406683156633562</v>
      </c>
      <c r="N10" s="38">
        <f>'SER_se-appl'!N38</f>
        <v>15.752320113583082</v>
      </c>
      <c r="O10" s="38">
        <f>'SER_se-appl'!O38</f>
        <v>16.487361457177272</v>
      </c>
      <c r="P10" s="38">
        <f>'SER_se-appl'!P38</f>
        <v>15.86956723367976</v>
      </c>
      <c r="Q10" s="38">
        <f>'SER_se-appl'!Q38</f>
        <v>14.469778404676589</v>
      </c>
      <c r="R10" s="38">
        <f>'SER_se-appl'!R38</f>
        <v>15.594603524026141</v>
      </c>
      <c r="S10" s="38">
        <f>'SER_se-appl'!S38</f>
        <v>17.943680630854772</v>
      </c>
      <c r="T10" s="38">
        <f>'SER_se-appl'!T38</f>
        <v>18.212722703024951</v>
      </c>
      <c r="U10" s="38">
        <f>'SER_se-appl'!U38</f>
        <v>18.977970290997746</v>
      </c>
      <c r="V10" s="38">
        <f>'SER_se-appl'!V38</f>
        <v>19.357310318711228</v>
      </c>
      <c r="W10" s="38">
        <f>'SER_se-appl'!W38</f>
        <v>20.747049468223238</v>
      </c>
      <c r="X10" s="38">
        <f>'SER_se-appl'!X38</f>
        <v>18.52581330709674</v>
      </c>
      <c r="Y10" s="38">
        <f>'SER_se-appl'!Y38</f>
        <v>21.197293009688451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2262.354865741278</v>
      </c>
      <c r="C12" s="204">
        <f>'SER_se-appl'!C46</f>
        <v>2277.8652259979031</v>
      </c>
      <c r="D12" s="204">
        <f>'SER_se-appl'!D46</f>
        <v>2288.0044216126498</v>
      </c>
      <c r="E12" s="204">
        <f>'SER_se-appl'!E46</f>
        <v>2297.9331887337135</v>
      </c>
      <c r="F12" s="204">
        <f>'SER_se-appl'!F46</f>
        <v>2311.2702606563294</v>
      </c>
      <c r="G12" s="204">
        <f>'SER_se-appl'!G46</f>
        <v>2319.2832653371611</v>
      </c>
      <c r="H12" s="204">
        <f>'SER_se-appl'!H46</f>
        <v>2329.872482271116</v>
      </c>
      <c r="I12" s="204">
        <f>'SER_se-appl'!I46</f>
        <v>2345.7460113273091</v>
      </c>
      <c r="J12" s="204">
        <f>'SER_se-appl'!J46</f>
        <v>2357.040273454576</v>
      </c>
      <c r="K12" s="204">
        <f>'SER_se-appl'!K46</f>
        <v>2365.176154613469</v>
      </c>
      <c r="L12" s="204">
        <f>'SER_se-appl'!L46</f>
        <v>2375.2958019739594</v>
      </c>
      <c r="M12" s="204">
        <f>'SER_se-appl'!M46</f>
        <v>2381.479616232321</v>
      </c>
      <c r="N12" s="204">
        <f>'SER_se-appl'!N46</f>
        <v>2390.8082101009609</v>
      </c>
      <c r="O12" s="204">
        <f>'SER_se-appl'!O46</f>
        <v>2397.0624845527218</v>
      </c>
      <c r="P12" s="204">
        <f>'SER_se-appl'!P46</f>
        <v>2406.3209281299614</v>
      </c>
      <c r="Q12" s="204">
        <f>'SER_se-appl'!Q46</f>
        <v>2418.4292500206948</v>
      </c>
      <c r="R12" s="204">
        <f>'SER_se-appl'!R46</f>
        <v>2424.4010799183911</v>
      </c>
      <c r="S12" s="204">
        <f>'SER_se-appl'!S46</f>
        <v>2476.3250796687744</v>
      </c>
      <c r="T12" s="204">
        <f>'SER_se-appl'!T46</f>
        <v>2449.1443731214381</v>
      </c>
      <c r="U12" s="204">
        <f>'SER_se-appl'!U46</f>
        <v>2424.9541319970076</v>
      </c>
      <c r="V12" s="204">
        <f>'SER_se-appl'!V46</f>
        <v>2378.64597303551</v>
      </c>
      <c r="W12" s="204">
        <f>'SER_se-appl'!W46</f>
        <v>2397.5833403990277</v>
      </c>
      <c r="X12" s="204">
        <f>'SER_se-appl'!X46</f>
        <v>2398.7102460475944</v>
      </c>
      <c r="Y12" s="204">
        <f>'SER_se-appl'!Y46</f>
        <v>2399.2736988718775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34.846214083425224</v>
      </c>
      <c r="C14" s="59">
        <f>'SER_se-appl'!C54</f>
        <v>34.45542522639353</v>
      </c>
      <c r="D14" s="59">
        <f>'SER_se-appl'!D54</f>
        <v>33.860125745332937</v>
      </c>
      <c r="E14" s="59">
        <f>'SER_se-appl'!E54</f>
        <v>33.176213765976961</v>
      </c>
      <c r="F14" s="59">
        <f>'SER_se-appl'!F54</f>
        <v>32.436711862394468</v>
      </c>
      <c r="G14" s="59">
        <f>'SER_se-appl'!G54</f>
        <v>31.552611151358615</v>
      </c>
      <c r="H14" s="59">
        <f>'SER_se-appl'!H54</f>
        <v>30.528521101069124</v>
      </c>
      <c r="I14" s="59">
        <f>'SER_se-appl'!I54</f>
        <v>29.754337934793753</v>
      </c>
      <c r="J14" s="59">
        <f>'SER_se-appl'!J54</f>
        <v>29.108731291932468</v>
      </c>
      <c r="K14" s="59">
        <f>'SER_se-appl'!K54</f>
        <v>28.526431121892344</v>
      </c>
      <c r="L14" s="59">
        <f>'SER_se-appl'!L54</f>
        <v>27.886318578194597</v>
      </c>
      <c r="M14" s="59">
        <f>'SER_se-appl'!M54</f>
        <v>27.125915784391857</v>
      </c>
      <c r="N14" s="59">
        <f>'SER_se-appl'!N54</f>
        <v>26.311679129655715</v>
      </c>
      <c r="O14" s="59">
        <f>'SER_se-appl'!O54</f>
        <v>25.448807130443303</v>
      </c>
      <c r="P14" s="59">
        <f>'SER_se-appl'!P54</f>
        <v>24.560692282847953</v>
      </c>
      <c r="Q14" s="59">
        <f>'SER_se-appl'!Q54</f>
        <v>23.557432938864498</v>
      </c>
      <c r="R14" s="59">
        <f>'SER_se-appl'!R54</f>
        <v>22.540205560971657</v>
      </c>
      <c r="S14" s="59">
        <f>'SER_se-appl'!S54</f>
        <v>21.40758592488573</v>
      </c>
      <c r="T14" s="59">
        <f>'SER_se-appl'!T54</f>
        <v>20.206224801573665</v>
      </c>
      <c r="U14" s="59">
        <f>'SER_se-appl'!U54</f>
        <v>18.949674881566274</v>
      </c>
      <c r="V14" s="59">
        <f>'SER_se-appl'!V54</f>
        <v>17.707793019964978</v>
      </c>
      <c r="W14" s="59">
        <f>'SER_se-appl'!W54</f>
        <v>16.545558121745643</v>
      </c>
      <c r="X14" s="59">
        <f>'SER_se-appl'!X54</f>
        <v>15.621834129026887</v>
      </c>
      <c r="Y14" s="59">
        <f>'SER_se-appl'!Y54</f>
        <v>14.619856627496786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32.64058938226475</v>
      </c>
      <c r="D15" s="63">
        <f>'SER_se-appl'!D62</f>
        <v>31.379216352672316</v>
      </c>
      <c r="E15" s="63">
        <f>'SER_se-appl'!E62</f>
        <v>30.752221629762435</v>
      </c>
      <c r="F15" s="63">
        <f>'SER_se-appl'!F62</f>
        <v>30.319719725349888</v>
      </c>
      <c r="G15" s="63">
        <f>'SER_se-appl'!G62</f>
        <v>29.68066935462997</v>
      </c>
      <c r="H15" s="63">
        <f>'SER_se-appl'!H62</f>
        <v>28.8779296182569</v>
      </c>
      <c r="I15" s="63">
        <f>'SER_se-appl'!I62</f>
        <v>28.174862439019783</v>
      </c>
      <c r="J15" s="63">
        <f>'SER_se-appl'!J62</f>
        <v>27.487559124299342</v>
      </c>
      <c r="K15" s="63">
        <f>'SER_se-appl'!K62</f>
        <v>26.959247185591241</v>
      </c>
      <c r="L15" s="63">
        <f>'SER_se-appl'!L62</f>
        <v>26.187943435273105</v>
      </c>
      <c r="M15" s="63">
        <f>'SER_se-appl'!M62</f>
        <v>25.253791285839547</v>
      </c>
      <c r="N15" s="63">
        <f>'SER_se-appl'!N62</f>
        <v>24.234129303847173</v>
      </c>
      <c r="O15" s="63">
        <f>'SER_se-appl'!O62</f>
        <v>23.335067395532601</v>
      </c>
      <c r="P15" s="63">
        <f>'SER_se-appl'!P62</f>
        <v>22.323182667546831</v>
      </c>
      <c r="Q15" s="63">
        <f>'SER_se-appl'!Q62</f>
        <v>20.873998274201035</v>
      </c>
      <c r="R15" s="63">
        <f>'SER_se-appl'!R62</f>
        <v>19.525078620031696</v>
      </c>
      <c r="S15" s="63">
        <f>'SER_se-appl'!S62</f>
        <v>18.584731193422396</v>
      </c>
      <c r="T15" s="63">
        <f>'SER_se-appl'!T62</f>
        <v>17.056759381028694</v>
      </c>
      <c r="U15" s="63">
        <f>'SER_se-appl'!U62</f>
        <v>15.855752389433839</v>
      </c>
      <c r="V15" s="63">
        <f>'SER_se-appl'!V62</f>
        <v>14.809522243577703</v>
      </c>
      <c r="W15" s="63">
        <f>'SER_se-appl'!W62</f>
        <v>14.069046131398817</v>
      </c>
      <c r="X15" s="63">
        <f>'SER_se-appl'!X62</f>
        <v>13.328570019219931</v>
      </c>
      <c r="Y15" s="63">
        <f>'SER_se-appl'!Y62</f>
        <v>12.588093907041046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199.31064220780482</v>
      </c>
      <c r="C3" s="198">
        <f>'SER_se-appl'!C7</f>
        <v>199.40675138715673</v>
      </c>
      <c r="D3" s="198">
        <f>'SER_se-appl'!D7</f>
        <v>199.4175145153273</v>
      </c>
      <c r="E3" s="198">
        <f>'SER_se-appl'!E7</f>
        <v>199.05714213539903</v>
      </c>
      <c r="F3" s="198">
        <f>'SER_se-appl'!F7</f>
        <v>198.53398746217198</v>
      </c>
      <c r="G3" s="198">
        <f>'SER_se-appl'!G7</f>
        <v>197.93140899456981</v>
      </c>
      <c r="H3" s="198">
        <f>'SER_se-appl'!H7</f>
        <v>197.3345241995797</v>
      </c>
      <c r="I3" s="198">
        <f>'SER_se-appl'!I7</f>
        <v>196.90741092384596</v>
      </c>
      <c r="J3" s="198">
        <f>'SER_se-appl'!J7</f>
        <v>196.90462249257615</v>
      </c>
      <c r="K3" s="198">
        <f>'SER_se-appl'!K7</f>
        <v>197.40256356687064</v>
      </c>
      <c r="L3" s="198">
        <f>'SER_se-appl'!L7</f>
        <v>198.15304601961299</v>
      </c>
      <c r="M3" s="198">
        <f>'SER_se-appl'!M7</f>
        <v>199.28043389034289</v>
      </c>
      <c r="N3" s="198">
        <f>'SER_se-appl'!N7</f>
        <v>200.78424448597167</v>
      </c>
      <c r="O3" s="198">
        <f>'SER_se-appl'!O7</f>
        <v>202.41665386129554</v>
      </c>
      <c r="P3" s="198">
        <f>'SER_se-appl'!P7</f>
        <v>204.5091432515097</v>
      </c>
      <c r="Q3" s="198">
        <f>'SER_se-appl'!Q7</f>
        <v>207.82459779377672</v>
      </c>
      <c r="R3" s="198">
        <f>'SER_se-appl'!R7</f>
        <v>209.98297627430961</v>
      </c>
      <c r="S3" s="198">
        <f>'SER_se-appl'!S7</f>
        <v>212.22186449344747</v>
      </c>
      <c r="T3" s="198">
        <f>'SER_se-appl'!T7</f>
        <v>213.92692225945913</v>
      </c>
      <c r="U3" s="198">
        <f>'SER_se-appl'!U7</f>
        <v>215.15782682942077</v>
      </c>
      <c r="V3" s="198">
        <f>'SER_se-appl'!V7</f>
        <v>215.71534035983933</v>
      </c>
      <c r="W3" s="198">
        <f>'SER_se-appl'!W7</f>
        <v>216.36384342700151</v>
      </c>
      <c r="X3" s="198">
        <f>'SER_se-appl'!X7</f>
        <v>216.38786001165982</v>
      </c>
      <c r="Y3" s="198">
        <f>'SER_se-appl'!Y7</f>
        <v>216.77825275960404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264.60990512291897</v>
      </c>
      <c r="C5" s="59">
        <f>'SER_se-appl'!C15</f>
        <v>264.73750212701282</v>
      </c>
      <c r="D5" s="59">
        <f>'SER_se-appl'!D15</f>
        <v>264.7517915311937</v>
      </c>
      <c r="E5" s="59">
        <f>'SER_se-appl'!E15</f>
        <v>264.27335194459943</v>
      </c>
      <c r="F5" s="59">
        <f>'SER_se-appl'!F15</f>
        <v>263.57879842295193</v>
      </c>
      <c r="G5" s="59">
        <f>'SER_se-appl'!G15</f>
        <v>262.77879984096433</v>
      </c>
      <c r="H5" s="59">
        <f>'SER_se-appl'!H15</f>
        <v>261.9863603243279</v>
      </c>
      <c r="I5" s="59">
        <f>'SER_se-appl'!I15</f>
        <v>261.4193138178457</v>
      </c>
      <c r="J5" s="59">
        <f>'SER_se-appl'!J15</f>
        <v>261.41561182518956</v>
      </c>
      <c r="K5" s="59">
        <f>'SER_se-appl'!K15</f>
        <v>262.07669112816279</v>
      </c>
      <c r="L5" s="59">
        <f>'SER_se-appl'!L15</f>
        <v>263.0730508228425</v>
      </c>
      <c r="M5" s="59">
        <f>'SER_se-appl'!M15</f>
        <v>264.56979978820641</v>
      </c>
      <c r="N5" s="59">
        <f>'SER_se-appl'!N15</f>
        <v>266.56629718856743</v>
      </c>
      <c r="O5" s="59">
        <f>'SER_se-appl'!O15</f>
        <v>268.73352561722237</v>
      </c>
      <c r="P5" s="59">
        <f>'SER_se-appl'!P15</f>
        <v>271.51156803824858</v>
      </c>
      <c r="Q5" s="59">
        <f>'SER_se-appl'!Q15</f>
        <v>275.91325026730863</v>
      </c>
      <c r="R5" s="59">
        <f>'SER_se-appl'!R15</f>
        <v>278.77876872947729</v>
      </c>
      <c r="S5" s="59">
        <f>'SER_se-appl'!S15</f>
        <v>281.75117397931444</v>
      </c>
      <c r="T5" s="59">
        <f>'SER_se-appl'!T15</f>
        <v>284.01485226912223</v>
      </c>
      <c r="U5" s="59">
        <f>'SER_se-appl'!U15</f>
        <v>285.64903265138855</v>
      </c>
      <c r="V5" s="59">
        <f>'SER_se-appl'!V15</f>
        <v>286.38920187042595</v>
      </c>
      <c r="W5" s="59">
        <f>'SER_se-appl'!W15</f>
        <v>287.25017112511728</v>
      </c>
      <c r="X5" s="59">
        <f>'SER_se-appl'!X15</f>
        <v>287.28205615703234</v>
      </c>
      <c r="Y5" s="59">
        <f>'SER_se-appl'!Y15</f>
        <v>287.80035155184868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2.7016375710999893E-2</v>
      </c>
      <c r="C6" s="201">
        <f>'SER_se-appl'!C71</f>
        <v>2.7071722414645893E-2</v>
      </c>
      <c r="D6" s="201">
        <f>'SER_se-appl'!D71</f>
        <v>2.7184041386500598E-2</v>
      </c>
      <c r="E6" s="201">
        <f>'SER_se-appl'!E71</f>
        <v>2.7346039703509295E-2</v>
      </c>
      <c r="F6" s="201">
        <f>'SER_se-appl'!F71</f>
        <v>2.755423375112713E-2</v>
      </c>
      <c r="G6" s="201">
        <f>'SER_se-appl'!G71</f>
        <v>2.7817186408864228E-2</v>
      </c>
      <c r="H6" s="201">
        <f>'SER_se-appl'!H71</f>
        <v>2.8152937236266572E-2</v>
      </c>
      <c r="I6" s="201">
        <f>'SER_se-appl'!I71</f>
        <v>2.8562703410581359E-2</v>
      </c>
      <c r="J6" s="201">
        <f>'SER_se-appl'!J71</f>
        <v>2.9047728064471104E-2</v>
      </c>
      <c r="K6" s="201">
        <f>'SER_se-appl'!K71</f>
        <v>2.9633910916545485E-2</v>
      </c>
      <c r="L6" s="201">
        <f>'SER_se-appl'!L71</f>
        <v>3.0323502596098444E-2</v>
      </c>
      <c r="M6" s="201">
        <f>'SER_se-appl'!M71</f>
        <v>3.0835559943439814E-2</v>
      </c>
      <c r="N6" s="201">
        <f>'SER_se-appl'!N71</f>
        <v>3.1426576324552445E-2</v>
      </c>
      <c r="O6" s="201">
        <f>'SER_se-appl'!O71</f>
        <v>3.2091479735410725E-2</v>
      </c>
      <c r="P6" s="201">
        <f>'SER_se-appl'!P71</f>
        <v>3.2930221238072793E-2</v>
      </c>
      <c r="Q6" s="201">
        <f>'SER_se-appl'!Q71</f>
        <v>3.3970302818258323E-2</v>
      </c>
      <c r="R6" s="201">
        <f>'SER_se-appl'!R71</f>
        <v>3.4822844609892926E-2</v>
      </c>
      <c r="S6" s="201">
        <f>'SER_se-appl'!S71</f>
        <v>3.5701638151566788E-2</v>
      </c>
      <c r="T6" s="201">
        <f>'SER_se-appl'!T71</f>
        <v>3.6548004843198742E-2</v>
      </c>
      <c r="U6" s="201">
        <f>'SER_se-appl'!U71</f>
        <v>3.7336247869394906E-2</v>
      </c>
      <c r="V6" s="201">
        <f>'SER_se-appl'!V71</f>
        <v>3.7973112160803693E-2</v>
      </c>
      <c r="W6" s="201">
        <f>'SER_se-appl'!W71</f>
        <v>3.8599012704337576E-2</v>
      </c>
      <c r="X6" s="201">
        <f>'SER_se-appl'!X71</f>
        <v>3.9043271367870641E-2</v>
      </c>
      <c r="Y6" s="201">
        <f>'SER_se-appl'!Y71</f>
        <v>3.9357291317586779E-2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428.58643346051673</v>
      </c>
      <c r="C8" s="34">
        <f>'SER_se-appl'!C23</f>
        <v>432.79765662212503</v>
      </c>
      <c r="D8" s="34">
        <f>'SER_se-appl'!D23</f>
        <v>437.80673398138731</v>
      </c>
      <c r="E8" s="34">
        <f>'SER_se-appl'!E23</f>
        <v>442.80271681393293</v>
      </c>
      <c r="F8" s="34">
        <f>'SER_se-appl'!F23</f>
        <v>447.97761406130491</v>
      </c>
      <c r="G8" s="34">
        <f>'SER_se-appl'!G23</f>
        <v>453.57385623658229</v>
      </c>
      <c r="H8" s="34">
        <f>'SER_se-appl'!H23</f>
        <v>459.85598893399782</v>
      </c>
      <c r="I8" s="34">
        <f>'SER_se-appl'!I23</f>
        <v>467.22847388866256</v>
      </c>
      <c r="J8" s="34">
        <f>'SER_se-appl'!J23</f>
        <v>476.53956894114617</v>
      </c>
      <c r="K8" s="34">
        <f>'SER_se-appl'!K23</f>
        <v>488.53834334714361</v>
      </c>
      <c r="L8" s="34">
        <f>'SER_se-appl'!L23</f>
        <v>502.61172197180315</v>
      </c>
      <c r="M8" s="34">
        <f>'SER_se-appl'!M23</f>
        <v>513.59088847038493</v>
      </c>
      <c r="N8" s="34">
        <f>'SER_se-appl'!N23</f>
        <v>525.77755835832329</v>
      </c>
      <c r="O8" s="34">
        <f>'SER_se-appl'!O23</f>
        <v>538.48139108130442</v>
      </c>
      <c r="P8" s="34">
        <f>'SER_se-appl'!P23</f>
        <v>554.19221004946485</v>
      </c>
      <c r="Q8" s="34">
        <f>'SER_se-appl'!Q23</f>
        <v>574.12278006841177</v>
      </c>
      <c r="R8" s="34">
        <f>'SER_se-appl'!R23</f>
        <v>591.26125737272514</v>
      </c>
      <c r="S8" s="34">
        <f>'SER_se-appl'!S23</f>
        <v>609.83778199745518</v>
      </c>
      <c r="T8" s="34">
        <f>'SER_se-appl'!T23</f>
        <v>627.93434124340445</v>
      </c>
      <c r="U8" s="34">
        <f>'SER_se-appl'!U23</f>
        <v>645.25112148728545</v>
      </c>
      <c r="V8" s="34">
        <f>'SER_se-appl'!V23</f>
        <v>661.02017765372398</v>
      </c>
      <c r="W8" s="34">
        <f>'SER_se-appl'!W23</f>
        <v>674.53376559857134</v>
      </c>
      <c r="X8" s="34">
        <f>'SER_se-appl'!X23</f>
        <v>686.79738043920383</v>
      </c>
      <c r="Y8" s="34">
        <f>'SER_se-appl'!Y23</f>
        <v>701.00416862931149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43.162487872799943</v>
      </c>
      <c r="D9" s="36">
        <f>'SER_se-appl'!D31</f>
        <v>44.780818723861159</v>
      </c>
      <c r="E9" s="36">
        <f>'SER_se-appl'!E31</f>
        <v>45.605483522726274</v>
      </c>
      <c r="F9" s="36">
        <f>'SER_se-appl'!F31</f>
        <v>46.639803980716295</v>
      </c>
      <c r="G9" s="36">
        <f>'SER_se-appl'!G31</f>
        <v>47.934573383094346</v>
      </c>
      <c r="H9" s="36">
        <f>'SER_se-appl'!H31</f>
        <v>49.512286354588241</v>
      </c>
      <c r="I9" s="36">
        <f>'SER_se-appl'!I31</f>
        <v>51.513246574426319</v>
      </c>
      <c r="J9" s="36">
        <f>'SER_se-appl'!J31</f>
        <v>54.381645849596964</v>
      </c>
      <c r="K9" s="36">
        <f>'SER_se-appl'!K31</f>
        <v>58.018699631885454</v>
      </c>
      <c r="L9" s="36">
        <f>'SER_se-appl'!L31</f>
        <v>61.062676078108097</v>
      </c>
      <c r="M9" s="36">
        <f>'SER_se-appl'!M31</f>
        <v>54.141654371381719</v>
      </c>
      <c r="N9" s="36">
        <f>'SER_se-appl'!N31</f>
        <v>56.967488611799524</v>
      </c>
      <c r="O9" s="36">
        <f>'SER_se-appl'!O31</f>
        <v>58.309316245707407</v>
      </c>
      <c r="P9" s="36">
        <f>'SER_se-appl'!P31</f>
        <v>62.350622948876719</v>
      </c>
      <c r="Q9" s="36">
        <f>'SER_se-appl'!Q31</f>
        <v>67.865143402041269</v>
      </c>
      <c r="R9" s="36">
        <f>'SER_se-appl'!R31</f>
        <v>66.65076365890161</v>
      </c>
      <c r="S9" s="36">
        <f>'SER_se-appl'!S31</f>
        <v>70.089771199156417</v>
      </c>
      <c r="T9" s="36">
        <f>'SER_se-appl'!T31</f>
        <v>72.478205095546286</v>
      </c>
      <c r="U9" s="36">
        <f>'SER_se-appl'!U31</f>
        <v>75.335479875766396</v>
      </c>
      <c r="V9" s="36">
        <f>'SER_se-appl'!V31</f>
        <v>76.831732244546629</v>
      </c>
      <c r="W9" s="36">
        <f>'SER_se-appl'!W31</f>
        <v>67.655242316229078</v>
      </c>
      <c r="X9" s="36">
        <f>'SER_se-appl'!X31</f>
        <v>69.23110345243208</v>
      </c>
      <c r="Y9" s="36">
        <f>'SER_se-appl'!Y31</f>
        <v>72.516104435815009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38.951264711191641</v>
      </c>
      <c r="D10" s="38">
        <f>'SER_se-appl'!D39</f>
        <v>39.771741364598881</v>
      </c>
      <c r="E10" s="38">
        <f>'SER_se-appl'!E39</f>
        <v>40.609500690180653</v>
      </c>
      <c r="F10" s="38">
        <f>'SER_se-appl'!F39</f>
        <v>41.464906733344321</v>
      </c>
      <c r="G10" s="38">
        <f>'SER_se-appl'!G39</f>
        <v>42.338331207816964</v>
      </c>
      <c r="H10" s="38">
        <f>'SER_se-appl'!H39</f>
        <v>43.230153657172707</v>
      </c>
      <c r="I10" s="38">
        <f>'SER_se-appl'!I39</f>
        <v>44.140761619761577</v>
      </c>
      <c r="J10" s="38">
        <f>'SER_se-appl'!J39</f>
        <v>45.070550797113356</v>
      </c>
      <c r="K10" s="38">
        <f>'SER_se-appl'!K39</f>
        <v>46.019925225888073</v>
      </c>
      <c r="L10" s="38">
        <f>'SER_se-appl'!L39</f>
        <v>46.989297453448557</v>
      </c>
      <c r="M10" s="38">
        <f>'SER_se-appl'!M39</f>
        <v>43.162487872799943</v>
      </c>
      <c r="N10" s="38">
        <f>'SER_se-appl'!N39</f>
        <v>44.780818723861216</v>
      </c>
      <c r="O10" s="38">
        <f>'SER_se-appl'!O39</f>
        <v>45.605483522726331</v>
      </c>
      <c r="P10" s="38">
        <f>'SER_se-appl'!P39</f>
        <v>46.639803980716351</v>
      </c>
      <c r="Q10" s="38">
        <f>'SER_se-appl'!Q39</f>
        <v>47.934573383094289</v>
      </c>
      <c r="R10" s="38">
        <f>'SER_se-appl'!R39</f>
        <v>49.512286354588241</v>
      </c>
      <c r="S10" s="38">
        <f>'SER_se-appl'!S39</f>
        <v>51.513246574426375</v>
      </c>
      <c r="T10" s="38">
        <f>'SER_se-appl'!T39</f>
        <v>54.381645849597021</v>
      </c>
      <c r="U10" s="38">
        <f>'SER_se-appl'!U39</f>
        <v>58.018699631885397</v>
      </c>
      <c r="V10" s="38">
        <f>'SER_se-appl'!V39</f>
        <v>61.062676078108097</v>
      </c>
      <c r="W10" s="38">
        <f>'SER_se-appl'!W39</f>
        <v>54.141654371381719</v>
      </c>
      <c r="X10" s="38">
        <f>'SER_se-appl'!X39</f>
        <v>56.967488611799581</v>
      </c>
      <c r="Y10" s="38">
        <f>'SER_se-appl'!Y39</f>
        <v>58.30931624570735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8760.0000000000018</v>
      </c>
      <c r="D12" s="204">
        <f>'SER_se-appl'!D47</f>
        <v>8759.9999999999982</v>
      </c>
      <c r="E12" s="204">
        <f>'SER_se-appl'!E47</f>
        <v>8760</v>
      </c>
      <c r="F12" s="204">
        <f>'SER_se-appl'!F47</f>
        <v>8760.0000000000036</v>
      </c>
      <c r="G12" s="204">
        <f>'SER_se-appl'!G47</f>
        <v>8759.9999999999982</v>
      </c>
      <c r="H12" s="204">
        <f>'SER_se-appl'!H47</f>
        <v>8759.9999999999982</v>
      </c>
      <c r="I12" s="204">
        <f>'SER_se-appl'!I47</f>
        <v>8760</v>
      </c>
      <c r="J12" s="204">
        <f>'SER_se-appl'!J47</f>
        <v>8760</v>
      </c>
      <c r="K12" s="204">
        <f>'SER_se-appl'!K47</f>
        <v>8759.9999999999982</v>
      </c>
      <c r="L12" s="204">
        <f>'SER_se-appl'!L47</f>
        <v>8759.9999999999964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8759.9999999999982</v>
      </c>
      <c r="P12" s="204">
        <f>'SER_se-appl'!P47</f>
        <v>8760</v>
      </c>
      <c r="Q12" s="204">
        <f>'SER_se-appl'!Q47</f>
        <v>8759.9999999999982</v>
      </c>
      <c r="R12" s="204">
        <f>'SER_se-appl'!R47</f>
        <v>8759.9999999999982</v>
      </c>
      <c r="S12" s="204">
        <f>'SER_se-appl'!S47</f>
        <v>8759.9999999999982</v>
      </c>
      <c r="T12" s="204">
        <f>'SER_se-appl'!T47</f>
        <v>8759.9999999999964</v>
      </c>
      <c r="U12" s="204">
        <f>'SER_se-appl'!U47</f>
        <v>8760</v>
      </c>
      <c r="V12" s="204">
        <f>'SER_se-appl'!V47</f>
        <v>8760</v>
      </c>
      <c r="W12" s="204">
        <f>'SER_se-appl'!W47</f>
        <v>8760.0000000000018</v>
      </c>
      <c r="X12" s="204">
        <f>'SER_se-appl'!X47</f>
        <v>8760.0000000000018</v>
      </c>
      <c r="Y12" s="204">
        <f>'SER_se-appl'!Y47</f>
        <v>8760.0000000000018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617.40149585788504</v>
      </c>
      <c r="C14" s="59">
        <f>'SER_se-appl'!C55</f>
        <v>611.68885292314496</v>
      </c>
      <c r="D14" s="59">
        <f>'SER_se-appl'!D55</f>
        <v>604.72297701672449</v>
      </c>
      <c r="E14" s="59">
        <f>'SER_se-appl'!E55</f>
        <v>596.8196262346961</v>
      </c>
      <c r="F14" s="59">
        <f>'SER_se-appl'!F55</f>
        <v>588.3749324734822</v>
      </c>
      <c r="G14" s="59">
        <f>'SER_se-appl'!G55</f>
        <v>579.35173341185691</v>
      </c>
      <c r="H14" s="59">
        <f>'SER_se-appl'!H55</f>
        <v>569.71392485644083</v>
      </c>
      <c r="I14" s="59">
        <f>'SER_se-appl'!I55</f>
        <v>559.51066432680682</v>
      </c>
      <c r="J14" s="59">
        <f>'SER_se-appl'!J55</f>
        <v>548.57063056913762</v>
      </c>
      <c r="K14" s="59">
        <f>'SER_se-appl'!K55</f>
        <v>536.45060760755359</v>
      </c>
      <c r="L14" s="59">
        <f>'SER_se-appl'!L55</f>
        <v>523.41208794489887</v>
      </c>
      <c r="M14" s="59">
        <f>'SER_se-appl'!M55</f>
        <v>515.1372536537167</v>
      </c>
      <c r="N14" s="59">
        <f>'SER_se-appl'!N55</f>
        <v>506.99443700276663</v>
      </c>
      <c r="O14" s="59">
        <f>'SER_se-appl'!O55</f>
        <v>499.05814772463833</v>
      </c>
      <c r="P14" s="59">
        <f>'SER_se-appl'!P55</f>
        <v>489.92310450198249</v>
      </c>
      <c r="Q14" s="59">
        <f>'SER_se-appl'!Q55</f>
        <v>480.58230721036904</v>
      </c>
      <c r="R14" s="59">
        <f>'SER_se-appl'!R55</f>
        <v>471.49845394611737</v>
      </c>
      <c r="S14" s="59">
        <f>'SER_se-appl'!S55</f>
        <v>462.01003331815576</v>
      </c>
      <c r="T14" s="59">
        <f>'SER_se-appl'!T55</f>
        <v>452.3002384401052</v>
      </c>
      <c r="U14" s="59">
        <f>'SER_se-appl'!U55</f>
        <v>442.69436059712024</v>
      </c>
      <c r="V14" s="59">
        <f>'SER_se-appl'!V55</f>
        <v>433.25334316867281</v>
      </c>
      <c r="W14" s="59">
        <f>'SER_se-appl'!W55</f>
        <v>425.84995114398123</v>
      </c>
      <c r="X14" s="59">
        <f>'SER_se-appl'!X55</f>
        <v>418.29230037732049</v>
      </c>
      <c r="Y14" s="59">
        <f>'SER_se-appl'!Y55</f>
        <v>410.55440813510558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560.11984697423679</v>
      </c>
      <c r="D15" s="63">
        <f>'SER_se-appl'!D63</f>
        <v>548.65950904255146</v>
      </c>
      <c r="E15" s="63">
        <f>'SER_se-appl'!E63</f>
        <v>539.27565252782244</v>
      </c>
      <c r="F15" s="63">
        <f>'SER_se-appl'!F63</f>
        <v>534.00614486768814</v>
      </c>
      <c r="G15" s="63">
        <f>'SER_se-appl'!G63</f>
        <v>528.63202172113358</v>
      </c>
      <c r="H15" s="63">
        <f>'SER_se-appl'!H63</f>
        <v>523.06051536374446</v>
      </c>
      <c r="I15" s="63">
        <f>'SER_se-appl'!I63</f>
        <v>518.0323027652646</v>
      </c>
      <c r="J15" s="63">
        <f>'SER_se-appl'!J63</f>
        <v>511.62341731197648</v>
      </c>
      <c r="K15" s="63">
        <f>'SER_se-appl'!K63</f>
        <v>501.11171331262148</v>
      </c>
      <c r="L15" s="63">
        <f>'SER_se-appl'!L63</f>
        <v>491.42330731404206</v>
      </c>
      <c r="M15" s="63">
        <f>'SER_se-appl'!M63</f>
        <v>474.18046910059303</v>
      </c>
      <c r="N15" s="63">
        <f>'SER_se-appl'!N63</f>
        <v>466.33474747236147</v>
      </c>
      <c r="O15" s="63">
        <f>'SER_se-appl'!O63</f>
        <v>458.95162278103572</v>
      </c>
      <c r="P15" s="63">
        <f>'SER_se-appl'!P63</f>
        <v>444.00493584245618</v>
      </c>
      <c r="Q15" s="63">
        <f>'SER_se-appl'!Q63</f>
        <v>438.24312711922482</v>
      </c>
      <c r="R15" s="63">
        <f>'SER_se-appl'!R63</f>
        <v>431.55455242552728</v>
      </c>
      <c r="S15" s="63">
        <f>'SER_se-appl'!S63</f>
        <v>423.14207177864307</v>
      </c>
      <c r="T15" s="63">
        <f>'SER_se-appl'!T63</f>
        <v>415.11240156631641</v>
      </c>
      <c r="U15" s="63">
        <f>'SER_se-appl'!U63</f>
        <v>407.61710696753426</v>
      </c>
      <c r="V15" s="63">
        <f>'SER_se-appl'!V63</f>
        <v>400.19651454584647</v>
      </c>
      <c r="W15" s="63">
        <f>'SER_se-appl'!W63</f>
        <v>392.19258425492956</v>
      </c>
      <c r="X15" s="63">
        <f>'SER_se-appl'!X63</f>
        <v>384.18865396401259</v>
      </c>
      <c r="Y15" s="63">
        <f>'SER_se-appl'!Y63</f>
        <v>376.18472367309568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109.19535598395321</v>
      </c>
      <c r="C3" s="198">
        <f>'SER_se-appl'!C8</f>
        <v>115.57255347747889</v>
      </c>
      <c r="D3" s="198">
        <f>'SER_se-appl'!D8</f>
        <v>122.78866088580851</v>
      </c>
      <c r="E3" s="198">
        <f>'SER_se-appl'!E8</f>
        <v>132.50928264000072</v>
      </c>
      <c r="F3" s="198">
        <f>'SER_se-appl'!F8</f>
        <v>145.15655036758577</v>
      </c>
      <c r="G3" s="198">
        <f>'SER_se-appl'!G8</f>
        <v>160.68982749863235</v>
      </c>
      <c r="H3" s="198">
        <f>'SER_se-appl'!H8</f>
        <v>176.8746483776888</v>
      </c>
      <c r="I3" s="198">
        <f>'SER_se-appl'!I8</f>
        <v>192.38228416891673</v>
      </c>
      <c r="J3" s="198">
        <f>'SER_se-appl'!J8</f>
        <v>204.25960488518325</v>
      </c>
      <c r="K3" s="198">
        <f>'SER_se-appl'!K8</f>
        <v>211.31720709956863</v>
      </c>
      <c r="L3" s="198">
        <f>'SER_se-appl'!L8</f>
        <v>218.26208309048778</v>
      </c>
      <c r="M3" s="198">
        <f>'SER_se-appl'!M8</f>
        <v>224.60336217557685</v>
      </c>
      <c r="N3" s="198">
        <f>'SER_se-appl'!N8</f>
        <v>229.71629774580498</v>
      </c>
      <c r="O3" s="198">
        <f>'SER_se-appl'!O8</f>
        <v>232.57731211154706</v>
      </c>
      <c r="P3" s="198">
        <f>'SER_se-appl'!P8</f>
        <v>234.67169747472929</v>
      </c>
      <c r="Q3" s="198">
        <f>'SER_se-appl'!Q8</f>
        <v>237.92237679491566</v>
      </c>
      <c r="R3" s="198">
        <f>'SER_se-appl'!R8</f>
        <v>241.3579033769557</v>
      </c>
      <c r="S3" s="198">
        <f>'SER_se-appl'!S8</f>
        <v>249.67121095931896</v>
      </c>
      <c r="T3" s="198">
        <f>'SER_se-appl'!T8</f>
        <v>253.29401236470491</v>
      </c>
      <c r="U3" s="198">
        <f>'SER_se-appl'!U8</f>
        <v>257.20877125323517</v>
      </c>
      <c r="V3" s="198">
        <f>'SER_se-appl'!V8</f>
        <v>256.07609992517115</v>
      </c>
      <c r="W3" s="198">
        <f>'SER_se-appl'!W8</f>
        <v>259.66462073348123</v>
      </c>
      <c r="X3" s="198">
        <f>'SER_se-appl'!X8</f>
        <v>261.88869888215157</v>
      </c>
      <c r="Y3" s="198">
        <f>'SER_se-appl'!Y8</f>
        <v>263.19767825825483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1532.1131459758135</v>
      </c>
      <c r="C5" s="59">
        <f>'SER_se-appl'!C16</f>
        <v>1613.8818779618907</v>
      </c>
      <c r="D5" s="59">
        <f>'SER_se-appl'!D16</f>
        <v>1707.2057752300054</v>
      </c>
      <c r="E5" s="59">
        <f>'SER_se-appl'!E16</f>
        <v>1834.9988894265334</v>
      </c>
      <c r="F5" s="59">
        <f>'SER_se-appl'!F16</f>
        <v>2002.7046555546985</v>
      </c>
      <c r="G5" s="59">
        <f>'SER_se-appl'!G16</f>
        <v>2209.3803752406143</v>
      </c>
      <c r="H5" s="59">
        <f>'SER_se-appl'!H16</f>
        <v>2424.0761623925746</v>
      </c>
      <c r="I5" s="59">
        <f>'SER_se-appl'!I16</f>
        <v>2628.6290386436422</v>
      </c>
      <c r="J5" s="59">
        <f>'SER_se-appl'!J16</f>
        <v>2782.9508272375665</v>
      </c>
      <c r="K5" s="59">
        <f>'SER_se-appl'!K16</f>
        <v>2871.3349193582676</v>
      </c>
      <c r="L5" s="59">
        <f>'SER_se-appl'!L16</f>
        <v>2958.1041893413176</v>
      </c>
      <c r="M5" s="59">
        <f>'SER_se-appl'!M16</f>
        <v>3039.100862798754</v>
      </c>
      <c r="N5" s="59">
        <f>'SER_se-appl'!N16</f>
        <v>3103.4676507609734</v>
      </c>
      <c r="O5" s="59">
        <f>'SER_se-appl'!O16</f>
        <v>3137.4676492334406</v>
      </c>
      <c r="P5" s="59">
        <f>'SER_se-appl'!P16</f>
        <v>3161.2330272501208</v>
      </c>
      <c r="Q5" s="59">
        <f>'SER_se-appl'!Q16</f>
        <v>3200.6643064550212</v>
      </c>
      <c r="R5" s="59">
        <f>'SER_se-appl'!R16</f>
        <v>3262.3737745504991</v>
      </c>
      <c r="S5" s="59">
        <f>'SER_se-appl'!S16</f>
        <v>3320.8927562980753</v>
      </c>
      <c r="T5" s="59">
        <f>'SER_se-appl'!T16</f>
        <v>3391.7879599524827</v>
      </c>
      <c r="U5" s="59">
        <f>'SER_se-appl'!U16</f>
        <v>3473.6025429252777</v>
      </c>
      <c r="V5" s="59">
        <f>'SER_se-appl'!V16</f>
        <v>3525.6331102920326</v>
      </c>
      <c r="W5" s="59">
        <f>'SER_se-appl'!W16</f>
        <v>3546.8020152084528</v>
      </c>
      <c r="X5" s="59">
        <f>'SER_se-appl'!X16</f>
        <v>3555.090297182714</v>
      </c>
      <c r="Y5" s="59">
        <f>'SER_se-appl'!Y16</f>
        <v>3561.8613667995655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88.210696181004025</v>
      </c>
      <c r="C6" s="201">
        <f>'SER_se-appl'!C72</f>
        <v>91.941473307423408</v>
      </c>
      <c r="D6" s="201">
        <f>'SER_se-appl'!D72</f>
        <v>96.964468896921019</v>
      </c>
      <c r="E6" s="201">
        <f>'SER_se-appl'!E72</f>
        <v>104.56120534941789</v>
      </c>
      <c r="F6" s="201">
        <f>'SER_se-appl'!F72</f>
        <v>115.53275589312457</v>
      </c>
      <c r="G6" s="201">
        <f>'SER_se-appl'!G72</f>
        <v>126.71915122739354</v>
      </c>
      <c r="H6" s="201">
        <f>'SER_se-appl'!H72</f>
        <v>136.84285938774144</v>
      </c>
      <c r="I6" s="201">
        <f>'SER_se-appl'!I72</f>
        <v>145.16106760040302</v>
      </c>
      <c r="J6" s="201">
        <f>'SER_se-appl'!J72</f>
        <v>152.2319903623482</v>
      </c>
      <c r="K6" s="201">
        <f>'SER_se-appl'!K72</f>
        <v>158.82949490426157</v>
      </c>
      <c r="L6" s="201">
        <f>'SER_se-appl'!L72</f>
        <v>163.32637236867595</v>
      </c>
      <c r="M6" s="201">
        <f>'SER_se-appl'!M72</f>
        <v>167.27901707617937</v>
      </c>
      <c r="N6" s="201">
        <f>'SER_se-appl'!N72</f>
        <v>172.22153642625094</v>
      </c>
      <c r="O6" s="201">
        <f>'SER_se-appl'!O72</f>
        <v>176.73824697990509</v>
      </c>
      <c r="P6" s="201">
        <f>'SER_se-appl'!P72</f>
        <v>180.69762477828564</v>
      </c>
      <c r="Q6" s="201">
        <f>'SER_se-appl'!Q72</f>
        <v>183.7210664106787</v>
      </c>
      <c r="R6" s="201">
        <f>'SER_se-appl'!R72</f>
        <v>188.69713933866328</v>
      </c>
      <c r="S6" s="201">
        <f>'SER_se-appl'!S72</f>
        <v>193.35201802439644</v>
      </c>
      <c r="T6" s="201">
        <f>'SER_se-appl'!T72</f>
        <v>199.55929148882086</v>
      </c>
      <c r="U6" s="201">
        <f>'SER_se-appl'!U72</f>
        <v>207.34380579671975</v>
      </c>
      <c r="V6" s="201">
        <f>'SER_se-appl'!V72</f>
        <v>213.92282100348922</v>
      </c>
      <c r="W6" s="201">
        <f>'SER_se-appl'!W72</f>
        <v>218.63327556246134</v>
      </c>
      <c r="X6" s="201">
        <f>'SER_se-appl'!X72</f>
        <v>222.47620973420038</v>
      </c>
      <c r="Y6" s="201">
        <f>'SER_se-appl'!Y72</f>
        <v>225.59913461903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34.293311765532131</v>
      </c>
      <c r="C8" s="34">
        <f>'SER_se-appl'!C24</f>
        <v>36.296611884814375</v>
      </c>
      <c r="D8" s="34">
        <f>'SER_se-appl'!D24</f>
        <v>38.604759936170055</v>
      </c>
      <c r="E8" s="34">
        <f>'SER_se-appl'!E24</f>
        <v>41.781190939647168</v>
      </c>
      <c r="F8" s="34">
        <f>'SER_se-appl'!F24</f>
        <v>45.974581798239129</v>
      </c>
      <c r="G8" s="34">
        <f>'SER_se-appl'!G24</f>
        <v>51.190191120220717</v>
      </c>
      <c r="H8" s="34">
        <f>'SER_se-appl'!H24</f>
        <v>56.688770381450411</v>
      </c>
      <c r="I8" s="34">
        <f>'SER_se-appl'!I24</f>
        <v>62.023988600241935</v>
      </c>
      <c r="J8" s="34">
        <f>'SER_se-appl'!J24</f>
        <v>66.199534797673721</v>
      </c>
      <c r="K8" s="34">
        <f>'SER_se-appl'!K24</f>
        <v>68.794443017393419</v>
      </c>
      <c r="L8" s="34">
        <f>'SER_se-appl'!L24</f>
        <v>71.467736225180801</v>
      </c>
      <c r="M8" s="34">
        <f>'SER_se-appl'!M24</f>
        <v>74.148638883588418</v>
      </c>
      <c r="N8" s="34">
        <f>'SER_se-appl'!N24</f>
        <v>76.573380469332392</v>
      </c>
      <c r="O8" s="34">
        <f>'SER_se-appl'!O24</f>
        <v>78.379924737919879</v>
      </c>
      <c r="P8" s="34">
        <f>'SER_se-appl'!P24</f>
        <v>80.156740348388539</v>
      </c>
      <c r="Q8" s="34">
        <f>'SER_se-appl'!Q24</f>
        <v>82.702146586322343</v>
      </c>
      <c r="R8" s="34">
        <f>'SER_se-appl'!R24</f>
        <v>85.312410162071515</v>
      </c>
      <c r="S8" s="34">
        <f>'SER_se-appl'!S24</f>
        <v>87.996654252244895</v>
      </c>
      <c r="T8" s="34">
        <f>'SER_se-appl'!T24</f>
        <v>91.387486527091099</v>
      </c>
      <c r="U8" s="34">
        <f>'SER_se-appl'!U24</f>
        <v>95.511017181618001</v>
      </c>
      <c r="V8" s="34">
        <f>'SER_se-appl'!V24</f>
        <v>99.103074755885117</v>
      </c>
      <c r="W8" s="34">
        <f>'SER_se-appl'!W24</f>
        <v>101.85812090416036</v>
      </c>
      <c r="X8" s="34">
        <f>'SER_se-appl'!X24</f>
        <v>104.21713244712791</v>
      </c>
      <c r="Y8" s="34">
        <f>'SER_se-appl'!Y24</f>
        <v>106.24113436400754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2.9800578128418138</v>
      </c>
      <c r="D9" s="36">
        <f>'SER_se-appl'!D32</f>
        <v>3.3948217299601069</v>
      </c>
      <c r="E9" s="36">
        <f>'SER_se-appl'!E32</f>
        <v>4.3853896751700958</v>
      </c>
      <c r="F9" s="36">
        <f>'SER_se-appl'!F32</f>
        <v>5.5383954341502033</v>
      </c>
      <c r="G9" s="36">
        <f>'SER_se-appl'!G32</f>
        <v>6.7119692477839266</v>
      </c>
      <c r="H9" s="36">
        <f>'SER_se-appl'!H32</f>
        <v>7.1633267782541949</v>
      </c>
      <c r="I9" s="36">
        <f>'SER_se-appl'!I32</f>
        <v>7.1873022312347601</v>
      </c>
      <c r="J9" s="36">
        <f>'SER_se-appl'!J32</f>
        <v>6.2360479576499586</v>
      </c>
      <c r="K9" s="36">
        <f>'SER_se-appl'!K32</f>
        <v>4.8872812845146285</v>
      </c>
      <c r="L9" s="36">
        <f>'SER_se-appl'!L32</f>
        <v>5.2236303973275113</v>
      </c>
      <c r="M9" s="36">
        <f>'SER_se-appl'!M32</f>
        <v>5.5182330564304749</v>
      </c>
      <c r="N9" s="36">
        <f>'SER_se-appl'!N32</f>
        <v>5.5813609616297697</v>
      </c>
      <c r="O9" s="36">
        <f>'SER_se-appl'!O32</f>
        <v>5.3183826823164821</v>
      </c>
      <c r="P9" s="36">
        <f>'SER_se-appl'!P32</f>
        <v>5.6838463847069249</v>
      </c>
      <c r="Q9" s="36">
        <f>'SER_se-appl'!Q32</f>
        <v>6.8921009523514982</v>
      </c>
      <c r="R9" s="36">
        <f>'SER_se-appl'!R32</f>
        <v>5.5903213885909935</v>
      </c>
      <c r="S9" s="36">
        <f>'SER_se-appl'!S32</f>
        <v>6.0790658201334793</v>
      </c>
      <c r="T9" s="36">
        <f>'SER_se-appl'!T32</f>
        <v>7.776221950016307</v>
      </c>
      <c r="U9" s="36">
        <f>'SER_se-appl'!U32</f>
        <v>9.6619260886771059</v>
      </c>
      <c r="V9" s="36">
        <f>'SER_se-appl'!V32</f>
        <v>10.304026822051043</v>
      </c>
      <c r="W9" s="36">
        <f>'SER_se-appl'!W32</f>
        <v>9.9183729265294289</v>
      </c>
      <c r="X9" s="36">
        <f>'SER_se-appl'!X32</f>
        <v>9.5463137742023036</v>
      </c>
      <c r="Y9" s="36">
        <f>'SER_se-appl'!Y32</f>
        <v>8.2600498745295852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0.97675769355956987</v>
      </c>
      <c r="D10" s="38">
        <f>'SER_se-appl'!D40</f>
        <v>1.0866736786044271</v>
      </c>
      <c r="E10" s="38">
        <f>'SER_se-appl'!E40</f>
        <v>1.208958671692983</v>
      </c>
      <c r="F10" s="38">
        <f>'SER_se-appl'!F40</f>
        <v>1.3450045755582423</v>
      </c>
      <c r="G10" s="38">
        <f>'SER_se-appl'!G40</f>
        <v>1.4963599258023379</v>
      </c>
      <c r="H10" s="38">
        <f>'SER_se-appl'!H40</f>
        <v>1.6647475170245016</v>
      </c>
      <c r="I10" s="38">
        <f>'SER_se-appl'!I40</f>
        <v>1.8520840124432354</v>
      </c>
      <c r="J10" s="38">
        <f>'SER_se-appl'!J40</f>
        <v>2.0605017602181732</v>
      </c>
      <c r="K10" s="38">
        <f>'SER_se-appl'!K40</f>
        <v>2.2923730647949299</v>
      </c>
      <c r="L10" s="38">
        <f>'SER_se-appl'!L40</f>
        <v>2.5503371895401301</v>
      </c>
      <c r="M10" s="38">
        <f>'SER_se-appl'!M40</f>
        <v>2.837330398022857</v>
      </c>
      <c r="N10" s="38">
        <f>'SER_se-appl'!N40</f>
        <v>3.1566193758857963</v>
      </c>
      <c r="O10" s="38">
        <f>'SER_se-appl'!O40</f>
        <v>3.5118384137289951</v>
      </c>
      <c r="P10" s="38">
        <f>'SER_se-appl'!P40</f>
        <v>3.9070307742382653</v>
      </c>
      <c r="Q10" s="38">
        <f>'SER_se-appl'!Q40</f>
        <v>4.3466947144176942</v>
      </c>
      <c r="R10" s="38">
        <f>'SER_se-appl'!R40</f>
        <v>2.9800578128418209</v>
      </c>
      <c r="S10" s="38">
        <f>'SER_se-appl'!S40</f>
        <v>3.3948217299600998</v>
      </c>
      <c r="T10" s="38">
        <f>'SER_se-appl'!T40</f>
        <v>4.3853896751701029</v>
      </c>
      <c r="U10" s="38">
        <f>'SER_se-appl'!U40</f>
        <v>5.5383954341502033</v>
      </c>
      <c r="V10" s="38">
        <f>'SER_se-appl'!V40</f>
        <v>6.7119692477839266</v>
      </c>
      <c r="W10" s="38">
        <f>'SER_se-appl'!W40</f>
        <v>7.1633267782541878</v>
      </c>
      <c r="X10" s="38">
        <f>'SER_se-appl'!X40</f>
        <v>7.187302231234753</v>
      </c>
      <c r="Y10" s="38">
        <f>'SER_se-appl'!Y40</f>
        <v>6.2360479576499586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828.8826405732201</v>
      </c>
      <c r="C12" s="204">
        <f>'SER_se-appl'!C48</f>
        <v>832.84211521137024</v>
      </c>
      <c r="D12" s="204">
        <f>'SER_se-appl'!D48</f>
        <v>836.4733454053362</v>
      </c>
      <c r="E12" s="204">
        <f>'SER_se-appl'!E48</f>
        <v>839.82773285755036</v>
      </c>
      <c r="F12" s="204">
        <f>'SER_se-appl'!F48</f>
        <v>842.94540190572525</v>
      </c>
      <c r="G12" s="204">
        <f>'SER_se-appl'!G48</f>
        <v>845.85828440952309</v>
      </c>
      <c r="H12" s="204">
        <f>'SER_se-appl'!H48</f>
        <v>848.59221527189993</v>
      </c>
      <c r="I12" s="204">
        <f>'SER_se-appl'!I48</f>
        <v>851.16839690662107</v>
      </c>
      <c r="J12" s="204">
        <f>'SER_se-appl'!J48</f>
        <v>853.60444804290955</v>
      </c>
      <c r="K12" s="204">
        <f>'SER_se-appl'!K48</f>
        <v>855.91517102339697</v>
      </c>
      <c r="L12" s="204">
        <f>'SER_se-appl'!L48</f>
        <v>858.11312376647459</v>
      </c>
      <c r="M12" s="204">
        <f>'SER_se-appl'!M48</f>
        <v>859.50984189988424</v>
      </c>
      <c r="N12" s="204">
        <f>'SER_se-appl'!N48</f>
        <v>860.84368951892668</v>
      </c>
      <c r="O12" s="204">
        <f>'SER_se-appl'!O48</f>
        <v>862.12016895796796</v>
      </c>
      <c r="P12" s="204">
        <f>'SER_se-appl'!P48</f>
        <v>863.34408697646484</v>
      </c>
      <c r="Q12" s="204">
        <f>'SER_se-appl'!Q48</f>
        <v>864.51966754038403</v>
      </c>
      <c r="R12" s="204">
        <f>'SER_se-appl'!R48</f>
        <v>860.41410649236593</v>
      </c>
      <c r="S12" s="204">
        <f>'SER_se-appl'!S48</f>
        <v>874.36614083669394</v>
      </c>
      <c r="T12" s="204">
        <f>'SER_se-appl'!T48</f>
        <v>868.51224150308838</v>
      </c>
      <c r="U12" s="204">
        <f>'SER_se-appl'!U48</f>
        <v>861.16300662193328</v>
      </c>
      <c r="V12" s="204">
        <f>'SER_se-appl'!V48</f>
        <v>844.71779931833441</v>
      </c>
      <c r="W12" s="204">
        <f>'SER_se-appl'!W48</f>
        <v>851.44294104414541</v>
      </c>
      <c r="X12" s="204">
        <f>'SER_se-appl'!X48</f>
        <v>856.73367295707976</v>
      </c>
      <c r="Y12" s="204">
        <f>'SER_se-appl'!Y48</f>
        <v>859.37903891354699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44.67673336570909</v>
      </c>
      <c r="C14" s="59">
        <f>'SER_se-appl'!C56</f>
        <v>44.463705953698117</v>
      </c>
      <c r="D14" s="59">
        <f>'SER_se-appl'!D56</f>
        <v>44.22267559888305</v>
      </c>
      <c r="E14" s="59">
        <f>'SER_se-appl'!E56</f>
        <v>43.919257641008485</v>
      </c>
      <c r="F14" s="59">
        <f>'SER_se-appl'!F56</f>
        <v>43.561128284834211</v>
      </c>
      <c r="G14" s="59">
        <f>'SER_se-appl'!G56</f>
        <v>43.160229076931174</v>
      </c>
      <c r="H14" s="59">
        <f>'SER_se-appl'!H56</f>
        <v>42.761134984606684</v>
      </c>
      <c r="I14" s="59">
        <f>'SER_se-appl'!I56</f>
        <v>42.380844862875989</v>
      </c>
      <c r="J14" s="59">
        <f>'SER_se-appl'!J56</f>
        <v>42.038827549817775</v>
      </c>
      <c r="K14" s="59">
        <f>'SER_se-appl'!K56</f>
        <v>41.737890350130506</v>
      </c>
      <c r="L14" s="59">
        <f>'SER_se-appl'!L56</f>
        <v>41.390763798938757</v>
      </c>
      <c r="M14" s="59">
        <f>'SER_se-appl'!M56</f>
        <v>40.986603510956812</v>
      </c>
      <c r="N14" s="59">
        <f>'SER_se-appl'!N56</f>
        <v>40.529327969318409</v>
      </c>
      <c r="O14" s="59">
        <f>'SER_se-appl'!O56</f>
        <v>40.028969914480498</v>
      </c>
      <c r="P14" s="59">
        <f>'SER_se-appl'!P56</f>
        <v>39.438143486253601</v>
      </c>
      <c r="Q14" s="59">
        <f>'SER_se-appl'!Q56</f>
        <v>38.701103158359395</v>
      </c>
      <c r="R14" s="59">
        <f>'SER_se-appl'!R56</f>
        <v>38.240318944838535</v>
      </c>
      <c r="S14" s="59">
        <f>'SER_se-appl'!S56</f>
        <v>37.738852511126645</v>
      </c>
      <c r="T14" s="59">
        <f>'SER_se-appl'!T56</f>
        <v>37.114358746993375</v>
      </c>
      <c r="U14" s="59">
        <f>'SER_se-appl'!U56</f>
        <v>36.368605899360112</v>
      </c>
      <c r="V14" s="59">
        <f>'SER_se-appl'!V56</f>
        <v>35.575415989630201</v>
      </c>
      <c r="W14" s="59">
        <f>'SER_se-appl'!W56</f>
        <v>34.821003801412019</v>
      </c>
      <c r="X14" s="59">
        <f>'SER_se-appl'!X56</f>
        <v>34.112340396491959</v>
      </c>
      <c r="Y14" s="59">
        <f>'SER_se-appl'!Y56</f>
        <v>33.526198568209715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42.082094677402715</v>
      </c>
      <c r="D15" s="63">
        <f>'SER_se-appl'!D64</f>
        <v>41.79098013029563</v>
      </c>
      <c r="E15" s="63">
        <f>'SER_se-appl'!E64</f>
        <v>41.457077224241331</v>
      </c>
      <c r="F15" s="63">
        <f>'SER_se-appl'!F64</f>
        <v>41.130356189706028</v>
      </c>
      <c r="G15" s="63">
        <f>'SER_se-appl'!G64</f>
        <v>40.752301301205819</v>
      </c>
      <c r="H15" s="63">
        <f>'SER_se-appl'!H64</f>
        <v>40.354332147575327</v>
      </c>
      <c r="I15" s="63">
        <f>'SER_se-appl'!I64</f>
        <v>39.972987165802024</v>
      </c>
      <c r="J15" s="63">
        <f>'SER_se-appl'!J64</f>
        <v>39.508720588417745</v>
      </c>
      <c r="K15" s="63">
        <f>'SER_se-appl'!K64</f>
        <v>39.040075903923956</v>
      </c>
      <c r="L15" s="63">
        <f>'SER_se-appl'!L64</f>
        <v>38.423469756871128</v>
      </c>
      <c r="M15" s="63">
        <f>'SER_se-appl'!M64</f>
        <v>37.649610843858675</v>
      </c>
      <c r="N15" s="63">
        <f>'SER_se-appl'!N64</f>
        <v>36.800026296046035</v>
      </c>
      <c r="O15" s="63">
        <f>'SER_se-appl'!O64</f>
        <v>35.89389449932267</v>
      </c>
      <c r="P15" s="63">
        <f>'SER_se-appl'!P64</f>
        <v>34.891644978749511</v>
      </c>
      <c r="Q15" s="63">
        <f>'SER_se-appl'!Q64</f>
        <v>33.897849378332914</v>
      </c>
      <c r="R15" s="63">
        <f>'SER_se-appl'!R64</f>
        <v>33.471518024258295</v>
      </c>
      <c r="S15" s="63">
        <f>'SER_se-appl'!S64</f>
        <v>32.964260486627815</v>
      </c>
      <c r="T15" s="63">
        <f>'SER_se-appl'!T64</f>
        <v>32.49658300658389</v>
      </c>
      <c r="U15" s="63">
        <f>'SER_se-appl'!U64</f>
        <v>32.044414028551721</v>
      </c>
      <c r="V15" s="63">
        <f>'SER_se-appl'!V64</f>
        <v>31.595294354258037</v>
      </c>
      <c r="W15" s="63">
        <f>'SER_se-appl'!W64</f>
        <v>31.279341410715457</v>
      </c>
      <c r="X15" s="63">
        <f>'SER_se-appl'!X64</f>
        <v>30.963388467172877</v>
      </c>
      <c r="Y15" s="63">
        <f>'SER_se-appl'!Y64</f>
        <v>30.647435523630296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255.47637047004511</v>
      </c>
      <c r="C3" s="198">
        <f>'SER_se-appl'!C9</f>
        <v>285.38924799843778</v>
      </c>
      <c r="D3" s="198">
        <f>'SER_se-appl'!D9</f>
        <v>317.02724740198789</v>
      </c>
      <c r="E3" s="198">
        <f>'SER_se-appl'!E9</f>
        <v>348.86182577880817</v>
      </c>
      <c r="F3" s="198">
        <f>'SER_se-appl'!F9</f>
        <v>381.48119539476761</v>
      </c>
      <c r="G3" s="198">
        <f>'SER_se-appl'!G9</f>
        <v>412.22246182085564</v>
      </c>
      <c r="H3" s="198">
        <f>'SER_se-appl'!H9</f>
        <v>438.55605389983708</v>
      </c>
      <c r="I3" s="198">
        <f>'SER_se-appl'!I9</f>
        <v>460.65072548122515</v>
      </c>
      <c r="J3" s="198">
        <f>'SER_se-appl'!J9</f>
        <v>479.55681900125876</v>
      </c>
      <c r="K3" s="198">
        <f>'SER_se-appl'!K9</f>
        <v>496.63291081516121</v>
      </c>
      <c r="L3" s="198">
        <f>'SER_se-appl'!L9</f>
        <v>514.26041293476715</v>
      </c>
      <c r="M3" s="198">
        <f>'SER_se-appl'!M9</f>
        <v>533.29059100602763</v>
      </c>
      <c r="N3" s="198">
        <f>'SER_se-appl'!N9</f>
        <v>540.90403679073597</v>
      </c>
      <c r="O3" s="198">
        <f>'SER_se-appl'!O9</f>
        <v>557.33780485911348</v>
      </c>
      <c r="P3" s="198">
        <f>'SER_se-appl'!P9</f>
        <v>584.77790151298893</v>
      </c>
      <c r="Q3" s="198">
        <f>'SER_se-appl'!Q9</f>
        <v>624.18069779914356</v>
      </c>
      <c r="R3" s="198">
        <f>'SER_se-appl'!R9</f>
        <v>639.51843396227321</v>
      </c>
      <c r="S3" s="198">
        <f>'SER_se-appl'!S9</f>
        <v>649.16793301589712</v>
      </c>
      <c r="T3" s="198">
        <f>'SER_se-appl'!T9</f>
        <v>653.08969800986677</v>
      </c>
      <c r="U3" s="198">
        <f>'SER_se-appl'!U9</f>
        <v>662.58970409209189</v>
      </c>
      <c r="V3" s="198">
        <f>'SER_se-appl'!V9</f>
        <v>672.67359040770202</v>
      </c>
      <c r="W3" s="198">
        <f>'SER_se-appl'!W9</f>
        <v>687.94160262329297</v>
      </c>
      <c r="X3" s="198">
        <f>'SER_se-appl'!X9</f>
        <v>701.96403029220244</v>
      </c>
      <c r="Y3" s="198">
        <f>'SER_se-appl'!Y9</f>
        <v>716.38733582581926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1073.7586275512574</v>
      </c>
      <c r="C5" s="59">
        <f>'SER_se-appl'!C17</f>
        <v>1126.2083798005146</v>
      </c>
      <c r="D5" s="59">
        <f>'SER_se-appl'!D17</f>
        <v>1183.3897490657841</v>
      </c>
      <c r="E5" s="59">
        <f>'SER_se-appl'!E17</f>
        <v>1246.3146586492192</v>
      </c>
      <c r="F5" s="59">
        <f>'SER_se-appl'!F17</f>
        <v>1319.5118790170345</v>
      </c>
      <c r="G5" s="59">
        <f>'SER_se-appl'!G17</f>
        <v>1391.2594922913349</v>
      </c>
      <c r="H5" s="59">
        <f>'SER_se-appl'!H17</f>
        <v>1450.0439894363785</v>
      </c>
      <c r="I5" s="59">
        <f>'SER_se-appl'!I17</f>
        <v>1495.1730587790719</v>
      </c>
      <c r="J5" s="59">
        <f>'SER_se-appl'!J17</f>
        <v>1526.3639102571167</v>
      </c>
      <c r="K5" s="59">
        <f>'SER_se-appl'!K17</f>
        <v>1551.6220187948011</v>
      </c>
      <c r="L5" s="59">
        <f>'SER_se-appl'!L17</f>
        <v>1574.4371463323034</v>
      </c>
      <c r="M5" s="59">
        <f>'SER_se-appl'!M17</f>
        <v>1600.8723071987029</v>
      </c>
      <c r="N5" s="59">
        <f>'SER_se-appl'!N17</f>
        <v>1618.0743748933924</v>
      </c>
      <c r="O5" s="59">
        <f>'SER_se-appl'!O17</f>
        <v>1664.3919635388315</v>
      </c>
      <c r="P5" s="59">
        <f>'SER_se-appl'!P17</f>
        <v>1752.2447134947561</v>
      </c>
      <c r="Q5" s="59">
        <f>'SER_se-appl'!Q17</f>
        <v>1896.903996448656</v>
      </c>
      <c r="R5" s="59">
        <f>'SER_se-appl'!R17</f>
        <v>1931.4315804600917</v>
      </c>
      <c r="S5" s="59">
        <f>'SER_se-appl'!S17</f>
        <v>1952.2178523550622</v>
      </c>
      <c r="T5" s="59">
        <f>'SER_se-appl'!T17</f>
        <v>1969.0146077614606</v>
      </c>
      <c r="U5" s="59">
        <f>'SER_se-appl'!U17</f>
        <v>1991.3820488905412</v>
      </c>
      <c r="V5" s="59">
        <f>'SER_se-appl'!V17</f>
        <v>2012.3846421922265</v>
      </c>
      <c r="W5" s="59">
        <f>'SER_se-appl'!W17</f>
        <v>2043.4033939066805</v>
      </c>
      <c r="X5" s="59">
        <f>'SER_se-appl'!X17</f>
        <v>2071.3164650322228</v>
      </c>
      <c r="Y5" s="59">
        <f>'SER_se-appl'!Y17</f>
        <v>2101.6145953455534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0.18377669474040498</v>
      </c>
      <c r="C6" s="201">
        <f>'SER_se-appl'!C73</f>
        <v>0.19564164206503976</v>
      </c>
      <c r="D6" s="201">
        <f>'SER_se-appl'!D73</f>
        <v>0.21058364886340361</v>
      </c>
      <c r="E6" s="201">
        <f>'SER_se-appl'!E73</f>
        <v>0.22885447260429789</v>
      </c>
      <c r="F6" s="201">
        <f>'SER_se-appl'!F73</f>
        <v>0.25188589310344844</v>
      </c>
      <c r="G6" s="201">
        <f>'SER_se-appl'!G73</f>
        <v>0.27733886802638064</v>
      </c>
      <c r="H6" s="201">
        <f>'SER_se-appl'!H73</f>
        <v>0.30314178220157934</v>
      </c>
      <c r="I6" s="201">
        <f>'SER_se-appl'!I73</f>
        <v>0.32939106331820889</v>
      </c>
      <c r="J6" s="201">
        <f>'SER_se-appl'!J73</f>
        <v>0.35649358402195647</v>
      </c>
      <c r="K6" s="201">
        <f>'SER_se-appl'!K73</f>
        <v>0.38712057405139882</v>
      </c>
      <c r="L6" s="201">
        <f>'SER_se-appl'!L73</f>
        <v>0.42286660532726289</v>
      </c>
      <c r="M6" s="201">
        <f>'SER_se-appl'!M73</f>
        <v>0.46677457861978416</v>
      </c>
      <c r="N6" s="201">
        <f>'SER_se-appl'!N73</f>
        <v>0.50825452029131124</v>
      </c>
      <c r="O6" s="201">
        <f>'SER_se-appl'!O73</f>
        <v>0.55859605013911762</v>
      </c>
      <c r="P6" s="201">
        <f>'SER_se-appl'!P73</f>
        <v>0.62034162577617658</v>
      </c>
      <c r="Q6" s="201">
        <f>'SER_se-appl'!Q73</f>
        <v>0.69695875105208138</v>
      </c>
      <c r="R6" s="201">
        <f>'SER_se-appl'!R73</f>
        <v>0.72939036831947079</v>
      </c>
      <c r="S6" s="201">
        <f>'SER_se-appl'!S73</f>
        <v>0.75055458839682432</v>
      </c>
      <c r="T6" s="201">
        <f>'SER_se-appl'!T73</f>
        <v>0.77006838816037759</v>
      </c>
      <c r="U6" s="201">
        <f>'SER_se-appl'!U73</f>
        <v>0.79511948951386491</v>
      </c>
      <c r="V6" s="201">
        <f>'SER_se-appl'!V73</f>
        <v>0.82263079473572642</v>
      </c>
      <c r="W6" s="201">
        <f>'SER_se-appl'!W73</f>
        <v>0.85319788897436422</v>
      </c>
      <c r="X6" s="201">
        <f>'SER_se-appl'!X73</f>
        <v>0.87744621222574781</v>
      </c>
      <c r="Y6" s="201">
        <f>'SER_se-appl'!Y73</f>
        <v>0.89719900882845138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2915.4242965270478</v>
      </c>
      <c r="C8" s="34">
        <f>'SER_se-appl'!C25</f>
        <v>3127.7376048169453</v>
      </c>
      <c r="D8" s="34">
        <f>'SER_se-appl'!D25</f>
        <v>3391.5096812850416</v>
      </c>
      <c r="E8" s="34">
        <f>'SER_se-appl'!E25</f>
        <v>3705.7425251671211</v>
      </c>
      <c r="F8" s="34">
        <f>'SER_se-appl'!F25</f>
        <v>4095.1689104244442</v>
      </c>
      <c r="G8" s="34">
        <f>'SER_se-appl'!G25</f>
        <v>4522.1561234147184</v>
      </c>
      <c r="H8" s="34">
        <f>'SER_se-appl'!H25</f>
        <v>4951.5815302548599</v>
      </c>
      <c r="I8" s="34">
        <f>'SER_se-appl'!I25</f>
        <v>5388.1763786307547</v>
      </c>
      <c r="J8" s="34">
        <f>'SER_se-appl'!J25</f>
        <v>5848.4194868202212</v>
      </c>
      <c r="K8" s="34">
        <f>'SER_se-appl'!K25</f>
        <v>6381.987327129088</v>
      </c>
      <c r="L8" s="34">
        <f>'SER_se-appl'!L25</f>
        <v>7009.0093317667233</v>
      </c>
      <c r="M8" s="34">
        <f>'SER_se-appl'!M25</f>
        <v>7774.5035598008226</v>
      </c>
      <c r="N8" s="34">
        <f>'SER_se-appl'!N25</f>
        <v>8503.2749970466975</v>
      </c>
      <c r="O8" s="34">
        <f>'SER_se-appl'!O25</f>
        <v>9373.0043180130851</v>
      </c>
      <c r="P8" s="34">
        <f>'SER_se-appl'!P25</f>
        <v>10439.908498917124</v>
      </c>
      <c r="Q8" s="34">
        <f>'SER_se-appl'!Q25</f>
        <v>11779.108884833438</v>
      </c>
      <c r="R8" s="34">
        <f>'SER_se-appl'!R25</f>
        <v>12384.406590540493</v>
      </c>
      <c r="S8" s="34">
        <f>'SER_se-appl'!S25</f>
        <v>12820.603455582474</v>
      </c>
      <c r="T8" s="34">
        <f>'SER_se-appl'!T25</f>
        <v>13230.609662728053</v>
      </c>
      <c r="U8" s="34">
        <f>'SER_se-appl'!U25</f>
        <v>13741.384622255404</v>
      </c>
      <c r="V8" s="34">
        <f>'SER_se-appl'!V25</f>
        <v>14320.01548297971</v>
      </c>
      <c r="W8" s="34">
        <f>'SER_se-appl'!W25</f>
        <v>14909.987186950939</v>
      </c>
      <c r="X8" s="34">
        <f>'SER_se-appl'!X25</f>
        <v>15434.868516905521</v>
      </c>
      <c r="Y8" s="34">
        <f>'SER_se-appl'!Y25</f>
        <v>15980.272631155116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795.39816759530731</v>
      </c>
      <c r="D9" s="36">
        <f>'SER_se-appl'!D33</f>
        <v>846.85693577350594</v>
      </c>
      <c r="E9" s="36">
        <f>'SER_se-appl'!E33</f>
        <v>897.31770318748931</v>
      </c>
      <c r="F9" s="36">
        <f>'SER_se-appl'!F33</f>
        <v>972.51124456273283</v>
      </c>
      <c r="G9" s="36">
        <f>'SER_se-appl'!G33</f>
        <v>1010.0720722956839</v>
      </c>
      <c r="H9" s="36">
        <f>'SER_se-appl'!H33</f>
        <v>1224.8235744354488</v>
      </c>
      <c r="I9" s="36">
        <f>'SER_se-appl'!I33</f>
        <v>1283.4517841494007</v>
      </c>
      <c r="J9" s="36">
        <f>'SER_se-appl'!J33</f>
        <v>1357.5608113769558</v>
      </c>
      <c r="K9" s="36">
        <f>'SER_se-appl'!K33</f>
        <v>1506.0790848715997</v>
      </c>
      <c r="L9" s="36">
        <f>'SER_se-appl'!L33</f>
        <v>1637.0940769333192</v>
      </c>
      <c r="M9" s="36">
        <f>'SER_se-appl'!M33</f>
        <v>1990.317802469548</v>
      </c>
      <c r="N9" s="36">
        <f>'SER_se-appl'!N33</f>
        <v>2012.2232213952757</v>
      </c>
      <c r="O9" s="36">
        <f>'SER_se-appl'!O33</f>
        <v>2227.2901323433434</v>
      </c>
      <c r="P9" s="36">
        <f>'SER_se-appl'!P33</f>
        <v>2572.9832657756388</v>
      </c>
      <c r="Q9" s="36">
        <f>'SER_se-appl'!Q33</f>
        <v>2976.2944628496334</v>
      </c>
      <c r="R9" s="36">
        <f>'SER_se-appl'!R33</f>
        <v>2595.6155081766028</v>
      </c>
      <c r="S9" s="36">
        <f>'SER_se-appl'!S33</f>
        <v>2448.420086437256</v>
      </c>
      <c r="T9" s="36">
        <f>'SER_se-appl'!T33</f>
        <v>2637.296339488923</v>
      </c>
      <c r="U9" s="36">
        <f>'SER_se-appl'!U33</f>
        <v>3083.7582253029886</v>
      </c>
      <c r="V9" s="36">
        <f>'SER_se-appl'!V33</f>
        <v>3554.9253235739397</v>
      </c>
      <c r="W9" s="36">
        <f>'SER_se-appl'!W33</f>
        <v>3185.5872121478315</v>
      </c>
      <c r="X9" s="36">
        <f>'SER_se-appl'!X33</f>
        <v>2973.3014163918378</v>
      </c>
      <c r="Y9" s="36">
        <f>'SER_se-appl'!Y33</f>
        <v>3182.7004537385183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583.08485930540974</v>
      </c>
      <c r="D10" s="38">
        <f>'SER_se-appl'!D41</f>
        <v>583.08485930540974</v>
      </c>
      <c r="E10" s="38">
        <f>'SER_se-appl'!E41</f>
        <v>583.08485930540974</v>
      </c>
      <c r="F10" s="38">
        <f>'SER_se-appl'!F41</f>
        <v>583.08485930540974</v>
      </c>
      <c r="G10" s="38">
        <f>'SER_se-appl'!G41</f>
        <v>583.08485930540974</v>
      </c>
      <c r="H10" s="38">
        <f>'SER_se-appl'!H41</f>
        <v>795.39816759530731</v>
      </c>
      <c r="I10" s="38">
        <f>'SER_se-appl'!I41</f>
        <v>846.85693577350594</v>
      </c>
      <c r="J10" s="38">
        <f>'SER_se-appl'!J41</f>
        <v>897.31770318748931</v>
      </c>
      <c r="K10" s="38">
        <f>'SER_se-appl'!K41</f>
        <v>972.51124456273283</v>
      </c>
      <c r="L10" s="38">
        <f>'SER_se-appl'!L41</f>
        <v>1010.0720722956839</v>
      </c>
      <c r="M10" s="38">
        <f>'SER_se-appl'!M41</f>
        <v>1224.8235744354488</v>
      </c>
      <c r="N10" s="38">
        <f>'SER_se-appl'!N41</f>
        <v>1283.4517841494016</v>
      </c>
      <c r="O10" s="38">
        <f>'SER_se-appl'!O41</f>
        <v>1357.5608113769558</v>
      </c>
      <c r="P10" s="38">
        <f>'SER_se-appl'!P41</f>
        <v>1506.0790848715988</v>
      </c>
      <c r="Q10" s="38">
        <f>'SER_se-appl'!Q41</f>
        <v>1637.0940769333192</v>
      </c>
      <c r="R10" s="38">
        <f>'SER_se-appl'!R41</f>
        <v>1990.317802469548</v>
      </c>
      <c r="S10" s="38">
        <f>'SER_se-appl'!S41</f>
        <v>2012.2232213952757</v>
      </c>
      <c r="T10" s="38">
        <f>'SER_se-appl'!T41</f>
        <v>2227.2901323433434</v>
      </c>
      <c r="U10" s="38">
        <f>'SER_se-appl'!U41</f>
        <v>2572.9832657756378</v>
      </c>
      <c r="V10" s="38">
        <f>'SER_se-appl'!V41</f>
        <v>2976.2944628496334</v>
      </c>
      <c r="W10" s="38">
        <f>'SER_se-appl'!W41</f>
        <v>2595.6155081766028</v>
      </c>
      <c r="X10" s="38">
        <f>'SER_se-appl'!X41</f>
        <v>2448.4200864372579</v>
      </c>
      <c r="Y10" s="38">
        <f>'SER_se-appl'!Y41</f>
        <v>2637.296339488923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2767.0931923895446</v>
      </c>
      <c r="C12" s="204">
        <f>'SER_se-appl'!C49</f>
        <v>2947.1250736118122</v>
      </c>
      <c r="D12" s="204">
        <f>'SER_se-appl'!D49</f>
        <v>3115.6488301473014</v>
      </c>
      <c r="E12" s="204">
        <f>'SER_se-appl'!E49</f>
        <v>3255.4082595842065</v>
      </c>
      <c r="F12" s="204">
        <f>'SER_se-appl'!F49</f>
        <v>3362.3238812720624</v>
      </c>
      <c r="G12" s="204">
        <f>'SER_se-appl'!G49</f>
        <v>3445.9044179320063</v>
      </c>
      <c r="H12" s="204">
        <f>'SER_se-appl'!H49</f>
        <v>3517.415294992255</v>
      </c>
      <c r="I12" s="204">
        <f>'SER_se-appl'!I49</f>
        <v>3583.108929023485</v>
      </c>
      <c r="J12" s="204">
        <f>'SER_se-appl'!J49</f>
        <v>3653.9423970297817</v>
      </c>
      <c r="K12" s="204">
        <f>'SER_se-appl'!K49</f>
        <v>3722.4534601968471</v>
      </c>
      <c r="L12" s="204">
        <f>'SER_se-appl'!L49</f>
        <v>3798.7217313589817</v>
      </c>
      <c r="M12" s="204">
        <f>'SER_se-appl'!M49</f>
        <v>3874.2437766651169</v>
      </c>
      <c r="N12" s="204">
        <f>'SER_se-appl'!N49</f>
        <v>3887.777994315451</v>
      </c>
      <c r="O12" s="204">
        <f>'SER_se-appl'!O49</f>
        <v>3894.4183897222138</v>
      </c>
      <c r="P12" s="204">
        <f>'SER_se-appl'!P49</f>
        <v>3881.2883510042984</v>
      </c>
      <c r="Q12" s="204">
        <f>'SER_se-appl'!Q49</f>
        <v>3826.8787081447467</v>
      </c>
      <c r="R12" s="204">
        <f>'SER_se-appl'!R49</f>
        <v>3850.8220856622352</v>
      </c>
      <c r="S12" s="204">
        <f>'SER_se-appl'!S49</f>
        <v>3867.3056144154903</v>
      </c>
      <c r="T12" s="204">
        <f>'SER_se-appl'!T49</f>
        <v>3857.4793492720041</v>
      </c>
      <c r="U12" s="204">
        <f>'SER_se-appl'!U49</f>
        <v>3869.6332845242969</v>
      </c>
      <c r="V12" s="204">
        <f>'SER_se-appl'!V49</f>
        <v>3887.5241305356226</v>
      </c>
      <c r="W12" s="204">
        <f>'SER_se-appl'!W49</f>
        <v>3915.4093911983987</v>
      </c>
      <c r="X12" s="204">
        <f>'SER_se-appl'!X49</f>
        <v>3941.3782539363501</v>
      </c>
      <c r="Y12" s="204">
        <f>'SER_se-appl'!Y49</f>
        <v>3964.3732652534113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368.30269571065696</v>
      </c>
      <c r="C14" s="59">
        <f>'SER_se-appl'!C57</f>
        <v>360.07124704645014</v>
      </c>
      <c r="D14" s="59">
        <f>'SER_se-appl'!D57</f>
        <v>348.92713283289174</v>
      </c>
      <c r="E14" s="59">
        <f>'SER_se-appl'!E57</f>
        <v>336.31981989709686</v>
      </c>
      <c r="F14" s="59">
        <f>'SER_se-appl'!F57</f>
        <v>322.21183249808212</v>
      </c>
      <c r="G14" s="59">
        <f>'SER_se-appl'!G57</f>
        <v>307.65401598757347</v>
      </c>
      <c r="H14" s="59">
        <f>'SER_se-appl'!H57</f>
        <v>292.84461551857839</v>
      </c>
      <c r="I14" s="59">
        <f>'SER_se-appl'!I57</f>
        <v>277.49148389218573</v>
      </c>
      <c r="J14" s="59">
        <f>'SER_se-appl'!J57</f>
        <v>260.98741954076195</v>
      </c>
      <c r="K14" s="59">
        <f>'SER_se-appl'!K57</f>
        <v>243.1252115150771</v>
      </c>
      <c r="L14" s="59">
        <f>'SER_se-appl'!L57</f>
        <v>224.63048225610561</v>
      </c>
      <c r="M14" s="59">
        <f>'SER_se-appl'!M57</f>
        <v>205.91312292610436</v>
      </c>
      <c r="N14" s="59">
        <f>'SER_se-appl'!N57</f>
        <v>190.2883742387929</v>
      </c>
      <c r="O14" s="59">
        <f>'SER_se-appl'!O57</f>
        <v>177.57294321738388</v>
      </c>
      <c r="P14" s="59">
        <f>'SER_se-appl'!P57</f>
        <v>167.841002981636</v>
      </c>
      <c r="Q14" s="59">
        <f>'SER_se-appl'!Q57</f>
        <v>161.03968602336926</v>
      </c>
      <c r="R14" s="59">
        <f>'SER_se-appl'!R57</f>
        <v>155.95673206783809</v>
      </c>
      <c r="S14" s="59">
        <f>'SER_se-appl'!S57</f>
        <v>152.27191599198932</v>
      </c>
      <c r="T14" s="59">
        <f>'SER_se-appl'!T57</f>
        <v>148.8226663740501</v>
      </c>
      <c r="U14" s="59">
        <f>'SER_se-appl'!U57</f>
        <v>144.91858743734744</v>
      </c>
      <c r="V14" s="59">
        <f>'SER_se-appl'!V57</f>
        <v>140.52950184195535</v>
      </c>
      <c r="W14" s="59">
        <f>'SER_se-appl'!W57</f>
        <v>137.04930583005768</v>
      </c>
      <c r="X14" s="59">
        <f>'SER_se-appl'!X57</f>
        <v>134.19722123084813</v>
      </c>
      <c r="Y14" s="59">
        <f>'SER_se-appl'!Y57</f>
        <v>131.5130626274954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335.934238530279</v>
      </c>
      <c r="D15" s="63">
        <f>'SER_se-appl'!D65</f>
        <v>321.10865872184337</v>
      </c>
      <c r="E15" s="63">
        <f>'SER_se-appl'!E65</f>
        <v>309.4518631553932</v>
      </c>
      <c r="F15" s="63">
        <f>'SER_se-appl'!F65</f>
        <v>296.08803752961921</v>
      </c>
      <c r="G15" s="63">
        <f>'SER_se-appl'!G65</f>
        <v>283.64247130741728</v>
      </c>
      <c r="H15" s="63">
        <f>'SER_se-appl'!H65</f>
        <v>266.14933098002058</v>
      </c>
      <c r="I15" s="63">
        <f>'SER_se-appl'!I65</f>
        <v>247.03862508426434</v>
      </c>
      <c r="J15" s="63">
        <f>'SER_se-appl'!J65</f>
        <v>227.51650164271555</v>
      </c>
      <c r="K15" s="63">
        <f>'SER_se-appl'!K65</f>
        <v>207.96189095372338</v>
      </c>
      <c r="L15" s="63">
        <f>'SER_se-appl'!L65</f>
        <v>188.94116757265212</v>
      </c>
      <c r="M15" s="63">
        <f>'SER_se-appl'!M65</f>
        <v>177.06777045036421</v>
      </c>
      <c r="N15" s="63">
        <f>'SER_se-appl'!N65</f>
        <v>166.11687424078372</v>
      </c>
      <c r="O15" s="63">
        <f>'SER_se-appl'!O65</f>
        <v>159.46960391885654</v>
      </c>
      <c r="P15" s="63">
        <f>'SER_se-appl'!P65</f>
        <v>155.87346008283291</v>
      </c>
      <c r="Q15" s="63">
        <f>'SER_se-appl'!Q65</f>
        <v>152.52985043734552</v>
      </c>
      <c r="R15" s="63">
        <f>'SER_se-appl'!R65</f>
        <v>149.07782703695401</v>
      </c>
      <c r="S15" s="63">
        <f>'SER_se-appl'!S65</f>
        <v>145.01208582409362</v>
      </c>
      <c r="T15" s="63">
        <f>'SER_se-appl'!T65</f>
        <v>141.04665640102266</v>
      </c>
      <c r="U15" s="63">
        <f>'SER_se-appl'!U65</f>
        <v>137.30883375565341</v>
      </c>
      <c r="V15" s="63">
        <f>'SER_se-appl'!V65</f>
        <v>133.61077922731786</v>
      </c>
      <c r="W15" s="63">
        <f>'SER_se-appl'!W65</f>
        <v>131.20578520122615</v>
      </c>
      <c r="X15" s="63">
        <f>'SER_se-appl'!X65</f>
        <v>128.80079117513441</v>
      </c>
      <c r="Y15" s="63">
        <f>'SER_se-appl'!Y65</f>
        <v>126.39579714904269</v>
      </c>
      <c r="DA15" s="105" t="s">
        <v>957</v>
      </c>
    </row>
    <row r="17" spans="1:105" ht="12" customHeight="1" x14ac:dyDescent="0.25">
      <c r="A17" s="197" t="s">
        <v>184</v>
      </c>
      <c r="B17" s="198">
        <v>138.6500429922614</v>
      </c>
      <c r="C17" s="198">
        <v>167.6261145921946</v>
      </c>
      <c r="D17" s="198">
        <v>196.76910210956683</v>
      </c>
      <c r="E17" s="198">
        <v>225.19623291841745</v>
      </c>
      <c r="F17" s="198">
        <v>252.37209320259419</v>
      </c>
      <c r="G17" s="198">
        <v>277.30008598452264</v>
      </c>
      <c r="H17" s="198">
        <v>298.55180646237659</v>
      </c>
      <c r="I17" s="198">
        <v>317.43495711407866</v>
      </c>
      <c r="J17" s="198">
        <v>335.03805374512143</v>
      </c>
      <c r="K17" s="198">
        <v>352.07349257220108</v>
      </c>
      <c r="L17" s="198">
        <v>369.73344797936358</v>
      </c>
      <c r="M17" s="198">
        <v>388.76440240756654</v>
      </c>
      <c r="N17" s="198">
        <v>393.89509888220158</v>
      </c>
      <c r="O17" s="198">
        <v>404.64918314703294</v>
      </c>
      <c r="P17" s="198">
        <v>420.71711092003432</v>
      </c>
      <c r="Q17" s="198">
        <v>439.4608770421321</v>
      </c>
      <c r="R17" s="198">
        <v>451.76268271711075</v>
      </c>
      <c r="S17" s="198">
        <v>454.02149613069628</v>
      </c>
      <c r="T17" s="198">
        <v>454.89079965606163</v>
      </c>
      <c r="U17" s="198">
        <v>462.75727687721508</v>
      </c>
      <c r="V17" s="198">
        <v>475.7897463652132</v>
      </c>
      <c r="W17" s="198">
        <v>489.09314325386885</v>
      </c>
      <c r="X17" s="198">
        <v>502.52952758632404</v>
      </c>
      <c r="Y17" s="198">
        <v>516.04356113212805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16851.36246180375</v>
      </c>
      <c r="C3" s="219">
        <v>16806.844511896601</v>
      </c>
      <c r="D3" s="219">
        <v>15697.94161836799</v>
      </c>
      <c r="E3" s="219">
        <v>15568.77722339741</v>
      </c>
      <c r="F3" s="219">
        <v>14438.55111921171</v>
      </c>
      <c r="G3" s="219">
        <v>14725.809302221531</v>
      </c>
      <c r="H3" s="219">
        <v>15978.008968903439</v>
      </c>
      <c r="I3" s="219">
        <v>15494.99868652891</v>
      </c>
      <c r="J3" s="219">
        <v>14315.942897780749</v>
      </c>
      <c r="K3" s="219">
        <v>13051.100029114499</v>
      </c>
      <c r="L3" s="219">
        <v>15121.53533682186</v>
      </c>
      <c r="M3" s="219">
        <v>13763.686576405509</v>
      </c>
      <c r="N3" s="219">
        <v>14456.06963706108</v>
      </c>
      <c r="O3" s="219">
        <v>15809.918423956509</v>
      </c>
      <c r="P3" s="219">
        <v>15709.50077306305</v>
      </c>
      <c r="Q3" s="219">
        <v>16060.78638</v>
      </c>
      <c r="R3" s="219">
        <v>17005.649678800859</v>
      </c>
      <c r="S3" s="219">
        <v>18449.004564596398</v>
      </c>
      <c r="T3" s="219">
        <v>16886.963691942081</v>
      </c>
      <c r="U3" s="219">
        <v>17327.420549057679</v>
      </c>
      <c r="V3" s="219">
        <v>16461.65606780837</v>
      </c>
      <c r="W3" s="219">
        <v>16751.322507208981</v>
      </c>
      <c r="X3" s="219">
        <v>17455.545956856309</v>
      </c>
      <c r="Y3" s="219">
        <v>18393</v>
      </c>
      <c r="DA3" s="210" t="s">
        <v>974</v>
      </c>
    </row>
    <row r="5" spans="1:105" x14ac:dyDescent="0.25">
      <c r="A5" s="218" t="s">
        <v>120</v>
      </c>
      <c r="B5" s="219">
        <v>40034.63453857979</v>
      </c>
      <c r="C5" s="219">
        <v>40108.513787542848</v>
      </c>
      <c r="D5" s="219">
        <v>35803.560049121821</v>
      </c>
      <c r="E5" s="219">
        <v>33806.363039308359</v>
      </c>
      <c r="F5" s="219">
        <v>34672.812959278512</v>
      </c>
      <c r="G5" s="219">
        <v>31042.85579413292</v>
      </c>
      <c r="H5" s="219">
        <v>28515.536181269192</v>
      </c>
      <c r="I5" s="219">
        <v>31475.947701666839</v>
      </c>
      <c r="J5" s="219">
        <v>30293.581029711411</v>
      </c>
      <c r="K5" s="219">
        <v>27130.547338231601</v>
      </c>
      <c r="L5" s="219">
        <v>33007.793462934853</v>
      </c>
      <c r="M5" s="219">
        <v>32670.78170741798</v>
      </c>
      <c r="N5" s="219">
        <v>32512.021427805688</v>
      </c>
      <c r="O5" s="219">
        <v>32911.083647968793</v>
      </c>
      <c r="P5" s="219">
        <v>31741.109847606669</v>
      </c>
      <c r="Q5" s="219">
        <v>32871.882403096883</v>
      </c>
      <c r="R5" s="219">
        <v>32543.564261607651</v>
      </c>
      <c r="S5" s="219">
        <v>35162.783605599041</v>
      </c>
      <c r="T5" s="219">
        <v>35849.134923600694</v>
      </c>
      <c r="U5" s="219">
        <v>36307.037500841427</v>
      </c>
      <c r="V5" s="219">
        <v>33468.420410117382</v>
      </c>
      <c r="W5" s="219">
        <v>34620.806721183217</v>
      </c>
      <c r="X5" s="219">
        <v>30780.36919619131</v>
      </c>
      <c r="Y5" s="219">
        <v>30526.620137740199</v>
      </c>
      <c r="DA5" s="210" t="s">
        <v>975</v>
      </c>
    </row>
    <row r="6" spans="1:105" x14ac:dyDescent="0.25">
      <c r="A6" s="220" t="s">
        <v>119</v>
      </c>
      <c r="B6" s="221">
        <v>50043.293173224738</v>
      </c>
      <c r="C6" s="221">
        <v>47541.128514563497</v>
      </c>
      <c r="D6" s="221">
        <v>45038.963855902271</v>
      </c>
      <c r="E6" s="221">
        <v>45038.963855902271</v>
      </c>
      <c r="F6" s="221">
        <v>42536.799197241038</v>
      </c>
      <c r="G6" s="221">
        <v>40034.634538579798</v>
      </c>
      <c r="H6" s="221">
        <v>40034.634538579798</v>
      </c>
      <c r="I6" s="221">
        <v>37532.469879918572</v>
      </c>
      <c r="J6" s="221">
        <v>35030.305221257338</v>
      </c>
      <c r="K6" s="221">
        <v>35030.305221257338</v>
      </c>
      <c r="L6" s="221">
        <v>35030.305221257338</v>
      </c>
      <c r="M6" s="221">
        <v>35030.305221257338</v>
      </c>
      <c r="N6" s="221">
        <v>35030.305221257338</v>
      </c>
      <c r="O6" s="221">
        <v>35030.305221257338</v>
      </c>
      <c r="P6" s="221">
        <v>35030.305221257338</v>
      </c>
      <c r="Q6" s="221">
        <v>35030.305221257338</v>
      </c>
      <c r="R6" s="221">
        <v>35030.305221257338</v>
      </c>
      <c r="S6" s="221">
        <v>37532.469879918572</v>
      </c>
      <c r="T6" s="221">
        <v>40034.634538579798</v>
      </c>
      <c r="U6" s="221">
        <v>40034.634538579798</v>
      </c>
      <c r="V6" s="221">
        <v>37532.469879918572</v>
      </c>
      <c r="W6" s="221">
        <v>37532.469879918572</v>
      </c>
      <c r="X6" s="221">
        <v>35030.305221257338</v>
      </c>
      <c r="Y6" s="221">
        <v>32528.140562596102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2502.1646586612369</v>
      </c>
      <c r="M7" s="225">
        <v>2502.1646586612369</v>
      </c>
      <c r="N7" s="225">
        <v>0</v>
      </c>
      <c r="O7" s="225">
        <v>2502.1646586612369</v>
      </c>
      <c r="P7" s="225">
        <v>2502.1646586612369</v>
      </c>
      <c r="Q7" s="225">
        <v>0</v>
      </c>
      <c r="R7" s="225">
        <v>2502.1646586612369</v>
      </c>
      <c r="S7" s="225">
        <v>5004.3293173224738</v>
      </c>
      <c r="T7" s="225">
        <v>2502.1646586612369</v>
      </c>
      <c r="U7" s="225">
        <v>2502.1646586612369</v>
      </c>
      <c r="V7" s="225">
        <v>0</v>
      </c>
      <c r="W7" s="225">
        <v>0</v>
      </c>
      <c r="X7" s="225">
        <v>0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2502.1646586612405</v>
      </c>
      <c r="D8" s="227">
        <f t="shared" ref="D8" si="1">IF(C6=0,0,C6+D7-D6)</f>
        <v>2502.164658661226</v>
      </c>
      <c r="E8" s="227">
        <f t="shared" ref="E8" si="2">IF(D6=0,0,D6+E7-E6)</f>
        <v>0</v>
      </c>
      <c r="F8" s="227">
        <f t="shared" ref="F8" si="3">IF(E6=0,0,E6+F7-F6)</f>
        <v>2502.1646586612333</v>
      </c>
      <c r="G8" s="227">
        <f t="shared" ref="G8" si="4">IF(F6=0,0,F6+G7-G6)</f>
        <v>2502.1646586612405</v>
      </c>
      <c r="H8" s="227">
        <f t="shared" ref="H8" si="5">IF(G6=0,0,G6+H7-H6)</f>
        <v>0</v>
      </c>
      <c r="I8" s="227">
        <f t="shared" ref="I8" si="6">IF(H6=0,0,H6+I7-I6)</f>
        <v>2502.164658661226</v>
      </c>
      <c r="J8" s="227">
        <f t="shared" ref="J8" si="7">IF(I6=0,0,I6+J7-J6)</f>
        <v>2502.1646586612333</v>
      </c>
      <c r="K8" s="227">
        <f t="shared" ref="K8" si="8">IF(J6=0,0,J6+K7-K6)</f>
        <v>0</v>
      </c>
      <c r="L8" s="227">
        <f t="shared" ref="L8" si="9">IF(K6=0,0,K6+L7-L6)</f>
        <v>2502.1646586612333</v>
      </c>
      <c r="M8" s="227">
        <f t="shared" ref="M8" si="10">IF(L6=0,0,L6+M7-M6)</f>
        <v>2502.1646586612333</v>
      </c>
      <c r="N8" s="227">
        <f t="shared" ref="N8" si="11">IF(M6=0,0,M6+N7-N6)</f>
        <v>0</v>
      </c>
      <c r="O8" s="227">
        <f t="shared" ref="O8" si="12">IF(N6=0,0,N6+O7-O6)</f>
        <v>2502.1646586612333</v>
      </c>
      <c r="P8" s="227">
        <f t="shared" ref="P8" si="13">IF(O6=0,0,O6+P7-P6)</f>
        <v>2502.1646586612333</v>
      </c>
      <c r="Q8" s="227">
        <f t="shared" ref="Q8" si="14">IF(P6=0,0,P6+Q7-Q6)</f>
        <v>0</v>
      </c>
      <c r="R8" s="227">
        <f t="shared" ref="R8" si="15">IF(Q6=0,0,Q6+R7-R6)</f>
        <v>2502.1646586612333</v>
      </c>
      <c r="S8" s="227">
        <f t="shared" ref="S8" si="16">IF(R6=0,0,R6+S7-S6)</f>
        <v>2502.1646586612405</v>
      </c>
      <c r="T8" s="227">
        <f t="shared" ref="T8" si="17">IF(S6=0,0,S6+T7-T6)</f>
        <v>7.2759576141834259E-12</v>
      </c>
      <c r="U8" s="227">
        <f t="shared" ref="U8" si="18">IF(T6=0,0,T6+U7-U6)</f>
        <v>2502.1646586612405</v>
      </c>
      <c r="V8" s="227">
        <f t="shared" ref="V8" si="19">IF(U6=0,0,U6+V7-V6)</f>
        <v>2502.164658661226</v>
      </c>
      <c r="W8" s="227">
        <f t="shared" ref="W8" si="20">IF(V6=0,0,V6+W7-W6)</f>
        <v>0</v>
      </c>
      <c r="X8" s="227">
        <f t="shared" ref="X8" si="21">IF(W6=0,0,W6+X7-X6)</f>
        <v>2502.1646586612333</v>
      </c>
      <c r="Y8" s="227">
        <f t="shared" ref="Y8" si="22">IF(X6=0,0,X6+Y7-Y6)</f>
        <v>2502.1646586612369</v>
      </c>
      <c r="DA8" s="213" t="s">
        <v>978</v>
      </c>
    </row>
    <row r="9" spans="1:105" x14ac:dyDescent="0.25">
      <c r="A9" s="222" t="s">
        <v>116</v>
      </c>
      <c r="B9" s="223">
        <f>B6-B5</f>
        <v>10008.658634644948</v>
      </c>
      <c r="C9" s="223">
        <f t="shared" ref="C9:W9" si="23">C6-C5</f>
        <v>7432.6147270206493</v>
      </c>
      <c r="D9" s="223">
        <f t="shared" si="23"/>
        <v>9235.4038067804504</v>
      </c>
      <c r="E9" s="223">
        <f t="shared" si="23"/>
        <v>11232.600816593913</v>
      </c>
      <c r="F9" s="223">
        <f t="shared" si="23"/>
        <v>7863.9862379625265</v>
      </c>
      <c r="G9" s="223">
        <f t="shared" si="23"/>
        <v>8991.7787444468777</v>
      </c>
      <c r="H9" s="223">
        <f t="shared" si="23"/>
        <v>11519.098357310606</v>
      </c>
      <c r="I9" s="223">
        <f t="shared" si="23"/>
        <v>6056.5221782517328</v>
      </c>
      <c r="J9" s="223">
        <f t="shared" si="23"/>
        <v>4736.7241915459272</v>
      </c>
      <c r="K9" s="223">
        <f t="shared" si="23"/>
        <v>7899.7578830257371</v>
      </c>
      <c r="L9" s="223">
        <f t="shared" si="23"/>
        <v>2022.5117583224855</v>
      </c>
      <c r="M9" s="223">
        <f t="shared" si="23"/>
        <v>2359.5235138393582</v>
      </c>
      <c r="N9" s="223">
        <f t="shared" si="23"/>
        <v>2518.2837934516501</v>
      </c>
      <c r="O9" s="223">
        <f t="shared" si="23"/>
        <v>2119.2215732885452</v>
      </c>
      <c r="P9" s="223">
        <f t="shared" si="23"/>
        <v>3289.1953736506694</v>
      </c>
      <c r="Q9" s="223">
        <f t="shared" si="23"/>
        <v>2158.4228181604558</v>
      </c>
      <c r="R9" s="223">
        <f t="shared" si="23"/>
        <v>2486.7409596496873</v>
      </c>
      <c r="S9" s="223">
        <f t="shared" si="23"/>
        <v>2369.6862743195306</v>
      </c>
      <c r="T9" s="223">
        <f t="shared" si="23"/>
        <v>4185.4996149791041</v>
      </c>
      <c r="U9" s="223">
        <f t="shared" si="23"/>
        <v>3727.597037738371</v>
      </c>
      <c r="V9" s="223">
        <f t="shared" si="23"/>
        <v>4064.0494698011898</v>
      </c>
      <c r="W9" s="223">
        <f t="shared" si="23"/>
        <v>2911.663158735355</v>
      </c>
      <c r="X9" s="223">
        <f t="shared" ref="X9:Y9" si="24">X6-X5</f>
        <v>4249.9360250660284</v>
      </c>
      <c r="Y9" s="223">
        <f t="shared" si="24"/>
        <v>2001.5204248559021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4502.7638865004283</v>
      </c>
      <c r="C12" s="229">
        <f t="shared" ref="C12:W12" si="25">SUM(C13,C14,C18,C19,C26,C27)</f>
        <v>4404.6938950988824</v>
      </c>
      <c r="D12" s="229">
        <f t="shared" si="25"/>
        <v>4074.769733447979</v>
      </c>
      <c r="E12" s="229">
        <f t="shared" si="25"/>
        <v>4041.1406706792782</v>
      </c>
      <c r="F12" s="229">
        <f t="shared" si="25"/>
        <v>4067.3345657781597</v>
      </c>
      <c r="G12" s="229">
        <f t="shared" si="25"/>
        <v>4168.8703353396395</v>
      </c>
      <c r="H12" s="229">
        <f t="shared" si="25"/>
        <v>3708.6515907136713</v>
      </c>
      <c r="I12" s="229">
        <f t="shared" si="25"/>
        <v>3708.3291487532242</v>
      </c>
      <c r="J12" s="229">
        <f t="shared" si="25"/>
        <v>3741.1418744625958</v>
      </c>
      <c r="K12" s="229">
        <f t="shared" si="25"/>
        <v>3739.5011177987963</v>
      </c>
      <c r="L12" s="229">
        <f t="shared" si="25"/>
        <v>4240.7149613069651</v>
      </c>
      <c r="M12" s="229">
        <f t="shared" si="25"/>
        <v>3790.5069647463451</v>
      </c>
      <c r="N12" s="229">
        <f t="shared" si="25"/>
        <v>3846.5677558039552</v>
      </c>
      <c r="O12" s="229">
        <f t="shared" si="25"/>
        <v>3880.0465176268262</v>
      </c>
      <c r="P12" s="229">
        <f t="shared" si="25"/>
        <v>3625.2363714531384</v>
      </c>
      <c r="Q12" s="229">
        <f t="shared" si="25"/>
        <v>3835.4020636285477</v>
      </c>
      <c r="R12" s="229">
        <f t="shared" si="25"/>
        <v>3853.564746345658</v>
      </c>
      <c r="S12" s="229">
        <f t="shared" si="25"/>
        <v>3841.8808254514197</v>
      </c>
      <c r="T12" s="229">
        <f t="shared" si="25"/>
        <v>4124.0674118658635</v>
      </c>
      <c r="U12" s="229">
        <f t="shared" si="25"/>
        <v>4150.2769561478935</v>
      </c>
      <c r="V12" s="229">
        <f t="shared" si="25"/>
        <v>4050.4413585554603</v>
      </c>
      <c r="W12" s="229">
        <f t="shared" si="25"/>
        <v>4002.6129836629402</v>
      </c>
      <c r="X12" s="229">
        <f t="shared" ref="X12:Y12" si="26">SUM(X13,X14,X18,X19,X26,X27)</f>
        <v>3044.9945829750645</v>
      </c>
      <c r="Y12" s="229">
        <f t="shared" si="26"/>
        <v>3094.7556319862424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828.20851246775567</v>
      </c>
      <c r="C14" s="55">
        <f t="shared" ref="C14:W14" si="27">SUM(C15:C17)</f>
        <v>821.50378331900265</v>
      </c>
      <c r="D14" s="55">
        <f t="shared" si="27"/>
        <v>734.55460017196901</v>
      </c>
      <c r="E14" s="55">
        <f t="shared" si="27"/>
        <v>701.51315563198625</v>
      </c>
      <c r="F14" s="55">
        <f t="shared" si="27"/>
        <v>672.8896818572656</v>
      </c>
      <c r="G14" s="55">
        <f t="shared" si="27"/>
        <v>679.99544282029228</v>
      </c>
      <c r="H14" s="55">
        <f t="shared" si="27"/>
        <v>660.48650042992267</v>
      </c>
      <c r="I14" s="55">
        <f t="shared" si="27"/>
        <v>629.70404127257098</v>
      </c>
      <c r="J14" s="55">
        <f t="shared" si="27"/>
        <v>610.02811693895092</v>
      </c>
      <c r="K14" s="55">
        <f t="shared" si="27"/>
        <v>589.03370593293198</v>
      </c>
      <c r="L14" s="55">
        <f t="shared" si="27"/>
        <v>614.61848667239894</v>
      </c>
      <c r="M14" s="55">
        <f t="shared" si="27"/>
        <v>583.35434221840069</v>
      </c>
      <c r="N14" s="55">
        <f t="shared" si="27"/>
        <v>530.05365434221835</v>
      </c>
      <c r="O14" s="55">
        <f t="shared" si="27"/>
        <v>574.01547721410134</v>
      </c>
      <c r="P14" s="55">
        <f t="shared" si="27"/>
        <v>597.71934651762672</v>
      </c>
      <c r="Q14" s="55">
        <f t="shared" si="27"/>
        <v>641.25425623387787</v>
      </c>
      <c r="R14" s="55">
        <f t="shared" si="27"/>
        <v>595.16423043852114</v>
      </c>
      <c r="S14" s="55">
        <f t="shared" si="27"/>
        <v>558.77024935511599</v>
      </c>
      <c r="T14" s="55">
        <f t="shared" si="27"/>
        <v>598.13817712811692</v>
      </c>
      <c r="U14" s="55">
        <f t="shared" si="27"/>
        <v>588.50808254514175</v>
      </c>
      <c r="V14" s="55">
        <f t="shared" si="27"/>
        <v>631.57042132416177</v>
      </c>
      <c r="W14" s="55">
        <f t="shared" si="27"/>
        <v>571.61427343078242</v>
      </c>
      <c r="X14" s="55">
        <f t="shared" ref="X14:Y14" si="28">SUM(X15:X17)</f>
        <v>558.29982803095447</v>
      </c>
      <c r="Y14" s="55">
        <f t="shared" si="28"/>
        <v>562.71564918314709</v>
      </c>
      <c r="DA14" s="10"/>
    </row>
    <row r="15" spans="1:105" x14ac:dyDescent="0.25">
      <c r="A15" s="61" t="s">
        <v>52</v>
      </c>
      <c r="B15" s="55">
        <v>45.338521066208081</v>
      </c>
      <c r="C15" s="55">
        <v>48.576956147893377</v>
      </c>
      <c r="D15" s="55">
        <v>44.258985382631117</v>
      </c>
      <c r="E15" s="55">
        <v>39.941014617368872</v>
      </c>
      <c r="F15" s="55">
        <v>42.099999999999987</v>
      </c>
      <c r="G15" s="55">
        <v>39.941014617368872</v>
      </c>
      <c r="H15" s="55">
        <v>39.941014617368872</v>
      </c>
      <c r="I15" s="55">
        <v>39.941014617368872</v>
      </c>
      <c r="J15" s="55">
        <v>38.861564918314699</v>
      </c>
      <c r="K15" s="55">
        <v>36.702579535683583</v>
      </c>
      <c r="L15" s="55">
        <v>41.020550300945828</v>
      </c>
      <c r="M15" s="55">
        <v>32.384608770421323</v>
      </c>
      <c r="N15" s="55">
        <v>30.225623387790201</v>
      </c>
      <c r="O15" s="55">
        <v>32.384608770421323</v>
      </c>
      <c r="P15" s="55">
        <v>22.669217540842649</v>
      </c>
      <c r="Q15" s="55">
        <v>33.439466895958716</v>
      </c>
      <c r="R15" s="55">
        <v>31.049699054170251</v>
      </c>
      <c r="S15" s="55">
        <v>29.417540842648322</v>
      </c>
      <c r="T15" s="55">
        <v>31.04952708512468</v>
      </c>
      <c r="U15" s="55">
        <v>32.673946689595873</v>
      </c>
      <c r="V15" s="55">
        <v>33.67609630266552</v>
      </c>
      <c r="W15" s="55">
        <v>42.515133276010317</v>
      </c>
      <c r="X15" s="55">
        <v>28.661478933791919</v>
      </c>
      <c r="Y15" s="55">
        <v>28.659931212381771</v>
      </c>
      <c r="DA15" s="10" t="s">
        <v>982</v>
      </c>
    </row>
    <row r="16" spans="1:105" x14ac:dyDescent="0.25">
      <c r="A16" s="61" t="s">
        <v>165</v>
      </c>
      <c r="B16" s="55">
        <v>712.36268271711083</v>
      </c>
      <c r="C16" s="55">
        <v>709.27437661220984</v>
      </c>
      <c r="D16" s="55">
        <v>641.33224419604471</v>
      </c>
      <c r="E16" s="55">
        <v>614.56723989681859</v>
      </c>
      <c r="F16" s="55">
        <v>585.74333619948402</v>
      </c>
      <c r="G16" s="55">
        <v>595.00808254514186</v>
      </c>
      <c r="H16" s="55">
        <v>576.47841788478081</v>
      </c>
      <c r="I16" s="55">
        <v>547.65451418744635</v>
      </c>
      <c r="J16" s="55">
        <v>524.16165090283744</v>
      </c>
      <c r="K16" s="55">
        <v>500.42992261392942</v>
      </c>
      <c r="L16" s="55">
        <v>533.44797936371447</v>
      </c>
      <c r="M16" s="55">
        <v>531.38435081685293</v>
      </c>
      <c r="N16" s="55">
        <v>485.98452278589849</v>
      </c>
      <c r="O16" s="55">
        <v>521.06620808254502</v>
      </c>
      <c r="P16" s="55">
        <v>542.7343078245915</v>
      </c>
      <c r="Q16" s="55">
        <v>572.97162510748058</v>
      </c>
      <c r="R16" s="55">
        <v>553.29793637145326</v>
      </c>
      <c r="S16" s="55">
        <v>519.01582115219253</v>
      </c>
      <c r="T16" s="55">
        <v>557.31195184866715</v>
      </c>
      <c r="U16" s="55">
        <v>546.48847807394657</v>
      </c>
      <c r="V16" s="55">
        <v>588.63559759243344</v>
      </c>
      <c r="W16" s="55">
        <v>520.17953568357689</v>
      </c>
      <c r="X16" s="55">
        <v>521.68254514187447</v>
      </c>
      <c r="Y16" s="55">
        <v>525.66629406706795</v>
      </c>
      <c r="DA16" s="10" t="s">
        <v>983</v>
      </c>
    </row>
    <row r="17" spans="1:105" x14ac:dyDescent="0.25">
      <c r="A17" s="61" t="s">
        <v>113</v>
      </c>
      <c r="B17" s="55">
        <v>70.507308684436794</v>
      </c>
      <c r="C17" s="55">
        <v>63.652450558899403</v>
      </c>
      <c r="D17" s="55">
        <v>48.963370593293199</v>
      </c>
      <c r="E17" s="55">
        <v>47.004901117798788</v>
      </c>
      <c r="F17" s="55">
        <v>45.0463456577816</v>
      </c>
      <c r="G17" s="55">
        <v>45.0463456577816</v>
      </c>
      <c r="H17" s="55">
        <v>44.067067927773003</v>
      </c>
      <c r="I17" s="55">
        <v>42.108512467755801</v>
      </c>
      <c r="J17" s="55">
        <v>47.004901117798788</v>
      </c>
      <c r="K17" s="55">
        <v>51.901203783318998</v>
      </c>
      <c r="L17" s="55">
        <v>40.149957007738607</v>
      </c>
      <c r="M17" s="55">
        <v>19.5853826311264</v>
      </c>
      <c r="N17" s="55">
        <v>13.843508168529659</v>
      </c>
      <c r="O17" s="55">
        <v>20.56466036113499</v>
      </c>
      <c r="P17" s="55">
        <v>32.315821152192598</v>
      </c>
      <c r="Q17" s="55">
        <v>34.843164230438518</v>
      </c>
      <c r="R17" s="55">
        <v>10.816595012897681</v>
      </c>
      <c r="S17" s="55">
        <v>10.336887360275149</v>
      </c>
      <c r="T17" s="55">
        <v>9.7766981943250215</v>
      </c>
      <c r="U17" s="55">
        <v>9.3456577815993107</v>
      </c>
      <c r="V17" s="55">
        <v>9.2587274290627679</v>
      </c>
      <c r="W17" s="55">
        <v>8.9196044711951838</v>
      </c>
      <c r="X17" s="55">
        <v>7.9558039552880473</v>
      </c>
      <c r="Y17" s="55">
        <v>8.3894239036973346</v>
      </c>
      <c r="DA17" s="10" t="s">
        <v>984</v>
      </c>
    </row>
    <row r="18" spans="1:105" x14ac:dyDescent="0.25">
      <c r="A18" s="60" t="s">
        <v>149</v>
      </c>
      <c r="B18" s="55">
        <v>2955.1230188913478</v>
      </c>
      <c r="C18" s="55">
        <v>2872.2059960561833</v>
      </c>
      <c r="D18" s="55">
        <v>2672.3772429530263</v>
      </c>
      <c r="E18" s="55">
        <v>2680.4403812930764</v>
      </c>
      <c r="F18" s="55">
        <v>2730.104816064576</v>
      </c>
      <c r="G18" s="55">
        <v>2765.4261603783821</v>
      </c>
      <c r="H18" s="55">
        <v>2329.8394895542601</v>
      </c>
      <c r="I18" s="55">
        <v>2327.1803141997052</v>
      </c>
      <c r="J18" s="55">
        <v>2369.6743985515864</v>
      </c>
      <c r="K18" s="55">
        <v>2342.7692386451513</v>
      </c>
      <c r="L18" s="55">
        <v>2817.7967564508072</v>
      </c>
      <c r="M18" s="55">
        <v>2408.2420392583595</v>
      </c>
      <c r="N18" s="55">
        <v>2456.9247423305605</v>
      </c>
      <c r="O18" s="55">
        <v>2393.8907226847018</v>
      </c>
      <c r="P18" s="55">
        <v>2067.7279946522776</v>
      </c>
      <c r="Q18" s="55">
        <v>2142.5005746386919</v>
      </c>
      <c r="R18" s="55">
        <v>2192.1733468732523</v>
      </c>
      <c r="S18" s="55">
        <v>2140.7236122820959</v>
      </c>
      <c r="T18" s="55">
        <v>2228.4886433121374</v>
      </c>
      <c r="U18" s="55">
        <v>2132.3872459527061</v>
      </c>
      <c r="V18" s="55">
        <v>2033.3806577409189</v>
      </c>
      <c r="W18" s="55">
        <v>2046.0554442371845</v>
      </c>
      <c r="X18" s="55">
        <v>1414.7180673398118</v>
      </c>
      <c r="Y18" s="55">
        <v>1520.1068215131004</v>
      </c>
      <c r="DA18" s="10" t="s">
        <v>985</v>
      </c>
    </row>
    <row r="19" spans="1:105" x14ac:dyDescent="0.25">
      <c r="A19" s="60" t="s">
        <v>51</v>
      </c>
      <c r="B19" s="55">
        <f>SUM(B20:B25)</f>
        <v>3.42968962111929</v>
      </c>
      <c r="C19" s="55">
        <f t="shared" ref="C19:W19" si="29">SUM(C20:C25)</f>
        <v>3.1977012782961829</v>
      </c>
      <c r="D19" s="55">
        <f t="shared" si="29"/>
        <v>2.9816564450815584</v>
      </c>
      <c r="E19" s="55">
        <f t="shared" si="29"/>
        <v>2.7861019399419602</v>
      </c>
      <c r="F19" s="55">
        <f t="shared" si="29"/>
        <v>2.9901108485795489</v>
      </c>
      <c r="G19" s="55">
        <f t="shared" si="29"/>
        <v>7.5415954255738606</v>
      </c>
      <c r="H19" s="55">
        <f t="shared" si="29"/>
        <v>21.612101159410781</v>
      </c>
      <c r="I19" s="55">
        <f t="shared" si="29"/>
        <v>35.126822515685788</v>
      </c>
      <c r="J19" s="55">
        <f t="shared" si="29"/>
        <v>51.116401104474548</v>
      </c>
      <c r="K19" s="55">
        <f t="shared" si="29"/>
        <v>66.325258345391006</v>
      </c>
      <c r="L19" s="55">
        <f t="shared" si="29"/>
        <v>81.558531597344711</v>
      </c>
      <c r="M19" s="55">
        <f t="shared" si="29"/>
        <v>84.469998574830228</v>
      </c>
      <c r="N19" s="55">
        <f t="shared" si="29"/>
        <v>111.84034795318806</v>
      </c>
      <c r="O19" s="55">
        <f t="shared" si="29"/>
        <v>134.03429881142867</v>
      </c>
      <c r="P19" s="55">
        <f t="shared" si="29"/>
        <v>157.03821343026783</v>
      </c>
      <c r="Q19" s="55">
        <f t="shared" si="29"/>
        <v>195.91017342665671</v>
      </c>
      <c r="R19" s="55">
        <f t="shared" si="29"/>
        <v>208.99148545692827</v>
      </c>
      <c r="S19" s="55">
        <f t="shared" si="29"/>
        <v>232.49109107130104</v>
      </c>
      <c r="T19" s="55">
        <f t="shared" si="29"/>
        <v>285.2021563439244</v>
      </c>
      <c r="U19" s="55">
        <f t="shared" si="29"/>
        <v>352.56683831212638</v>
      </c>
      <c r="V19" s="55">
        <f t="shared" si="29"/>
        <v>390.88933366062895</v>
      </c>
      <c r="W19" s="55">
        <f t="shared" si="29"/>
        <v>418.74747923659027</v>
      </c>
      <c r="X19" s="55">
        <f t="shared" ref="X19:Y19" si="30">SUM(X20:X25)</f>
        <v>410.68511408753113</v>
      </c>
      <c r="Y19" s="55">
        <f t="shared" si="30"/>
        <v>322.30289473797455</v>
      </c>
      <c r="DA19" s="10"/>
    </row>
    <row r="20" spans="1:105" x14ac:dyDescent="0.25">
      <c r="A20" s="61" t="s">
        <v>164</v>
      </c>
      <c r="B20" s="55">
        <v>2.2212381771281171</v>
      </c>
      <c r="C20" s="55">
        <v>2.1974204643164228</v>
      </c>
      <c r="D20" s="55">
        <v>2.1735167669819431</v>
      </c>
      <c r="E20" s="55">
        <v>2.1735167669819431</v>
      </c>
      <c r="F20" s="55">
        <v>2.1496130696474629</v>
      </c>
      <c r="G20" s="55">
        <v>6.2099742046431636</v>
      </c>
      <c r="H20" s="55">
        <v>19.346517626827168</v>
      </c>
      <c r="I20" s="55">
        <v>29.330266552020628</v>
      </c>
      <c r="J20" s="55">
        <v>35.062596732588133</v>
      </c>
      <c r="K20" s="55">
        <v>39.099054170249353</v>
      </c>
      <c r="L20" s="55">
        <v>41.487532244196039</v>
      </c>
      <c r="M20" s="55">
        <v>44.640326741186577</v>
      </c>
      <c r="N20" s="55">
        <v>47.530352536543418</v>
      </c>
      <c r="O20" s="55">
        <v>54.839036973344797</v>
      </c>
      <c r="P20" s="55">
        <v>57.012553740326737</v>
      </c>
      <c r="Q20" s="55">
        <v>64.917110920034389</v>
      </c>
      <c r="R20" s="55">
        <v>71.755202063628545</v>
      </c>
      <c r="S20" s="55">
        <v>87.694325021496127</v>
      </c>
      <c r="T20" s="55">
        <v>111.6455717970765</v>
      </c>
      <c r="U20" s="55">
        <v>129.86749785038691</v>
      </c>
      <c r="V20" s="55">
        <v>149.5981083404987</v>
      </c>
      <c r="W20" s="55">
        <v>165.78899398108339</v>
      </c>
      <c r="X20" s="55">
        <v>152.1520206362855</v>
      </c>
      <c r="Y20" s="55">
        <v>78.044797936371438</v>
      </c>
      <c r="DA20" s="10" t="s">
        <v>986</v>
      </c>
    </row>
    <row r="21" spans="1:105" x14ac:dyDescent="0.25">
      <c r="A21" s="61" t="s">
        <v>50</v>
      </c>
      <c r="B21" s="55">
        <v>1.2084514439911727</v>
      </c>
      <c r="C21" s="55">
        <v>1.0002808139797599</v>
      </c>
      <c r="D21" s="55">
        <v>0.80813967809961551</v>
      </c>
      <c r="E21" s="55">
        <v>0.61258517296001691</v>
      </c>
      <c r="F21" s="55">
        <v>0.84049777893208588</v>
      </c>
      <c r="G21" s="55">
        <v>1.331621220930697</v>
      </c>
      <c r="H21" s="55">
        <v>2.2655835325836136</v>
      </c>
      <c r="I21" s="55">
        <v>5.7965559636651589</v>
      </c>
      <c r="J21" s="55">
        <v>13.760855102754864</v>
      </c>
      <c r="K21" s="55">
        <v>23.834630658374667</v>
      </c>
      <c r="L21" s="55">
        <v>32.475728501901891</v>
      </c>
      <c r="M21" s="55">
        <v>32.282122392543052</v>
      </c>
      <c r="N21" s="55">
        <v>41.882394384830363</v>
      </c>
      <c r="O21" s="55">
        <v>45.756826756398567</v>
      </c>
      <c r="P21" s="55">
        <v>51.778798125022767</v>
      </c>
      <c r="Q21" s="55">
        <v>60.506476092176911</v>
      </c>
      <c r="R21" s="55">
        <v>60.633703857616169</v>
      </c>
      <c r="S21" s="55">
        <v>59.740360202857367</v>
      </c>
      <c r="T21" s="55">
        <v>58.855638717097243</v>
      </c>
      <c r="U21" s="55">
        <v>57.907337022358611</v>
      </c>
      <c r="V21" s="55">
        <v>65.739204683844761</v>
      </c>
      <c r="W21" s="55">
        <v>70.734409589126869</v>
      </c>
      <c r="X21" s="55">
        <v>66.645131284435635</v>
      </c>
      <c r="Y21" s="55">
        <v>52.804872381998607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10.60472914875322</v>
      </c>
      <c r="O22" s="55">
        <v>9.7210662080825436</v>
      </c>
      <c r="P22" s="55">
        <v>12.37222699914016</v>
      </c>
      <c r="Q22" s="55">
        <v>12.00902837489252</v>
      </c>
      <c r="R22" s="55">
        <v>8.6861564918314702</v>
      </c>
      <c r="S22" s="55">
        <v>12.290885640584699</v>
      </c>
      <c r="T22" s="55">
        <v>25.598108340498712</v>
      </c>
      <c r="U22" s="55">
        <v>31.900171969045569</v>
      </c>
      <c r="V22" s="55">
        <v>27.819174548581248</v>
      </c>
      <c r="W22" s="55">
        <v>31.10163370593293</v>
      </c>
      <c r="X22" s="55">
        <v>29.50928632846087</v>
      </c>
      <c r="Y22" s="55">
        <v>29.097506448839209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2.2929492691315558</v>
      </c>
      <c r="K24" s="55">
        <v>3.3915735167669818</v>
      </c>
      <c r="L24" s="55">
        <v>7.5952708512467746</v>
      </c>
      <c r="M24" s="55">
        <v>7.5475494411006014</v>
      </c>
      <c r="N24" s="55">
        <v>11.822871883061049</v>
      </c>
      <c r="O24" s="55">
        <v>23.717368873602751</v>
      </c>
      <c r="P24" s="55">
        <v>35.874634565778159</v>
      </c>
      <c r="Q24" s="55">
        <v>58.477558039552882</v>
      </c>
      <c r="R24" s="55">
        <v>67.916423043852106</v>
      </c>
      <c r="S24" s="55">
        <v>72.765520206362851</v>
      </c>
      <c r="T24" s="55">
        <v>89.102837489251939</v>
      </c>
      <c r="U24" s="55">
        <v>132.89183147033529</v>
      </c>
      <c r="V24" s="55">
        <v>147.73284608770419</v>
      </c>
      <c r="W24" s="55">
        <v>151.12244196044711</v>
      </c>
      <c r="X24" s="55">
        <v>162.3786758383491</v>
      </c>
      <c r="Y24" s="55">
        <v>162.35571797076531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354.78168529664657</v>
      </c>
      <c r="C26" s="55">
        <v>335.81736887360267</v>
      </c>
      <c r="D26" s="55">
        <v>297.1004299226139</v>
      </c>
      <c r="E26" s="55">
        <v>259.84041272570943</v>
      </c>
      <c r="F26" s="55">
        <v>222.05503009458289</v>
      </c>
      <c r="G26" s="55">
        <v>221.4101461736887</v>
      </c>
      <c r="H26" s="55">
        <v>202.73241616509031</v>
      </c>
      <c r="I26" s="55">
        <v>174.78744625967329</v>
      </c>
      <c r="J26" s="55">
        <v>149.01599312123821</v>
      </c>
      <c r="K26" s="55">
        <v>132.3445399828031</v>
      </c>
      <c r="L26" s="55">
        <v>131.12639724849529</v>
      </c>
      <c r="M26" s="55">
        <v>115.8163370593293</v>
      </c>
      <c r="N26" s="55">
        <v>107.2417884780739</v>
      </c>
      <c r="O26" s="55">
        <v>99.980911435941522</v>
      </c>
      <c r="P26" s="55">
        <v>99.980911435941522</v>
      </c>
      <c r="Q26" s="55">
        <v>83.596044711951848</v>
      </c>
      <c r="R26" s="55">
        <v>88.37300085984522</v>
      </c>
      <c r="S26" s="55">
        <v>88.354944110060188</v>
      </c>
      <c r="T26" s="55">
        <v>83.58813413585554</v>
      </c>
      <c r="U26" s="55">
        <v>83.583233018056745</v>
      </c>
      <c r="V26" s="55">
        <v>78.411693895098878</v>
      </c>
      <c r="W26" s="55">
        <v>85.872828890799653</v>
      </c>
      <c r="X26" s="55">
        <v>58.956921754084263</v>
      </c>
      <c r="Y26" s="55">
        <v>58.84892519346517</v>
      </c>
      <c r="DA26" s="10" t="s">
        <v>992</v>
      </c>
    </row>
    <row r="27" spans="1:105" x14ac:dyDescent="0.25">
      <c r="A27" s="62" t="s">
        <v>24</v>
      </c>
      <c r="B27" s="63">
        <v>361.22098022355971</v>
      </c>
      <c r="C27" s="63">
        <v>371.96904557179698</v>
      </c>
      <c r="D27" s="63">
        <v>367.755803955288</v>
      </c>
      <c r="E27" s="63">
        <v>396.56061908856401</v>
      </c>
      <c r="F27" s="63">
        <v>439.29492691315562</v>
      </c>
      <c r="G27" s="63">
        <v>494.49699054170247</v>
      </c>
      <c r="H27" s="63">
        <v>493.98108340498709</v>
      </c>
      <c r="I27" s="63">
        <v>541.53052450558891</v>
      </c>
      <c r="J27" s="63">
        <v>561.30696474634567</v>
      </c>
      <c r="K27" s="63">
        <v>609.02837489251931</v>
      </c>
      <c r="L27" s="63">
        <v>595.61478933791909</v>
      </c>
      <c r="M27" s="63">
        <v>598.6242476354256</v>
      </c>
      <c r="N27" s="63">
        <v>640.507222699914</v>
      </c>
      <c r="O27" s="63">
        <v>678.12510748065347</v>
      </c>
      <c r="P27" s="63">
        <v>702.76990541702492</v>
      </c>
      <c r="Q27" s="63">
        <v>772.1410146173688</v>
      </c>
      <c r="R27" s="63">
        <v>768.86268271711083</v>
      </c>
      <c r="S27" s="63">
        <v>821.54092863284609</v>
      </c>
      <c r="T27" s="63">
        <v>928.6503009458296</v>
      </c>
      <c r="U27" s="63">
        <v>993.23155631986231</v>
      </c>
      <c r="V27" s="63">
        <v>916.18925193465179</v>
      </c>
      <c r="W27" s="63">
        <v>880.3229578675838</v>
      </c>
      <c r="X27" s="63">
        <v>602.33465176268271</v>
      </c>
      <c r="Y27" s="63">
        <v>630.78134135855544</v>
      </c>
      <c r="DA27" s="11" t="s">
        <v>993</v>
      </c>
    </row>
    <row r="29" spans="1:105" x14ac:dyDescent="0.25">
      <c r="A29" s="218" t="s">
        <v>84</v>
      </c>
      <c r="B29" s="219">
        <v>9499.2882743323007</v>
      </c>
      <c r="C29" s="219">
        <v>9281.2937723455852</v>
      </c>
      <c r="D29" s="219">
        <v>8542.1433806064051</v>
      </c>
      <c r="E29" s="219">
        <v>8460.2916813311949</v>
      </c>
      <c r="F29" s="219">
        <v>8486.8763252674325</v>
      </c>
      <c r="G29" s="219">
        <v>8592.8782779207104</v>
      </c>
      <c r="H29" s="219">
        <v>7509.1143595797021</v>
      </c>
      <c r="I29" s="219">
        <v>7407.0978196946344</v>
      </c>
      <c r="J29" s="219">
        <v>7447.0383914910935</v>
      </c>
      <c r="K29" s="219">
        <v>7320.3810475296905</v>
      </c>
      <c r="L29" s="219">
        <v>8511.8856792085226</v>
      </c>
      <c r="M29" s="219">
        <v>7454.0671931514316</v>
      </c>
      <c r="N29" s="219">
        <v>7403.2528106173604</v>
      </c>
      <c r="O29" s="219">
        <v>7391.5211263700703</v>
      </c>
      <c r="P29" s="219">
        <v>6705.069132653698</v>
      </c>
      <c r="Q29" s="219">
        <v>7007.2997911883722</v>
      </c>
      <c r="R29" s="219">
        <v>6978.9404064744913</v>
      </c>
      <c r="S29" s="219">
        <v>6746.0342586054039</v>
      </c>
      <c r="T29" s="219">
        <v>7073.673077550603</v>
      </c>
      <c r="U29" s="219">
        <v>6817.4125301200374</v>
      </c>
      <c r="V29" s="219">
        <v>6718.01971204245</v>
      </c>
      <c r="W29" s="219">
        <v>6557.7784557759896</v>
      </c>
      <c r="X29" s="219">
        <v>5040.1634864737998</v>
      </c>
      <c r="Y29" s="219">
        <v>5301.3133405744984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267.20473770038757</v>
      </c>
      <c r="C31" s="59">
        <f t="shared" si="31"/>
        <v>262.07738710149027</v>
      </c>
      <c r="D31" s="59">
        <f t="shared" si="31"/>
        <v>259.57350540023253</v>
      </c>
      <c r="E31" s="59">
        <f t="shared" si="31"/>
        <v>259.56699185123432</v>
      </c>
      <c r="F31" s="59">
        <f t="shared" si="31"/>
        <v>281.69963400041075</v>
      </c>
      <c r="G31" s="59">
        <f t="shared" si="31"/>
        <v>283.09957366558626</v>
      </c>
      <c r="H31" s="59">
        <f t="shared" si="31"/>
        <v>232.10974520864809</v>
      </c>
      <c r="I31" s="59">
        <f t="shared" si="31"/>
        <v>239.32426351072769</v>
      </c>
      <c r="J31" s="59">
        <f t="shared" si="31"/>
        <v>261.32696261610164</v>
      </c>
      <c r="K31" s="59">
        <f t="shared" si="31"/>
        <v>286.52765739720695</v>
      </c>
      <c r="L31" s="59">
        <f t="shared" si="31"/>
        <v>280.44208916938254</v>
      </c>
      <c r="M31" s="59">
        <f t="shared" si="31"/>
        <v>275.39910500753825</v>
      </c>
      <c r="N31" s="59">
        <f t="shared" si="31"/>
        <v>266.0866924673976</v>
      </c>
      <c r="O31" s="59">
        <f t="shared" si="31"/>
        <v>245.41850334581457</v>
      </c>
      <c r="P31" s="59">
        <f t="shared" si="31"/>
        <v>230.76712772880097</v>
      </c>
      <c r="Q31" s="59">
        <f t="shared" si="31"/>
        <v>238.80537184683902</v>
      </c>
      <c r="R31" s="59">
        <f t="shared" si="31"/>
        <v>226.60497064981229</v>
      </c>
      <c r="S31" s="59">
        <f t="shared" si="31"/>
        <v>208.24325843704224</v>
      </c>
      <c r="T31" s="59">
        <f t="shared" si="31"/>
        <v>244.21604067483941</v>
      </c>
      <c r="U31" s="59">
        <f t="shared" si="31"/>
        <v>239.5207610040722</v>
      </c>
      <c r="V31" s="59">
        <f t="shared" si="31"/>
        <v>246.05309100560729</v>
      </c>
      <c r="W31" s="59">
        <f t="shared" si="31"/>
        <v>238.94310326485589</v>
      </c>
      <c r="X31" s="59">
        <f t="shared" si="31"/>
        <v>174.44281550981972</v>
      </c>
      <c r="Y31" s="59">
        <f t="shared" si="31"/>
        <v>168.25725177982071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112.47171201628663</v>
      </c>
      <c r="C32" s="55">
        <f t="shared" si="32"/>
        <v>109.81942433546166</v>
      </c>
      <c r="D32" s="55">
        <f t="shared" si="32"/>
        <v>113.80906613357638</v>
      </c>
      <c r="E32" s="55">
        <f t="shared" si="32"/>
        <v>119.53787119840253</v>
      </c>
      <c r="F32" s="55">
        <f t="shared" si="32"/>
        <v>117.30616060932354</v>
      </c>
      <c r="G32" s="55">
        <f t="shared" si="32"/>
        <v>134.29403412451356</v>
      </c>
      <c r="H32" s="55">
        <f t="shared" si="32"/>
        <v>130.05722800154635</v>
      </c>
      <c r="I32" s="55">
        <f t="shared" si="32"/>
        <v>117.81469406104161</v>
      </c>
      <c r="J32" s="55">
        <f t="shared" si="32"/>
        <v>123.49619118298855</v>
      </c>
      <c r="K32" s="55">
        <f t="shared" si="32"/>
        <v>137.83360398812141</v>
      </c>
      <c r="L32" s="55">
        <f t="shared" si="32"/>
        <v>128.47617233393541</v>
      </c>
      <c r="M32" s="55">
        <f t="shared" si="32"/>
        <v>116.02131221383361</v>
      </c>
      <c r="N32" s="55">
        <f t="shared" si="32"/>
        <v>118.31216844961243</v>
      </c>
      <c r="O32" s="55">
        <f t="shared" si="32"/>
        <v>117.89482713876833</v>
      </c>
      <c r="P32" s="55">
        <f t="shared" si="32"/>
        <v>114.21265320772919</v>
      </c>
      <c r="Q32" s="55">
        <f t="shared" si="32"/>
        <v>116.6772871901979</v>
      </c>
      <c r="R32" s="55">
        <f t="shared" si="32"/>
        <v>118.41249825520163</v>
      </c>
      <c r="S32" s="55">
        <f t="shared" si="32"/>
        <v>109.25986032686187</v>
      </c>
      <c r="T32" s="55">
        <f t="shared" si="32"/>
        <v>115.03952384499105</v>
      </c>
      <c r="U32" s="55">
        <f t="shared" si="32"/>
        <v>114.31053707016744</v>
      </c>
      <c r="V32" s="55">
        <f t="shared" si="32"/>
        <v>121.02278233994654</v>
      </c>
      <c r="W32" s="55">
        <f t="shared" si="32"/>
        <v>115.6129323010225</v>
      </c>
      <c r="X32" s="55">
        <f t="shared" si="32"/>
        <v>98.926512660278448</v>
      </c>
      <c r="Y32" s="55">
        <f t="shared" si="32"/>
        <v>101.378915124645</v>
      </c>
      <c r="DA32" s="216"/>
    </row>
    <row r="33" spans="1:105" x14ac:dyDescent="0.25">
      <c r="A33" s="35" t="s">
        <v>111</v>
      </c>
      <c r="B33" s="55">
        <f>IF(AGR_ued!B$5=0,"",AGR_ued!B$5/B$5*1000)</f>
        <v>42.81659981590424</v>
      </c>
      <c r="C33" s="55">
        <f>IF(AGR_ued!C$5=0,"",AGR_ued!C$5/C$5*1000)</f>
        <v>41.789565526634362</v>
      </c>
      <c r="D33" s="55">
        <f>IF(AGR_ued!D$5=0,"",AGR_ued!D$5/D$5*1000)</f>
        <v>43.364106677148968</v>
      </c>
      <c r="E33" s="55">
        <f>IF(AGR_ued!E$5=0,"",AGR_ued!E$5/E$5*1000)</f>
        <v>45.561290069842379</v>
      </c>
      <c r="F33" s="55">
        <f>IF(AGR_ued!F$5=0,"",AGR_ued!F$5/F$5*1000)</f>
        <v>44.756496727449736</v>
      </c>
      <c r="G33" s="55">
        <f>IF(AGR_ued!G$5=0,"",AGR_ued!G$5/G$5*1000)</f>
        <v>51.349869390175172</v>
      </c>
      <c r="H33" s="55">
        <f>IF(AGR_ued!H$5=0,"",AGR_ued!H$5/H$5*1000)</f>
        <v>49.755720291847986</v>
      </c>
      <c r="I33" s="55">
        <f>IF(AGR_ued!I$5=0,"",AGR_ued!I$5/I$5*1000)</f>
        <v>45.180344922912269</v>
      </c>
      <c r="J33" s="55">
        <f>IF(AGR_ued!J$5=0,"",AGR_ued!J$5/J$5*1000)</f>
        <v>47.360860467827258</v>
      </c>
      <c r="K33" s="55">
        <f>IF(AGR_ued!K$5=0,"",AGR_ued!K$5/K$5*1000)</f>
        <v>53.038462369491043</v>
      </c>
      <c r="L33" s="55">
        <f>IF(AGR_ued!L$5=0,"",AGR_ued!L$5/L$5*1000)</f>
        <v>49.181965794739263</v>
      </c>
      <c r="M33" s="55">
        <f>IF(AGR_ued!M$5=0,"",AGR_ued!M$5/M$5*1000)</f>
        <v>44.517797860066224</v>
      </c>
      <c r="N33" s="55">
        <f>IF(AGR_ued!N$5=0,"",AGR_ued!N$5/N$5*1000)</f>
        <v>45.58490669559766</v>
      </c>
      <c r="O33" s="55">
        <f>IF(AGR_ued!O$5=0,"",AGR_ued!O$5/O$5*1000)</f>
        <v>45.402844528035061</v>
      </c>
      <c r="P33" s="55">
        <f>IF(AGR_ued!P$5=0,"",AGR_ued!P$5/P$5*1000)</f>
        <v>44.107729936173946</v>
      </c>
      <c r="Q33" s="55">
        <f>IF(AGR_ued!Q$5=0,"",AGR_ued!Q$5/Q$5*1000)</f>
        <v>45.066012802676156</v>
      </c>
      <c r="R33" s="55">
        <f>IF(AGR_ued!R$5=0,"",AGR_ued!R$5/R$5*1000)</f>
        <v>45.798059111001741</v>
      </c>
      <c r="S33" s="55">
        <f>IF(AGR_ued!S$5=0,"",AGR_ued!S$5/S$5*1000)</f>
        <v>42.499835545287901</v>
      </c>
      <c r="T33" s="55">
        <f>IF(AGR_ued!T$5=0,"",AGR_ued!T$5/T$5*1000)</f>
        <v>44.836855622130379</v>
      </c>
      <c r="U33" s="55">
        <f>IF(AGR_ued!U$5=0,"",AGR_ued!U$5/U$5*1000)</f>
        <v>44.729698435379774</v>
      </c>
      <c r="V33" s="55">
        <f>IF(AGR_ued!V$5=0,"",AGR_ued!V$5/V$5*1000)</f>
        <v>46.920113766476184</v>
      </c>
      <c r="W33" s="55">
        <f>IF(AGR_ued!W$5=0,"",AGR_ued!W$5/W$5*1000)</f>
        <v>44.801449638983527</v>
      </c>
      <c r="X33" s="55">
        <f>IF(AGR_ued!X$5=0,"",AGR_ued!X$5/X$5*1000)</f>
        <v>37.584051225167961</v>
      </c>
      <c r="Y33" s="55">
        <f>IF(AGR_ued!Y$5=0,"",AGR_ued!Y$5/Y$5*1000)</f>
        <v>38.803388829113594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2.1096572047252509</v>
      </c>
      <c r="C34" s="217">
        <f t="shared" si="33"/>
        <v>2.1071370663629798</v>
      </c>
      <c r="D34" s="217">
        <f t="shared" si="33"/>
        <v>2.0963499631617797</v>
      </c>
      <c r="E34" s="217">
        <f t="shared" si="33"/>
        <v>2.0935405052131228</v>
      </c>
      <c r="F34" s="217">
        <f t="shared" si="33"/>
        <v>2.0865941043243708</v>
      </c>
      <c r="G34" s="217">
        <f t="shared" si="33"/>
        <v>2.0612006579045219</v>
      </c>
      <c r="H34" s="217">
        <f t="shared" si="33"/>
        <v>2.0247559459028861</v>
      </c>
      <c r="I34" s="217">
        <f t="shared" si="33"/>
        <v>1.9974218907145747</v>
      </c>
      <c r="J34" s="217">
        <f t="shared" si="33"/>
        <v>1.9905789840062773</v>
      </c>
      <c r="K34" s="217">
        <f t="shared" si="33"/>
        <v>1.9575822594856525</v>
      </c>
      <c r="L34" s="217">
        <f t="shared" si="33"/>
        <v>2.0071817504530429</v>
      </c>
      <c r="M34" s="217">
        <f t="shared" si="33"/>
        <v>1.9665092987502917</v>
      </c>
      <c r="N34" s="217">
        <f t="shared" si="33"/>
        <v>1.9246386078723934</v>
      </c>
      <c r="O34" s="217">
        <f t="shared" si="33"/>
        <v>1.9050083788405161</v>
      </c>
      <c r="P34" s="217">
        <f t="shared" si="33"/>
        <v>1.8495536416473832</v>
      </c>
      <c r="Q34" s="217">
        <f t="shared" si="33"/>
        <v>1.8270052721823371</v>
      </c>
      <c r="R34" s="217">
        <f t="shared" si="33"/>
        <v>1.8110349418918243</v>
      </c>
      <c r="S34" s="217">
        <f t="shared" si="33"/>
        <v>1.7559197083664737</v>
      </c>
      <c r="T34" s="217">
        <f t="shared" si="33"/>
        <v>1.7152176167630202</v>
      </c>
      <c r="U34" s="217">
        <f t="shared" si="33"/>
        <v>1.6426403833173733</v>
      </c>
      <c r="V34" s="217">
        <f t="shared" si="33"/>
        <v>1.6585895504578663</v>
      </c>
      <c r="W34" s="217">
        <f t="shared" si="33"/>
        <v>1.6383743525897232</v>
      </c>
      <c r="X34" s="217">
        <f t="shared" si="33"/>
        <v>1.6552290485684171</v>
      </c>
      <c r="Y34" s="217">
        <f t="shared" si="33"/>
        <v>1.7129990121940799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4502.7638865004265</v>
      </c>
      <c r="C5" s="80">
        <f t="shared" ref="C5:W5" si="1">SUM(C6:C9,C16:C17,C25:C27)</f>
        <v>4404.6938950988815</v>
      </c>
      <c r="D5" s="80">
        <f t="shared" si="1"/>
        <v>4074.7697334479794</v>
      </c>
      <c r="E5" s="80">
        <f t="shared" si="1"/>
        <v>4041.1406706792773</v>
      </c>
      <c r="F5" s="80">
        <f t="shared" si="1"/>
        <v>4067.3345657781583</v>
      </c>
      <c r="G5" s="80">
        <f t="shared" si="1"/>
        <v>4168.8703353396386</v>
      </c>
      <c r="H5" s="80">
        <f t="shared" si="1"/>
        <v>3708.65159071367</v>
      </c>
      <c r="I5" s="80">
        <f t="shared" si="1"/>
        <v>3708.3291487532238</v>
      </c>
      <c r="J5" s="80">
        <f t="shared" si="1"/>
        <v>3741.1418744625948</v>
      </c>
      <c r="K5" s="80">
        <f t="shared" si="1"/>
        <v>3739.5011177987949</v>
      </c>
      <c r="L5" s="80">
        <f t="shared" si="1"/>
        <v>4240.7149613069651</v>
      </c>
      <c r="M5" s="80">
        <f t="shared" si="1"/>
        <v>3790.5069647463447</v>
      </c>
      <c r="N5" s="80">
        <f t="shared" si="1"/>
        <v>3846.5677558039542</v>
      </c>
      <c r="O5" s="80">
        <f t="shared" si="1"/>
        <v>3880.0465176268258</v>
      </c>
      <c r="P5" s="80">
        <f t="shared" si="1"/>
        <v>3625.2363714531375</v>
      </c>
      <c r="Q5" s="80">
        <f t="shared" si="1"/>
        <v>3835.4020636285472</v>
      </c>
      <c r="R5" s="80">
        <f t="shared" si="1"/>
        <v>3853.5647463456576</v>
      </c>
      <c r="S5" s="80">
        <f t="shared" si="1"/>
        <v>3841.8808254514197</v>
      </c>
      <c r="T5" s="80">
        <f t="shared" si="1"/>
        <v>4124.0674118658635</v>
      </c>
      <c r="U5" s="80">
        <f t="shared" si="1"/>
        <v>4150.2769561478935</v>
      </c>
      <c r="V5" s="80">
        <f t="shared" si="1"/>
        <v>4050.4413585554612</v>
      </c>
      <c r="W5" s="80">
        <f t="shared" si="1"/>
        <v>4002.6129836629398</v>
      </c>
      <c r="X5" s="80">
        <f t="shared" ref="X5:Y5" si="2">SUM(X6:X9,X16:X17,X25:X27)</f>
        <v>3044.9945829750632</v>
      </c>
      <c r="Y5" s="80">
        <f t="shared" si="2"/>
        <v>3094.755631986241</v>
      </c>
      <c r="DA5" s="103"/>
    </row>
    <row r="6" spans="1:105" x14ac:dyDescent="0.25">
      <c r="A6" s="238" t="s">
        <v>125</v>
      </c>
      <c r="B6" s="239">
        <v>69.532975100831251</v>
      </c>
      <c r="C6" s="239">
        <v>71.296632240852176</v>
      </c>
      <c r="D6" s="239">
        <v>70.081946882282935</v>
      </c>
      <c r="E6" s="239">
        <v>74.917980171365912</v>
      </c>
      <c r="F6" s="239">
        <v>82.025228003812529</v>
      </c>
      <c r="G6" s="239">
        <v>91.103178489569288</v>
      </c>
      <c r="H6" s="239">
        <v>89.085679905190133</v>
      </c>
      <c r="I6" s="239">
        <v>95.815057510458075</v>
      </c>
      <c r="J6" s="239">
        <v>98.680456258609155</v>
      </c>
      <c r="K6" s="239">
        <v>104.9550401999479</v>
      </c>
      <c r="L6" s="239">
        <v>106.3272973465391</v>
      </c>
      <c r="M6" s="239">
        <v>103.9684031617645</v>
      </c>
      <c r="N6" s="239">
        <v>109.8928737286509</v>
      </c>
      <c r="O6" s="239">
        <v>114.6052666193187</v>
      </c>
      <c r="P6" s="239">
        <v>114.8265158683913</v>
      </c>
      <c r="Q6" s="239">
        <v>124.3884051023329</v>
      </c>
      <c r="R6" s="239">
        <v>124.5177919583523</v>
      </c>
      <c r="S6" s="239">
        <v>129.96375590909389</v>
      </c>
      <c r="T6" s="239">
        <v>143.88362614697681</v>
      </c>
      <c r="U6" s="239">
        <v>150.19753020275999</v>
      </c>
      <c r="V6" s="239">
        <v>141.06554584430171</v>
      </c>
      <c r="W6" s="239">
        <v>137.13922412920951</v>
      </c>
      <c r="X6" s="239">
        <v>96.584731449324877</v>
      </c>
      <c r="Y6" s="239">
        <v>100.6970484019068</v>
      </c>
      <c r="DA6" s="267" t="s">
        <v>995</v>
      </c>
    </row>
    <row r="7" spans="1:105" x14ac:dyDescent="0.25">
      <c r="A7" s="240" t="s">
        <v>124</v>
      </c>
      <c r="B7" s="241">
        <v>45.196433815540303</v>
      </c>
      <c r="C7" s="241">
        <v>46.342810956553919</v>
      </c>
      <c r="D7" s="241">
        <v>45.553265473483883</v>
      </c>
      <c r="E7" s="241">
        <v>48.696687111387831</v>
      </c>
      <c r="F7" s="241">
        <v>53.316398202478133</v>
      </c>
      <c r="G7" s="241">
        <v>59.217066018220038</v>
      </c>
      <c r="H7" s="241">
        <v>57.90569193837355</v>
      </c>
      <c r="I7" s="241">
        <v>62.279787381797718</v>
      </c>
      <c r="J7" s="241">
        <v>64.142296568095929</v>
      </c>
      <c r="K7" s="241">
        <v>68.220776129966154</v>
      </c>
      <c r="L7" s="241">
        <v>69.112743275250409</v>
      </c>
      <c r="M7" s="241">
        <v>67.579462055146934</v>
      </c>
      <c r="N7" s="241">
        <v>71.430367923623095</v>
      </c>
      <c r="O7" s="241">
        <v>74.493423302557147</v>
      </c>
      <c r="P7" s="241">
        <v>74.637235314454315</v>
      </c>
      <c r="Q7" s="241">
        <v>80.852463316516364</v>
      </c>
      <c r="R7" s="241">
        <v>80.936564772928989</v>
      </c>
      <c r="S7" s="241">
        <v>84.476441340911009</v>
      </c>
      <c r="T7" s="241">
        <v>93.524356995534887</v>
      </c>
      <c r="U7" s="241">
        <v>97.628394631793952</v>
      </c>
      <c r="V7" s="241">
        <v>91.692604798796054</v>
      </c>
      <c r="W7" s="241">
        <v>89.140495683986188</v>
      </c>
      <c r="X7" s="241">
        <v>62.780075442061168</v>
      </c>
      <c r="Y7" s="241">
        <v>65.453081461239407</v>
      </c>
      <c r="DA7" s="268" t="s">
        <v>996</v>
      </c>
    </row>
    <row r="8" spans="1:105" x14ac:dyDescent="0.25">
      <c r="A8" s="240" t="s">
        <v>123</v>
      </c>
      <c r="B8" s="241">
        <v>62.579677590748133</v>
      </c>
      <c r="C8" s="241">
        <v>64.16696901676697</v>
      </c>
      <c r="D8" s="241">
        <v>63.07375219405462</v>
      </c>
      <c r="E8" s="241">
        <v>67.426182154229295</v>
      </c>
      <c r="F8" s="241">
        <v>73.822705203431283</v>
      </c>
      <c r="G8" s="241">
        <v>81.992860640612392</v>
      </c>
      <c r="H8" s="241">
        <v>80.177111914671087</v>
      </c>
      <c r="I8" s="241">
        <v>86.233551759412251</v>
      </c>
      <c r="J8" s="241">
        <v>88.812410632748239</v>
      </c>
      <c r="K8" s="241">
        <v>94.459536179953176</v>
      </c>
      <c r="L8" s="241">
        <v>95.694567611885162</v>
      </c>
      <c r="M8" s="241">
        <v>93.571562845588062</v>
      </c>
      <c r="N8" s="241">
        <v>98.903586355785848</v>
      </c>
      <c r="O8" s="241">
        <v>103.1447399573868</v>
      </c>
      <c r="P8" s="241">
        <v>103.3438642815521</v>
      </c>
      <c r="Q8" s="241">
        <v>111.94956459209961</v>
      </c>
      <c r="R8" s="241">
        <v>112.066012762517</v>
      </c>
      <c r="S8" s="241">
        <v>116.9673803181845</v>
      </c>
      <c r="T8" s="241">
        <v>129.4952635322791</v>
      </c>
      <c r="U8" s="241">
        <v>135.17777718248399</v>
      </c>
      <c r="V8" s="241">
        <v>126.9589912598715</v>
      </c>
      <c r="W8" s="241">
        <v>123.4253017162886</v>
      </c>
      <c r="X8" s="241">
        <v>86.926258304392405</v>
      </c>
      <c r="Y8" s="241">
        <v>90.627343561716089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1316.6433004261328</v>
      </c>
      <c r="C9" s="243">
        <f t="shared" ref="C9:W9" si="4">SUM(C10:C15)</f>
        <v>1275.3004708672811</v>
      </c>
      <c r="D9" s="243">
        <f t="shared" si="4"/>
        <v>1172.5842403413258</v>
      </c>
      <c r="E9" s="243">
        <f t="shared" si="4"/>
        <v>1148.6989051550524</v>
      </c>
      <c r="F9" s="243">
        <f t="shared" si="4"/>
        <v>1141.4364754801809</v>
      </c>
      <c r="G9" s="243">
        <f t="shared" si="4"/>
        <v>1157.0503930702819</v>
      </c>
      <c r="H9" s="243">
        <f t="shared" si="4"/>
        <v>1003.5981584612537</v>
      </c>
      <c r="I9" s="243">
        <f t="shared" si="4"/>
        <v>991.6885861937958</v>
      </c>
      <c r="J9" s="243">
        <f t="shared" si="4"/>
        <v>996.36147303038763</v>
      </c>
      <c r="K9" s="243">
        <f t="shared" si="4"/>
        <v>987.92140686429639</v>
      </c>
      <c r="L9" s="243">
        <f t="shared" si="4"/>
        <v>1145.2966522112245</v>
      </c>
      <c r="M9" s="243">
        <f t="shared" si="4"/>
        <v>996.39619262962424</v>
      </c>
      <c r="N9" s="243">
        <f t="shared" si="4"/>
        <v>1013.9090144321624</v>
      </c>
      <c r="O9" s="243">
        <f t="shared" si="4"/>
        <v>1006.7182446095662</v>
      </c>
      <c r="P9" s="243">
        <f t="shared" si="4"/>
        <v>918.7786311553798</v>
      </c>
      <c r="Q9" s="243">
        <f t="shared" si="4"/>
        <v>962.7583402060651</v>
      </c>
      <c r="R9" s="243">
        <f t="shared" si="4"/>
        <v>976.4911336600037</v>
      </c>
      <c r="S9" s="243">
        <f t="shared" si="4"/>
        <v>974.86169032846544</v>
      </c>
      <c r="T9" s="243">
        <f t="shared" si="4"/>
        <v>1036.7391470192642</v>
      </c>
      <c r="U9" s="243">
        <f t="shared" si="4"/>
        <v>1041.8469420274848</v>
      </c>
      <c r="V9" s="243">
        <f t="shared" si="4"/>
        <v>1004.3055766208674</v>
      </c>
      <c r="W9" s="243">
        <f t="shared" si="4"/>
        <v>1007.0247897314897</v>
      </c>
      <c r="X9" s="243">
        <f t="shared" ref="X9:Y9" si="5">SUM(X10:X15)</f>
        <v>738.25441870975249</v>
      </c>
      <c r="Y9" s="243">
        <f t="shared" si="5"/>
        <v>755.64589065792597</v>
      </c>
      <c r="DA9" s="269"/>
    </row>
    <row r="10" spans="1:105" x14ac:dyDescent="0.25">
      <c r="A10" s="253" t="s">
        <v>166</v>
      </c>
      <c r="B10" s="254">
        <v>20.597322999744978</v>
      </c>
      <c r="C10" s="254">
        <v>21.291118267719568</v>
      </c>
      <c r="D10" s="254">
        <v>18.58922042430401</v>
      </c>
      <c r="E10" s="254">
        <v>17.00014118447352</v>
      </c>
      <c r="F10" s="254">
        <v>14.96046561735041</v>
      </c>
      <c r="G10" s="254">
        <v>15.09447133439564</v>
      </c>
      <c r="H10" s="254">
        <v>17.298969394903349</v>
      </c>
      <c r="I10" s="254">
        <v>15.282826737001679</v>
      </c>
      <c r="J10" s="254">
        <v>13.482973954938149</v>
      </c>
      <c r="K10" s="254">
        <v>11.997870227446141</v>
      </c>
      <c r="L10" s="254">
        <v>11.24925143019475</v>
      </c>
      <c r="M10" s="254">
        <v>13.75802270331048</v>
      </c>
      <c r="N10" s="254">
        <v>11.10748318602813</v>
      </c>
      <c r="O10" s="254">
        <v>13.34340794613432</v>
      </c>
      <c r="P10" s="254">
        <v>17.16701251959142</v>
      </c>
      <c r="Q10" s="254">
        <v>18.196963260354941</v>
      </c>
      <c r="R10" s="254">
        <v>16.021341653123709</v>
      </c>
      <c r="S10" s="254">
        <v>13.852840522895599</v>
      </c>
      <c r="T10" s="254">
        <v>15.92596415199989</v>
      </c>
      <c r="U10" s="254">
        <v>15.47177943102476</v>
      </c>
      <c r="V10" s="254">
        <v>19.460082124946702</v>
      </c>
      <c r="W10" s="254">
        <v>14.688982598749369</v>
      </c>
      <c r="X10" s="254">
        <v>23.84384474945276</v>
      </c>
      <c r="Y10" s="254">
        <v>22.862915305549741</v>
      </c>
      <c r="DA10" s="270" t="s">
        <v>998</v>
      </c>
    </row>
    <row r="11" spans="1:105" x14ac:dyDescent="0.25">
      <c r="A11" s="253" t="s">
        <v>169</v>
      </c>
      <c r="B11" s="255">
        <v>927.70818740976802</v>
      </c>
      <c r="C11" s="255">
        <v>902.70609935797268</v>
      </c>
      <c r="D11" s="255">
        <v>839.54852044990719</v>
      </c>
      <c r="E11" s="255">
        <v>849.88763301278175</v>
      </c>
      <c r="F11" s="255">
        <v>875.25219287393008</v>
      </c>
      <c r="G11" s="255">
        <v>881.56467746843794</v>
      </c>
      <c r="H11" s="255">
        <v>735.01408902254605</v>
      </c>
      <c r="I11" s="255">
        <v>739.16307624408671</v>
      </c>
      <c r="J11" s="255">
        <v>765.22165212479831</v>
      </c>
      <c r="K11" s="255">
        <v>758.23919225385487</v>
      </c>
      <c r="L11" s="255">
        <v>936.44730060234838</v>
      </c>
      <c r="M11" s="255">
        <v>785.61002848228361</v>
      </c>
      <c r="N11" s="255">
        <v>800.72831768747017</v>
      </c>
      <c r="O11" s="255">
        <v>780.70541586978618</v>
      </c>
      <c r="P11" s="255">
        <v>661.79193375873172</v>
      </c>
      <c r="Q11" s="255">
        <v>692.38731904773601</v>
      </c>
      <c r="R11" s="255">
        <v>704.58171520707492</v>
      </c>
      <c r="S11" s="255">
        <v>678.49510247268574</v>
      </c>
      <c r="T11" s="255">
        <v>700.69741269053986</v>
      </c>
      <c r="U11" s="255">
        <v>660.47499810496481</v>
      </c>
      <c r="V11" s="255">
        <v>649.83769462734904</v>
      </c>
      <c r="W11" s="255">
        <v>664.40290645228436</v>
      </c>
      <c r="X11" s="255">
        <v>483.0891506340966</v>
      </c>
      <c r="Y11" s="255">
        <v>495.49321290581912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0.7361703764652221</v>
      </c>
      <c r="K12" s="255">
        <v>1.0866305076141749</v>
      </c>
      <c r="L12" s="255">
        <v>2.4954003252470631</v>
      </c>
      <c r="M12" s="255">
        <v>2.4295725584554351</v>
      </c>
      <c r="N12" s="255">
        <v>3.788571024173534</v>
      </c>
      <c r="O12" s="255">
        <v>7.5897349738264692</v>
      </c>
      <c r="P12" s="255">
        <v>11.201447366471699</v>
      </c>
      <c r="Q12" s="255">
        <v>18.37902408075896</v>
      </c>
      <c r="R12" s="255">
        <v>21.241353014871819</v>
      </c>
      <c r="S12" s="255">
        <v>22.436654135782291</v>
      </c>
      <c r="T12" s="255">
        <v>27.295465830231539</v>
      </c>
      <c r="U12" s="255">
        <v>40.073026167701677</v>
      </c>
      <c r="V12" s="255">
        <v>45.734583260755358</v>
      </c>
      <c r="W12" s="255">
        <v>47.433234568463831</v>
      </c>
      <c r="X12" s="255">
        <v>52.953507056668002</v>
      </c>
      <c r="Y12" s="255">
        <v>51.144737904358578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354.781685296592</v>
      </c>
      <c r="C14" s="254">
        <v>335.81736887356192</v>
      </c>
      <c r="D14" s="254">
        <v>297.10042992255188</v>
      </c>
      <c r="E14" s="254">
        <v>259.84041272566708</v>
      </c>
      <c r="F14" s="254">
        <v>222.05503009451041</v>
      </c>
      <c r="G14" s="254">
        <v>221.4101461736295</v>
      </c>
      <c r="H14" s="254">
        <v>202.73241616503901</v>
      </c>
      <c r="I14" s="254">
        <v>174.78744625964541</v>
      </c>
      <c r="J14" s="254">
        <v>149.0159931212028</v>
      </c>
      <c r="K14" s="254">
        <v>132.344539982784</v>
      </c>
      <c r="L14" s="254">
        <v>131.12639724846559</v>
      </c>
      <c r="M14" s="254">
        <v>115.8163370593017</v>
      </c>
      <c r="N14" s="254">
        <v>107.2417884780542</v>
      </c>
      <c r="O14" s="254">
        <v>99.980911435928959</v>
      </c>
      <c r="P14" s="254">
        <v>99.980911435915445</v>
      </c>
      <c r="Q14" s="254">
        <v>83.596044711929522</v>
      </c>
      <c r="R14" s="254">
        <v>88.373000859830356</v>
      </c>
      <c r="S14" s="254">
        <v>88.354944110039639</v>
      </c>
      <c r="T14" s="254">
        <v>83.588134135839255</v>
      </c>
      <c r="U14" s="254">
        <v>83.583233018039635</v>
      </c>
      <c r="V14" s="254">
        <v>78.411693895079054</v>
      </c>
      <c r="W14" s="254">
        <v>85.872828890779687</v>
      </c>
      <c r="X14" s="254">
        <v>58.956921754065078</v>
      </c>
      <c r="Y14" s="254">
        <v>58.848925193456047</v>
      </c>
      <c r="DA14" s="270" t="s">
        <v>1002</v>
      </c>
    </row>
    <row r="15" spans="1:105" x14ac:dyDescent="0.25">
      <c r="A15" s="253" t="s">
        <v>24</v>
      </c>
      <c r="B15" s="255">
        <v>13.556104720027919</v>
      </c>
      <c r="C15" s="255">
        <v>15.485884368026969</v>
      </c>
      <c r="D15" s="255">
        <v>17.346069544562699</v>
      </c>
      <c r="E15" s="255">
        <v>21.970718232130139</v>
      </c>
      <c r="F15" s="255">
        <v>29.16878689439007</v>
      </c>
      <c r="G15" s="255">
        <v>38.981098093818893</v>
      </c>
      <c r="H15" s="255">
        <v>48.552683878765293</v>
      </c>
      <c r="I15" s="255">
        <v>62.455236953062048</v>
      </c>
      <c r="J15" s="255">
        <v>67.90468345298315</v>
      </c>
      <c r="K15" s="255">
        <v>84.253173892597246</v>
      </c>
      <c r="L15" s="255">
        <v>63.978302604968867</v>
      </c>
      <c r="M15" s="255">
        <v>78.782231826272863</v>
      </c>
      <c r="N15" s="255">
        <v>91.042854056436312</v>
      </c>
      <c r="O15" s="255">
        <v>105.0987743838902</v>
      </c>
      <c r="P15" s="255">
        <v>128.63732607466949</v>
      </c>
      <c r="Q15" s="255">
        <v>150.1989891052857</v>
      </c>
      <c r="R15" s="255">
        <v>146.2737229251029</v>
      </c>
      <c r="S15" s="255">
        <v>171.72214908706209</v>
      </c>
      <c r="T15" s="255">
        <v>209.23217021065361</v>
      </c>
      <c r="U15" s="255">
        <v>242.243905305754</v>
      </c>
      <c r="V15" s="255">
        <v>210.86152271273721</v>
      </c>
      <c r="W15" s="255">
        <v>194.62683722121241</v>
      </c>
      <c r="X15" s="255">
        <v>119.41099451547009</v>
      </c>
      <c r="Y15" s="255">
        <v>127.2960993487426</v>
      </c>
      <c r="DA15" s="271" t="s">
        <v>1003</v>
      </c>
    </row>
    <row r="16" spans="1:105" x14ac:dyDescent="0.25">
      <c r="A16" s="256" t="s">
        <v>168</v>
      </c>
      <c r="B16" s="257">
        <v>542.48256383585351</v>
      </c>
      <c r="C16" s="257">
        <v>538.10576859338789</v>
      </c>
      <c r="D16" s="257">
        <v>488.30994785941618</v>
      </c>
      <c r="E16" s="257">
        <v>470.5236123993343</v>
      </c>
      <c r="F16" s="257">
        <v>452.17481562731399</v>
      </c>
      <c r="G16" s="257">
        <v>459.364023301793</v>
      </c>
      <c r="H16" s="257">
        <v>437.51823935040977</v>
      </c>
      <c r="I16" s="257">
        <v>418.9193787513301</v>
      </c>
      <c r="J16" s="257">
        <v>404.44815870507517</v>
      </c>
      <c r="K16" s="257">
        <v>388.35643852960737</v>
      </c>
      <c r="L16" s="257">
        <v>418.74348778312259</v>
      </c>
      <c r="M16" s="257">
        <v>409.88228953323909</v>
      </c>
      <c r="N16" s="257">
        <v>387.47075193745241</v>
      </c>
      <c r="O16" s="257">
        <v>410.25598924552332</v>
      </c>
      <c r="P16" s="257">
        <v>419.51316272262449</v>
      </c>
      <c r="Q16" s="257">
        <v>442.12446746446449</v>
      </c>
      <c r="R16" s="257">
        <v>428.43131890742751</v>
      </c>
      <c r="S16" s="257">
        <v>407.98256456227489</v>
      </c>
      <c r="T16" s="257">
        <v>445.34489130940301</v>
      </c>
      <c r="U16" s="257">
        <v>442.12289464162939</v>
      </c>
      <c r="V16" s="257">
        <v>464.36314349085359</v>
      </c>
      <c r="W16" s="257">
        <v>423.16696369608331</v>
      </c>
      <c r="X16" s="257">
        <v>401.01732549103042</v>
      </c>
      <c r="Y16" s="257">
        <v>404.46551115410853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2191.7306011926089</v>
      </c>
      <c r="C17" s="257">
        <f t="shared" ref="C17:W17" si="7">SUM(C18:C24)</f>
        <v>2131.4029865731241</v>
      </c>
      <c r="D17" s="257">
        <f t="shared" si="7"/>
        <v>1969.6329849137139</v>
      </c>
      <c r="E17" s="257">
        <f t="shared" si="7"/>
        <v>1956.9132189310394</v>
      </c>
      <c r="F17" s="257">
        <f t="shared" si="7"/>
        <v>1976.7079755281527</v>
      </c>
      <c r="G17" s="257">
        <f t="shared" si="7"/>
        <v>2008.6694012287369</v>
      </c>
      <c r="H17" s="257">
        <f t="shared" si="7"/>
        <v>1738.0340175280944</v>
      </c>
      <c r="I17" s="257">
        <f t="shared" si="7"/>
        <v>1738.1470464697525</v>
      </c>
      <c r="J17" s="257">
        <f t="shared" si="7"/>
        <v>1769.2118771790906</v>
      </c>
      <c r="K17" s="257">
        <f t="shared" si="7"/>
        <v>1763.8221452858461</v>
      </c>
      <c r="L17" s="257">
        <f t="shared" si="7"/>
        <v>2064.5732837092351</v>
      </c>
      <c r="M17" s="257">
        <f t="shared" si="7"/>
        <v>1785.6241689944782</v>
      </c>
      <c r="N17" s="257">
        <f t="shared" si="7"/>
        <v>1821.2678867315306</v>
      </c>
      <c r="O17" s="257">
        <f t="shared" si="7"/>
        <v>1811.2118433809362</v>
      </c>
      <c r="P17" s="257">
        <f t="shared" si="7"/>
        <v>1632.1990479086053</v>
      </c>
      <c r="Q17" s="257">
        <f t="shared" si="7"/>
        <v>1723.6193294792365</v>
      </c>
      <c r="R17" s="257">
        <f t="shared" si="7"/>
        <v>1743.7266856295198</v>
      </c>
      <c r="S17" s="257">
        <f t="shared" si="7"/>
        <v>1730.8205412199859</v>
      </c>
      <c r="T17" s="257">
        <f t="shared" si="7"/>
        <v>1836.9885105552628</v>
      </c>
      <c r="U17" s="257">
        <f t="shared" si="7"/>
        <v>1830.3618697288782</v>
      </c>
      <c r="V17" s="257">
        <f t="shared" si="7"/>
        <v>1787.2136613256293</v>
      </c>
      <c r="W17" s="257">
        <f t="shared" si="7"/>
        <v>1805.4100509579239</v>
      </c>
      <c r="X17" s="257">
        <f t="shared" ref="X17:Y17" si="8">SUM(X18:X24)</f>
        <v>1345.7403604663596</v>
      </c>
      <c r="Y17" s="257">
        <f t="shared" si="8"/>
        <v>1353.4375694919845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45.338521066199966</v>
      </c>
      <c r="C19" s="55">
        <v>48.576956147886357</v>
      </c>
      <c r="D19" s="55">
        <v>44.258985382620139</v>
      </c>
      <c r="E19" s="55">
        <v>39.941014617361283</v>
      </c>
      <c r="F19" s="55">
        <v>42.099999999985037</v>
      </c>
      <c r="G19" s="55">
        <v>39.941014617358057</v>
      </c>
      <c r="H19" s="55">
        <v>39.941014617359897</v>
      </c>
      <c r="I19" s="55">
        <v>39.941014617363678</v>
      </c>
      <c r="J19" s="55">
        <v>38.861564918306847</v>
      </c>
      <c r="K19" s="55">
        <v>36.702579535679043</v>
      </c>
      <c r="L19" s="55">
        <v>41.020550300937209</v>
      </c>
      <c r="M19" s="55">
        <v>32.384608770414808</v>
      </c>
      <c r="N19" s="55">
        <v>30.225623387785351</v>
      </c>
      <c r="O19" s="55">
        <v>32.384608770417927</v>
      </c>
      <c r="P19" s="55">
        <v>22.669217540838389</v>
      </c>
      <c r="Q19" s="55">
        <v>33.439466895952187</v>
      </c>
      <c r="R19" s="55">
        <v>31.049699054166229</v>
      </c>
      <c r="S19" s="55">
        <v>29.417540842642872</v>
      </c>
      <c r="T19" s="55">
        <v>31.049527085120008</v>
      </c>
      <c r="U19" s="55">
        <v>32.673946689590757</v>
      </c>
      <c r="V19" s="55">
        <v>33.676096302659481</v>
      </c>
      <c r="W19" s="55">
        <v>42.515133276002423</v>
      </c>
      <c r="X19" s="55">
        <v>28.66147893378762</v>
      </c>
      <c r="Y19" s="55">
        <v>28.659931212379679</v>
      </c>
      <c r="DA19" s="101" t="s">
        <v>1006</v>
      </c>
    </row>
    <row r="20" spans="1:105" x14ac:dyDescent="0.25">
      <c r="A20" s="61" t="s">
        <v>166</v>
      </c>
      <c r="B20" s="55">
        <v>45.040250339791989</v>
      </c>
      <c r="C20" s="55">
        <v>46.475981890235282</v>
      </c>
      <c r="D20" s="55">
        <v>40.600249990242098</v>
      </c>
      <c r="E20" s="55">
        <v>36.628452976138803</v>
      </c>
      <c r="F20" s="55">
        <v>31.718895832122431</v>
      </c>
      <c r="G20" s="55">
        <v>32.278962618839003</v>
      </c>
      <c r="H20" s="55">
        <v>37.588433292395678</v>
      </c>
      <c r="I20" s="55">
        <v>32.953458913663638</v>
      </c>
      <c r="J20" s="55">
        <v>28.512433988713539</v>
      </c>
      <c r="K20" s="55">
        <v>25.449687738095768</v>
      </c>
      <c r="L20" s="55">
        <v>22.990189280636528</v>
      </c>
      <c r="M20" s="55">
        <v>28.981740801020781</v>
      </c>
      <c r="N20" s="55">
        <v>23.55528275229576</v>
      </c>
      <c r="O20" s="55">
        <v>28.353769805230741</v>
      </c>
      <c r="P20" s="55">
        <v>37.813409257843418</v>
      </c>
      <c r="Q20" s="55">
        <v>39.701321791396481</v>
      </c>
      <c r="R20" s="55">
        <v>35.204783946392439</v>
      </c>
      <c r="S20" s="55">
        <v>31.074051913195991</v>
      </c>
      <c r="T20" s="55">
        <v>36.062472481434469</v>
      </c>
      <c r="U20" s="55">
        <v>35.836377234986116</v>
      </c>
      <c r="V20" s="55">
        <v>43.400298629526851</v>
      </c>
      <c r="W20" s="55">
        <v>32.110164464119038</v>
      </c>
      <c r="X20" s="55">
        <v>49.271840169530812</v>
      </c>
      <c r="Y20" s="55">
        <v>49.713955384027663</v>
      </c>
      <c r="DA20" s="101" t="s">
        <v>1007</v>
      </c>
    </row>
    <row r="21" spans="1:105" x14ac:dyDescent="0.25">
      <c r="A21" s="61" t="s">
        <v>129</v>
      </c>
      <c r="B21" s="55">
        <v>70.507308684424189</v>
      </c>
      <c r="C21" s="55">
        <v>63.652450558890223</v>
      </c>
      <c r="D21" s="55">
        <v>48.963370593281063</v>
      </c>
      <c r="E21" s="55">
        <v>47.004901117789863</v>
      </c>
      <c r="F21" s="55">
        <v>45.04634565776562</v>
      </c>
      <c r="G21" s="55">
        <v>45.046345657769407</v>
      </c>
      <c r="H21" s="55">
        <v>44.067067927763112</v>
      </c>
      <c r="I21" s="55">
        <v>42.108512467750323</v>
      </c>
      <c r="J21" s="55">
        <v>47.004901117789302</v>
      </c>
      <c r="K21" s="55">
        <v>51.901203783312567</v>
      </c>
      <c r="L21" s="55">
        <v>40.149957007730151</v>
      </c>
      <c r="M21" s="55">
        <v>19.58538263112246</v>
      </c>
      <c r="N21" s="55">
        <v>13.843508168527441</v>
      </c>
      <c r="O21" s="55">
        <v>20.56466036113283</v>
      </c>
      <c r="P21" s="55">
        <v>32.31582115218653</v>
      </c>
      <c r="Q21" s="55">
        <v>34.843164230431732</v>
      </c>
      <c r="R21" s="55">
        <v>10.816595012896279</v>
      </c>
      <c r="S21" s="55">
        <v>10.33688736027324</v>
      </c>
      <c r="T21" s="55">
        <v>9.7766981943235489</v>
      </c>
      <c r="U21" s="55">
        <v>9.3456577815978505</v>
      </c>
      <c r="V21" s="55">
        <v>9.2587274290611088</v>
      </c>
      <c r="W21" s="55">
        <v>8.9196044711935247</v>
      </c>
      <c r="X21" s="55">
        <v>7.9558039552868527</v>
      </c>
      <c r="Y21" s="55">
        <v>8.38942390369672</v>
      </c>
      <c r="DA21" s="101" t="s">
        <v>1008</v>
      </c>
    </row>
    <row r="22" spans="1:105" x14ac:dyDescent="0.25">
      <c r="A22" s="61" t="s">
        <v>169</v>
      </c>
      <c r="B22" s="55">
        <v>2028.623282925065</v>
      </c>
      <c r="C22" s="55">
        <v>1970.500177511796</v>
      </c>
      <c r="D22" s="55">
        <v>1833.6368621805891</v>
      </c>
      <c r="E22" s="55">
        <v>1831.165333452768</v>
      </c>
      <c r="F22" s="55">
        <v>1855.6931209686329</v>
      </c>
      <c r="G22" s="55">
        <v>1885.1931041301291</v>
      </c>
      <c r="H22" s="55">
        <v>1597.090984063753</v>
      </c>
      <c r="I22" s="55">
        <v>1593.813793918958</v>
      </c>
      <c r="J22" s="55">
        <v>1618.2136015290339</v>
      </c>
      <c r="K22" s="55">
        <v>1608.3646770493619</v>
      </c>
      <c r="L22" s="55">
        <v>1913.825184349746</v>
      </c>
      <c r="M22" s="55">
        <v>1654.9141331680989</v>
      </c>
      <c r="N22" s="55">
        <v>1698.0788190275009</v>
      </c>
      <c r="O22" s="55">
        <v>1658.9421335710419</v>
      </c>
      <c r="P22" s="55">
        <v>1457.7148590181221</v>
      </c>
      <c r="Q22" s="55">
        <v>1510.6197316826531</v>
      </c>
      <c r="R22" s="55">
        <v>1548.225335523475</v>
      </c>
      <c r="S22" s="55">
        <v>1521.9688700118279</v>
      </c>
      <c r="T22" s="55">
        <v>1586.646869338319</v>
      </c>
      <c r="U22" s="55">
        <v>1529.819584869726</v>
      </c>
      <c r="V22" s="55">
        <v>1449.282167796991</v>
      </c>
      <c r="W22" s="55">
        <v>1452.3869473736031</v>
      </c>
      <c r="X22" s="55">
        <v>998.27404798984412</v>
      </c>
      <c r="Y22" s="55">
        <v>1077.418480989124</v>
      </c>
      <c r="DA22" s="101" t="s">
        <v>1009</v>
      </c>
    </row>
    <row r="23" spans="1:105" x14ac:dyDescent="0.25">
      <c r="A23" s="61" t="s">
        <v>164</v>
      </c>
      <c r="B23" s="55">
        <v>2.2212381771277201</v>
      </c>
      <c r="C23" s="55">
        <v>2.1974204643161062</v>
      </c>
      <c r="D23" s="55">
        <v>2.1735167669814039</v>
      </c>
      <c r="E23" s="55">
        <v>2.1735167669815301</v>
      </c>
      <c r="F23" s="55">
        <v>2.1496130696467</v>
      </c>
      <c r="G23" s="55">
        <v>6.2099742046414814</v>
      </c>
      <c r="H23" s="55">
        <v>19.34651762682282</v>
      </c>
      <c r="I23" s="55">
        <v>29.33026655201682</v>
      </c>
      <c r="J23" s="55">
        <v>35.062596732581049</v>
      </c>
      <c r="K23" s="55">
        <v>39.0990541702445</v>
      </c>
      <c r="L23" s="55">
        <v>41.487532244187307</v>
      </c>
      <c r="M23" s="55">
        <v>44.640326741177617</v>
      </c>
      <c r="N23" s="55">
        <v>47.530352536535773</v>
      </c>
      <c r="O23" s="55">
        <v>54.839036973339041</v>
      </c>
      <c r="P23" s="55">
        <v>57.012553740316022</v>
      </c>
      <c r="Q23" s="55">
        <v>64.917110920021727</v>
      </c>
      <c r="R23" s="55">
        <v>71.755202063619237</v>
      </c>
      <c r="S23" s="55">
        <v>87.694325021479898</v>
      </c>
      <c r="T23" s="55">
        <v>111.6455717970597</v>
      </c>
      <c r="U23" s="55">
        <v>129.86749785036659</v>
      </c>
      <c r="V23" s="55">
        <v>149.5981083404719</v>
      </c>
      <c r="W23" s="55">
        <v>165.78899398105261</v>
      </c>
      <c r="X23" s="55">
        <v>152.15202063626271</v>
      </c>
      <c r="Y23" s="55">
        <v>78.04479793636574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1.556778892665845</v>
      </c>
      <c r="K24" s="55">
        <v>2.3049430091523631</v>
      </c>
      <c r="L24" s="55">
        <v>5.0998705259980728</v>
      </c>
      <c r="M24" s="55">
        <v>5.1179768826435588</v>
      </c>
      <c r="N24" s="55">
        <v>8.0343008588855298</v>
      </c>
      <c r="O24" s="55">
        <v>16.127633899773631</v>
      </c>
      <c r="P24" s="55">
        <v>24.673187199298901</v>
      </c>
      <c r="Q24" s="55">
        <v>40.098533958781204</v>
      </c>
      <c r="R24" s="55">
        <v>46.675070028970673</v>
      </c>
      <c r="S24" s="55">
        <v>50.328866070566043</v>
      </c>
      <c r="T24" s="55">
        <v>61.807371659005767</v>
      </c>
      <c r="U24" s="55">
        <v>92.818805302610912</v>
      </c>
      <c r="V24" s="55">
        <v>101.998262826919</v>
      </c>
      <c r="W24" s="55">
        <v>103.689207391953</v>
      </c>
      <c r="X24" s="55">
        <v>109.4251687816475</v>
      </c>
      <c r="Y24" s="55">
        <v>111.2109800663906</v>
      </c>
      <c r="DA24" s="101" t="s">
        <v>1011</v>
      </c>
    </row>
    <row r="25" spans="1:105" x14ac:dyDescent="0.25">
      <c r="A25" s="256" t="s">
        <v>167</v>
      </c>
      <c r="B25" s="257">
        <v>104.24254554167641</v>
      </c>
      <c r="C25" s="257">
        <v>103.40150786082791</v>
      </c>
      <c r="D25" s="257">
        <v>93.832825922108682</v>
      </c>
      <c r="E25" s="257">
        <v>90.415033337021768</v>
      </c>
      <c r="F25" s="257">
        <v>86.889159123447868</v>
      </c>
      <c r="G25" s="257">
        <v>88.270625290980234</v>
      </c>
      <c r="H25" s="257">
        <v>84.072775847961537</v>
      </c>
      <c r="I25" s="257">
        <v>80.498849786054961</v>
      </c>
      <c r="J25" s="257">
        <v>77.718084254995787</v>
      </c>
      <c r="K25" s="257">
        <v>74.625926119305575</v>
      </c>
      <c r="L25" s="257">
        <v>80.465050870686909</v>
      </c>
      <c r="M25" s="257">
        <v>78.76229778018056</v>
      </c>
      <c r="N25" s="257">
        <v>74.455734059554345</v>
      </c>
      <c r="O25" s="257">
        <v>78.834107294206703</v>
      </c>
      <c r="P25" s="257">
        <v>80.612950324571656</v>
      </c>
      <c r="Q25" s="257">
        <v>84.957900967116501</v>
      </c>
      <c r="R25" s="257">
        <v>82.326648356944546</v>
      </c>
      <c r="S25" s="257">
        <v>78.397249795223914</v>
      </c>
      <c r="T25" s="257">
        <v>85.576732247048852</v>
      </c>
      <c r="U25" s="257">
        <v>84.957598736101275</v>
      </c>
      <c r="V25" s="257">
        <v>89.23124789660217</v>
      </c>
      <c r="W25" s="257">
        <v>81.315058631395004</v>
      </c>
      <c r="X25" s="257">
        <v>77.058821061295845</v>
      </c>
      <c r="Y25" s="257">
        <v>77.721418672688088</v>
      </c>
      <c r="DA25" s="272" t="s">
        <v>1012</v>
      </c>
    </row>
    <row r="26" spans="1:105" x14ac:dyDescent="0.25">
      <c r="A26" s="256" t="s">
        <v>170</v>
      </c>
      <c r="B26" s="257">
        <v>69.532975100831251</v>
      </c>
      <c r="C26" s="257">
        <v>71.296632240852176</v>
      </c>
      <c r="D26" s="257">
        <v>70.081946882282935</v>
      </c>
      <c r="E26" s="257">
        <v>74.917980171365912</v>
      </c>
      <c r="F26" s="257">
        <v>82.025228003812529</v>
      </c>
      <c r="G26" s="257">
        <v>91.103178489569288</v>
      </c>
      <c r="H26" s="257">
        <v>89.085679905190133</v>
      </c>
      <c r="I26" s="257">
        <v>95.815057510458075</v>
      </c>
      <c r="J26" s="257">
        <v>98.680456258609155</v>
      </c>
      <c r="K26" s="257">
        <v>104.9550401999479</v>
      </c>
      <c r="L26" s="257">
        <v>106.3272973465391</v>
      </c>
      <c r="M26" s="257">
        <v>103.9684031617645</v>
      </c>
      <c r="N26" s="257">
        <v>109.8928737286509</v>
      </c>
      <c r="O26" s="257">
        <v>114.6052666193187</v>
      </c>
      <c r="P26" s="257">
        <v>114.8265158683913</v>
      </c>
      <c r="Q26" s="257">
        <v>124.3884051023329</v>
      </c>
      <c r="R26" s="257">
        <v>124.5177919583523</v>
      </c>
      <c r="S26" s="257">
        <v>129.96375590909389</v>
      </c>
      <c r="T26" s="257">
        <v>143.88362614697681</v>
      </c>
      <c r="U26" s="257">
        <v>150.19753020275999</v>
      </c>
      <c r="V26" s="257">
        <v>141.06554584430171</v>
      </c>
      <c r="W26" s="257">
        <v>137.13922412920951</v>
      </c>
      <c r="X26" s="257">
        <v>96.584731449324877</v>
      </c>
      <c r="Y26" s="257">
        <v>100.6970484019068</v>
      </c>
      <c r="DA26" s="272" t="s">
        <v>1013</v>
      </c>
    </row>
    <row r="27" spans="1:105" x14ac:dyDescent="0.25">
      <c r="A27" s="128" t="s">
        <v>33</v>
      </c>
      <c r="B27" s="258">
        <v>100.8228138962053</v>
      </c>
      <c r="C27" s="258">
        <v>103.3801167492356</v>
      </c>
      <c r="D27" s="258">
        <v>101.6188229793102</v>
      </c>
      <c r="E27" s="258">
        <v>108.63107124848059</v>
      </c>
      <c r="F27" s="258">
        <v>118.93658060552821</v>
      </c>
      <c r="G27" s="258">
        <v>132.09960880987549</v>
      </c>
      <c r="H27" s="258">
        <v>129.17423586252559</v>
      </c>
      <c r="I27" s="258">
        <v>138.9318333901642</v>
      </c>
      <c r="J27" s="258">
        <v>143.08666157498331</v>
      </c>
      <c r="K27" s="258">
        <v>152.18480828992449</v>
      </c>
      <c r="L27" s="258">
        <v>154.17458115248169</v>
      </c>
      <c r="M27" s="258">
        <v>150.7541845845586</v>
      </c>
      <c r="N27" s="258">
        <v>159.34466690654389</v>
      </c>
      <c r="O27" s="258">
        <v>166.17763659801221</v>
      </c>
      <c r="P27" s="258">
        <v>166.49844800916739</v>
      </c>
      <c r="Q27" s="258">
        <v>180.36318739838279</v>
      </c>
      <c r="R27" s="258">
        <v>180.55079833961091</v>
      </c>
      <c r="S27" s="258">
        <v>188.44744606818611</v>
      </c>
      <c r="T27" s="258">
        <v>208.6312579131164</v>
      </c>
      <c r="U27" s="258">
        <v>217.786418794002</v>
      </c>
      <c r="V27" s="258">
        <v>204.54504147423739</v>
      </c>
      <c r="W27" s="258">
        <v>198.85187498735391</v>
      </c>
      <c r="X27" s="258">
        <v>140.04786060152111</v>
      </c>
      <c r="Y27" s="258">
        <v>146.0107201827648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1.0000000000000002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1</v>
      </c>
      <c r="L31" s="235">
        <f t="shared" si="9"/>
        <v>0.99999999999999989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1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0.99999999999999978</v>
      </c>
      <c r="S31" s="235">
        <f t="shared" si="10"/>
        <v>0.99999999999999989</v>
      </c>
      <c r="T31" s="235">
        <f t="shared" si="10"/>
        <v>0.99999999999999989</v>
      </c>
      <c r="U31" s="235">
        <f t="shared" si="10"/>
        <v>1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0.99999999999999989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1.5442287637887376E-2</v>
      </c>
      <c r="C32" s="244">
        <f t="shared" si="12"/>
        <v>1.6186512374942601E-2</v>
      </c>
      <c r="D32" s="244">
        <f t="shared" si="12"/>
        <v>1.7198995640664374E-2</v>
      </c>
      <c r="E32" s="244">
        <f t="shared" si="12"/>
        <v>1.8538820169002657E-2</v>
      </c>
      <c r="F32" s="244">
        <f t="shared" si="12"/>
        <v>2.0166825884931731E-2</v>
      </c>
      <c r="G32" s="244">
        <f t="shared" si="12"/>
        <v>2.1853205103858693E-2</v>
      </c>
      <c r="H32" s="244">
        <f t="shared" si="12"/>
        <v>2.4021043154406164E-2</v>
      </c>
      <c r="I32" s="244">
        <f t="shared" si="12"/>
        <v>2.5837797473471855E-2</v>
      </c>
      <c r="J32" s="244">
        <f t="shared" si="12"/>
        <v>2.6377095435009223E-2</v>
      </c>
      <c r="K32" s="244">
        <f t="shared" si="12"/>
        <v>2.8066588802553485E-2</v>
      </c>
      <c r="L32" s="244">
        <f t="shared" si="12"/>
        <v>2.5072964893110762E-2</v>
      </c>
      <c r="M32" s="244">
        <f t="shared" si="12"/>
        <v>2.7428627391724608E-2</v>
      </c>
      <c r="N32" s="244">
        <f t="shared" si="12"/>
        <v>2.8569072665582795E-2</v>
      </c>
      <c r="O32" s="244">
        <f t="shared" si="12"/>
        <v>2.9537085727883321E-2</v>
      </c>
      <c r="P32" s="244">
        <f t="shared" si="12"/>
        <v>3.1674214893293785E-2</v>
      </c>
      <c r="Q32" s="244">
        <f t="shared" si="12"/>
        <v>3.2431646810100828E-2</v>
      </c>
      <c r="R32" s="244">
        <f t="shared" si="12"/>
        <v>3.2312365343396071E-2</v>
      </c>
      <c r="S32" s="244">
        <f t="shared" si="12"/>
        <v>3.3828159126675458E-2</v>
      </c>
      <c r="T32" s="244">
        <f t="shared" si="12"/>
        <v>3.4888766787126581E-2</v>
      </c>
      <c r="U32" s="244">
        <f t="shared" si="12"/>
        <v>3.6189760777354675E-2</v>
      </c>
      <c r="V32" s="244">
        <f t="shared" si="12"/>
        <v>3.4827203595069689E-2</v>
      </c>
      <c r="W32" s="244">
        <f t="shared" si="12"/>
        <v>3.4262424243602069E-2</v>
      </c>
      <c r="X32" s="244">
        <f t="shared" si="12"/>
        <v>3.1719180056786277E-2</v>
      </c>
      <c r="Y32" s="244">
        <f t="shared" si="12"/>
        <v>3.2537964342366686E-2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1.0037486964626792E-2</v>
      </c>
      <c r="C33" s="245">
        <f t="shared" si="13"/>
        <v>1.0521233043712693E-2</v>
      </c>
      <c r="D33" s="245">
        <f t="shared" si="13"/>
        <v>1.1179347166431838E-2</v>
      </c>
      <c r="E33" s="245">
        <f t="shared" si="13"/>
        <v>1.2050233109851725E-2</v>
      </c>
      <c r="F33" s="245">
        <f t="shared" si="13"/>
        <v>1.3108436825205624E-2</v>
      </c>
      <c r="G33" s="245">
        <f t="shared" si="13"/>
        <v>1.420458331750815E-2</v>
      </c>
      <c r="H33" s="245">
        <f t="shared" si="13"/>
        <v>1.5613678050363997E-2</v>
      </c>
      <c r="I33" s="245">
        <f t="shared" si="13"/>
        <v>1.6794568357756695E-2</v>
      </c>
      <c r="J33" s="245">
        <f t="shared" si="13"/>
        <v>1.7145112032755989E-2</v>
      </c>
      <c r="K33" s="245">
        <f t="shared" si="13"/>
        <v>1.824328272165977E-2</v>
      </c>
      <c r="L33" s="245">
        <f t="shared" si="13"/>
        <v>1.6297427180521993E-2</v>
      </c>
      <c r="M33" s="245">
        <f t="shared" si="13"/>
        <v>1.7828607804620998E-2</v>
      </c>
      <c r="N33" s="245">
        <f t="shared" si="13"/>
        <v>1.8569897232628817E-2</v>
      </c>
      <c r="O33" s="245">
        <f t="shared" si="13"/>
        <v>1.9199105723124159E-2</v>
      </c>
      <c r="P33" s="245">
        <f t="shared" si="13"/>
        <v>2.0588239680640955E-2</v>
      </c>
      <c r="Q33" s="245">
        <f t="shared" si="13"/>
        <v>2.1080570426565533E-2</v>
      </c>
      <c r="R33" s="245">
        <f t="shared" si="13"/>
        <v>2.1003037473207444E-2</v>
      </c>
      <c r="S33" s="245">
        <f t="shared" si="13"/>
        <v>2.1988303432339044E-2</v>
      </c>
      <c r="T33" s="245">
        <f t="shared" si="13"/>
        <v>2.2677698411632266E-2</v>
      </c>
      <c r="U33" s="245">
        <f t="shared" si="13"/>
        <v>2.3523344505280531E-2</v>
      </c>
      <c r="V33" s="245">
        <f t="shared" si="13"/>
        <v>2.2637682336795282E-2</v>
      </c>
      <c r="W33" s="245">
        <f t="shared" si="13"/>
        <v>2.2270575758341345E-2</v>
      </c>
      <c r="X33" s="245">
        <f t="shared" si="13"/>
        <v>2.0617467036911082E-2</v>
      </c>
      <c r="Y33" s="245">
        <f t="shared" si="13"/>
        <v>2.1149676822538342E-2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1.389805887409864E-2</v>
      </c>
      <c r="C34" s="245">
        <f t="shared" si="14"/>
        <v>1.4567861137448344E-2</v>
      </c>
      <c r="D34" s="245">
        <f t="shared" si="14"/>
        <v>1.5479096076597932E-2</v>
      </c>
      <c r="E34" s="245">
        <f t="shared" si="14"/>
        <v>1.6684938152102386E-2</v>
      </c>
      <c r="F34" s="245">
        <f t="shared" si="14"/>
        <v>1.8150143296438562E-2</v>
      </c>
      <c r="G34" s="245">
        <f t="shared" si="14"/>
        <v>1.966788459347283E-2</v>
      </c>
      <c r="H34" s="245">
        <f t="shared" si="14"/>
        <v>2.161893883896554E-2</v>
      </c>
      <c r="I34" s="245">
        <f t="shared" si="14"/>
        <v>2.3254017726124662E-2</v>
      </c>
      <c r="J34" s="245">
        <f t="shared" si="14"/>
        <v>2.3739385891508299E-2</v>
      </c>
      <c r="K34" s="245">
        <f t="shared" si="14"/>
        <v>2.5259929922298155E-2</v>
      </c>
      <c r="L34" s="245">
        <f t="shared" si="14"/>
        <v>2.2565668403799678E-2</v>
      </c>
      <c r="M34" s="245">
        <f t="shared" si="14"/>
        <v>2.4685764652552154E-2</v>
      </c>
      <c r="N34" s="245">
        <f t="shared" si="14"/>
        <v>2.5712165399024524E-2</v>
      </c>
      <c r="O34" s="245">
        <f t="shared" si="14"/>
        <v>2.6583377155094984E-2</v>
      </c>
      <c r="P34" s="245">
        <f t="shared" si="14"/>
        <v>2.8506793403964389E-2</v>
      </c>
      <c r="Q34" s="245">
        <f t="shared" si="14"/>
        <v>2.9188482129090743E-2</v>
      </c>
      <c r="R34" s="245">
        <f t="shared" si="14"/>
        <v>2.9081128809056448E-2</v>
      </c>
      <c r="S34" s="245">
        <f t="shared" si="14"/>
        <v>3.0445343214007912E-2</v>
      </c>
      <c r="T34" s="245">
        <f t="shared" si="14"/>
        <v>3.1399890108413916E-2</v>
      </c>
      <c r="U34" s="245">
        <f t="shared" si="14"/>
        <v>3.2570784699619208E-2</v>
      </c>
      <c r="V34" s="245">
        <f t="shared" si="14"/>
        <v>3.1344483235562708E-2</v>
      </c>
      <c r="W34" s="245">
        <f t="shared" si="14"/>
        <v>3.0836181819241869E-2</v>
      </c>
      <c r="X34" s="245">
        <f t="shared" si="14"/>
        <v>2.8547262051107657E-2</v>
      </c>
      <c r="Y34" s="245">
        <f t="shared" si="14"/>
        <v>2.9284167908130012E-2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0.2924078040986145</v>
      </c>
      <c r="C35" s="246">
        <f t="shared" si="15"/>
        <v>0.28953214485263379</v>
      </c>
      <c r="D35" s="246">
        <f t="shared" si="15"/>
        <v>0.28776699471287942</v>
      </c>
      <c r="E35" s="246">
        <f t="shared" si="15"/>
        <v>0.28425115549416574</v>
      </c>
      <c r="F35" s="246">
        <f t="shared" si="15"/>
        <v>0.28063500973930883</v>
      </c>
      <c r="G35" s="246">
        <f t="shared" si="15"/>
        <v>0.27754530604176653</v>
      </c>
      <c r="H35" s="246">
        <f t="shared" si="15"/>
        <v>0.27060998692199273</v>
      </c>
      <c r="I35" s="246">
        <f t="shared" si="15"/>
        <v>0.26742194298669825</v>
      </c>
      <c r="J35" s="246">
        <f t="shared" si="15"/>
        <v>0.26632549806027134</v>
      </c>
      <c r="K35" s="246">
        <f t="shared" si="15"/>
        <v>0.2641853487252927</v>
      </c>
      <c r="L35" s="246">
        <f t="shared" si="15"/>
        <v>0.27007159468653613</v>
      </c>
      <c r="M35" s="246">
        <f t="shared" si="15"/>
        <v>0.26286620810794414</v>
      </c>
      <c r="N35" s="246">
        <f t="shared" si="15"/>
        <v>0.26358797733441969</v>
      </c>
      <c r="O35" s="246">
        <f t="shared" si="15"/>
        <v>0.25946035441485144</v>
      </c>
      <c r="P35" s="246">
        <f t="shared" si="15"/>
        <v>0.25343964834687377</v>
      </c>
      <c r="Q35" s="246">
        <f t="shared" si="15"/>
        <v>0.25101888256670313</v>
      </c>
      <c r="R35" s="246">
        <f t="shared" si="15"/>
        <v>0.25339943608992477</v>
      </c>
      <c r="S35" s="246">
        <f t="shared" si="15"/>
        <v>0.25374594752400198</v>
      </c>
      <c r="T35" s="246">
        <f t="shared" si="15"/>
        <v>0.25138753649766588</v>
      </c>
      <c r="U35" s="246">
        <f t="shared" si="15"/>
        <v>0.25103070301951169</v>
      </c>
      <c r="V35" s="246">
        <f t="shared" si="15"/>
        <v>0.2479496646703806</v>
      </c>
      <c r="W35" s="246">
        <f t="shared" si="15"/>
        <v>0.25159184608698387</v>
      </c>
      <c r="X35" s="246">
        <f t="shared" si="15"/>
        <v>0.24244851627566866</v>
      </c>
      <c r="Y35" s="246">
        <f t="shared" si="15"/>
        <v>0.24416980870730201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0.12047768382043102</v>
      </c>
      <c r="C36" s="259">
        <f t="shared" si="16"/>
        <v>0.1221664391235314</v>
      </c>
      <c r="D36" s="259">
        <f t="shared" si="16"/>
        <v>0.11983743372075634</v>
      </c>
      <c r="E36" s="259">
        <f t="shared" si="16"/>
        <v>0.11643336640400685</v>
      </c>
      <c r="F36" s="259">
        <f t="shared" si="16"/>
        <v>0.11117226977879661</v>
      </c>
      <c r="G36" s="259">
        <f t="shared" si="16"/>
        <v>0.11018908873412311</v>
      </c>
      <c r="H36" s="259">
        <f t="shared" si="16"/>
        <v>0.1179723219204359</v>
      </c>
      <c r="I36" s="259">
        <f t="shared" si="16"/>
        <v>0.11296715095858599</v>
      </c>
      <c r="J36" s="259">
        <f t="shared" si="16"/>
        <v>0.10810821195151095</v>
      </c>
      <c r="K36" s="259">
        <f t="shared" si="16"/>
        <v>0.10385247290906226</v>
      </c>
      <c r="L36" s="259">
        <f t="shared" si="16"/>
        <v>9.8743606114490692E-2</v>
      </c>
      <c r="M36" s="259">
        <f t="shared" si="16"/>
        <v>0.10813389695503905</v>
      </c>
      <c r="N36" s="259">
        <f t="shared" si="16"/>
        <v>0.10073155512542606</v>
      </c>
      <c r="O36" s="259">
        <f t="shared" si="16"/>
        <v>0.10573481203943154</v>
      </c>
      <c r="P36" s="259">
        <f t="shared" si="16"/>
        <v>0.11572022338352163</v>
      </c>
      <c r="Q36" s="259">
        <f t="shared" si="16"/>
        <v>0.11527460749348013</v>
      </c>
      <c r="R36" s="259">
        <f t="shared" si="16"/>
        <v>0.11117792151116955</v>
      </c>
      <c r="S36" s="259">
        <f t="shared" si="16"/>
        <v>0.10619344615259821</v>
      </c>
      <c r="T36" s="259">
        <f t="shared" si="16"/>
        <v>0.10798681176453281</v>
      </c>
      <c r="U36" s="259">
        <f t="shared" si="16"/>
        <v>0.10652852793033567</v>
      </c>
      <c r="V36" s="259">
        <f t="shared" si="16"/>
        <v>0.11464507256968728</v>
      </c>
      <c r="W36" s="259">
        <f t="shared" si="16"/>
        <v>0.10572267801640606</v>
      </c>
      <c r="X36" s="259">
        <f t="shared" si="16"/>
        <v>0.13169722131302541</v>
      </c>
      <c r="Y36" s="259">
        <f t="shared" si="16"/>
        <v>0.13069384444241855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0.48675228291751144</v>
      </c>
      <c r="C37" s="259">
        <f t="shared" si="17"/>
        <v>0.48389355477000201</v>
      </c>
      <c r="D37" s="259">
        <f t="shared" si="17"/>
        <v>0.4833728317813567</v>
      </c>
      <c r="E37" s="259">
        <f t="shared" si="17"/>
        <v>0.48424773557860357</v>
      </c>
      <c r="F37" s="259">
        <f t="shared" si="17"/>
        <v>0.48599591294009298</v>
      </c>
      <c r="G37" s="259">
        <f t="shared" si="17"/>
        <v>0.48182582801896867</v>
      </c>
      <c r="H37" s="259">
        <f t="shared" si="17"/>
        <v>0.46864311057961577</v>
      </c>
      <c r="I37" s="259">
        <f t="shared" si="17"/>
        <v>0.46871433919347055</v>
      </c>
      <c r="J37" s="259">
        <f t="shared" si="17"/>
        <v>0.47290691894255765</v>
      </c>
      <c r="K37" s="259">
        <f t="shared" si="17"/>
        <v>0.47167311620542995</v>
      </c>
      <c r="L37" s="259">
        <f t="shared" si="17"/>
        <v>0.4868455679164404</v>
      </c>
      <c r="M37" s="259">
        <f t="shared" si="17"/>
        <v>0.47107792852030006</v>
      </c>
      <c r="N37" s="259">
        <f t="shared" si="17"/>
        <v>0.47347869642578944</v>
      </c>
      <c r="O37" s="259">
        <f t="shared" si="17"/>
        <v>0.46680157960805524</v>
      </c>
      <c r="P37" s="259">
        <f t="shared" si="17"/>
        <v>0.45023244849944932</v>
      </c>
      <c r="Q37" s="259">
        <f t="shared" si="17"/>
        <v>0.44939729939253803</v>
      </c>
      <c r="R37" s="259">
        <f t="shared" si="17"/>
        <v>0.45249705153730685</v>
      </c>
      <c r="S37" s="259">
        <f t="shared" si="17"/>
        <v>0.45051385502480157</v>
      </c>
      <c r="T37" s="259">
        <f t="shared" si="17"/>
        <v>0.44543125198919792</v>
      </c>
      <c r="U37" s="259">
        <f t="shared" si="17"/>
        <v>0.44102162074208667</v>
      </c>
      <c r="V37" s="259">
        <f t="shared" si="17"/>
        <v>0.44123923866978698</v>
      </c>
      <c r="W37" s="259">
        <f t="shared" si="17"/>
        <v>0.45105786103400036</v>
      </c>
      <c r="X37" s="259">
        <f t="shared" si="17"/>
        <v>0.44195164352362343</v>
      </c>
      <c r="Y37" s="259">
        <f t="shared" si="17"/>
        <v>0.4373326137622493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2.3150790974006481E-2</v>
      </c>
      <c r="C38" s="259">
        <f t="shared" si="18"/>
        <v>2.3475299379119883E-2</v>
      </c>
      <c r="D38" s="259">
        <f t="shared" si="18"/>
        <v>2.3027761581685607E-2</v>
      </c>
      <c r="E38" s="259">
        <f t="shared" si="18"/>
        <v>2.2373641678210588E-2</v>
      </c>
      <c r="F38" s="259">
        <f t="shared" si="18"/>
        <v>2.1362678117142871E-2</v>
      </c>
      <c r="G38" s="259">
        <f t="shared" si="18"/>
        <v>2.1173751685848202E-2</v>
      </c>
      <c r="H38" s="259">
        <f t="shared" si="18"/>
        <v>2.266936480592481E-2</v>
      </c>
      <c r="I38" s="259">
        <f t="shared" si="18"/>
        <v>2.1707579493885933E-2</v>
      </c>
      <c r="J38" s="259">
        <f t="shared" si="18"/>
        <v>2.0773893870613978E-2</v>
      </c>
      <c r="K38" s="259">
        <f t="shared" si="18"/>
        <v>1.9956118147447723E-2</v>
      </c>
      <c r="L38" s="259">
        <f t="shared" si="18"/>
        <v>1.897440681697881E-2</v>
      </c>
      <c r="M38" s="259">
        <f t="shared" si="18"/>
        <v>2.0778829458093666E-2</v>
      </c>
      <c r="N38" s="259">
        <f t="shared" si="18"/>
        <v>1.9356407786450827E-2</v>
      </c>
      <c r="O38" s="259">
        <f t="shared" si="18"/>
        <v>2.0317825298245249E-2</v>
      </c>
      <c r="P38" s="259">
        <f t="shared" si="18"/>
        <v>2.2236605303686395E-2</v>
      </c>
      <c r="Q38" s="259">
        <f t="shared" si="18"/>
        <v>2.2150976496774534E-2</v>
      </c>
      <c r="R38" s="259">
        <f t="shared" si="18"/>
        <v>2.1363764144618318E-2</v>
      </c>
      <c r="S38" s="259">
        <f t="shared" si="18"/>
        <v>2.0405955665220892E-2</v>
      </c>
      <c r="T38" s="259">
        <f t="shared" si="18"/>
        <v>2.0750565812970339E-2</v>
      </c>
      <c r="U38" s="259">
        <f t="shared" si="18"/>
        <v>2.0470344421292603E-2</v>
      </c>
      <c r="V38" s="259">
        <f t="shared" si="18"/>
        <v>2.2030006114796677E-2</v>
      </c>
      <c r="W38" s="259">
        <f t="shared" si="18"/>
        <v>2.0315493644599277E-2</v>
      </c>
      <c r="X38" s="259">
        <f t="shared" si="18"/>
        <v>2.5306718603750934E-2</v>
      </c>
      <c r="Y38" s="259">
        <f t="shared" si="18"/>
        <v>2.5113911376196708E-2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1.5442287637887376E-2</v>
      </c>
      <c r="C39" s="259">
        <f t="shared" si="19"/>
        <v>1.6186512374942601E-2</v>
      </c>
      <c r="D39" s="259">
        <f t="shared" si="19"/>
        <v>1.7198995640664374E-2</v>
      </c>
      <c r="E39" s="259">
        <f t="shared" si="19"/>
        <v>1.8538820169002657E-2</v>
      </c>
      <c r="F39" s="259">
        <f t="shared" si="19"/>
        <v>2.0166825884931731E-2</v>
      </c>
      <c r="G39" s="259">
        <f t="shared" si="19"/>
        <v>2.1853205103858693E-2</v>
      </c>
      <c r="H39" s="259">
        <f t="shared" si="19"/>
        <v>2.4021043154406164E-2</v>
      </c>
      <c r="I39" s="259">
        <f t="shared" si="19"/>
        <v>2.5837797473471855E-2</v>
      </c>
      <c r="J39" s="259">
        <f t="shared" si="19"/>
        <v>2.6377095435009223E-2</v>
      </c>
      <c r="K39" s="259">
        <f t="shared" si="19"/>
        <v>2.8066588802553485E-2</v>
      </c>
      <c r="L39" s="259">
        <f t="shared" si="19"/>
        <v>2.5072964893110762E-2</v>
      </c>
      <c r="M39" s="259">
        <f t="shared" si="19"/>
        <v>2.7428627391724608E-2</v>
      </c>
      <c r="N39" s="259">
        <f t="shared" si="19"/>
        <v>2.8569072665582795E-2</v>
      </c>
      <c r="O39" s="259">
        <f t="shared" si="19"/>
        <v>2.9537085727883321E-2</v>
      </c>
      <c r="P39" s="259">
        <f t="shared" si="19"/>
        <v>3.1674214893293785E-2</v>
      </c>
      <c r="Q39" s="259">
        <f t="shared" si="19"/>
        <v>3.2431646810100828E-2</v>
      </c>
      <c r="R39" s="259">
        <f t="shared" si="19"/>
        <v>3.2312365343396071E-2</v>
      </c>
      <c r="S39" s="259">
        <f t="shared" si="19"/>
        <v>3.3828159126675458E-2</v>
      </c>
      <c r="T39" s="259">
        <f t="shared" si="19"/>
        <v>3.4888766787126581E-2</v>
      </c>
      <c r="U39" s="259">
        <f t="shared" si="19"/>
        <v>3.6189760777354675E-2</v>
      </c>
      <c r="V39" s="259">
        <f t="shared" si="19"/>
        <v>3.4827203595069689E-2</v>
      </c>
      <c r="W39" s="259">
        <f t="shared" si="19"/>
        <v>3.4262424243602069E-2</v>
      </c>
      <c r="X39" s="259">
        <f t="shared" si="19"/>
        <v>3.1719180056786277E-2</v>
      </c>
      <c r="Y39" s="259">
        <f t="shared" si="19"/>
        <v>3.2537964342366686E-2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2.2391317074936693E-2</v>
      </c>
      <c r="C40" s="261">
        <f t="shared" si="20"/>
        <v>2.347044294366676E-2</v>
      </c>
      <c r="D40" s="261">
        <f t="shared" si="20"/>
        <v>2.4938543678963327E-2</v>
      </c>
      <c r="E40" s="261">
        <f t="shared" si="20"/>
        <v>2.6881289245053858E-2</v>
      </c>
      <c r="F40" s="261">
        <f t="shared" si="20"/>
        <v>2.9241897533151019E-2</v>
      </c>
      <c r="G40" s="261">
        <f t="shared" si="20"/>
        <v>3.1687147400595111E-2</v>
      </c>
      <c r="H40" s="261">
        <f t="shared" si="20"/>
        <v>3.483051257388891E-2</v>
      </c>
      <c r="I40" s="261">
        <f t="shared" si="20"/>
        <v>3.7464806336534186E-2</v>
      </c>
      <c r="J40" s="261">
        <f t="shared" si="20"/>
        <v>3.8246788380763383E-2</v>
      </c>
      <c r="K40" s="261">
        <f t="shared" si="20"/>
        <v>4.0696553763702563E-2</v>
      </c>
      <c r="L40" s="261">
        <f t="shared" si="20"/>
        <v>3.6355799095010605E-2</v>
      </c>
      <c r="M40" s="261">
        <f t="shared" si="20"/>
        <v>3.9771509718000704E-2</v>
      </c>
      <c r="N40" s="261">
        <f t="shared" si="20"/>
        <v>4.142515536509507E-2</v>
      </c>
      <c r="O40" s="261">
        <f t="shared" si="20"/>
        <v>4.282877430543084E-2</v>
      </c>
      <c r="P40" s="261">
        <f t="shared" si="20"/>
        <v>4.5927611595275995E-2</v>
      </c>
      <c r="Q40" s="261">
        <f t="shared" si="20"/>
        <v>4.7025887874646219E-2</v>
      </c>
      <c r="R40" s="261">
        <f t="shared" si="20"/>
        <v>4.6852929747924321E-2</v>
      </c>
      <c r="S40" s="261">
        <f t="shared" si="20"/>
        <v>4.9050830733679406E-2</v>
      </c>
      <c r="T40" s="261">
        <f t="shared" si="20"/>
        <v>5.0588711841333546E-2</v>
      </c>
      <c r="U40" s="261">
        <f t="shared" si="20"/>
        <v>5.2475153127164283E-2</v>
      </c>
      <c r="V40" s="261">
        <f t="shared" si="20"/>
        <v>5.0499445212851025E-2</v>
      </c>
      <c r="W40" s="261">
        <f t="shared" si="20"/>
        <v>4.9680515153223026E-2</v>
      </c>
      <c r="X40" s="261">
        <f t="shared" si="20"/>
        <v>4.5992811082340115E-2</v>
      </c>
      <c r="Y40" s="261">
        <f t="shared" si="20"/>
        <v>4.718004829643168E-2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</v>
      </c>
      <c r="C44" s="236">
        <f t="shared" si="21"/>
        <v>109.81942433546166</v>
      </c>
      <c r="D44" s="236">
        <f t="shared" si="21"/>
        <v>113.80906613357641</v>
      </c>
      <c r="E44" s="236">
        <f t="shared" si="21"/>
        <v>119.5378711984025</v>
      </c>
      <c r="F44" s="236">
        <f t="shared" si="21"/>
        <v>117.30616060932348</v>
      </c>
      <c r="G44" s="236">
        <f t="shared" si="21"/>
        <v>134.29403412451353</v>
      </c>
      <c r="H44" s="236">
        <f t="shared" si="21"/>
        <v>130.05722800154629</v>
      </c>
      <c r="I44" s="236">
        <f t="shared" si="21"/>
        <v>117.81469406104156</v>
      </c>
      <c r="J44" s="236">
        <f t="shared" si="21"/>
        <v>123.49619118298854</v>
      </c>
      <c r="K44" s="236">
        <f t="shared" si="21"/>
        <v>137.83360398812138</v>
      </c>
      <c r="L44" s="236">
        <f t="shared" si="21"/>
        <v>128.47617233393541</v>
      </c>
      <c r="M44" s="236">
        <f t="shared" si="21"/>
        <v>116.0213122138336</v>
      </c>
      <c r="N44" s="236">
        <f t="shared" si="21"/>
        <v>118.3121684496124</v>
      </c>
      <c r="O44" s="236">
        <f t="shared" si="21"/>
        <v>117.89482713876833</v>
      </c>
      <c r="P44" s="236">
        <f t="shared" si="21"/>
        <v>114.21265320772918</v>
      </c>
      <c r="Q44" s="236">
        <f t="shared" si="21"/>
        <v>116.67728719019789</v>
      </c>
      <c r="R44" s="236">
        <f t="shared" si="21"/>
        <v>118.41249825520158</v>
      </c>
      <c r="S44" s="236">
        <f t="shared" si="21"/>
        <v>109.25986032686185</v>
      </c>
      <c r="T44" s="236">
        <f t="shared" si="21"/>
        <v>115.03952384499104</v>
      </c>
      <c r="U44" s="236">
        <f t="shared" si="21"/>
        <v>114.31053707016744</v>
      </c>
      <c r="V44" s="236">
        <f t="shared" si="21"/>
        <v>121.02278233994656</v>
      </c>
      <c r="W44" s="236">
        <f t="shared" si="21"/>
        <v>115.6129323010225</v>
      </c>
      <c r="X44" s="236">
        <f t="shared" si="21"/>
        <v>98.926512660278405</v>
      </c>
      <c r="Y44" s="236">
        <f t="shared" si="21"/>
        <v>101.37891512464495</v>
      </c>
      <c r="DA44" s="280"/>
    </row>
    <row r="45" spans="1:105" x14ac:dyDescent="0.25">
      <c r="A45" s="238" t="s">
        <v>125</v>
      </c>
      <c r="B45" s="247">
        <f>IF(B$6=0,0,B$6/AGR!B$5*1000)</f>
        <v>1.7368205280811313</v>
      </c>
      <c r="C45" s="247">
        <f>IF(C$6=0,0,C$6/AGR!C$5*1000)</f>
        <v>1.7775934710150223</v>
      </c>
      <c r="D45" s="247">
        <f>IF(D$6=0,0,D$6/AGR!D$5*1000)</f>
        <v>1.9574016322994643</v>
      </c>
      <c r="E45" s="247">
        <f>IF(E$6=0,0,E$6/AGR!E$5*1000)</f>
        <v>2.216091097532586</v>
      </c>
      <c r="F45" s="247">
        <f>IF(F$6=0,0,F$6/AGR!F$5*1000)</f>
        <v>2.3656929162380642</v>
      </c>
      <c r="G45" s="247">
        <f>IF(G$6=0,0,G$6/AGR!G$5*1000)</f>
        <v>2.9347550719475923</v>
      </c>
      <c r="H45" s="247">
        <f>IF(H$6=0,0,H$6/AGR!H$5*1000)</f>
        <v>3.1241102863675851</v>
      </c>
      <c r="I45" s="247">
        <f>IF(I$6=0,0,I$6/AGR!I$5*1000)</f>
        <v>3.04407220454824</v>
      </c>
      <c r="J45" s="247">
        <f>IF(J$6=0,0,J$6/AGR!J$5*1000)</f>
        <v>3.257470820693833</v>
      </c>
      <c r="K45" s="247">
        <f>IF(K$6=0,0,K$6/AGR!K$5*1000)</f>
        <v>3.8685190863085985</v>
      </c>
      <c r="L45" s="247">
        <f>IF(L$6=0,0,L$6/AGR!L$5*1000)</f>
        <v>3.221278558530011</v>
      </c>
      <c r="M45" s="247">
        <f>IF(M$6=0,0,M$6/AGR!M$5*1000)</f>
        <v>3.1823053422121892</v>
      </c>
      <c r="N45" s="247">
        <f>IF(N$6=0,0,N$6/AGR!N$5*1000)</f>
        <v>3.3800689376596482</v>
      </c>
      <c r="O45" s="247">
        <f>IF(O$6=0,0,O$6/AGR!O$5*1000)</f>
        <v>3.4822696160717852</v>
      </c>
      <c r="P45" s="247">
        <f>IF(P$6=0,0,P$6/AGR!P$5*1000)</f>
        <v>3.6175961212348535</v>
      </c>
      <c r="Q45" s="247">
        <f>IF(Q$6=0,0,Q$6/AGR!Q$5*1000)</f>
        <v>3.7840365689131992</v>
      </c>
      <c r="R45" s="247">
        <f>IF(R$6=0,0,R$6/AGR!R$5*1000)</f>
        <v>3.8261879048463245</v>
      </c>
      <c r="S45" s="247">
        <f>IF(S$6=0,0,S$6/AGR!S$5*1000)</f>
        <v>3.696059941295418</v>
      </c>
      <c r="T45" s="247">
        <f>IF(T$6=0,0,T$6/AGR!T$5*1000)</f>
        <v>4.0135871187299799</v>
      </c>
      <c r="U45" s="247">
        <f>IF(U$6=0,0,U$6/AGR!U$5*1000)</f>
        <v>4.1368709909002934</v>
      </c>
      <c r="V45" s="247">
        <f>IF(V$6=0,0,V$6/AGR!V$5*1000)</f>
        <v>4.2148850801951241</v>
      </c>
      <c r="W45" s="247">
        <f>IF(W$6=0,0,W$6/AGR!W$5*1000)</f>
        <v>3.9611793345444775</v>
      </c>
      <c r="X45" s="247">
        <f>IF(X$6=0,0,X$6/AGR!X$5*1000)</f>
        <v>3.1378678674613183</v>
      </c>
      <c r="Y45" s="247">
        <f>IF(Y$6=0,0,Y$6/AGR!Y$5*1000)</f>
        <v>3.2986635253935161</v>
      </c>
      <c r="DA45" s="281"/>
    </row>
    <row r="46" spans="1:105" x14ac:dyDescent="0.25">
      <c r="A46" s="240" t="s">
        <v>124</v>
      </c>
      <c r="B46" s="248">
        <f>IF(B$7=0,0,B$7/AGR!B$5*1000)</f>
        <v>1.1289333432527351</v>
      </c>
      <c r="C46" s="248">
        <f>IF(C$7=0,0,C$7/AGR!C$5*1000)</f>
        <v>1.1554357561597648</v>
      </c>
      <c r="D46" s="248">
        <f>IF(D$7=0,0,D$7/AGR!D$5*1000)</f>
        <v>1.2723110609946511</v>
      </c>
      <c r="E46" s="248">
        <f>IF(E$7=0,0,E$7/AGR!E$5*1000)</f>
        <v>1.4404592133961807</v>
      </c>
      <c r="F46" s="248">
        <f>IF(F$7=0,0,F$7/AGR!F$5*1000)</f>
        <v>1.5377003955547415</v>
      </c>
      <c r="G46" s="248">
        <f>IF(G$7=0,0,G$7/AGR!G$5*1000)</f>
        <v>1.9075907967659349</v>
      </c>
      <c r="H46" s="248">
        <f>IF(H$7=0,0,H$7/AGR!H$5*1000)</f>
        <v>2.0306716861389291</v>
      </c>
      <c r="I46" s="248">
        <f>IF(I$7=0,0,I$7/AGR!I$5*1000)</f>
        <v>1.9786469329563547</v>
      </c>
      <c r="J46" s="248">
        <f>IF(J$7=0,0,J$7/AGR!J$5*1000)</f>
        <v>2.1173560334509904</v>
      </c>
      <c r="K46" s="248">
        <f>IF(K$7=0,0,K$7/AGR!K$5*1000)</f>
        <v>2.5145374061005903</v>
      </c>
      <c r="L46" s="248">
        <f>IF(L$7=0,0,L$7/AGR!L$5*1000)</f>
        <v>2.0938310630445072</v>
      </c>
      <c r="M46" s="248">
        <f>IF(M$7=0,0,M$7/AGR!M$5*1000)</f>
        <v>2.0684984724379234</v>
      </c>
      <c r="N46" s="248">
        <f>IF(N$7=0,0,N$7/AGR!N$5*1000)</f>
        <v>2.1970448094787716</v>
      </c>
      <c r="O46" s="248">
        <f>IF(O$7=0,0,O$7/AGR!O$5*1000)</f>
        <v>2.2634752504466604</v>
      </c>
      <c r="P46" s="248">
        <f>IF(P$7=0,0,P$7/AGR!P$5*1000)</f>
        <v>2.3514374788026537</v>
      </c>
      <c r="Q46" s="248">
        <f>IF(Q$7=0,0,Q$7/AGR!Q$5*1000)</f>
        <v>2.4596237697935788</v>
      </c>
      <c r="R46" s="248">
        <f>IF(R$7=0,0,R$7/AGR!R$5*1000)</f>
        <v>2.487022138150111</v>
      </c>
      <c r="S46" s="248">
        <f>IF(S$7=0,0,S$7/AGR!S$5*1000)</f>
        <v>2.4024389618420212</v>
      </c>
      <c r="T46" s="248">
        <f>IF(T$7=0,0,T$7/AGR!T$5*1000)</f>
        <v>2.6088316271744856</v>
      </c>
      <c r="U46" s="248">
        <f>IF(U$7=0,0,U$7/AGR!U$5*1000)</f>
        <v>2.6889661440851897</v>
      </c>
      <c r="V46" s="248">
        <f>IF(V$7=0,0,V$7/AGR!V$5*1000)</f>
        <v>2.739675302126829</v>
      </c>
      <c r="W46" s="248">
        <f>IF(W$7=0,0,W$7/AGR!W$5*1000)</f>
        <v>2.5747665674539109</v>
      </c>
      <c r="X46" s="248">
        <f>IF(X$7=0,0,X$7/AGR!X$5*1000)</f>
        <v>2.0396141138498569</v>
      </c>
      <c r="Y46" s="248">
        <f>IF(Y$7=0,0,Y$7/AGR!Y$5*1000)</f>
        <v>2.1441312915057855</v>
      </c>
      <c r="DA46" s="282"/>
    </row>
    <row r="47" spans="1:105" x14ac:dyDescent="0.25">
      <c r="A47" s="240" t="s">
        <v>123</v>
      </c>
      <c r="B47" s="248">
        <f>IF(B$8=0,0,B$8/AGR!B$5*1000)</f>
        <v>1.5631384752730184</v>
      </c>
      <c r="C47" s="248">
        <f>IF(C$8=0,0,C$8/AGR!C$5*1000)</f>
        <v>1.5998341239135205</v>
      </c>
      <c r="D47" s="248">
        <f>IF(D$8=0,0,D$8/AGR!D$5*1000)</f>
        <v>1.7616614690695171</v>
      </c>
      <c r="E47" s="248">
        <f>IF(E$8=0,0,E$8/AGR!E$5*1000)</f>
        <v>1.9944819877793269</v>
      </c>
      <c r="F47" s="248">
        <f>IF(F$8=0,0,F$8/AGR!F$5*1000)</f>
        <v>2.129123624614258</v>
      </c>
      <c r="G47" s="248">
        <f>IF(G$8=0,0,G$8/AGR!G$5*1000)</f>
        <v>2.6412795647528342</v>
      </c>
      <c r="H47" s="248">
        <f>IF(H$8=0,0,H$8/AGR!H$5*1000)</f>
        <v>2.811699257730826</v>
      </c>
      <c r="I47" s="248">
        <f>IF(I$8=0,0,I$8/AGR!I$5*1000)</f>
        <v>2.7396649840934155</v>
      </c>
      <c r="J47" s="248">
        <f>IF(J$8=0,0,J$8/AGR!J$5*1000)</f>
        <v>2.9317237386244495</v>
      </c>
      <c r="K47" s="248">
        <f>IF(K$8=0,0,K$8/AGR!K$5*1000)</f>
        <v>3.4816671776777413</v>
      </c>
      <c r="L47" s="248">
        <f>IF(L$8=0,0,L$8/AGR!L$5*1000)</f>
        <v>2.8991507026770091</v>
      </c>
      <c r="M47" s="248">
        <f>IF(M$8=0,0,M$8/AGR!M$5*1000)</f>
        <v>2.8640748079909706</v>
      </c>
      <c r="N47" s="248">
        <f>IF(N$8=0,0,N$8/AGR!N$5*1000)</f>
        <v>3.0420620438936847</v>
      </c>
      <c r="O47" s="248">
        <f>IF(O$8=0,0,O$8/AGR!O$5*1000)</f>
        <v>3.1340426544646061</v>
      </c>
      <c r="P47" s="248">
        <f>IF(P$8=0,0,P$8/AGR!P$5*1000)</f>
        <v>3.2558365091113664</v>
      </c>
      <c r="Q47" s="248">
        <f>IF(Q$8=0,0,Q$8/AGR!Q$5*1000)</f>
        <v>3.4056329120218791</v>
      </c>
      <c r="R47" s="248">
        <f>IF(R$8=0,0,R$8/AGR!R$5*1000)</f>
        <v>3.44356911436169</v>
      </c>
      <c r="S47" s="248">
        <f>IF(S$8=0,0,S$8/AGR!S$5*1000)</f>
        <v>3.3264539471658763</v>
      </c>
      <c r="T47" s="248">
        <f>IF(T$8=0,0,T$8/AGR!T$5*1000)</f>
        <v>3.612228406856981</v>
      </c>
      <c r="U47" s="248">
        <f>IF(U$8=0,0,U$8/AGR!U$5*1000)</f>
        <v>3.7231838918102644</v>
      </c>
      <c r="V47" s="248">
        <f>IF(V$8=0,0,V$8/AGR!V$5*1000)</f>
        <v>3.79339657217561</v>
      </c>
      <c r="W47" s="248">
        <f>IF(W$8=0,0,W$8/AGR!W$5*1000)</f>
        <v>3.565061401090031</v>
      </c>
      <c r="X47" s="248">
        <f>IF(X$8=0,0,X$8/AGR!X$5*1000)</f>
        <v>2.824081080715187</v>
      </c>
      <c r="Y47" s="248">
        <f>IF(Y$8=0,0,Y$8/AGR!Y$5*1000)</f>
        <v>2.9687971728541638</v>
      </c>
      <c r="DA47" s="282"/>
    </row>
    <row r="48" spans="1:105" x14ac:dyDescent="0.25">
      <c r="A48" s="242" t="s">
        <v>122</v>
      </c>
      <c r="B48" s="249">
        <f>IF(B$9=0,0,B$9/AGR!B$5*1000)</f>
        <v>32.887606333894112</v>
      </c>
      <c r="C48" s="249">
        <f>IF(C$9=0,0,C$9/AGR!C$5*1000)</f>
        <v>31.796253474327735</v>
      </c>
      <c r="D48" s="249">
        <f>IF(D$9=0,0,D$9/AGR!D$5*1000)</f>
        <v>32.750492932338624</v>
      </c>
      <c r="E48" s="249">
        <f>IF(E$9=0,0,E$9/AGR!E$5*1000)</f>
        <v>33.978778013458665</v>
      </c>
      <c r="F48" s="249">
        <f>IF(F$9=0,0,F$9/AGR!F$5*1000)</f>
        <v>32.920215525078426</v>
      </c>
      <c r="G48" s="249">
        <f>IF(G$9=0,0,G$9/AGR!G$5*1000)</f>
        <v>37.272678800671549</v>
      </c>
      <c r="H48" s="249">
        <f>IF(H$9=0,0,H$9/AGR!H$5*1000)</f>
        <v>35.194784768609068</v>
      </c>
      <c r="I48" s="249">
        <f>IF(I$9=0,0,I$9/AGR!I$5*1000)</f>
        <v>31.506234398187157</v>
      </c>
      <c r="J48" s="249">
        <f>IF(J$9=0,0,J$9/AGR!J$5*1000)</f>
        <v>32.890184625355907</v>
      </c>
      <c r="K48" s="249">
        <f>IF(K$9=0,0,K$9/AGR!K$5*1000)</f>
        <v>36.413618735665736</v>
      </c>
      <c r="L48" s="249">
        <f>IF(L$9=0,0,L$9/AGR!L$5*1000)</f>
        <v>34.697764741448175</v>
      </c>
      <c r="M48" s="249">
        <f>IF(M$9=0,0,M$9/AGR!M$5*1000)</f>
        <v>30.498082401358339</v>
      </c>
      <c r="N48" s="249">
        <f>IF(N$9=0,0,N$9/AGR!N$5*1000)</f>
        <v>31.18566517568248</v>
      </c>
      <c r="O48" s="249">
        <f>IF(O$9=0,0,O$9/AGR!O$5*1000)</f>
        <v>30.589033633102471</v>
      </c>
      <c r="P48" s="249">
        <f>IF(P$9=0,0,P$9/AGR!P$5*1000)</f>
        <v>28.946014665730321</v>
      </c>
      <c r="Q48" s="249">
        <f>IF(Q$9=0,0,Q$9/AGR!Q$5*1000)</f>
        <v>29.288202251397777</v>
      </c>
      <c r="R48" s="249">
        <f>IF(R$9=0,0,R$9/AGR!R$5*1000)</f>
        <v>30.005660283867289</v>
      </c>
      <c r="S48" s="249">
        <f>IF(S$9=0,0,S$9/AGR!S$5*1000)</f>
        <v>27.72424678497968</v>
      </c>
      <c r="T48" s="249">
        <f>IF(T$9=0,0,T$9/AGR!T$5*1000)</f>
        <v>28.91950249925679</v>
      </c>
      <c r="U48" s="249">
        <f>IF(U$9=0,0,U$9/AGR!U$5*1000)</f>
        <v>28.695454483262086</v>
      </c>
      <c r="V48" s="249">
        <f>IF(V$9=0,0,V$9/AGR!V$5*1000)</f>
        <v>30.007558298666211</v>
      </c>
      <c r="W48" s="249">
        <f>IF(W$9=0,0,W$9/AGR!W$5*1000)</f>
        <v>29.087271069143739</v>
      </c>
      <c r="X48" s="249">
        <f>IF(X$9=0,0,X$9/AGR!X$5*1000)</f>
        <v>23.984586214810651</v>
      </c>
      <c r="Y48" s="249">
        <f>IF(Y$9=0,0,Y$9/AGR!Y$5*1000)</f>
        <v>24.753670312938365</v>
      </c>
      <c r="DA48" s="283"/>
    </row>
    <row r="49" spans="1:105" x14ac:dyDescent="0.25">
      <c r="A49" s="127" t="s">
        <v>168</v>
      </c>
      <c r="B49" s="262">
        <f>IF(B$16=0,0,B$16/AGR!B$5*1000)</f>
        <v>13.550331359040747</v>
      </c>
      <c r="C49" s="262">
        <f>IF(C$16=0,0,C$16/AGR!C$5*1000)</f>
        <v>13.416248017659436</v>
      </c>
      <c r="D49" s="262">
        <f>IF(D$16=0,0,D$16/AGR!D$5*1000)</f>
        <v>13.638586419603635</v>
      </c>
      <c r="E49" s="262">
        <f>IF(E$16=0,0,E$16/AGR!E$5*1000)</f>
        <v>13.918196756398576</v>
      </c>
      <c r="F49" s="262">
        <f>IF(F$16=0,0,F$16/AGR!F$5*1000)</f>
        <v>13.041192133974556</v>
      </c>
      <c r="G49" s="262">
        <f>IF(G$16=0,0,G$16/AGR!G$5*1000)</f>
        <v>14.797737242609378</v>
      </c>
      <c r="H49" s="262">
        <f>IF(H$16=0,0,H$16/AGR!H$5*1000)</f>
        <v>15.343153169877951</v>
      </c>
      <c r="I49" s="262">
        <f>IF(I$16=0,0,I$16/AGR!I$5*1000)</f>
        <v>13.30919032913331</v>
      </c>
      <c r="J49" s="262">
        <f>IF(J$16=0,0,J$16/AGR!J$5*1000)</f>
        <v>13.350952411614841</v>
      </c>
      <c r="K49" s="262">
        <f>IF(K$16=0,0,K$16/AGR!K$5*1000)</f>
        <v>14.314360624134791</v>
      </c>
      <c r="L49" s="262">
        <f>IF(L$16=0,0,L$16/AGR!L$5*1000)</f>
        <v>12.686200556039545</v>
      </c>
      <c r="M49" s="262">
        <f>IF(M$16=0,0,M$16/AGR!M$5*1000)</f>
        <v>12.545836619519095</v>
      </c>
      <c r="N49" s="262">
        <f>IF(N$16=0,0,N$16/AGR!N$5*1000)</f>
        <v>11.917768718190825</v>
      </c>
      <c r="O49" s="262">
        <f>IF(O$16=0,0,O$16/AGR!O$5*1000)</f>
        <v>12.465587387938941</v>
      </c>
      <c r="P49" s="262">
        <f>IF(P$16=0,0,P$16/AGR!P$5*1000)</f>
        <v>13.216713742423106</v>
      </c>
      <c r="Q49" s="262">
        <f>IF(Q$16=0,0,Q$16/AGR!Q$5*1000)</f>
        <v>13.449928484254119</v>
      </c>
      <c r="R49" s="262">
        <f>IF(R$16=0,0,R$16/AGR!R$5*1000)</f>
        <v>13.164855436958305</v>
      </c>
      <c r="S49" s="262">
        <f>IF(S$16=0,0,S$16/AGR!S$5*1000)</f>
        <v>11.602681094261007</v>
      </c>
      <c r="T49" s="262">
        <f>IF(T$16=0,0,T$16/AGR!T$5*1000)</f>
        <v>12.422751406930532</v>
      </c>
      <c r="U49" s="262">
        <f>IF(U$16=0,0,U$16/AGR!U$5*1000)</f>
        <v>12.177333241011002</v>
      </c>
      <c r="V49" s="262">
        <f>IF(V$16=0,0,V$16/AGR!V$5*1000)</f>
        <v>13.874665663948642</v>
      </c>
      <c r="W49" s="262">
        <f>IF(W$16=0,0,W$16/AGR!W$5*1000)</f>
        <v>12.222908816193552</v>
      </c>
      <c r="X49" s="262">
        <f>IF(X$16=0,0,X$16/AGR!X$5*1000)</f>
        <v>13.028346831546497</v>
      </c>
      <c r="Y49" s="262">
        <f>IF(Y$16=0,0,Y$16/AGR!Y$5*1000)</f>
        <v>13.249600163041501</v>
      </c>
      <c r="DA49" s="284"/>
    </row>
    <row r="50" spans="1:105" x14ac:dyDescent="0.25">
      <c r="A50" s="127" t="s">
        <v>121</v>
      </c>
      <c r="B50" s="262">
        <f>IF(B$17=0,0,B$17/AGR!B$5*1000)</f>
        <v>54.745862587568396</v>
      </c>
      <c r="C50" s="262">
        <f>IF(C$17=0,0,C$17/AGR!C$5*1000)</f>
        <v>53.140911624481795</v>
      </c>
      <c r="D50" s="262">
        <f>IF(D$17=0,0,D$17/AGR!D$5*1000)</f>
        <v>55.012210579378532</v>
      </c>
      <c r="E50" s="262">
        <f>IF(E$17=0,0,E$17/AGR!E$5*1000)</f>
        <v>57.885943443713188</v>
      </c>
      <c r="F50" s="262">
        <f>IF(F$17=0,0,F$17/AGR!F$5*1000)</f>
        <v>57.010314618825348</v>
      </c>
      <c r="G50" s="262">
        <f>IF(G$17=0,0,G$17/AGR!G$5*1000)</f>
        <v>64.706334190051351</v>
      </c>
      <c r="H50" s="262">
        <f>IF(H$17=0,0,H$17/AGR!H$5*1000)</f>
        <v>60.950423884006959</v>
      </c>
      <c r="I50" s="262">
        <f>IF(I$17=0,0,I$17/AGR!I$5*1000)</f>
        <v>55.221436474102006</v>
      </c>
      <c r="J50" s="262">
        <f>IF(J$17=0,0,J$17/AGR!J$5*1000)</f>
        <v>58.402203273488162</v>
      </c>
      <c r="K50" s="262">
        <f>IF(K$17=0,0,K$17/AGR!K$5*1000)</f>
        <v>65.012405510902383</v>
      </c>
      <c r="L50" s="262">
        <f>IF(L$17=0,0,L$17/AGR!L$5*1000)</f>
        <v>62.548055083645259</v>
      </c>
      <c r="M50" s="262">
        <f>IF(M$17=0,0,M$17/AGR!M$5*1000)</f>
        <v>54.655079421899721</v>
      </c>
      <c r="N50" s="262">
        <f>IF(N$17=0,0,N$17/AGR!N$5*1000)</f>
        <v>56.018291288830888</v>
      </c>
      <c r="O50" s="262">
        <f>IF(O$17=0,0,O$17/AGR!O$5*1000)</f>
        <v>55.033491535995672</v>
      </c>
      <c r="P50" s="262">
        <f>IF(P$17=0,0,P$17/AGR!P$5*1000)</f>
        <v>51.422242503334388</v>
      </c>
      <c r="Q50" s="262">
        <f>IF(Q$17=0,0,Q$17/AGR!Q$5*1000)</f>
        <v>52.434457763722506</v>
      </c>
      <c r="R50" s="262">
        <f>IF(R$17=0,0,R$17/AGR!R$5*1000)</f>
        <v>53.581306325645222</v>
      </c>
      <c r="S50" s="262">
        <f>IF(S$17=0,0,S$17/AGR!S$5*1000)</f>
        <v>49.22308087532592</v>
      </c>
      <c r="T50" s="262">
        <f>IF(T$17=0,0,T$17/AGR!T$5*1000)</f>
        <v>51.242199134515552</v>
      </c>
      <c r="U50" s="262">
        <f>IF(U$17=0,0,U$17/AGR!U$5*1000)</f>
        <v>50.413418326583631</v>
      </c>
      <c r="V50" s="262">
        <f>IF(V$17=0,0,V$17/AGR!V$5*1000)</f>
        <v>53.400000341377364</v>
      </c>
      <c r="W50" s="262">
        <f>IF(W$17=0,0,W$17/AGR!W$5*1000)</f>
        <v>52.148121951567902</v>
      </c>
      <c r="X50" s="262">
        <f>IF(X$17=0,0,X$17/AGR!X$5*1000)</f>
        <v>43.720734858270582</v>
      </c>
      <c r="Y50" s="262">
        <f>IF(Y$17=0,0,Y$17/AGR!Y$5*1000)</f>
        <v>44.336305931842205</v>
      </c>
      <c r="DA50" s="284"/>
    </row>
    <row r="51" spans="1:105" x14ac:dyDescent="0.25">
      <c r="A51" s="127" t="s">
        <v>167</v>
      </c>
      <c r="B51" s="262">
        <f>IF(B$25=0,0,B$25/AGR!B$5*1000)</f>
        <v>2.6038090953777036</v>
      </c>
      <c r="C51" s="262">
        <f>IF(C$25=0,0,C$25/AGR!C$5*1000)</f>
        <v>2.5780438639175656</v>
      </c>
      <c r="D51" s="262">
        <f>IF(D$25=0,0,D$25/AGR!D$5*1000)</f>
        <v>2.6207680407582874</v>
      </c>
      <c r="E51" s="262">
        <f>IF(E$25=0,0,E$25/AGR!E$5*1000)</f>
        <v>2.6744974971691469</v>
      </c>
      <c r="F51" s="262">
        <f>IF(F$25=0,0,F$25/AGR!F$5*1000)</f>
        <v>2.5059737502548423</v>
      </c>
      <c r="G51" s="262">
        <f>IF(G$25=0,0,G$25/AGR!G$5*1000)</f>
        <v>2.8435085314432742</v>
      </c>
      <c r="H51" s="262">
        <f>IF(H$25=0,0,H$25/AGR!H$5*1000)</f>
        <v>2.9483147472143925</v>
      </c>
      <c r="I51" s="262">
        <f>IF(I$25=0,0,I$25/AGR!I$5*1000)</f>
        <v>2.557471836877911</v>
      </c>
      <c r="J51" s="262">
        <f>IF(J$25=0,0,J$25/AGR!J$5*1000)</f>
        <v>2.5654967690604571</v>
      </c>
      <c r="K51" s="262">
        <f>IF(K$25=0,0,K$25/AGR!K$5*1000)</f>
        <v>2.7506236858754716</v>
      </c>
      <c r="L51" s="262">
        <f>IF(L$25=0,0,L$25/AGR!L$5*1000)</f>
        <v>2.4377591601523685</v>
      </c>
      <c r="M51" s="262">
        <f>IF(M$25=0,0,M$25/AGR!M$5*1000)</f>
        <v>2.4107870599954877</v>
      </c>
      <c r="N51" s="262">
        <f>IF(N$25=0,0,N$25/AGR!N$5*1000)</f>
        <v>2.2900985786099595</v>
      </c>
      <c r="O51" s="262">
        <f>IF(O$25=0,0,O$25/AGR!O$5*1000)</f>
        <v>2.3953665013723175</v>
      </c>
      <c r="P51" s="262">
        <f>IF(P$25=0,0,P$25/AGR!P$5*1000)</f>
        <v>2.5397016900670852</v>
      </c>
      <c r="Q51" s="262">
        <f>IF(Q$25=0,0,Q$25/AGR!Q$5*1000)</f>
        <v>2.584515846257486</v>
      </c>
      <c r="R51" s="262">
        <f>IF(R$25=0,0,R$25/AGR!R$5*1000)</f>
        <v>2.5297366844991558</v>
      </c>
      <c r="S51" s="262">
        <f>IF(S$25=0,0,S$25/AGR!S$5*1000)</f>
        <v>2.2295518658181703</v>
      </c>
      <c r="T51" s="262">
        <f>IF(T$25=0,0,T$25/AGR!T$5*1000)</f>
        <v>2.3871352106382577</v>
      </c>
      <c r="U51" s="262">
        <f>IF(U$25=0,0,U$25/AGR!U$5*1000)</f>
        <v>2.3399760648092633</v>
      </c>
      <c r="V51" s="262">
        <f>IF(V$25=0,0,V$25/AGR!V$5*1000)</f>
        <v>2.6661326349787302</v>
      </c>
      <c r="W51" s="262">
        <f>IF(W$25=0,0,W$25/AGR!W$5*1000)</f>
        <v>2.3487337913949089</v>
      </c>
      <c r="X51" s="262">
        <f>IF(X$25=0,0,X$25/AGR!X$5*1000)</f>
        <v>2.5035054183440701</v>
      </c>
      <c r="Y51" s="262">
        <f>IF(Y$25=0,0,Y$25/AGR!Y$5*1000)</f>
        <v>2.5460210898553011</v>
      </c>
      <c r="DA51" s="284"/>
    </row>
    <row r="52" spans="1:105" x14ac:dyDescent="0.25">
      <c r="A52" s="127" t="s">
        <v>170</v>
      </c>
      <c r="B52" s="262">
        <f>IF(B$26=0,0,B$26/AGR!B$5*1000)</f>
        <v>1.7368205280811313</v>
      </c>
      <c r="C52" s="262">
        <f>IF(C$26=0,0,C$26/AGR!C$5*1000)</f>
        <v>1.7775934710150223</v>
      </c>
      <c r="D52" s="262">
        <f>IF(D$26=0,0,D$26/AGR!D$5*1000)</f>
        <v>1.9574016322994643</v>
      </c>
      <c r="E52" s="262">
        <f>IF(E$26=0,0,E$26/AGR!E$5*1000)</f>
        <v>2.216091097532586</v>
      </c>
      <c r="F52" s="262">
        <f>IF(F$26=0,0,F$26/AGR!F$5*1000)</f>
        <v>2.3656929162380642</v>
      </c>
      <c r="G52" s="262">
        <f>IF(G$26=0,0,G$26/AGR!G$5*1000)</f>
        <v>2.9347550719475923</v>
      </c>
      <c r="H52" s="262">
        <f>IF(H$26=0,0,H$26/AGR!H$5*1000)</f>
        <v>3.1241102863675851</v>
      </c>
      <c r="I52" s="262">
        <f>IF(I$26=0,0,I$26/AGR!I$5*1000)</f>
        <v>3.04407220454824</v>
      </c>
      <c r="J52" s="262">
        <f>IF(J$26=0,0,J$26/AGR!J$5*1000)</f>
        <v>3.257470820693833</v>
      </c>
      <c r="K52" s="262">
        <f>IF(K$26=0,0,K$26/AGR!K$5*1000)</f>
        <v>3.8685190863085985</v>
      </c>
      <c r="L52" s="262">
        <f>IF(L$26=0,0,L$26/AGR!L$5*1000)</f>
        <v>3.221278558530011</v>
      </c>
      <c r="M52" s="262">
        <f>IF(M$26=0,0,M$26/AGR!M$5*1000)</f>
        <v>3.1823053422121892</v>
      </c>
      <c r="N52" s="262">
        <f>IF(N$26=0,0,N$26/AGR!N$5*1000)</f>
        <v>3.3800689376596482</v>
      </c>
      <c r="O52" s="262">
        <f>IF(O$26=0,0,O$26/AGR!O$5*1000)</f>
        <v>3.4822696160717852</v>
      </c>
      <c r="P52" s="262">
        <f>IF(P$26=0,0,P$26/AGR!P$5*1000)</f>
        <v>3.6175961212348535</v>
      </c>
      <c r="Q52" s="262">
        <f>IF(Q$26=0,0,Q$26/AGR!Q$5*1000)</f>
        <v>3.7840365689131992</v>
      </c>
      <c r="R52" s="262">
        <f>IF(R$26=0,0,R$26/AGR!R$5*1000)</f>
        <v>3.8261879048463245</v>
      </c>
      <c r="S52" s="262">
        <f>IF(S$26=0,0,S$26/AGR!S$5*1000)</f>
        <v>3.696059941295418</v>
      </c>
      <c r="T52" s="262">
        <f>IF(T$26=0,0,T$26/AGR!T$5*1000)</f>
        <v>4.0135871187299799</v>
      </c>
      <c r="U52" s="262">
        <f>IF(U$26=0,0,U$26/AGR!U$5*1000)</f>
        <v>4.1368709909002934</v>
      </c>
      <c r="V52" s="262">
        <f>IF(V$26=0,0,V$26/AGR!V$5*1000)</f>
        <v>4.2148850801951241</v>
      </c>
      <c r="W52" s="262">
        <f>IF(W$26=0,0,W$26/AGR!W$5*1000)</f>
        <v>3.9611793345444775</v>
      </c>
      <c r="X52" s="262">
        <f>IF(X$26=0,0,X$26/AGR!X$5*1000)</f>
        <v>3.1378678674613183</v>
      </c>
      <c r="Y52" s="262">
        <f>IF(Y$26=0,0,Y$26/AGR!Y$5*1000)</f>
        <v>3.2986635253935161</v>
      </c>
      <c r="DA52" s="284"/>
    </row>
    <row r="53" spans="1:105" x14ac:dyDescent="0.25">
      <c r="A53" s="260" t="s">
        <v>33</v>
      </c>
      <c r="B53" s="263">
        <f>IF(B$27=0,0,B$27/AGR!B$5*1000)</f>
        <v>2.5183897657176399</v>
      </c>
      <c r="C53" s="263">
        <f>IF(C$27=0,0,C$27/AGR!C$5*1000)</f>
        <v>2.5775105329717811</v>
      </c>
      <c r="D53" s="263">
        <f>IF(D$27=0,0,D$27/AGR!D$5*1000)</f>
        <v>2.8382323668342213</v>
      </c>
      <c r="E53" s="263">
        <f>IF(E$27=0,0,E$27/AGR!E$5*1000)</f>
        <v>3.2133320914222505</v>
      </c>
      <c r="F53" s="263">
        <f>IF(F$27=0,0,F$27/AGR!F$5*1000)</f>
        <v>3.4302547285451945</v>
      </c>
      <c r="G53" s="263">
        <f>IF(G$27=0,0,G$27/AGR!G$5*1000)</f>
        <v>4.2553948543240088</v>
      </c>
      <c r="H53" s="263">
        <f>IF(H$27=0,0,H$27/AGR!H$5*1000)</f>
        <v>4.529959915232995</v>
      </c>
      <c r="I53" s="263">
        <f>IF(I$27=0,0,I$27/AGR!I$5*1000)</f>
        <v>4.4139046965949476</v>
      </c>
      <c r="J53" s="263">
        <f>IF(J$27=0,0,J$27/AGR!J$5*1000)</f>
        <v>4.7233326900060586</v>
      </c>
      <c r="K53" s="263">
        <f>IF(K$27=0,0,K$27/AGR!K$5*1000)</f>
        <v>5.6093526751474698</v>
      </c>
      <c r="L53" s="263">
        <f>IF(L$27=0,0,L$27/AGR!L$5*1000)</f>
        <v>4.6708539098685158</v>
      </c>
      <c r="M53" s="263">
        <f>IF(M$27=0,0,M$27/AGR!M$5*1000)</f>
        <v>4.6143427462076758</v>
      </c>
      <c r="N53" s="263">
        <f>IF(N$27=0,0,N$27/AGR!N$5*1000)</f>
        <v>4.9010999596064933</v>
      </c>
      <c r="O53" s="263">
        <f>IF(O$27=0,0,O$27/AGR!O$5*1000)</f>
        <v>5.0492909433040918</v>
      </c>
      <c r="P53" s="263">
        <f>IF(P$27=0,0,P$27/AGR!P$5*1000)</f>
        <v>5.2455143757905383</v>
      </c>
      <c r="Q53" s="263">
        <f>IF(Q$27=0,0,Q$27/AGR!Q$5*1000)</f>
        <v>5.4868530249241418</v>
      </c>
      <c r="R53" s="263">
        <f>IF(R$27=0,0,R$27/AGR!R$5*1000)</f>
        <v>5.5479724620271726</v>
      </c>
      <c r="S53" s="263">
        <f>IF(S$27=0,0,S$27/AGR!S$5*1000)</f>
        <v>5.3592869148783562</v>
      </c>
      <c r="T53" s="263">
        <f>IF(T$27=0,0,T$27/AGR!T$5*1000)</f>
        <v>5.8197013221584717</v>
      </c>
      <c r="U53" s="263">
        <f>IF(U$27=0,0,U$27/AGR!U$5*1000)</f>
        <v>5.9984629368054261</v>
      </c>
      <c r="V53" s="263">
        <f>IF(V$27=0,0,V$27/AGR!V$5*1000)</f>
        <v>6.1115833662829262</v>
      </c>
      <c r="W53" s="263">
        <f>IF(W$27=0,0,W$27/AGR!W$5*1000)</f>
        <v>5.7437100350894958</v>
      </c>
      <c r="X53" s="263">
        <f>IF(X$27=0,0,X$27/AGR!X$5*1000)</f>
        <v>4.5499084078189123</v>
      </c>
      <c r="Y53" s="263">
        <f>IF(Y$27=0,0,Y$27/AGR!Y$5*1000)</f>
        <v>4.7830621118205974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1714.1469258143491</v>
      </c>
      <c r="C5" s="80">
        <f t="shared" ref="C5:W5" si="1">SUM(C6:C9,C16:C17,C25:C27)</f>
        <v>1676.1173651004397</v>
      </c>
      <c r="D5" s="80">
        <f t="shared" si="1"/>
        <v>1552.5893973918276</v>
      </c>
      <c r="E5" s="80">
        <f t="shared" si="1"/>
        <v>1540.2615126403264</v>
      </c>
      <c r="F5" s="80">
        <f t="shared" si="1"/>
        <v>1551.8336397434257</v>
      </c>
      <c r="G5" s="80">
        <f t="shared" si="1"/>
        <v>1594.0465905267679</v>
      </c>
      <c r="H5" s="80">
        <f t="shared" si="1"/>
        <v>1418.8110422073009</v>
      </c>
      <c r="I5" s="80">
        <f t="shared" si="1"/>
        <v>1422.0941739368554</v>
      </c>
      <c r="J5" s="80">
        <f t="shared" si="1"/>
        <v>1434.7300642189809</v>
      </c>
      <c r="K5" s="80">
        <f t="shared" si="1"/>
        <v>1438.9625140624921</v>
      </c>
      <c r="L5" s="80">
        <f t="shared" si="1"/>
        <v>1623.3881690538801</v>
      </c>
      <c r="M5" s="80">
        <f t="shared" si="1"/>
        <v>1454.4312559811829</v>
      </c>
      <c r="N5" s="80">
        <f t="shared" si="1"/>
        <v>1482.0574632717939</v>
      </c>
      <c r="O5" s="80">
        <f t="shared" si="1"/>
        <v>1494.256814117884</v>
      </c>
      <c r="P5" s="80">
        <f t="shared" si="1"/>
        <v>1400.0283010326664</v>
      </c>
      <c r="Q5" s="80">
        <f t="shared" si="1"/>
        <v>1481.4046732260292</v>
      </c>
      <c r="R5" s="80">
        <f t="shared" si="1"/>
        <v>1490.4320797357911</v>
      </c>
      <c r="S5" s="80">
        <f t="shared" si="1"/>
        <v>1494.4125205525047</v>
      </c>
      <c r="T5" s="80">
        <f t="shared" si="1"/>
        <v>1607.3624867477563</v>
      </c>
      <c r="U5" s="80">
        <f t="shared" si="1"/>
        <v>1624.0028384946615</v>
      </c>
      <c r="V5" s="80">
        <f t="shared" si="1"/>
        <v>1570.3420932269612</v>
      </c>
      <c r="W5" s="80">
        <f t="shared" si="1"/>
        <v>1551.0623287800722</v>
      </c>
      <c r="X5" s="80">
        <f t="shared" ref="X5:Y5" si="2">SUM(X6:X9,X16:X17,X25:X27)</f>
        <v>1156.8509725992362</v>
      </c>
      <c r="Y5" s="80">
        <f t="shared" si="2"/>
        <v>1184.5363108433821</v>
      </c>
      <c r="DA5" s="103"/>
    </row>
    <row r="6" spans="1:105" x14ac:dyDescent="0.25">
      <c r="A6" s="238" t="s">
        <v>125</v>
      </c>
      <c r="B6" s="239">
        <v>29.259894387318429</v>
      </c>
      <c r="C6" s="239">
        <v>30.002051925919641</v>
      </c>
      <c r="D6" s="239">
        <v>29.490905016787419</v>
      </c>
      <c r="E6" s="239">
        <v>31.525936929156028</v>
      </c>
      <c r="F6" s="239">
        <v>34.516709590045672</v>
      </c>
      <c r="G6" s="239">
        <v>38.336765787574507</v>
      </c>
      <c r="H6" s="239">
        <v>37.487790241513153</v>
      </c>
      <c r="I6" s="239">
        <v>40.319552836699053</v>
      </c>
      <c r="J6" s="239">
        <v>41.525329874527152</v>
      </c>
      <c r="K6" s="239">
        <v>44.165712558882348</v>
      </c>
      <c r="L6" s="239">
        <v>44.743166624716217</v>
      </c>
      <c r="M6" s="239">
        <v>43.750529755413929</v>
      </c>
      <c r="N6" s="239">
        <v>46.243582624739531</v>
      </c>
      <c r="O6" s="239">
        <v>48.226585913359663</v>
      </c>
      <c r="P6" s="239">
        <v>48.319688928896511</v>
      </c>
      <c r="Q6" s="239">
        <v>52.343389464112413</v>
      </c>
      <c r="R6" s="239">
        <v>52.397836231804213</v>
      </c>
      <c r="S6" s="239">
        <v>54.689530637296969</v>
      </c>
      <c r="T6" s="239">
        <v>60.547095806269041</v>
      </c>
      <c r="U6" s="239">
        <v>63.204024631419642</v>
      </c>
      <c r="V6" s="239">
        <v>59.361230655070131</v>
      </c>
      <c r="W6" s="239">
        <v>57.709010847883192</v>
      </c>
      <c r="X6" s="239">
        <v>40.643436262242908</v>
      </c>
      <c r="Y6" s="239">
        <v>42.373923984726211</v>
      </c>
      <c r="DA6" s="267" t="s">
        <v>1016</v>
      </c>
    </row>
    <row r="7" spans="1:105" x14ac:dyDescent="0.25">
      <c r="A7" s="240" t="s">
        <v>124</v>
      </c>
      <c r="B7" s="241">
        <v>18.859703218439659</v>
      </c>
      <c r="C7" s="241">
        <v>19.338066904038371</v>
      </c>
      <c r="D7" s="241">
        <v>19.008603001002719</v>
      </c>
      <c r="E7" s="241">
        <v>20.320299393316439</v>
      </c>
      <c r="F7" s="241">
        <v>22.248026268593481</v>
      </c>
      <c r="G7" s="241">
        <v>24.710274601054319</v>
      </c>
      <c r="H7" s="241">
        <v>24.163060498826741</v>
      </c>
      <c r="I7" s="241">
        <v>25.98829614128454</v>
      </c>
      <c r="J7" s="241">
        <v>26.765489550803579</v>
      </c>
      <c r="K7" s="241">
        <v>28.4673697131472</v>
      </c>
      <c r="L7" s="241">
        <v>28.839572434036999</v>
      </c>
      <c r="M7" s="241">
        <v>28.199760255943961</v>
      </c>
      <c r="N7" s="241">
        <v>29.806677786163711</v>
      </c>
      <c r="O7" s="241">
        <v>31.084838705321861</v>
      </c>
      <c r="P7" s="241">
        <v>31.144849012212369</v>
      </c>
      <c r="Q7" s="241">
        <v>33.738357960998542</v>
      </c>
      <c r="R7" s="241">
        <v>33.773452068526012</v>
      </c>
      <c r="S7" s="241">
        <v>35.250582361029188</v>
      </c>
      <c r="T7" s="241">
        <v>39.026123694403317</v>
      </c>
      <c r="U7" s="241">
        <v>40.738668806547523</v>
      </c>
      <c r="V7" s="241">
        <v>38.261764653572513</v>
      </c>
      <c r="W7" s="241">
        <v>37.19681292125599</v>
      </c>
      <c r="X7" s="241">
        <v>26.197057840909011</v>
      </c>
      <c r="Y7" s="241">
        <v>27.312457795439741</v>
      </c>
      <c r="DA7" s="268" t="s">
        <v>1017</v>
      </c>
    </row>
    <row r="8" spans="1:105" x14ac:dyDescent="0.25">
      <c r="A8" s="240" t="s">
        <v>123</v>
      </c>
      <c r="B8" s="241">
        <v>37.478610129838557</v>
      </c>
      <c r="C8" s="241">
        <v>38.429229864686647</v>
      </c>
      <c r="D8" s="241">
        <v>37.774508577150407</v>
      </c>
      <c r="E8" s="241">
        <v>40.381153927124728</v>
      </c>
      <c r="F8" s="241">
        <v>44.211994909006201</v>
      </c>
      <c r="G8" s="241">
        <v>49.105054159531342</v>
      </c>
      <c r="H8" s="241">
        <v>48.01761265754179</v>
      </c>
      <c r="I8" s="241">
        <v>51.64477975802285</v>
      </c>
      <c r="J8" s="241">
        <v>53.189243552255043</v>
      </c>
      <c r="K8" s="241">
        <v>56.571274666605753</v>
      </c>
      <c r="L8" s="241">
        <v>57.310927910557872</v>
      </c>
      <c r="M8" s="241">
        <v>56.039472527547062</v>
      </c>
      <c r="N8" s="241">
        <v>59.232790838464346</v>
      </c>
      <c r="O8" s="241">
        <v>61.772793415253972</v>
      </c>
      <c r="P8" s="241">
        <v>61.892047831385113</v>
      </c>
      <c r="Q8" s="241">
        <v>67.04595240952122</v>
      </c>
      <c r="R8" s="241">
        <v>67.115692551168308</v>
      </c>
      <c r="S8" s="241">
        <v>70.051093479936554</v>
      </c>
      <c r="T8" s="241">
        <v>77.553970912507694</v>
      </c>
      <c r="U8" s="241">
        <v>80.957195758859399</v>
      </c>
      <c r="V8" s="241">
        <v>76.035011989415707</v>
      </c>
      <c r="W8" s="241">
        <v>73.918705580968989</v>
      </c>
      <c r="X8" s="241">
        <v>52.059637736414487</v>
      </c>
      <c r="Y8" s="241">
        <v>54.276196478114286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794.39308387341578</v>
      </c>
      <c r="C9" s="243">
        <f t="shared" ref="C9:W9" si="4">SUM(C10:C15)</f>
        <v>769.58883295510157</v>
      </c>
      <c r="D9" s="243">
        <f t="shared" si="4"/>
        <v>707.92910708034606</v>
      </c>
      <c r="E9" s="243">
        <f t="shared" si="4"/>
        <v>693.80321850417909</v>
      </c>
      <c r="F9" s="243">
        <f t="shared" si="4"/>
        <v>690.02053544444789</v>
      </c>
      <c r="G9" s="243">
        <f t="shared" si="4"/>
        <v>700.78913897138568</v>
      </c>
      <c r="H9" s="243">
        <f t="shared" si="4"/>
        <v>609.94420161061271</v>
      </c>
      <c r="I9" s="243">
        <f t="shared" si="4"/>
        <v>604.52712505054467</v>
      </c>
      <c r="J9" s="243">
        <f t="shared" si="4"/>
        <v>607.87451043576345</v>
      </c>
      <c r="K9" s="243">
        <f t="shared" si="4"/>
        <v>605.07666055382708</v>
      </c>
      <c r="L9" s="243">
        <f t="shared" si="4"/>
        <v>696.40475140848844</v>
      </c>
      <c r="M9" s="243">
        <f t="shared" si="4"/>
        <v>609.08493427972712</v>
      </c>
      <c r="N9" s="243">
        <f t="shared" si="4"/>
        <v>621.50286368390437</v>
      </c>
      <c r="O9" s="243">
        <f t="shared" si="4"/>
        <v>619.34852331475599</v>
      </c>
      <c r="P9" s="243">
        <f t="shared" si="4"/>
        <v>570.28211418019987</v>
      </c>
      <c r="Q9" s="243">
        <f t="shared" si="4"/>
        <v>600.06575833152988</v>
      </c>
      <c r="R9" s="243">
        <f t="shared" si="4"/>
        <v>608.15974306911642</v>
      </c>
      <c r="S9" s="243">
        <f t="shared" si="4"/>
        <v>611.16219609625125</v>
      </c>
      <c r="T9" s="243">
        <f t="shared" si="4"/>
        <v>653.92969386443895</v>
      </c>
      <c r="U9" s="243">
        <f t="shared" si="4"/>
        <v>662.98056517984014</v>
      </c>
      <c r="V9" s="243">
        <f t="shared" si="4"/>
        <v>636.06930573925649</v>
      </c>
      <c r="W9" s="243">
        <f t="shared" si="4"/>
        <v>635.85735213700661</v>
      </c>
      <c r="X9" s="243">
        <f t="shared" ref="X9:Y9" si="5">SUM(X10:X15)</f>
        <v>463.46462819595865</v>
      </c>
      <c r="Y9" s="243">
        <f t="shared" si="5"/>
        <v>474.93080006773022</v>
      </c>
      <c r="DA9" s="269"/>
    </row>
    <row r="10" spans="1:105" x14ac:dyDescent="0.25">
      <c r="A10" s="253" t="s">
        <v>166</v>
      </c>
      <c r="B10" s="254">
        <v>11.10897006110109</v>
      </c>
      <c r="C10" s="254">
        <v>11.483161933538041</v>
      </c>
      <c r="D10" s="254">
        <v>10.02591905537234</v>
      </c>
      <c r="E10" s="254">
        <v>9.168864296352794</v>
      </c>
      <c r="F10" s="254">
        <v>8.0687846981540101</v>
      </c>
      <c r="G10" s="254">
        <v>8.1410594058279262</v>
      </c>
      <c r="H10" s="254">
        <v>9.330034446625163</v>
      </c>
      <c r="I10" s="254">
        <v>8.2426470989676144</v>
      </c>
      <c r="J10" s="254">
        <v>7.2719136366346326</v>
      </c>
      <c r="K10" s="254">
        <v>6.4709370802858919</v>
      </c>
      <c r="L10" s="254">
        <v>6.0671766592862264</v>
      </c>
      <c r="M10" s="254">
        <v>7.4202585604409599</v>
      </c>
      <c r="N10" s="254">
        <v>5.9907153065132777</v>
      </c>
      <c r="O10" s="254">
        <v>7.1966400385380096</v>
      </c>
      <c r="P10" s="254">
        <v>9.2588647622339</v>
      </c>
      <c r="Q10" s="254">
        <v>9.8143588885187842</v>
      </c>
      <c r="R10" s="254">
        <v>8.6409580878751466</v>
      </c>
      <c r="S10" s="254">
        <v>7.4713976487119487</v>
      </c>
      <c r="T10" s="254">
        <v>8.589517140694765</v>
      </c>
      <c r="U10" s="254">
        <v>8.3445569355465157</v>
      </c>
      <c r="V10" s="254">
        <v>10.495610022490689</v>
      </c>
      <c r="W10" s="254">
        <v>7.922362916751946</v>
      </c>
      <c r="X10" s="254">
        <v>12.859950657980781</v>
      </c>
      <c r="Y10" s="254">
        <v>12.3308957014456</v>
      </c>
      <c r="DA10" s="270" t="s">
        <v>1019</v>
      </c>
    </row>
    <row r="11" spans="1:105" x14ac:dyDescent="0.25">
      <c r="A11" s="253" t="s">
        <v>169</v>
      </c>
      <c r="B11" s="255">
        <v>555.097868302042</v>
      </c>
      <c r="C11" s="255">
        <v>540.13776989070675</v>
      </c>
      <c r="D11" s="255">
        <v>502.3471824034155</v>
      </c>
      <c r="E11" s="255">
        <v>508.53363135544112</v>
      </c>
      <c r="F11" s="255">
        <v>523.7106162095414</v>
      </c>
      <c r="G11" s="255">
        <v>527.48771636846573</v>
      </c>
      <c r="H11" s="255">
        <v>439.79859133027918</v>
      </c>
      <c r="I11" s="255">
        <v>442.28115426714407</v>
      </c>
      <c r="J11" s="255">
        <v>457.8734063553332</v>
      </c>
      <c r="K11" s="255">
        <v>453.69542383618858</v>
      </c>
      <c r="L11" s="255">
        <v>560.32695129374883</v>
      </c>
      <c r="M11" s="255">
        <v>470.07287210089203</v>
      </c>
      <c r="N11" s="255">
        <v>479.11896032568632</v>
      </c>
      <c r="O11" s="255">
        <v>467.13817771854929</v>
      </c>
      <c r="P11" s="255">
        <v>395.98582471784943</v>
      </c>
      <c r="Q11" s="255">
        <v>414.29269468439031</v>
      </c>
      <c r="R11" s="255">
        <v>421.589259924565</v>
      </c>
      <c r="S11" s="255">
        <v>405.98023187393272</v>
      </c>
      <c r="T11" s="255">
        <v>419.26507212927447</v>
      </c>
      <c r="U11" s="255">
        <v>395.19783105344288</v>
      </c>
      <c r="V11" s="255">
        <v>388.83295838653999</v>
      </c>
      <c r="W11" s="255">
        <v>397.54811057029252</v>
      </c>
      <c r="X11" s="255">
        <v>289.05830664873088</v>
      </c>
      <c r="Y11" s="255">
        <v>296.48032643767311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0.50435455066260348</v>
      </c>
      <c r="K12" s="255">
        <v>0.74445679821499144</v>
      </c>
      <c r="L12" s="255">
        <v>1.7096130868595929</v>
      </c>
      <c r="M12" s="255">
        <v>1.664514105967793</v>
      </c>
      <c r="N12" s="255">
        <v>2.595571755719337</v>
      </c>
      <c r="O12" s="255">
        <v>5.1997709969701997</v>
      </c>
      <c r="P12" s="255">
        <v>7.6741758890301242</v>
      </c>
      <c r="Q12" s="255">
        <v>12.59157489652976</v>
      </c>
      <c r="R12" s="255">
        <v>14.552572879557481</v>
      </c>
      <c r="S12" s="255">
        <v>15.37148053873003</v>
      </c>
      <c r="T12" s="255">
        <v>18.700280321023261</v>
      </c>
      <c r="U12" s="255">
        <v>27.45426025364759</v>
      </c>
      <c r="V12" s="255">
        <v>31.333025516423231</v>
      </c>
      <c r="W12" s="255">
        <v>32.496781277888893</v>
      </c>
      <c r="X12" s="255">
        <v>36.278751646883862</v>
      </c>
      <c r="Y12" s="255">
        <v>35.039553517986462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218.07940695587499</v>
      </c>
      <c r="C14" s="254">
        <v>206.42230330521571</v>
      </c>
      <c r="D14" s="254">
        <v>182.623535117606</v>
      </c>
      <c r="E14" s="254">
        <v>159.72031663080779</v>
      </c>
      <c r="F14" s="254">
        <v>136.49416326013761</v>
      </c>
      <c r="G14" s="254">
        <v>136.09776201156839</v>
      </c>
      <c r="H14" s="254">
        <v>124.61681907577329</v>
      </c>
      <c r="I14" s="254">
        <v>107.43943163742991</v>
      </c>
      <c r="J14" s="254">
        <v>91.598074967272908</v>
      </c>
      <c r="K14" s="254">
        <v>81.350362742557436</v>
      </c>
      <c r="L14" s="254">
        <v>80.601587210737975</v>
      </c>
      <c r="M14" s="254">
        <v>71.190704448510758</v>
      </c>
      <c r="N14" s="254">
        <v>65.920047740429723</v>
      </c>
      <c r="O14" s="254">
        <v>61.456886802450427</v>
      </c>
      <c r="P14" s="254">
        <v>61.456886802442128</v>
      </c>
      <c r="Q14" s="254">
        <v>51.385335292586817</v>
      </c>
      <c r="R14" s="254">
        <v>54.321664328054197</v>
      </c>
      <c r="S14" s="254">
        <v>54.310565093090553</v>
      </c>
      <c r="T14" s="254">
        <v>51.380472770607987</v>
      </c>
      <c r="U14" s="254">
        <v>51.377460121118283</v>
      </c>
      <c r="V14" s="254">
        <v>48.198586375024213</v>
      </c>
      <c r="W14" s="254">
        <v>52.784843114066049</v>
      </c>
      <c r="X14" s="254">
        <v>36.240006361438702</v>
      </c>
      <c r="Y14" s="254">
        <v>36.173622365683109</v>
      </c>
      <c r="DA14" s="270" t="s">
        <v>1023</v>
      </c>
    </row>
    <row r="15" spans="1:105" x14ac:dyDescent="0.25">
      <c r="A15" s="253" t="s">
        <v>24</v>
      </c>
      <c r="B15" s="255">
        <v>10.10683855439764</v>
      </c>
      <c r="C15" s="255">
        <v>11.545597825641201</v>
      </c>
      <c r="D15" s="255">
        <v>12.932470503952249</v>
      </c>
      <c r="E15" s="255">
        <v>16.380406221577399</v>
      </c>
      <c r="F15" s="255">
        <v>21.74697127661485</v>
      </c>
      <c r="G15" s="255">
        <v>29.06260118552358</v>
      </c>
      <c r="H15" s="255">
        <v>36.198756757935051</v>
      </c>
      <c r="I15" s="255">
        <v>46.563892047002987</v>
      </c>
      <c r="J15" s="255">
        <v>50.62676092586014</v>
      </c>
      <c r="K15" s="255">
        <v>62.815480096580202</v>
      </c>
      <c r="L15" s="255">
        <v>47.699423157855833</v>
      </c>
      <c r="M15" s="255">
        <v>58.736585063915577</v>
      </c>
      <c r="N15" s="255">
        <v>67.877568555555769</v>
      </c>
      <c r="O15" s="255">
        <v>78.357047758248115</v>
      </c>
      <c r="P15" s="255">
        <v>95.906362008644365</v>
      </c>
      <c r="Q15" s="255">
        <v>111.9817945695042</v>
      </c>
      <c r="R15" s="255">
        <v>109.0552878490646</v>
      </c>
      <c r="S15" s="255">
        <v>128.02852094178601</v>
      </c>
      <c r="T15" s="255">
        <v>155.9943515028385</v>
      </c>
      <c r="U15" s="255">
        <v>180.6064568160848</v>
      </c>
      <c r="V15" s="255">
        <v>157.20912543877839</v>
      </c>
      <c r="W15" s="255">
        <v>145.10525425800719</v>
      </c>
      <c r="X15" s="255">
        <v>89.027612880924437</v>
      </c>
      <c r="Y15" s="255">
        <v>94.906402044941885</v>
      </c>
      <c r="DA15" s="271" t="s">
        <v>1024</v>
      </c>
    </row>
    <row r="16" spans="1:105" x14ac:dyDescent="0.25">
      <c r="A16" s="256" t="s">
        <v>168</v>
      </c>
      <c r="B16" s="257">
        <v>163.35248445446189</v>
      </c>
      <c r="C16" s="257">
        <v>162.034542783213</v>
      </c>
      <c r="D16" s="257">
        <v>147.04001286721629</v>
      </c>
      <c r="E16" s="257">
        <v>141.68418711274279</v>
      </c>
      <c r="F16" s="257">
        <v>136.15899286822059</v>
      </c>
      <c r="G16" s="257">
        <v>138.32380887001301</v>
      </c>
      <c r="H16" s="257">
        <v>131.74560097687669</v>
      </c>
      <c r="I16" s="257">
        <v>126.14510745059781</v>
      </c>
      <c r="J16" s="257">
        <v>121.7875300734966</v>
      </c>
      <c r="K16" s="257">
        <v>116.94198729471699</v>
      </c>
      <c r="L16" s="257">
        <v>126.092143118534</v>
      </c>
      <c r="M16" s="257">
        <v>123.4238568991082</v>
      </c>
      <c r="N16" s="257">
        <v>116.67528912795289</v>
      </c>
      <c r="O16" s="257">
        <v>123.53638544935301</v>
      </c>
      <c r="P16" s="257">
        <v>126.32390782761691</v>
      </c>
      <c r="Q16" s="257">
        <v>133.13262953144331</v>
      </c>
      <c r="R16" s="257">
        <v>129.0093452345624</v>
      </c>
      <c r="S16" s="257">
        <v>122.8518112436812</v>
      </c>
      <c r="T16" s="257">
        <v>134.10236436005661</v>
      </c>
      <c r="U16" s="257">
        <v>133.13215592264021</v>
      </c>
      <c r="V16" s="257">
        <v>139.82914518385741</v>
      </c>
      <c r="W16" s="257">
        <v>127.4241412848847</v>
      </c>
      <c r="X16" s="257">
        <v>120.75443672336139</v>
      </c>
      <c r="Y16" s="257">
        <v>121.79275524726241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575.59491387670437</v>
      </c>
      <c r="C17" s="257">
        <f t="shared" ref="C17:W17" si="7">SUM(C18:C24)</f>
        <v>559.83611158644896</v>
      </c>
      <c r="D17" s="257">
        <f t="shared" si="7"/>
        <v>517.75402498465542</v>
      </c>
      <c r="E17" s="257">
        <f t="shared" si="7"/>
        <v>514.58134884272454</v>
      </c>
      <c r="F17" s="257">
        <f t="shared" si="7"/>
        <v>519.96950744534627</v>
      </c>
      <c r="G17" s="257">
        <f t="shared" si="7"/>
        <v>528.22113876342382</v>
      </c>
      <c r="H17" s="257">
        <f t="shared" si="7"/>
        <v>455.90213603756564</v>
      </c>
      <c r="I17" s="257">
        <f t="shared" si="7"/>
        <v>455.5842873482722</v>
      </c>
      <c r="J17" s="257">
        <f t="shared" si="7"/>
        <v>463.27109753423912</v>
      </c>
      <c r="K17" s="257">
        <f t="shared" si="7"/>
        <v>461.46572296196422</v>
      </c>
      <c r="L17" s="257">
        <f t="shared" si="7"/>
        <v>541.04769728421229</v>
      </c>
      <c r="M17" s="257">
        <f t="shared" si="7"/>
        <v>467.82620903135938</v>
      </c>
      <c r="N17" s="257">
        <f t="shared" si="7"/>
        <v>477.15757700601739</v>
      </c>
      <c r="O17" s="257">
        <f t="shared" si="7"/>
        <v>472.96278883881837</v>
      </c>
      <c r="P17" s="257">
        <f t="shared" si="7"/>
        <v>424.13281219688417</v>
      </c>
      <c r="Q17" s="257">
        <f t="shared" si="7"/>
        <v>446.15880454430999</v>
      </c>
      <c r="R17" s="257">
        <f t="shared" si="7"/>
        <v>451.47457938956381</v>
      </c>
      <c r="S17" s="257">
        <f t="shared" si="7"/>
        <v>446.99817288052083</v>
      </c>
      <c r="T17" s="257">
        <f t="shared" si="7"/>
        <v>472.619689460693</v>
      </c>
      <c r="U17" s="257">
        <f t="shared" si="7"/>
        <v>466.88706809492373</v>
      </c>
      <c r="V17" s="257">
        <f t="shared" si="7"/>
        <v>453.39991338652163</v>
      </c>
      <c r="W17" s="257">
        <f t="shared" si="7"/>
        <v>457.3745873833235</v>
      </c>
      <c r="X17" s="257">
        <f t="shared" ref="X17:Y17" si="8">SUM(X18:X24)</f>
        <v>335.76119556849295</v>
      </c>
      <c r="Y17" s="257">
        <f t="shared" si="8"/>
        <v>341.40863697609393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11.583358777160649</v>
      </c>
      <c r="C19" s="55">
        <v>12.41073370129955</v>
      </c>
      <c r="D19" s="55">
        <v>11.307552490550769</v>
      </c>
      <c r="E19" s="55">
        <v>10.204371279803871</v>
      </c>
      <c r="F19" s="55">
        <v>10.75596188517587</v>
      </c>
      <c r="G19" s="55">
        <v>10.204371279803039</v>
      </c>
      <c r="H19" s="55">
        <v>10.20437127980351</v>
      </c>
      <c r="I19" s="55">
        <v>10.20437127980448</v>
      </c>
      <c r="J19" s="55">
        <v>9.9285869610390662</v>
      </c>
      <c r="K19" s="55">
        <v>9.3769963556660301</v>
      </c>
      <c r="L19" s="55">
        <v>10.480177566412751</v>
      </c>
      <c r="M19" s="55">
        <v>8.2738151449177604</v>
      </c>
      <c r="N19" s="55">
        <v>7.7222245395443014</v>
      </c>
      <c r="O19" s="55">
        <v>8.2738151449185544</v>
      </c>
      <c r="P19" s="55">
        <v>5.7916684046580649</v>
      </c>
      <c r="Q19" s="55">
        <v>8.543316660180281</v>
      </c>
      <c r="R19" s="55">
        <v>7.9327643604017082</v>
      </c>
      <c r="S19" s="55">
        <v>7.515770737747828</v>
      </c>
      <c r="T19" s="55">
        <v>7.9327204247127137</v>
      </c>
      <c r="U19" s="55">
        <v>8.3477369413689146</v>
      </c>
      <c r="V19" s="55">
        <v>8.603772168005845</v>
      </c>
      <c r="W19" s="55">
        <v>10.862022638005151</v>
      </c>
      <c r="X19" s="55">
        <v>7.3226074818218594</v>
      </c>
      <c r="Y19" s="55">
        <v>7.3222120606229799</v>
      </c>
      <c r="DA19" s="101" t="s">
        <v>1027</v>
      </c>
    </row>
    <row r="20" spans="1:105" x14ac:dyDescent="0.25">
      <c r="A20" s="61" t="s">
        <v>166</v>
      </c>
      <c r="B20" s="55">
        <v>10.99990346555172</v>
      </c>
      <c r="C20" s="55">
        <v>11.350543356275651</v>
      </c>
      <c r="D20" s="55">
        <v>9.9155494740971903</v>
      </c>
      <c r="E20" s="55">
        <v>8.9455419050827611</v>
      </c>
      <c r="F20" s="55">
        <v>7.7465109442117903</v>
      </c>
      <c r="G20" s="55">
        <v>7.8832926126453966</v>
      </c>
      <c r="H20" s="55">
        <v>9.1799919964563959</v>
      </c>
      <c r="I20" s="55">
        <v>8.04802069641425</v>
      </c>
      <c r="J20" s="55">
        <v>6.9634164792080782</v>
      </c>
      <c r="K20" s="55">
        <v>6.2154207899720477</v>
      </c>
      <c r="L20" s="55">
        <v>5.6147526009272983</v>
      </c>
      <c r="M20" s="55">
        <v>7.0780323970184771</v>
      </c>
      <c r="N20" s="55">
        <v>5.7527619057240216</v>
      </c>
      <c r="O20" s="55">
        <v>6.9246669010289024</v>
      </c>
      <c r="P20" s="55">
        <v>9.234936493507913</v>
      </c>
      <c r="Q20" s="55">
        <v>9.6960097660545799</v>
      </c>
      <c r="R20" s="55">
        <v>8.5978479696369767</v>
      </c>
      <c r="S20" s="55">
        <v>7.5890246779271626</v>
      </c>
      <c r="T20" s="55">
        <v>8.8073159681005144</v>
      </c>
      <c r="U20" s="55">
        <v>8.7520981159307478</v>
      </c>
      <c r="V20" s="55">
        <v>10.59938814059258</v>
      </c>
      <c r="W20" s="55">
        <v>7.8420680769673083</v>
      </c>
      <c r="X20" s="55">
        <v>12.033358636910179</v>
      </c>
      <c r="Y20" s="55">
        <v>12.141333717941651</v>
      </c>
      <c r="DA20" s="101" t="s">
        <v>1028</v>
      </c>
    </row>
    <row r="21" spans="1:105" x14ac:dyDescent="0.25">
      <c r="A21" s="61" t="s">
        <v>129</v>
      </c>
      <c r="B21" s="55">
        <v>16.051892102247919</v>
      </c>
      <c r="C21" s="55">
        <v>14.491295831302811</v>
      </c>
      <c r="D21" s="55">
        <v>11.14713859301443</v>
      </c>
      <c r="E21" s="55">
        <v>10.70126792665789</v>
      </c>
      <c r="F21" s="55">
        <v>10.25537768482083</v>
      </c>
      <c r="G21" s="55">
        <v>10.255377684821701</v>
      </c>
      <c r="H21" s="55">
        <v>10.032432563904489</v>
      </c>
      <c r="I21" s="55">
        <v>9.5865423220700503</v>
      </c>
      <c r="J21" s="55">
        <v>10.70126792665776</v>
      </c>
      <c r="K21" s="55">
        <v>11.815973955768911</v>
      </c>
      <c r="L21" s="55">
        <v>9.1406520802339237</v>
      </c>
      <c r="M21" s="55">
        <v>4.4588632673972528</v>
      </c>
      <c r="N21" s="55">
        <v>3.151651985929222</v>
      </c>
      <c r="O21" s="55">
        <v>4.6818083883153809</v>
      </c>
      <c r="P21" s="55">
        <v>7.3571106883708399</v>
      </c>
      <c r="Q21" s="55">
        <v>7.9324927183236733</v>
      </c>
      <c r="R21" s="55">
        <v>2.4625364277885149</v>
      </c>
      <c r="S21" s="55">
        <v>2.3533248350585718</v>
      </c>
      <c r="T21" s="55">
        <v>2.2257905947584722</v>
      </c>
      <c r="U21" s="55">
        <v>2.1276587226748371</v>
      </c>
      <c r="V21" s="55">
        <v>2.1078679142414072</v>
      </c>
      <c r="W21" s="55">
        <v>2.0306622283252151</v>
      </c>
      <c r="X21" s="55">
        <v>1.8112406934788221</v>
      </c>
      <c r="Y21" s="55">
        <v>1.909959829907796</v>
      </c>
      <c r="DA21" s="101" t="s">
        <v>1029</v>
      </c>
    </row>
    <row r="22" spans="1:105" x14ac:dyDescent="0.25">
      <c r="A22" s="61" t="s">
        <v>169</v>
      </c>
      <c r="B22" s="55">
        <v>536.48660131262261</v>
      </c>
      <c r="C22" s="55">
        <v>521.11545402107697</v>
      </c>
      <c r="D22" s="55">
        <v>484.92079160916501</v>
      </c>
      <c r="E22" s="55">
        <v>484.26717491335188</v>
      </c>
      <c r="F22" s="55">
        <v>490.75375597197569</v>
      </c>
      <c r="G22" s="55">
        <v>498.55527626324943</v>
      </c>
      <c r="H22" s="55">
        <v>422.36423156494192</v>
      </c>
      <c r="I22" s="55">
        <v>421.49755088675249</v>
      </c>
      <c r="J22" s="55">
        <v>427.95028657582378</v>
      </c>
      <c r="K22" s="55">
        <v>425.34565511706182</v>
      </c>
      <c r="L22" s="55">
        <v>506.12727227395482</v>
      </c>
      <c r="M22" s="55">
        <v>437.65605287118939</v>
      </c>
      <c r="N22" s="55">
        <v>449.07131947507412</v>
      </c>
      <c r="O22" s="55">
        <v>438.72129167843838</v>
      </c>
      <c r="P22" s="55">
        <v>385.50503535082851</v>
      </c>
      <c r="Q22" s="55">
        <v>399.49617681487911</v>
      </c>
      <c r="R22" s="55">
        <v>409.44129711625959</v>
      </c>
      <c r="S22" s="55">
        <v>402.49755252681848</v>
      </c>
      <c r="T22" s="55">
        <v>419.60219700686071</v>
      </c>
      <c r="U22" s="55">
        <v>404.57374053443851</v>
      </c>
      <c r="V22" s="55">
        <v>383.2749387669914</v>
      </c>
      <c r="W22" s="55">
        <v>384.09602401081253</v>
      </c>
      <c r="X22" s="55">
        <v>264.00202328962831</v>
      </c>
      <c r="Y22" s="55">
        <v>284.93243862597188</v>
      </c>
      <c r="DA22" s="101" t="s">
        <v>1030</v>
      </c>
    </row>
    <row r="23" spans="1:105" x14ac:dyDescent="0.25">
      <c r="A23" s="61" t="s">
        <v>164</v>
      </c>
      <c r="B23" s="55">
        <v>0.47315821912144779</v>
      </c>
      <c r="C23" s="55">
        <v>0.46808467649394719</v>
      </c>
      <c r="D23" s="55">
        <v>0.46299281782801582</v>
      </c>
      <c r="E23" s="55">
        <v>0.46299281782804241</v>
      </c>
      <c r="F23" s="55">
        <v>0.45790095916208379</v>
      </c>
      <c r="G23" s="55">
        <v>1.322820922904272</v>
      </c>
      <c r="H23" s="55">
        <v>4.1211086324592916</v>
      </c>
      <c r="I23" s="55">
        <v>6.2478021632309071</v>
      </c>
      <c r="J23" s="55">
        <v>7.468877493008991</v>
      </c>
      <c r="K23" s="55">
        <v>8.3287055980859659</v>
      </c>
      <c r="L23" s="55">
        <v>8.8374885118294948</v>
      </c>
      <c r="M23" s="55">
        <v>9.5090826906135284</v>
      </c>
      <c r="N23" s="55">
        <v>10.124703056149899</v>
      </c>
      <c r="O23" s="55">
        <v>11.68156631730194</v>
      </c>
      <c r="P23" s="55">
        <v>12.144559135129009</v>
      </c>
      <c r="Q23" s="55">
        <v>13.82835254216001</v>
      </c>
      <c r="R23" s="55">
        <v>15.284972125332571</v>
      </c>
      <c r="S23" s="55">
        <v>18.680252789404051</v>
      </c>
      <c r="T23" s="55">
        <v>23.782240224504768</v>
      </c>
      <c r="U23" s="55">
        <v>27.663793391168909</v>
      </c>
      <c r="V23" s="55">
        <v>31.866719767010871</v>
      </c>
      <c r="W23" s="55">
        <v>35.315629791420058</v>
      </c>
      <c r="X23" s="55">
        <v>32.410742738573212</v>
      </c>
      <c r="Y23" s="55">
        <v>16.624753699765328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0.25866209850141431</v>
      </c>
      <c r="K24" s="55">
        <v>0.38297114540946342</v>
      </c>
      <c r="L24" s="55">
        <v>0.84735425085399096</v>
      </c>
      <c r="M24" s="55">
        <v>0.85036266022297746</v>
      </c>
      <c r="N24" s="55">
        <v>1.334916043595868</v>
      </c>
      <c r="O24" s="55">
        <v>2.6796404088152102</v>
      </c>
      <c r="P24" s="55">
        <v>4.0995021243898329</v>
      </c>
      <c r="Q24" s="55">
        <v>6.6624560427123276</v>
      </c>
      <c r="R24" s="55">
        <v>7.7551613901444663</v>
      </c>
      <c r="S24" s="55">
        <v>8.3622473135647297</v>
      </c>
      <c r="T24" s="55">
        <v>10.269425241755799</v>
      </c>
      <c r="U24" s="55">
        <v>15.42204038934184</v>
      </c>
      <c r="V24" s="55">
        <v>16.947226629679559</v>
      </c>
      <c r="W24" s="55">
        <v>17.22818063779324</v>
      </c>
      <c r="X24" s="55">
        <v>18.18122272808057</v>
      </c>
      <c r="Y24" s="55">
        <v>18.477939041884241</v>
      </c>
      <c r="DA24" s="101" t="s">
        <v>1032</v>
      </c>
    </row>
    <row r="25" spans="1:105" x14ac:dyDescent="0.25">
      <c r="A25" s="256" t="s">
        <v>167</v>
      </c>
      <c r="B25" s="257">
        <v>21.972678855849651</v>
      </c>
      <c r="C25" s="257">
        <v>21.79540142300371</v>
      </c>
      <c r="D25" s="257">
        <v>19.778474704448211</v>
      </c>
      <c r="E25" s="257">
        <v>19.058058117556691</v>
      </c>
      <c r="F25" s="257">
        <v>18.314859633881841</v>
      </c>
      <c r="G25" s="257">
        <v>18.606050838890109</v>
      </c>
      <c r="H25" s="257">
        <v>17.721210611539941</v>
      </c>
      <c r="I25" s="257">
        <v>16.967883558705939</v>
      </c>
      <c r="J25" s="257">
        <v>16.38174219320225</v>
      </c>
      <c r="K25" s="257">
        <v>15.729964194747099</v>
      </c>
      <c r="L25" s="257">
        <v>16.960759282248581</v>
      </c>
      <c r="M25" s="257">
        <v>16.601845878569819</v>
      </c>
      <c r="N25" s="257">
        <v>15.69409040201403</v>
      </c>
      <c r="O25" s="257">
        <v>16.616982187667912</v>
      </c>
      <c r="P25" s="257">
        <v>16.991934146468161</v>
      </c>
      <c r="Q25" s="257">
        <v>17.907780978652301</v>
      </c>
      <c r="R25" s="257">
        <v>17.35315457067755</v>
      </c>
      <c r="S25" s="257">
        <v>16.524899540596699</v>
      </c>
      <c r="T25" s="257">
        <v>18.038220818827462</v>
      </c>
      <c r="U25" s="257">
        <v>17.907717273137401</v>
      </c>
      <c r="V25" s="257">
        <v>18.808534881325169</v>
      </c>
      <c r="W25" s="257">
        <v>17.13992746596827</v>
      </c>
      <c r="X25" s="257">
        <v>16.24277994548105</v>
      </c>
      <c r="Y25" s="257">
        <v>16.382445035681229</v>
      </c>
      <c r="DA25" s="272" t="s">
        <v>1033</v>
      </c>
    </row>
    <row r="26" spans="1:105" x14ac:dyDescent="0.25">
      <c r="A26" s="256" t="s">
        <v>170</v>
      </c>
      <c r="B26" s="257">
        <v>29.014928028368711</v>
      </c>
      <c r="C26" s="257">
        <v>29.750872160059028</v>
      </c>
      <c r="D26" s="257">
        <v>29.24400461692727</v>
      </c>
      <c r="E26" s="257">
        <v>31.26199906664068</v>
      </c>
      <c r="F26" s="257">
        <v>34.227732720913053</v>
      </c>
      <c r="G26" s="257">
        <v>38.015807078545109</v>
      </c>
      <c r="H26" s="257">
        <v>37.173939228964237</v>
      </c>
      <c r="I26" s="257">
        <v>39.981994063514691</v>
      </c>
      <c r="J26" s="257">
        <v>41.177676232005531</v>
      </c>
      <c r="K26" s="257">
        <v>43.795953404841853</v>
      </c>
      <c r="L26" s="257">
        <v>44.368572975441538</v>
      </c>
      <c r="M26" s="257">
        <v>43.384246547606097</v>
      </c>
      <c r="N26" s="257">
        <v>45.856427363328791</v>
      </c>
      <c r="O26" s="257">
        <v>47.822828777418259</v>
      </c>
      <c r="P26" s="257">
        <v>47.91515232648058</v>
      </c>
      <c r="Q26" s="257">
        <v>51.905166093843917</v>
      </c>
      <c r="R26" s="257">
        <v>51.959157028501558</v>
      </c>
      <c r="S26" s="257">
        <v>54.231665170814139</v>
      </c>
      <c r="T26" s="257">
        <v>60.040190299082049</v>
      </c>
      <c r="U26" s="257">
        <v>62.674875086996202</v>
      </c>
      <c r="V26" s="257">
        <v>58.864253313188499</v>
      </c>
      <c r="W26" s="257">
        <v>57.225866032701532</v>
      </c>
      <c r="X26" s="257">
        <v>40.303165909090787</v>
      </c>
      <c r="Y26" s="257">
        <v>42.019165839138047</v>
      </c>
      <c r="DA26" s="272" t="s">
        <v>1034</v>
      </c>
    </row>
    <row r="27" spans="1:105" x14ac:dyDescent="0.25">
      <c r="A27" s="128" t="s">
        <v>33</v>
      </c>
      <c r="B27" s="258">
        <v>44.22062898995194</v>
      </c>
      <c r="C27" s="258">
        <v>45.342255497968438</v>
      </c>
      <c r="D27" s="258">
        <v>44.5697565432937</v>
      </c>
      <c r="E27" s="258">
        <v>47.645310746885357</v>
      </c>
      <c r="F27" s="258">
        <v>52.165280862970683</v>
      </c>
      <c r="G27" s="258">
        <v>57.938551456349998</v>
      </c>
      <c r="H27" s="258">
        <v>56.65549034386035</v>
      </c>
      <c r="I27" s="258">
        <v>60.935147729213448</v>
      </c>
      <c r="J27" s="258">
        <v>62.757444772688423</v>
      </c>
      <c r="K27" s="258">
        <v>66.747868713759445</v>
      </c>
      <c r="L27" s="258">
        <v>67.620578015644227</v>
      </c>
      <c r="M27" s="258">
        <v>66.120400805907295</v>
      </c>
      <c r="N27" s="258">
        <v>69.888164439208836</v>
      </c>
      <c r="O27" s="258">
        <v>72.885087515935012</v>
      </c>
      <c r="P27" s="258">
        <v>73.025794582522551</v>
      </c>
      <c r="Q27" s="258">
        <v>79.106833911617727</v>
      </c>
      <c r="R27" s="258">
        <v>79.189119591871048</v>
      </c>
      <c r="S27" s="258">
        <v>82.652569142378127</v>
      </c>
      <c r="T27" s="258">
        <v>91.505137531478127</v>
      </c>
      <c r="U27" s="258">
        <v>95.520567740297196</v>
      </c>
      <c r="V27" s="258">
        <v>89.71293342475353</v>
      </c>
      <c r="W27" s="258">
        <v>87.21592512607937</v>
      </c>
      <c r="X27" s="258">
        <v>61.424634417284963</v>
      </c>
      <c r="Y27" s="258">
        <v>64.039929419196071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0.99999999999999978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0.99999999999999989</v>
      </c>
      <c r="H31" s="235">
        <f t="shared" si="9"/>
        <v>1.0000000000000002</v>
      </c>
      <c r="I31" s="235">
        <f t="shared" si="9"/>
        <v>0.99999999999999989</v>
      </c>
      <c r="J31" s="235">
        <f t="shared" si="9"/>
        <v>1.0000000000000002</v>
      </c>
      <c r="K31" s="235">
        <f t="shared" si="9"/>
        <v>0.99999999999999989</v>
      </c>
      <c r="L31" s="235">
        <f t="shared" si="9"/>
        <v>1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0.99999999999999989</v>
      </c>
      <c r="Q31" s="235">
        <f t="shared" si="9"/>
        <v>1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0.99999999999999989</v>
      </c>
      <c r="U31" s="235">
        <f t="shared" si="10"/>
        <v>1</v>
      </c>
      <c r="V31" s="235">
        <f t="shared" si="10"/>
        <v>0.99999999999999978</v>
      </c>
      <c r="W31" s="235">
        <f t="shared" si="10"/>
        <v>1</v>
      </c>
      <c r="X31" s="235">
        <f t="shared" ref="X31:Y31" si="11">SUM(X32:X40)</f>
        <v>0.99999999999999978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1.7069653684101654E-2</v>
      </c>
      <c r="C32" s="244">
        <f t="shared" si="12"/>
        <v>1.7899732173064026E-2</v>
      </c>
      <c r="D32" s="244">
        <f t="shared" si="12"/>
        <v>1.8994658256927918E-2</v>
      </c>
      <c r="E32" s="244">
        <f t="shared" si="12"/>
        <v>2.0467911890568544E-2</v>
      </c>
      <c r="F32" s="244">
        <f t="shared" si="12"/>
        <v>2.2242532128477724E-2</v>
      </c>
      <c r="G32" s="244">
        <f t="shared" si="12"/>
        <v>2.4049965675661811E-2</v>
      </c>
      <c r="H32" s="244">
        <f t="shared" si="12"/>
        <v>2.6421975249919048E-2</v>
      </c>
      <c r="I32" s="244">
        <f t="shared" si="12"/>
        <v>2.8352238252323605E-2</v>
      </c>
      <c r="J32" s="244">
        <f t="shared" si="12"/>
        <v>2.8942956525506526E-2</v>
      </c>
      <c r="K32" s="244">
        <f t="shared" si="12"/>
        <v>3.0692747119723991E-2</v>
      </c>
      <c r="L32" s="244">
        <f t="shared" si="12"/>
        <v>2.7561594618983078E-2</v>
      </c>
      <c r="M32" s="244">
        <f t="shared" si="12"/>
        <v>3.0080850899961657E-2</v>
      </c>
      <c r="N32" s="244">
        <f t="shared" si="12"/>
        <v>3.1202287205957639E-2</v>
      </c>
      <c r="O32" s="244">
        <f t="shared" si="12"/>
        <v>3.2274630075439632E-2</v>
      </c>
      <c r="P32" s="244">
        <f t="shared" si="12"/>
        <v>3.451336583214476E-2</v>
      </c>
      <c r="Q32" s="244">
        <f t="shared" si="12"/>
        <v>3.5333619780019407E-2</v>
      </c>
      <c r="R32" s="244">
        <f t="shared" si="12"/>
        <v>3.5156138239518284E-2</v>
      </c>
      <c r="S32" s="244">
        <f t="shared" si="12"/>
        <v>3.6596006715118728E-2</v>
      </c>
      <c r="T32" s="244">
        <f t="shared" si="12"/>
        <v>3.7668600770182532E-2</v>
      </c>
      <c r="U32" s="244">
        <f t="shared" si="12"/>
        <v>3.8918666355291232E-2</v>
      </c>
      <c r="V32" s="244">
        <f t="shared" si="12"/>
        <v>3.7801464350411873E-2</v>
      </c>
      <c r="W32" s="244">
        <f t="shared" si="12"/>
        <v>3.7206119816778717E-2</v>
      </c>
      <c r="X32" s="244">
        <f t="shared" si="12"/>
        <v>3.5132819373375646E-2</v>
      </c>
      <c r="Y32" s="244">
        <f t="shared" si="12"/>
        <v>3.5772583412454664E-2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1.1002384296480231E-2</v>
      </c>
      <c r="C33" s="245">
        <f t="shared" si="13"/>
        <v>1.153741814665798E-2</v>
      </c>
      <c r="D33" s="245">
        <f t="shared" si="13"/>
        <v>1.224316167103485E-2</v>
      </c>
      <c r="E33" s="245">
        <f t="shared" si="13"/>
        <v>1.3192759298700679E-2</v>
      </c>
      <c r="F33" s="245">
        <f t="shared" si="13"/>
        <v>1.433660522546211E-2</v>
      </c>
      <c r="G33" s="245">
        <f t="shared" si="13"/>
        <v>1.5501601237946611E-2</v>
      </c>
      <c r="H33" s="245">
        <f t="shared" si="13"/>
        <v>1.7030499326559586E-2</v>
      </c>
      <c r="I33" s="245">
        <f t="shared" si="13"/>
        <v>1.8274666064723281E-2</v>
      </c>
      <c r="J33" s="245">
        <f t="shared" si="13"/>
        <v>1.8655418338482936E-2</v>
      </c>
      <c r="K33" s="245">
        <f t="shared" si="13"/>
        <v>1.9783260116191533E-2</v>
      </c>
      <c r="L33" s="245">
        <f t="shared" si="13"/>
        <v>1.7765050271892069E-2</v>
      </c>
      <c r="M33" s="245">
        <f t="shared" si="13"/>
        <v>1.9388857424491986E-2</v>
      </c>
      <c r="N33" s="245">
        <f t="shared" si="13"/>
        <v>2.0111688328442009E-2</v>
      </c>
      <c r="O33" s="245">
        <f t="shared" si="13"/>
        <v>2.0802875658072477E-2</v>
      </c>
      <c r="P33" s="245">
        <f t="shared" si="13"/>
        <v>2.2245871022207056E-2</v>
      </c>
      <c r="Q33" s="245">
        <f t="shared" si="13"/>
        <v>2.2774572384416141E-2</v>
      </c>
      <c r="R33" s="245">
        <f t="shared" si="13"/>
        <v>2.26601752120855E-2</v>
      </c>
      <c r="S33" s="245">
        <f t="shared" si="13"/>
        <v>2.3588254164249485E-2</v>
      </c>
      <c r="T33" s="245">
        <f t="shared" si="13"/>
        <v>2.4279603397592352E-2</v>
      </c>
      <c r="U33" s="245">
        <f t="shared" si="13"/>
        <v>2.508534335094479E-2</v>
      </c>
      <c r="V33" s="245">
        <f t="shared" si="13"/>
        <v>2.4365241700263426E-2</v>
      </c>
      <c r="W33" s="245">
        <f t="shared" si="13"/>
        <v>2.3981507532654538E-2</v>
      </c>
      <c r="X33" s="245">
        <f t="shared" si="13"/>
        <v>2.26451448470056E-2</v>
      </c>
      <c r="Y33" s="245">
        <f t="shared" si="13"/>
        <v>2.3057509968599822E-2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2.1864292707600541E-2</v>
      </c>
      <c r="C34" s="245">
        <f t="shared" si="14"/>
        <v>2.2927529220117478E-2</v>
      </c>
      <c r="D34" s="245">
        <f t="shared" si="14"/>
        <v>2.4330005499591363E-2</v>
      </c>
      <c r="E34" s="245">
        <f t="shared" si="14"/>
        <v>2.621707651313256E-2</v>
      </c>
      <c r="F34" s="245">
        <f t="shared" si="14"/>
        <v>2.8490164007732199E-2</v>
      </c>
      <c r="G34" s="245">
        <f t="shared" si="14"/>
        <v>3.0805281634399474E-2</v>
      </c>
      <c r="H34" s="245">
        <f t="shared" si="14"/>
        <v>3.3843557196199199E-2</v>
      </c>
      <c r="I34" s="245">
        <f t="shared" si="14"/>
        <v>3.6316005440801422E-2</v>
      </c>
      <c r="J34" s="245">
        <f t="shared" si="14"/>
        <v>3.7072648631789482E-2</v>
      </c>
      <c r="K34" s="245">
        <f t="shared" si="14"/>
        <v>3.9313932165538634E-2</v>
      </c>
      <c r="L34" s="245">
        <f t="shared" si="14"/>
        <v>3.5303280511129388E-2</v>
      </c>
      <c r="M34" s="245">
        <f t="shared" si="14"/>
        <v>3.8530162424034217E-2</v>
      </c>
      <c r="N34" s="245">
        <f t="shared" si="14"/>
        <v>3.9966595294963721E-2</v>
      </c>
      <c r="O34" s="245">
        <f t="shared" si="14"/>
        <v>4.1340145035055953E-2</v>
      </c>
      <c r="P34" s="245">
        <f t="shared" si="14"/>
        <v>4.4207711933918259E-2</v>
      </c>
      <c r="Q34" s="245">
        <f t="shared" si="14"/>
        <v>4.5258364322232368E-2</v>
      </c>
      <c r="R34" s="245">
        <f t="shared" si="14"/>
        <v>4.5031030574077487E-2</v>
      </c>
      <c r="S34" s="245">
        <f t="shared" si="14"/>
        <v>4.6875338982062136E-2</v>
      </c>
      <c r="T34" s="245">
        <f t="shared" si="14"/>
        <v>4.824921046243022E-2</v>
      </c>
      <c r="U34" s="245">
        <f t="shared" si="14"/>
        <v>4.9850402868692724E-2</v>
      </c>
      <c r="V34" s="245">
        <f t="shared" si="14"/>
        <v>4.8419393657829171E-2</v>
      </c>
      <c r="W34" s="245">
        <f t="shared" si="14"/>
        <v>4.7656824751270227E-2</v>
      </c>
      <c r="X34" s="245">
        <f t="shared" si="14"/>
        <v>4.5001161748125462E-2</v>
      </c>
      <c r="Y34" s="245">
        <f t="shared" si="14"/>
        <v>4.5820627009289391E-2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0.46343348514073213</v>
      </c>
      <c r="C35" s="246">
        <f t="shared" si="15"/>
        <v>0.45914972840161744</v>
      </c>
      <c r="D35" s="246">
        <f t="shared" si="15"/>
        <v>0.4559667277578901</v>
      </c>
      <c r="E35" s="246">
        <f t="shared" si="15"/>
        <v>0.45044507884564167</v>
      </c>
      <c r="F35" s="246">
        <f t="shared" si="15"/>
        <v>0.44464852273632455</v>
      </c>
      <c r="G35" s="246">
        <f t="shared" si="15"/>
        <v>0.43962901908645169</v>
      </c>
      <c r="H35" s="246">
        <f t="shared" si="15"/>
        <v>0.42989812136061345</v>
      </c>
      <c r="I35" s="246">
        <f t="shared" si="15"/>
        <v>0.42509640791017489</v>
      </c>
      <c r="J35" s="246">
        <f t="shared" si="15"/>
        <v>0.42368562951015459</v>
      </c>
      <c r="K35" s="246">
        <f t="shared" si="15"/>
        <v>0.42049508214468295</v>
      </c>
      <c r="L35" s="246">
        <f t="shared" si="15"/>
        <v>0.42898227588683063</v>
      </c>
      <c r="M35" s="246">
        <f t="shared" si="15"/>
        <v>0.41877877127223079</v>
      </c>
      <c r="N35" s="246">
        <f t="shared" si="15"/>
        <v>0.41935139431899826</v>
      </c>
      <c r="O35" s="246">
        <f t="shared" si="15"/>
        <v>0.41448599562209842</v>
      </c>
      <c r="P35" s="246">
        <f t="shared" si="15"/>
        <v>0.40733613296213905</v>
      </c>
      <c r="Q35" s="246">
        <f t="shared" si="15"/>
        <v>0.40506538772068074</v>
      </c>
      <c r="R35" s="246">
        <f t="shared" si="15"/>
        <v>0.40804257459147342</v>
      </c>
      <c r="S35" s="246">
        <f t="shared" si="15"/>
        <v>0.40896485253636411</v>
      </c>
      <c r="T35" s="246">
        <f t="shared" si="15"/>
        <v>0.4068339900028165</v>
      </c>
      <c r="U35" s="246">
        <f t="shared" si="15"/>
        <v>0.40823855073700321</v>
      </c>
      <c r="V35" s="246">
        <f t="shared" si="15"/>
        <v>0.40505142699968721</v>
      </c>
      <c r="W35" s="246">
        <f t="shared" si="15"/>
        <v>0.40994958122483416</v>
      </c>
      <c r="X35" s="246">
        <f t="shared" si="15"/>
        <v>0.40062604360753307</v>
      </c>
      <c r="Y35" s="246">
        <f t="shared" si="15"/>
        <v>0.40094237358547719</v>
      </c>
      <c r="DA35" s="277"/>
    </row>
    <row r="36" spans="1:105" x14ac:dyDescent="0.25">
      <c r="A36" s="127" t="s">
        <v>168</v>
      </c>
      <c r="B36" s="259">
        <f t="shared" ref="B36:Y36" si="16">IF(B$16=0,0,B$16/B$5)</f>
        <v>9.5296664477496379E-2</v>
      </c>
      <c r="C36" s="259">
        <f t="shared" si="16"/>
        <v>9.6672551789655392E-2</v>
      </c>
      <c r="D36" s="259">
        <f t="shared" si="16"/>
        <v>9.4706310061260679E-2</v>
      </c>
      <c r="E36" s="259">
        <f t="shared" si="16"/>
        <v>9.1987098262207967E-2</v>
      </c>
      <c r="F36" s="259">
        <f t="shared" si="16"/>
        <v>8.7740714842818202E-2</v>
      </c>
      <c r="G36" s="259">
        <f t="shared" si="16"/>
        <v>8.677526095664656E-2</v>
      </c>
      <c r="H36" s="259">
        <f t="shared" si="16"/>
        <v>9.2856340314292171E-2</v>
      </c>
      <c r="I36" s="259">
        <f t="shared" si="16"/>
        <v>8.870376502660432E-2</v>
      </c>
      <c r="J36" s="259">
        <f t="shared" si="16"/>
        <v>8.4885326592632357E-2</v>
      </c>
      <c r="K36" s="259">
        <f t="shared" si="16"/>
        <v>8.1268265261869338E-2</v>
      </c>
      <c r="L36" s="259">
        <f t="shared" si="16"/>
        <v>7.7672207745619587E-2</v>
      </c>
      <c r="M36" s="259">
        <f t="shared" si="16"/>
        <v>8.4860564149416923E-2</v>
      </c>
      <c r="N36" s="259">
        <f t="shared" si="16"/>
        <v>7.8725212766298694E-2</v>
      </c>
      <c r="O36" s="259">
        <f t="shared" si="16"/>
        <v>8.2674132238962666E-2</v>
      </c>
      <c r="P36" s="259">
        <f t="shared" si="16"/>
        <v>9.0229538741781079E-2</v>
      </c>
      <c r="Q36" s="259">
        <f t="shared" si="16"/>
        <v>8.9869184253025675E-2</v>
      </c>
      <c r="R36" s="259">
        <f t="shared" si="16"/>
        <v>8.6558352432558938E-2</v>
      </c>
      <c r="S36" s="259">
        <f t="shared" si="16"/>
        <v>8.2207429042592067E-2</v>
      </c>
      <c r="T36" s="259">
        <f t="shared" si="16"/>
        <v>8.343006973578905E-2</v>
      </c>
      <c r="U36" s="259">
        <f t="shared" si="16"/>
        <v>8.1977785239614798E-2</v>
      </c>
      <c r="V36" s="259">
        <f t="shared" si="16"/>
        <v>8.9043747720292388E-2</v>
      </c>
      <c r="W36" s="259">
        <f t="shared" si="16"/>
        <v>8.2152818052840734E-2</v>
      </c>
      <c r="X36" s="259">
        <f t="shared" si="16"/>
        <v>0.10438201599299163</v>
      </c>
      <c r="Y36" s="259">
        <f t="shared" si="16"/>
        <v>0.10281892934168203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0.33579088537189039</v>
      </c>
      <c r="C37" s="259">
        <f t="shared" si="17"/>
        <v>0.33400770330477503</v>
      </c>
      <c r="D37" s="259">
        <f t="shared" si="17"/>
        <v>0.33347775390867856</v>
      </c>
      <c r="E37" s="259">
        <f t="shared" si="17"/>
        <v>0.33408700056435597</v>
      </c>
      <c r="F37" s="259">
        <f t="shared" si="17"/>
        <v>0.33506781534347718</v>
      </c>
      <c r="G37" s="259">
        <f t="shared" si="17"/>
        <v>0.33137120451972996</v>
      </c>
      <c r="H37" s="259">
        <f t="shared" si="17"/>
        <v>0.32132688742561555</v>
      </c>
      <c r="I37" s="259">
        <f t="shared" si="17"/>
        <v>0.32036154545732726</v>
      </c>
      <c r="J37" s="259">
        <f t="shared" si="17"/>
        <v>0.32289774159463813</v>
      </c>
      <c r="K37" s="259">
        <f t="shared" si="17"/>
        <v>0.32069335959221756</v>
      </c>
      <c r="L37" s="259">
        <f t="shared" si="17"/>
        <v>0.33328301117257614</v>
      </c>
      <c r="M37" s="259">
        <f t="shared" si="17"/>
        <v>0.32165577239039478</v>
      </c>
      <c r="N37" s="259">
        <f t="shared" si="17"/>
        <v>0.32195619186900021</v>
      </c>
      <c r="O37" s="259">
        <f t="shared" si="17"/>
        <v>0.3165204162833456</v>
      </c>
      <c r="P37" s="259">
        <f t="shared" si="17"/>
        <v>0.30294588465393318</v>
      </c>
      <c r="Q37" s="259">
        <f t="shared" si="17"/>
        <v>0.30117280754401682</v>
      </c>
      <c r="R37" s="259">
        <f t="shared" si="17"/>
        <v>0.30291523211818999</v>
      </c>
      <c r="S37" s="259">
        <f t="shared" si="17"/>
        <v>0.29911297364884193</v>
      </c>
      <c r="T37" s="259">
        <f t="shared" si="17"/>
        <v>0.29403429118030755</v>
      </c>
      <c r="U37" s="259">
        <f t="shared" si="17"/>
        <v>0.28749153451461684</v>
      </c>
      <c r="V37" s="259">
        <f t="shared" si="17"/>
        <v>0.2887268419677978</v>
      </c>
      <c r="W37" s="259">
        <f t="shared" si="17"/>
        <v>0.29487827722761711</v>
      </c>
      <c r="X37" s="259">
        <f t="shared" si="17"/>
        <v>0.29023720731642544</v>
      </c>
      <c r="Y37" s="259">
        <f t="shared" si="17"/>
        <v>0.28822133509188352</v>
      </c>
      <c r="DA37" s="278"/>
    </row>
    <row r="38" spans="1:105" x14ac:dyDescent="0.25">
      <c r="A38" s="127" t="s">
        <v>167</v>
      </c>
      <c r="B38" s="259">
        <f t="shared" ref="B38:Y38" si="18">IF(B$25=0,0,B$25/B$5)</f>
        <v>1.2818433778896153E-2</v>
      </c>
      <c r="C38" s="259">
        <f t="shared" si="18"/>
        <v>1.3003505528204848E-2</v>
      </c>
      <c r="D38" s="259">
        <f t="shared" si="18"/>
        <v>1.2739024714244335E-2</v>
      </c>
      <c r="E38" s="259">
        <f t="shared" si="18"/>
        <v>1.2373261268398016E-2</v>
      </c>
      <c r="F38" s="259">
        <f t="shared" si="18"/>
        <v>1.1802076694838211E-2</v>
      </c>
      <c r="G38" s="259">
        <f t="shared" si="18"/>
        <v>1.1672212687799522E-2</v>
      </c>
      <c r="H38" s="259">
        <f t="shared" si="18"/>
        <v>1.2490183741430676E-2</v>
      </c>
      <c r="I38" s="259">
        <f t="shared" si="18"/>
        <v>1.1931617377865269E-2</v>
      </c>
      <c r="J38" s="259">
        <f t="shared" si="18"/>
        <v>1.1417996041032236E-2</v>
      </c>
      <c r="K38" s="259">
        <f t="shared" si="18"/>
        <v>1.0931462106221323E-2</v>
      </c>
      <c r="L38" s="259">
        <f t="shared" si="18"/>
        <v>1.0447753412009531E-2</v>
      </c>
      <c r="M38" s="259">
        <f t="shared" si="18"/>
        <v>1.1414665224153166E-2</v>
      </c>
      <c r="N38" s="259">
        <f t="shared" si="18"/>
        <v>1.0589393995134113E-2</v>
      </c>
      <c r="O38" s="259">
        <f t="shared" si="18"/>
        <v>1.1120566445251608E-2</v>
      </c>
      <c r="P38" s="259">
        <f t="shared" si="18"/>
        <v>1.2136850472190343E-2</v>
      </c>
      <c r="Q38" s="259">
        <f t="shared" si="18"/>
        <v>1.2088378889513585E-2</v>
      </c>
      <c r="R38" s="259">
        <f t="shared" si="18"/>
        <v>1.1643036141407895E-2</v>
      </c>
      <c r="S38" s="259">
        <f t="shared" si="18"/>
        <v>1.1057789809260444E-2</v>
      </c>
      <c r="T38" s="259">
        <f t="shared" si="18"/>
        <v>1.1222248228105004E-2</v>
      </c>
      <c r="U38" s="259">
        <f t="shared" si="18"/>
        <v>1.1026900229889142E-2</v>
      </c>
      <c r="V38" s="259">
        <f t="shared" si="18"/>
        <v>1.1977348733405425E-2</v>
      </c>
      <c r="W38" s="259">
        <f t="shared" si="18"/>
        <v>1.1050444039504856E-2</v>
      </c>
      <c r="X38" s="259">
        <f t="shared" si="18"/>
        <v>1.4040511984863913E-2</v>
      </c>
      <c r="Y38" s="259">
        <f t="shared" si="18"/>
        <v>1.383025989639527E-2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1.6926745071508053E-2</v>
      </c>
      <c r="C39" s="259">
        <f t="shared" si="19"/>
        <v>1.7749874071781507E-2</v>
      </c>
      <c r="D39" s="259">
        <f t="shared" si="19"/>
        <v>1.8835633340053622E-2</v>
      </c>
      <c r="E39" s="259">
        <f t="shared" si="19"/>
        <v>2.0296552767231815E-2</v>
      </c>
      <c r="F39" s="259">
        <f t="shared" si="19"/>
        <v>2.2056315731480172E-2</v>
      </c>
      <c r="G39" s="259">
        <f t="shared" si="19"/>
        <v>2.3848617289148635E-2</v>
      </c>
      <c r="H39" s="259">
        <f t="shared" si="19"/>
        <v>2.6200768194707066E-2</v>
      </c>
      <c r="I39" s="259">
        <f t="shared" si="19"/>
        <v>2.8114870868805059E-2</v>
      </c>
      <c r="J39" s="259">
        <f t="shared" si="19"/>
        <v>2.8700643597666074E-2</v>
      </c>
      <c r="K39" s="259">
        <f t="shared" si="19"/>
        <v>3.0435784794140826E-2</v>
      </c>
      <c r="L39" s="259">
        <f t="shared" si="19"/>
        <v>2.7330846572141642E-2</v>
      </c>
      <c r="M39" s="259">
        <f t="shared" si="19"/>
        <v>2.9829011422295364E-2</v>
      </c>
      <c r="N39" s="259">
        <f t="shared" si="19"/>
        <v>3.0941058966833863E-2</v>
      </c>
      <c r="O39" s="259">
        <f t="shared" si="19"/>
        <v>3.200442408934228E-2</v>
      </c>
      <c r="P39" s="259">
        <f t="shared" si="19"/>
        <v>3.4224416957241634E-2</v>
      </c>
      <c r="Q39" s="259">
        <f t="shared" si="19"/>
        <v>3.5037803668332528E-2</v>
      </c>
      <c r="R39" s="259">
        <f t="shared" si="19"/>
        <v>3.4861808018593073E-2</v>
      </c>
      <c r="S39" s="259">
        <f t="shared" si="19"/>
        <v>3.6289621791153054E-2</v>
      </c>
      <c r="T39" s="259">
        <f t="shared" si="19"/>
        <v>3.735323599629594E-2</v>
      </c>
      <c r="U39" s="259">
        <f t="shared" si="19"/>
        <v>3.8592835924530451E-2</v>
      </c>
      <c r="V39" s="259">
        <f t="shared" si="19"/>
        <v>3.7484987231174514E-2</v>
      </c>
      <c r="W39" s="259">
        <f t="shared" si="19"/>
        <v>3.6894626973314679E-2</v>
      </c>
      <c r="X39" s="259">
        <f t="shared" si="19"/>
        <v>3.4838684380008617E-2</v>
      </c>
      <c r="Y39" s="259">
        <f t="shared" si="19"/>
        <v>3.5473092259384331E-2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2.5797455471294448E-2</v>
      </c>
      <c r="C40" s="261">
        <f t="shared" si="20"/>
        <v>2.7051957364126078E-2</v>
      </c>
      <c r="D40" s="261">
        <f t="shared" si="20"/>
        <v>2.8706724790318539E-2</v>
      </c>
      <c r="E40" s="261">
        <f t="shared" si="20"/>
        <v>3.0933260589762743E-2</v>
      </c>
      <c r="F40" s="261">
        <f t="shared" si="20"/>
        <v>3.3615253289389635E-2</v>
      </c>
      <c r="G40" s="261">
        <f t="shared" si="20"/>
        <v>3.6346836912215755E-2</v>
      </c>
      <c r="H40" s="261">
        <f t="shared" si="20"/>
        <v>3.9931667190663489E-2</v>
      </c>
      <c r="I40" s="261">
        <f t="shared" si="20"/>
        <v>4.2848883601374718E-2</v>
      </c>
      <c r="J40" s="261">
        <f t="shared" si="20"/>
        <v>4.3741639168097785E-2</v>
      </c>
      <c r="K40" s="261">
        <f t="shared" si="20"/>
        <v>4.6386106699413766E-2</v>
      </c>
      <c r="L40" s="261">
        <f t="shared" si="20"/>
        <v>4.165397980881793E-2</v>
      </c>
      <c r="M40" s="261">
        <f t="shared" si="20"/>
        <v>4.5461344793021108E-2</v>
      </c>
      <c r="N40" s="261">
        <f t="shared" si="20"/>
        <v>4.7156177254371462E-2</v>
      </c>
      <c r="O40" s="261">
        <f t="shared" si="20"/>
        <v>4.8776814552431415E-2</v>
      </c>
      <c r="P40" s="261">
        <f t="shared" si="20"/>
        <v>5.2160227424444518E-2</v>
      </c>
      <c r="Q40" s="261">
        <f t="shared" si="20"/>
        <v>5.3399881437762815E-2</v>
      </c>
      <c r="R40" s="261">
        <f t="shared" si="20"/>
        <v>5.3131652672095533E-2</v>
      </c>
      <c r="S40" s="261">
        <f t="shared" si="20"/>
        <v>5.5307733310358202E-2</v>
      </c>
      <c r="T40" s="261">
        <f t="shared" si="20"/>
        <v>5.6928750226480834E-2</v>
      </c>
      <c r="U40" s="261">
        <f t="shared" si="20"/>
        <v>5.8817980779416718E-2</v>
      </c>
      <c r="V40" s="261">
        <f t="shared" si="20"/>
        <v>5.7129547639138106E-2</v>
      </c>
      <c r="W40" s="261">
        <f t="shared" si="20"/>
        <v>5.6229800381184983E-2</v>
      </c>
      <c r="X40" s="261">
        <f t="shared" si="20"/>
        <v>5.3096410749670586E-2</v>
      </c>
      <c r="Y40" s="261">
        <f t="shared" si="20"/>
        <v>5.4063289434833836E-2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0.38068772181314481</v>
      </c>
      <c r="C44" s="237">
        <f>IF(C$5=0,0,C$5/AGR_fec!C$5)</f>
        <v>0.38052981773953948</v>
      </c>
      <c r="D44" s="237">
        <f>IF(D$5=0,0,D$5/AGR_fec!D$5)</f>
        <v>0.38102506373484346</v>
      </c>
      <c r="E44" s="237">
        <f>IF(E$5=0,0,E$5/AGR_fec!E$5)</f>
        <v>0.38114523550634605</v>
      </c>
      <c r="F44" s="237">
        <f>IF(F$5=0,0,F$5/AGR_fec!F$5)</f>
        <v>0.38153577352605378</v>
      </c>
      <c r="G44" s="237">
        <f>IF(G$5=0,0,G$5/AGR_fec!G$5)</f>
        <v>0.38236895424978495</v>
      </c>
      <c r="H44" s="237">
        <f>IF(H$5=0,0,H$5/AGR_fec!H$5)</f>
        <v>0.3825678976585325</v>
      </c>
      <c r="I44" s="237">
        <f>IF(I$5=0,0,I$5/AGR_fec!I$5)</f>
        <v>0.38348650211240748</v>
      </c>
      <c r="J44" s="237">
        <f>IF(J$5=0,0,J$5/AGR_fec!J$5)</f>
        <v>0.38350057612425514</v>
      </c>
      <c r="K44" s="237">
        <f>IF(K$5=0,0,K$5/AGR_fec!K$5)</f>
        <v>0.38480066424195036</v>
      </c>
      <c r="L44" s="237">
        <f>IF(L$5=0,0,L$5/AGR_fec!L$5)</f>
        <v>0.38281001761871797</v>
      </c>
      <c r="M44" s="237">
        <f>IF(M$5=0,0,M$5/AGR_fec!M$5)</f>
        <v>0.38370362315862711</v>
      </c>
      <c r="N44" s="237">
        <f>IF(N$5=0,0,N$5/AGR_fec!N$5)</f>
        <v>0.38529347651177293</v>
      </c>
      <c r="O44" s="237">
        <f>IF(O$5=0,0,O$5/AGR_fec!O$5)</f>
        <v>0.38511311844576146</v>
      </c>
      <c r="P44" s="237">
        <f>IF(P$5=0,0,P$5/AGR_fec!P$5)</f>
        <v>0.38618952189081118</v>
      </c>
      <c r="Q44" s="237">
        <f>IF(Q$5=0,0,Q$5/AGR_fec!Q$5)</f>
        <v>0.3862449486780849</v>
      </c>
      <c r="R44" s="237">
        <f>IF(R$5=0,0,R$5/AGR_fec!R$5)</f>
        <v>0.38676710470459086</v>
      </c>
      <c r="S44" s="237">
        <f>IF(S$5=0,0,S$5/AGR_fec!S$5)</f>
        <v>0.38897940577761458</v>
      </c>
      <c r="T44" s="237">
        <f>IF(T$5=0,0,T$5/AGR_fec!T$5)</f>
        <v>0.38975174899494008</v>
      </c>
      <c r="U44" s="237">
        <f>IF(U$5=0,0,U$5/AGR_fec!U$5)</f>
        <v>0.39129987122642301</v>
      </c>
      <c r="V44" s="237">
        <f>IF(V$5=0,0,V$5/AGR_fec!V$5)</f>
        <v>0.38769653828218953</v>
      </c>
      <c r="W44" s="237">
        <f>IF(W$5=0,0,W$5/AGR_fec!W$5)</f>
        <v>0.38751244127545836</v>
      </c>
      <c r="X44" s="237">
        <f>IF(X$5=0,0,X$5/AGR_fec!X$5)</f>
        <v>0.37991889347433699</v>
      </c>
      <c r="Y44" s="237">
        <f>IF(Y$5=0,0,Y$5/AGR_fec!Y$5)</f>
        <v>0.38275600780897084</v>
      </c>
      <c r="DA44" s="286"/>
    </row>
    <row r="45" spans="1:105" x14ac:dyDescent="0.25">
      <c r="A45" s="238" t="s">
        <v>125</v>
      </c>
      <c r="B45" s="250">
        <f>IF(B$6=0,0,B$6/AGR_fec!B$6)</f>
        <v>0.42080601822211738</v>
      </c>
      <c r="C45" s="250">
        <f>IF(C$6=0,0,C$6/AGR_fec!C$6)</f>
        <v>0.42080601822211738</v>
      </c>
      <c r="D45" s="250">
        <f>IF(D$6=0,0,D$6/AGR_fec!D$6)</f>
        <v>0.42080601822211744</v>
      </c>
      <c r="E45" s="250">
        <f>IF(E$6=0,0,E$6/AGR_fec!E$6)</f>
        <v>0.42080601822211733</v>
      </c>
      <c r="F45" s="250">
        <f>IF(F$6=0,0,F$6/AGR_fec!F$6)</f>
        <v>0.42080601822211744</v>
      </c>
      <c r="G45" s="250">
        <f>IF(G$6=0,0,G$6/AGR_fec!G$6)</f>
        <v>0.42080601822211738</v>
      </c>
      <c r="H45" s="250">
        <f>IF(H$6=0,0,H$6/AGR_fec!H$6)</f>
        <v>0.42080601822211733</v>
      </c>
      <c r="I45" s="250">
        <f>IF(I$6=0,0,I$6/AGR_fec!I$6)</f>
        <v>0.42080601822211744</v>
      </c>
      <c r="J45" s="250">
        <f>IF(J$6=0,0,J$6/AGR_fec!J$6)</f>
        <v>0.42080601822211749</v>
      </c>
      <c r="K45" s="250">
        <f>IF(K$6=0,0,K$6/AGR_fec!K$6)</f>
        <v>0.42080601822211744</v>
      </c>
      <c r="L45" s="250">
        <f>IF(L$6=0,0,L$6/AGR_fec!L$6)</f>
        <v>0.42080601822211733</v>
      </c>
      <c r="M45" s="250">
        <f>IF(M$6=0,0,M$6/AGR_fec!M$6)</f>
        <v>0.42080601822211749</v>
      </c>
      <c r="N45" s="250">
        <f>IF(N$6=0,0,N$6/AGR_fec!N$6)</f>
        <v>0.42080601822211755</v>
      </c>
      <c r="O45" s="250">
        <f>IF(O$6=0,0,O$6/AGR_fec!O$6)</f>
        <v>0.42080601822211755</v>
      </c>
      <c r="P45" s="250">
        <f>IF(P$6=0,0,P$6/AGR_fec!P$6)</f>
        <v>0.42080601822211733</v>
      </c>
      <c r="Q45" s="250">
        <f>IF(Q$6=0,0,Q$6/AGR_fec!Q$6)</f>
        <v>0.42080601822211738</v>
      </c>
      <c r="R45" s="250">
        <f>IF(R$6=0,0,R$6/AGR_fec!R$6)</f>
        <v>0.42080601822211733</v>
      </c>
      <c r="S45" s="250">
        <f>IF(S$6=0,0,S$6/AGR_fec!S$6)</f>
        <v>0.42080601822211727</v>
      </c>
      <c r="T45" s="250">
        <f>IF(T$6=0,0,T$6/AGR_fec!T$6)</f>
        <v>0.42080601822211733</v>
      </c>
      <c r="U45" s="250">
        <f>IF(U$6=0,0,U$6/AGR_fec!U$6)</f>
        <v>0.42080601822211733</v>
      </c>
      <c r="V45" s="250">
        <f>IF(V$6=0,0,V$6/AGR_fec!V$6)</f>
        <v>0.42080601822211716</v>
      </c>
      <c r="W45" s="250">
        <f>IF(W$6=0,0,W$6/AGR_fec!W$6)</f>
        <v>0.42080601822211749</v>
      </c>
      <c r="X45" s="250">
        <f>IF(X$6=0,0,X$6/AGR_fec!X$6)</f>
        <v>0.42080601822211727</v>
      </c>
      <c r="Y45" s="250">
        <f>IF(Y$6=0,0,Y$6/AGR_fec!Y$6)</f>
        <v>0.42080601822211722</v>
      </c>
      <c r="DA45" s="287"/>
    </row>
    <row r="46" spans="1:105" x14ac:dyDescent="0.25">
      <c r="A46" s="240" t="s">
        <v>124</v>
      </c>
      <c r="B46" s="251">
        <f>IF(B$7=0,0,B$7/AGR_fec!B$7)</f>
        <v>0.41728299395061907</v>
      </c>
      <c r="C46" s="251">
        <f>IF(C$7=0,0,C$7/AGR_fec!C$7)</f>
        <v>0.41728299395061902</v>
      </c>
      <c r="D46" s="251">
        <f>IF(D$7=0,0,D$7/AGR_fec!D$7)</f>
        <v>0.41728299395061907</v>
      </c>
      <c r="E46" s="251">
        <f>IF(E$7=0,0,E$7/AGR_fec!E$7)</f>
        <v>0.41728299395061907</v>
      </c>
      <c r="F46" s="251">
        <f>IF(F$7=0,0,F$7/AGR_fec!F$7)</f>
        <v>0.41728299395061907</v>
      </c>
      <c r="G46" s="251">
        <f>IF(G$7=0,0,G$7/AGR_fec!G$7)</f>
        <v>0.41728299395061902</v>
      </c>
      <c r="H46" s="251">
        <f>IF(H$7=0,0,H$7/AGR_fec!H$7)</f>
        <v>0.41728299395061907</v>
      </c>
      <c r="I46" s="251">
        <f>IF(I$7=0,0,I$7/AGR_fec!I$7)</f>
        <v>0.41728299395061907</v>
      </c>
      <c r="J46" s="251">
        <f>IF(J$7=0,0,J$7/AGR_fec!J$7)</f>
        <v>0.41728299395061891</v>
      </c>
      <c r="K46" s="251">
        <f>IF(K$7=0,0,K$7/AGR_fec!K$7)</f>
        <v>0.41728299395061902</v>
      </c>
      <c r="L46" s="251">
        <f>IF(L$7=0,0,L$7/AGR_fec!L$7)</f>
        <v>0.41728299395061896</v>
      </c>
      <c r="M46" s="251">
        <f>IF(M$7=0,0,M$7/AGR_fec!M$7)</f>
        <v>0.41728299395061896</v>
      </c>
      <c r="N46" s="251">
        <f>IF(N$7=0,0,N$7/AGR_fec!N$7)</f>
        <v>0.41728299395061907</v>
      </c>
      <c r="O46" s="251">
        <f>IF(O$7=0,0,O$7/AGR_fec!O$7)</f>
        <v>0.41728299395061907</v>
      </c>
      <c r="P46" s="251">
        <f>IF(P$7=0,0,P$7/AGR_fec!P$7)</f>
        <v>0.41728299395061902</v>
      </c>
      <c r="Q46" s="251">
        <f>IF(Q$7=0,0,Q$7/AGR_fec!Q$7)</f>
        <v>0.41728299395061902</v>
      </c>
      <c r="R46" s="251">
        <f>IF(R$7=0,0,R$7/AGR_fec!R$7)</f>
        <v>0.41728299395061902</v>
      </c>
      <c r="S46" s="251">
        <f>IF(S$7=0,0,S$7/AGR_fec!S$7)</f>
        <v>0.41728299395061896</v>
      </c>
      <c r="T46" s="251">
        <f>IF(T$7=0,0,T$7/AGR_fec!T$7)</f>
        <v>0.41728299395061902</v>
      </c>
      <c r="U46" s="251">
        <f>IF(U$7=0,0,U$7/AGR_fec!U$7)</f>
        <v>0.41728299395061902</v>
      </c>
      <c r="V46" s="251">
        <f>IF(V$7=0,0,V$7/AGR_fec!V$7)</f>
        <v>0.41728299395061902</v>
      </c>
      <c r="W46" s="251">
        <f>IF(W$7=0,0,W$7/AGR_fec!W$7)</f>
        <v>0.41728299395061902</v>
      </c>
      <c r="X46" s="251">
        <f>IF(X$7=0,0,X$7/AGR_fec!X$7)</f>
        <v>0.41728299395061896</v>
      </c>
      <c r="Y46" s="251">
        <f>IF(Y$7=0,0,Y$7/AGR_fec!Y$7)</f>
        <v>0.41728299395061907</v>
      </c>
      <c r="DA46" s="288"/>
    </row>
    <row r="47" spans="1:105" x14ac:dyDescent="0.25">
      <c r="A47" s="240" t="s">
        <v>123</v>
      </c>
      <c r="B47" s="251">
        <f>IF(B$8=0,0,B$8/AGR_fec!B$8)</f>
        <v>0.59889426684070113</v>
      </c>
      <c r="C47" s="251">
        <f>IF(C$8=0,0,C$8/AGR_fec!C$8)</f>
        <v>0.59889426684070124</v>
      </c>
      <c r="D47" s="251">
        <f>IF(D$8=0,0,D$8/AGR_fec!D$8)</f>
        <v>0.59889426684070113</v>
      </c>
      <c r="E47" s="251">
        <f>IF(E$8=0,0,E$8/AGR_fec!E$8)</f>
        <v>0.59889426684070124</v>
      </c>
      <c r="F47" s="251">
        <f>IF(F$8=0,0,F$8/AGR_fec!F$8)</f>
        <v>0.59889426684070124</v>
      </c>
      <c r="G47" s="251">
        <f>IF(G$8=0,0,G$8/AGR_fec!G$8)</f>
        <v>0.59889426684070113</v>
      </c>
      <c r="H47" s="251">
        <f>IF(H$8=0,0,H$8/AGR_fec!H$8)</f>
        <v>0.59889426684070124</v>
      </c>
      <c r="I47" s="251">
        <f>IF(I$8=0,0,I$8/AGR_fec!I$8)</f>
        <v>0.59889426684070113</v>
      </c>
      <c r="J47" s="251">
        <f>IF(J$8=0,0,J$8/AGR_fec!J$8)</f>
        <v>0.59889426684070113</v>
      </c>
      <c r="K47" s="251">
        <f>IF(K$8=0,0,K$8/AGR_fec!K$8)</f>
        <v>0.59889426684070124</v>
      </c>
      <c r="L47" s="251">
        <f>IF(L$8=0,0,L$8/AGR_fec!L$8)</f>
        <v>0.59889426684070113</v>
      </c>
      <c r="M47" s="251">
        <f>IF(M$8=0,0,M$8/AGR_fec!M$8)</f>
        <v>0.59889426684070124</v>
      </c>
      <c r="N47" s="251">
        <f>IF(N$8=0,0,N$8/AGR_fec!N$8)</f>
        <v>0.59889426684070124</v>
      </c>
      <c r="O47" s="251">
        <f>IF(O$8=0,0,O$8/AGR_fec!O$8)</f>
        <v>0.59889426684070146</v>
      </c>
      <c r="P47" s="251">
        <f>IF(P$8=0,0,P$8/AGR_fec!P$8)</f>
        <v>0.59889426684070157</v>
      </c>
      <c r="Q47" s="251">
        <f>IF(Q$8=0,0,Q$8/AGR_fec!Q$8)</f>
        <v>0.59889426684070124</v>
      </c>
      <c r="R47" s="251">
        <f>IF(R$8=0,0,R$8/AGR_fec!R$8)</f>
        <v>0.59889426684070146</v>
      </c>
      <c r="S47" s="251">
        <f>IF(S$8=0,0,S$8/AGR_fec!S$8)</f>
        <v>0.59889426684070113</v>
      </c>
      <c r="T47" s="251">
        <f>IF(T$8=0,0,T$8/AGR_fec!T$8)</f>
        <v>0.59889426684070135</v>
      </c>
      <c r="U47" s="251">
        <f>IF(U$8=0,0,U$8/AGR_fec!U$8)</f>
        <v>0.59889426684070102</v>
      </c>
      <c r="V47" s="251">
        <f>IF(V$8=0,0,V$8/AGR_fec!V$8)</f>
        <v>0.59889426684070102</v>
      </c>
      <c r="W47" s="251">
        <f>IF(W$8=0,0,W$8/AGR_fec!W$8)</f>
        <v>0.59889426684070113</v>
      </c>
      <c r="X47" s="251">
        <f>IF(X$8=0,0,X$8/AGR_fec!X$8)</f>
        <v>0.59889426684070102</v>
      </c>
      <c r="Y47" s="251">
        <f>IF(Y$8=0,0,Y$8/AGR_fec!Y$8)</f>
        <v>0.59889426684070102</v>
      </c>
      <c r="DA47" s="288"/>
    </row>
    <row r="48" spans="1:105" x14ac:dyDescent="0.25">
      <c r="A48" s="242" t="s">
        <v>122</v>
      </c>
      <c r="B48" s="252">
        <f>IF(B$9=0,0,B$9/AGR_fec!B$9)</f>
        <v>0.60334722670620788</v>
      </c>
      <c r="C48" s="252">
        <f>IF(C$9=0,0,C$9/AGR_fec!C$9)</f>
        <v>0.60345687195719044</v>
      </c>
      <c r="D48" s="252">
        <f>IF(D$9=0,0,D$9/AGR_fec!D$9)</f>
        <v>0.60373411369939278</v>
      </c>
      <c r="E48" s="252">
        <f>IF(E$9=0,0,E$9/AGR_fec!E$9)</f>
        <v>0.6039904934100454</v>
      </c>
      <c r="F48" s="252">
        <f>IF(F$9=0,0,F$9/AGR_fec!F$9)</f>
        <v>0.60451943692632493</v>
      </c>
      <c r="G48" s="252">
        <f>IF(G$9=0,0,G$9/AGR_fec!G$9)</f>
        <v>0.60566864085479655</v>
      </c>
      <c r="H48" s="252">
        <f>IF(H$9=0,0,H$9/AGR_fec!H$9)</f>
        <v>0.60775739420028152</v>
      </c>
      <c r="I48" s="252">
        <f>IF(I$9=0,0,I$9/AGR_fec!I$9)</f>
        <v>0.60959371063327739</v>
      </c>
      <c r="J48" s="252">
        <f>IF(J$9=0,0,J$9/AGR_fec!J$9)</f>
        <v>0.61009435520117117</v>
      </c>
      <c r="K48" s="252">
        <f>IF(K$9=0,0,K$9/AGR_fec!K$9)</f>
        <v>0.612474490733393</v>
      </c>
      <c r="L48" s="252">
        <f>IF(L$9=0,0,L$9/AGR_fec!L$9)</f>
        <v>0.60805621850368607</v>
      </c>
      <c r="M48" s="252">
        <f>IF(M$9=0,0,M$9/AGR_fec!M$9)</f>
        <v>0.61128789811236595</v>
      </c>
      <c r="N48" s="252">
        <f>IF(N$9=0,0,N$9/AGR_fec!N$9)</f>
        <v>0.6129769583239929</v>
      </c>
      <c r="O48" s="252">
        <f>IF(O$9=0,0,O$9/AGR_fec!O$9)</f>
        <v>0.61521535606514899</v>
      </c>
      <c r="P48" s="252">
        <f>IF(P$9=0,0,P$9/AGR_fec!P$9)</f>
        <v>0.6206958834720181</v>
      </c>
      <c r="Q48" s="252">
        <f>IF(Q$9=0,0,Q$9/AGR_fec!Q$9)</f>
        <v>0.62327765262785895</v>
      </c>
      <c r="R48" s="252">
        <f>IF(R$9=0,0,R$9/AGR_fec!R$9)</f>
        <v>0.62280109066598699</v>
      </c>
      <c r="S48" s="252">
        <f>IF(S$9=0,0,S$9/AGR_fec!S$9)</f>
        <v>0.62692195432392983</v>
      </c>
      <c r="T48" s="252">
        <f>IF(T$9=0,0,T$9/AGR_fec!T$9)</f>
        <v>0.63075624735938318</v>
      </c>
      <c r="U48" s="252">
        <f>IF(U$9=0,0,U$9/AGR_fec!U$9)</f>
        <v>0.63635121286592033</v>
      </c>
      <c r="V48" s="252">
        <f>IF(V$9=0,0,V$9/AGR_fec!V$9)</f>
        <v>0.633342401502344</v>
      </c>
      <c r="W48" s="252">
        <f>IF(W$9=0,0,W$9/AGR_fec!W$9)</f>
        <v>0.63142174713151789</v>
      </c>
      <c r="X48" s="252">
        <f>IF(X$9=0,0,X$9/AGR_fec!X$9)</f>
        <v>0.62778442830854431</v>
      </c>
      <c r="Y48" s="252">
        <f>IF(Y$9=0,0,Y$9/AGR_fec!Y$9)</f>
        <v>0.62850973708626579</v>
      </c>
      <c r="DA48" s="289"/>
    </row>
    <row r="49" spans="1:105" x14ac:dyDescent="0.25">
      <c r="A49" s="127" t="s">
        <v>168</v>
      </c>
      <c r="B49" s="264">
        <f>IF(B$16=0,0,B$16/AGR_fec!B$16)</f>
        <v>0.30112024854662373</v>
      </c>
      <c r="C49" s="264">
        <f>IF(C$16=0,0,C$16/AGR_fec!C$16)</f>
        <v>0.30112024854662384</v>
      </c>
      <c r="D49" s="264">
        <f>IF(D$16=0,0,D$16/AGR_fec!D$16)</f>
        <v>0.30112024854662378</v>
      </c>
      <c r="E49" s="264">
        <f>IF(E$16=0,0,E$16/AGR_fec!E$16)</f>
        <v>0.30112024854662373</v>
      </c>
      <c r="F49" s="264">
        <f>IF(F$16=0,0,F$16/AGR_fec!F$16)</f>
        <v>0.30112024854662384</v>
      </c>
      <c r="G49" s="264">
        <f>IF(G$16=0,0,G$16/AGR_fec!G$16)</f>
        <v>0.30112024854662384</v>
      </c>
      <c r="H49" s="264">
        <f>IF(H$16=0,0,H$16/AGR_fec!H$16)</f>
        <v>0.30112024854662395</v>
      </c>
      <c r="I49" s="264">
        <f>IF(I$16=0,0,I$16/AGR_fec!I$16)</f>
        <v>0.30112024854662395</v>
      </c>
      <c r="J49" s="264">
        <f>IF(J$16=0,0,J$16/AGR_fec!J$16)</f>
        <v>0.30112024854662384</v>
      </c>
      <c r="K49" s="264">
        <f>IF(K$16=0,0,K$16/AGR_fec!K$16)</f>
        <v>0.30112024854662378</v>
      </c>
      <c r="L49" s="264">
        <f>IF(L$16=0,0,L$16/AGR_fec!L$16)</f>
        <v>0.30112024854662378</v>
      </c>
      <c r="M49" s="264">
        <f>IF(M$16=0,0,M$16/AGR_fec!M$16)</f>
        <v>0.30112024854662389</v>
      </c>
      <c r="N49" s="264">
        <f>IF(N$16=0,0,N$16/AGR_fec!N$16)</f>
        <v>0.30112024854662384</v>
      </c>
      <c r="O49" s="264">
        <f>IF(O$16=0,0,O$16/AGR_fec!O$16)</f>
        <v>0.30112024854662378</v>
      </c>
      <c r="P49" s="264">
        <f>IF(P$16=0,0,P$16/AGR_fec!P$16)</f>
        <v>0.30112024854662378</v>
      </c>
      <c r="Q49" s="264">
        <f>IF(Q$16=0,0,Q$16/AGR_fec!Q$16)</f>
        <v>0.301120248546624</v>
      </c>
      <c r="R49" s="264">
        <f>IF(R$16=0,0,R$16/AGR_fec!R$16)</f>
        <v>0.30112024854662378</v>
      </c>
      <c r="S49" s="264">
        <f>IF(S$16=0,0,S$16/AGR_fec!S$16)</f>
        <v>0.30112024854662378</v>
      </c>
      <c r="T49" s="264">
        <f>IF(T$16=0,0,T$16/AGR_fec!T$16)</f>
        <v>0.30112024854662384</v>
      </c>
      <c r="U49" s="264">
        <f>IF(U$16=0,0,U$16/AGR_fec!U$16)</f>
        <v>0.30112024854662378</v>
      </c>
      <c r="V49" s="264">
        <f>IF(V$16=0,0,V$16/AGR_fec!V$16)</f>
        <v>0.30112024854662389</v>
      </c>
      <c r="W49" s="264">
        <f>IF(W$16=0,0,W$16/AGR_fec!W$16)</f>
        <v>0.30112024854662373</v>
      </c>
      <c r="X49" s="264">
        <f>IF(X$16=0,0,X$16/AGR_fec!X$16)</f>
        <v>0.30112024854662373</v>
      </c>
      <c r="Y49" s="264">
        <f>IF(Y$16=0,0,Y$16/AGR_fec!Y$16)</f>
        <v>0.30112024854662384</v>
      </c>
      <c r="DA49" s="290"/>
    </row>
    <row r="50" spans="1:105" x14ac:dyDescent="0.25">
      <c r="A50" s="127" t="s">
        <v>121</v>
      </c>
      <c r="B50" s="264">
        <f>IF(B$17=0,0,B$17/AGR_fec!B$17)</f>
        <v>0.26262119694979846</v>
      </c>
      <c r="C50" s="264">
        <f>IF(C$17=0,0,C$17/AGR_fec!C$17)</f>
        <v>0.2626608459841539</v>
      </c>
      <c r="D50" s="264">
        <f>IF(D$17=0,0,D$17/AGR_fec!D$17)</f>
        <v>0.26286827492754306</v>
      </c>
      <c r="E50" s="264">
        <f>IF(E$17=0,0,E$17/AGR_fec!E$17)</f>
        <v>0.26295563025723429</v>
      </c>
      <c r="F50" s="264">
        <f>IF(F$17=0,0,F$17/AGR_fec!F$17)</f>
        <v>0.26304821647032445</v>
      </c>
      <c r="G50" s="264">
        <f>IF(G$17=0,0,G$17/AGR_fec!G$17)</f>
        <v>0.26297067025579324</v>
      </c>
      <c r="H50" s="264">
        <f>IF(H$17=0,0,H$17/AGR_fec!H$17)</f>
        <v>0.26230909834893162</v>
      </c>
      <c r="I50" s="264">
        <f>IF(I$17=0,0,I$17/AGR_fec!I$17)</f>
        <v>0.26210917440706899</v>
      </c>
      <c r="J50" s="264">
        <f>IF(J$17=0,0,J$17/AGR_fec!J$17)</f>
        <v>0.2618516772976332</v>
      </c>
      <c r="K50" s="264">
        <f>IF(K$17=0,0,K$17/AGR_fec!K$17)</f>
        <v>0.26162826234794712</v>
      </c>
      <c r="L50" s="264">
        <f>IF(L$17=0,0,L$17/AGR_fec!L$17)</f>
        <v>0.26206272334986341</v>
      </c>
      <c r="M50" s="264">
        <f>IF(M$17=0,0,M$17/AGR_fec!M$17)</f>
        <v>0.26199589877572166</v>
      </c>
      <c r="N50" s="264">
        <f>IF(N$17=0,0,N$17/AGR_fec!N$17)</f>
        <v>0.26199197849050648</v>
      </c>
      <c r="O50" s="264">
        <f>IF(O$17=0,0,O$17/AGR_fec!O$17)</f>
        <v>0.26113057429878139</v>
      </c>
      <c r="P50" s="264">
        <f>IF(P$17=0,0,P$17/AGR_fec!P$17)</f>
        <v>0.25985360838210303</v>
      </c>
      <c r="Q50" s="264">
        <f>IF(Q$17=0,0,Q$17/AGR_fec!Q$17)</f>
        <v>0.25884996583271641</v>
      </c>
      <c r="R50" s="264">
        <f>IF(R$17=0,0,R$17/AGR_fec!R$17)</f>
        <v>0.25891361479426611</v>
      </c>
      <c r="S50" s="264">
        <f>IF(S$17=0,0,S$17/AGR_fec!S$17)</f>
        <v>0.25825795467244095</v>
      </c>
      <c r="T50" s="264">
        <f>IF(T$17=0,0,T$17/AGR_fec!T$17)</f>
        <v>0.25727961102915947</v>
      </c>
      <c r="U50" s="264">
        <f>IF(U$17=0,0,U$17/AGR_fec!U$17)</f>
        <v>0.25507910529412486</v>
      </c>
      <c r="V50" s="264">
        <f>IF(V$17=0,0,V$17/AGR_fec!V$17)</f>
        <v>0.25369093981198726</v>
      </c>
      <c r="W50" s="264">
        <f>IF(W$17=0,0,W$17/AGR_fec!W$17)</f>
        <v>0.25333557168392151</v>
      </c>
      <c r="X50" s="264">
        <f>IF(X$17=0,0,X$17/AGR_fec!X$17)</f>
        <v>0.2494992388072069</v>
      </c>
      <c r="Y50" s="264">
        <f>IF(Y$17=0,0,Y$17/AGR_fec!Y$17)</f>
        <v>0.2522529628789914</v>
      </c>
      <c r="DA50" s="290"/>
    </row>
    <row r="51" spans="1:105" x14ac:dyDescent="0.25">
      <c r="A51" s="127" t="s">
        <v>167</v>
      </c>
      <c r="B51" s="264">
        <f>IF(B$25=0,0,B$25/AGR_fec!B$25)</f>
        <v>0.21078417398263671</v>
      </c>
      <c r="C51" s="264">
        <f>IF(C$25=0,0,C$25/AGR_fec!C$25)</f>
        <v>0.21078417398263655</v>
      </c>
      <c r="D51" s="264">
        <f>IF(D$25=0,0,D$25/AGR_fec!D$25)</f>
        <v>0.2107841739826366</v>
      </c>
      <c r="E51" s="264">
        <f>IF(E$25=0,0,E$25/AGR_fec!E$25)</f>
        <v>0.21078417398263666</v>
      </c>
      <c r="F51" s="264">
        <f>IF(F$25=0,0,F$25/AGR_fec!F$25)</f>
        <v>0.21078417398263671</v>
      </c>
      <c r="G51" s="264">
        <f>IF(G$25=0,0,G$25/AGR_fec!G$25)</f>
        <v>0.21078417398263671</v>
      </c>
      <c r="H51" s="264">
        <f>IF(H$25=0,0,H$25/AGR_fec!H$25)</f>
        <v>0.21078417398263671</v>
      </c>
      <c r="I51" s="264">
        <f>IF(I$25=0,0,I$25/AGR_fec!I$25)</f>
        <v>0.2107841739826366</v>
      </c>
      <c r="J51" s="264">
        <f>IF(J$25=0,0,J$25/AGR_fec!J$25)</f>
        <v>0.21078417398263669</v>
      </c>
      <c r="K51" s="264">
        <f>IF(K$25=0,0,K$25/AGR_fec!K$25)</f>
        <v>0.21078417398263671</v>
      </c>
      <c r="L51" s="264">
        <f>IF(L$25=0,0,L$25/AGR_fec!L$25)</f>
        <v>0.21078417398263669</v>
      </c>
      <c r="M51" s="264">
        <f>IF(M$25=0,0,M$25/AGR_fec!M$25)</f>
        <v>0.21078417398263669</v>
      </c>
      <c r="N51" s="264">
        <f>IF(N$25=0,0,N$25/AGR_fec!N$25)</f>
        <v>0.21078417398263669</v>
      </c>
      <c r="O51" s="264">
        <f>IF(O$25=0,0,O$25/AGR_fec!O$25)</f>
        <v>0.21078417398263666</v>
      </c>
      <c r="P51" s="264">
        <f>IF(P$25=0,0,P$25/AGR_fec!P$25)</f>
        <v>0.21078417398263669</v>
      </c>
      <c r="Q51" s="264">
        <f>IF(Q$25=0,0,Q$25/AGR_fec!Q$25)</f>
        <v>0.21078417398263669</v>
      </c>
      <c r="R51" s="264">
        <f>IF(R$25=0,0,R$25/AGR_fec!R$25)</f>
        <v>0.21078417398263669</v>
      </c>
      <c r="S51" s="264">
        <f>IF(S$25=0,0,S$25/AGR_fec!S$25)</f>
        <v>0.2107841739826366</v>
      </c>
      <c r="T51" s="264">
        <f>IF(T$25=0,0,T$25/AGR_fec!T$25)</f>
        <v>0.21078417398263671</v>
      </c>
      <c r="U51" s="264">
        <f>IF(U$25=0,0,U$25/AGR_fec!U$25)</f>
        <v>0.21078417398263663</v>
      </c>
      <c r="V51" s="264">
        <f>IF(V$25=0,0,V$25/AGR_fec!V$25)</f>
        <v>0.2107841739826366</v>
      </c>
      <c r="W51" s="264">
        <f>IF(W$25=0,0,W$25/AGR_fec!W$25)</f>
        <v>0.21078417398263671</v>
      </c>
      <c r="X51" s="264">
        <f>IF(X$25=0,0,X$25/AGR_fec!X$25)</f>
        <v>0.21078417398263666</v>
      </c>
      <c r="Y51" s="264">
        <f>IF(Y$25=0,0,Y$25/AGR_fec!Y$25)</f>
        <v>0.21078417398263663</v>
      </c>
      <c r="DA51" s="290"/>
    </row>
    <row r="52" spans="1:105" x14ac:dyDescent="0.25">
      <c r="A52" s="127" t="s">
        <v>170</v>
      </c>
      <c r="B52" s="264">
        <f>IF(B$26=0,0,B$26/AGR_fec!B$26)</f>
        <v>0.41728299395061902</v>
      </c>
      <c r="C52" s="264">
        <f>IF(C$26=0,0,C$26/AGR_fec!C$26)</f>
        <v>0.41728299395061902</v>
      </c>
      <c r="D52" s="264">
        <f>IF(D$26=0,0,D$26/AGR_fec!D$26)</f>
        <v>0.41728299395061896</v>
      </c>
      <c r="E52" s="264">
        <f>IF(E$26=0,0,E$26/AGR_fec!E$26)</f>
        <v>0.41728299395061907</v>
      </c>
      <c r="F52" s="264">
        <f>IF(F$26=0,0,F$26/AGR_fec!F$26)</f>
        <v>0.41728299395061907</v>
      </c>
      <c r="G52" s="264">
        <f>IF(G$26=0,0,G$26/AGR_fec!G$26)</f>
        <v>0.41728299395061907</v>
      </c>
      <c r="H52" s="264">
        <f>IF(H$26=0,0,H$26/AGR_fec!H$26)</f>
        <v>0.41728299395061902</v>
      </c>
      <c r="I52" s="264">
        <f>IF(I$26=0,0,I$26/AGR_fec!I$26)</f>
        <v>0.41728299395061902</v>
      </c>
      <c r="J52" s="264">
        <f>IF(J$26=0,0,J$26/AGR_fec!J$26)</f>
        <v>0.41728299395061902</v>
      </c>
      <c r="K52" s="264">
        <f>IF(K$26=0,0,K$26/AGR_fec!K$26)</f>
        <v>0.41728299395061919</v>
      </c>
      <c r="L52" s="264">
        <f>IF(L$26=0,0,L$26/AGR_fec!L$26)</f>
        <v>0.41728299395061896</v>
      </c>
      <c r="M52" s="264">
        <f>IF(M$26=0,0,M$26/AGR_fec!M$26)</f>
        <v>0.41728299395061902</v>
      </c>
      <c r="N52" s="264">
        <f>IF(N$26=0,0,N$26/AGR_fec!N$26)</f>
        <v>0.41728299395061919</v>
      </c>
      <c r="O52" s="264">
        <f>IF(O$26=0,0,O$26/AGR_fec!O$26)</f>
        <v>0.41728299395061913</v>
      </c>
      <c r="P52" s="264">
        <f>IF(P$26=0,0,P$26/AGR_fec!P$26)</f>
        <v>0.41728299395061896</v>
      </c>
      <c r="Q52" s="264">
        <f>IF(Q$26=0,0,Q$26/AGR_fec!Q$26)</f>
        <v>0.41728299395061896</v>
      </c>
      <c r="R52" s="264">
        <f>IF(R$26=0,0,R$26/AGR_fec!R$26)</f>
        <v>0.41728299395061896</v>
      </c>
      <c r="S52" s="264">
        <f>IF(S$26=0,0,S$26/AGR_fec!S$26)</f>
        <v>0.41728299395061891</v>
      </c>
      <c r="T52" s="264">
        <f>IF(T$26=0,0,T$26/AGR_fec!T$26)</f>
        <v>0.41728299395061902</v>
      </c>
      <c r="U52" s="264">
        <f>IF(U$26=0,0,U$26/AGR_fec!U$26)</f>
        <v>0.41728299395061891</v>
      </c>
      <c r="V52" s="264">
        <f>IF(V$26=0,0,V$26/AGR_fec!V$26)</f>
        <v>0.41728299395061885</v>
      </c>
      <c r="W52" s="264">
        <f>IF(W$26=0,0,W$26/AGR_fec!W$26)</f>
        <v>0.41728299395061913</v>
      </c>
      <c r="X52" s="264">
        <f>IF(X$26=0,0,X$26/AGR_fec!X$26)</f>
        <v>0.41728299395061891</v>
      </c>
      <c r="Y52" s="264">
        <f>IF(Y$26=0,0,Y$26/AGR_fec!Y$26)</f>
        <v>0.41728299395061885</v>
      </c>
      <c r="DA52" s="290"/>
    </row>
    <row r="53" spans="1:105" x14ac:dyDescent="0.25">
      <c r="A53" s="260" t="s">
        <v>33</v>
      </c>
      <c r="B53" s="265">
        <f>IF(B$27=0,0,B$27/AGR_fec!B$27)</f>
        <v>0.43859744913959681</v>
      </c>
      <c r="C53" s="265">
        <f>IF(C$27=0,0,C$27/AGR_fec!C$27)</f>
        <v>0.43859744913959681</v>
      </c>
      <c r="D53" s="265">
        <f>IF(D$27=0,0,D$27/AGR_fec!D$27)</f>
        <v>0.43859744913959686</v>
      </c>
      <c r="E53" s="265">
        <f>IF(E$27=0,0,E$27/AGR_fec!E$27)</f>
        <v>0.43859744913959653</v>
      </c>
      <c r="F53" s="265">
        <f>IF(F$27=0,0,F$27/AGR_fec!F$27)</f>
        <v>0.43859744913959653</v>
      </c>
      <c r="G53" s="265">
        <f>IF(G$27=0,0,G$27/AGR_fec!G$27)</f>
        <v>0.43859744913959681</v>
      </c>
      <c r="H53" s="265">
        <f>IF(H$27=0,0,H$27/AGR_fec!H$27)</f>
        <v>0.43859744913959681</v>
      </c>
      <c r="I53" s="265">
        <f>IF(I$27=0,0,I$27/AGR_fec!I$27)</f>
        <v>0.43859744913959658</v>
      </c>
      <c r="J53" s="265">
        <f>IF(J$27=0,0,J$27/AGR_fec!J$27)</f>
        <v>0.43859744913959664</v>
      </c>
      <c r="K53" s="265">
        <f>IF(K$27=0,0,K$27/AGR_fec!K$27)</f>
        <v>0.43859744913959681</v>
      </c>
      <c r="L53" s="265">
        <f>IF(L$27=0,0,L$27/AGR_fec!L$27)</f>
        <v>0.43859744913959681</v>
      </c>
      <c r="M53" s="265">
        <f>IF(M$27=0,0,M$27/AGR_fec!M$27)</f>
        <v>0.43859744913959658</v>
      </c>
      <c r="N53" s="265">
        <f>IF(N$27=0,0,N$27/AGR_fec!N$27)</f>
        <v>0.43859744913959653</v>
      </c>
      <c r="O53" s="265">
        <f>IF(O$27=0,0,O$27/AGR_fec!O$27)</f>
        <v>0.43859744913959653</v>
      </c>
      <c r="P53" s="265">
        <f>IF(P$27=0,0,P$27/AGR_fec!P$27)</f>
        <v>0.43859744913959653</v>
      </c>
      <c r="Q53" s="265">
        <f>IF(Q$27=0,0,Q$27/AGR_fec!Q$27)</f>
        <v>0.43859744913959658</v>
      </c>
      <c r="R53" s="265">
        <f>IF(R$27=0,0,R$27/AGR_fec!R$27)</f>
        <v>0.43859744913959653</v>
      </c>
      <c r="S53" s="265">
        <f>IF(S$27=0,0,S$27/AGR_fec!S$27)</f>
        <v>0.43859744913959658</v>
      </c>
      <c r="T53" s="265">
        <f>IF(T$27=0,0,T$27/AGR_fec!T$27)</f>
        <v>0.43859744913959658</v>
      </c>
      <c r="U53" s="265">
        <f>IF(U$27=0,0,U$27/AGR_fec!U$27)</f>
        <v>0.4385974491395967</v>
      </c>
      <c r="V53" s="265">
        <f>IF(V$27=0,0,V$27/AGR_fec!V$27)</f>
        <v>0.4385974491395967</v>
      </c>
      <c r="W53" s="265">
        <f>IF(W$27=0,0,W$27/AGR_fec!W$27)</f>
        <v>0.43859744913959658</v>
      </c>
      <c r="X53" s="265">
        <f>IF(X$27=0,0,X$27/AGR_fec!X$27)</f>
        <v>0.43859744913959658</v>
      </c>
      <c r="Y53" s="265">
        <f>IF(Y$27=0,0,Y$27/AGR_fec!Y$27)</f>
        <v>0.4385974491395967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9499.2882743309146</v>
      </c>
      <c r="C5" s="80">
        <f t="shared" ref="C5:W5" si="0">SUM(C6:C9,C16:C17,C25:C27)</f>
        <v>9281.2937723444866</v>
      </c>
      <c r="D5" s="80">
        <f t="shared" si="0"/>
        <v>8542.1433806049408</v>
      </c>
      <c r="E5" s="80">
        <f t="shared" si="0"/>
        <v>8460.2916813304673</v>
      </c>
      <c r="F5" s="80">
        <f t="shared" si="0"/>
        <v>8486.8763252674526</v>
      </c>
      <c r="G5" s="80">
        <f t="shared" si="0"/>
        <v>8592.878277921578</v>
      </c>
      <c r="H5" s="80">
        <f t="shared" si="0"/>
        <v>7509.1143595811282</v>
      </c>
      <c r="I5" s="80">
        <f t="shared" si="0"/>
        <v>7407.0978196957149</v>
      </c>
      <c r="J5" s="80">
        <f t="shared" si="0"/>
        <v>7447.0383914926015</v>
      </c>
      <c r="K5" s="80">
        <f t="shared" si="0"/>
        <v>7320.3810475305709</v>
      </c>
      <c r="L5" s="80">
        <f t="shared" si="0"/>
        <v>8511.8856792099177</v>
      </c>
      <c r="M5" s="80">
        <f t="shared" si="0"/>
        <v>7454.0671931529823</v>
      </c>
      <c r="N5" s="80">
        <f t="shared" si="0"/>
        <v>7403.2528106184327</v>
      </c>
      <c r="O5" s="80">
        <f t="shared" si="0"/>
        <v>7391.5211263708516</v>
      </c>
      <c r="P5" s="80">
        <f t="shared" si="0"/>
        <v>6705.0691326553724</v>
      </c>
      <c r="Q5" s="80">
        <f t="shared" si="0"/>
        <v>7007.299791190153</v>
      </c>
      <c r="R5" s="80">
        <f t="shared" si="0"/>
        <v>6978.9404064755909</v>
      </c>
      <c r="S5" s="80">
        <f t="shared" si="0"/>
        <v>6746.0342586068437</v>
      </c>
      <c r="T5" s="80">
        <f t="shared" si="0"/>
        <v>7073.6730775518636</v>
      </c>
      <c r="U5" s="80">
        <f t="shared" si="0"/>
        <v>6817.4125301213599</v>
      </c>
      <c r="V5" s="80">
        <f t="shared" si="0"/>
        <v>6718.0197120441753</v>
      </c>
      <c r="W5" s="80">
        <f t="shared" si="0"/>
        <v>6557.7784557774494</v>
      </c>
      <c r="X5" s="80">
        <f t="shared" ref="X5:Y5" si="1">SUM(X6:X9,X16:X17,X25:X27)</f>
        <v>5040.1634864759608</v>
      </c>
      <c r="Y5" s="80">
        <f t="shared" si="1"/>
        <v>5301.3133405755116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2242.0069863692133</v>
      </c>
      <c r="C9" s="243">
        <f t="shared" ref="C9:W9" si="2">SUM(C10:C15)</f>
        <v>2185.5872043525965</v>
      </c>
      <c r="D9" s="243">
        <f t="shared" si="2"/>
        <v>2029.0026061477868</v>
      </c>
      <c r="E9" s="243">
        <f t="shared" si="2"/>
        <v>2048.4971026351441</v>
      </c>
      <c r="F9" s="243">
        <f t="shared" si="2"/>
        <v>2101.5687232477421</v>
      </c>
      <c r="G9" s="243">
        <f t="shared" si="2"/>
        <v>2116.4473296154483</v>
      </c>
      <c r="H9" s="243">
        <f t="shared" si="2"/>
        <v>1778.3887650057318</v>
      </c>
      <c r="I9" s="243">
        <f t="shared" si="2"/>
        <v>1779.2424684568257</v>
      </c>
      <c r="J9" s="243">
        <f t="shared" si="2"/>
        <v>1828.8014077528883</v>
      </c>
      <c r="K9" s="243">
        <f t="shared" si="2"/>
        <v>1800.2343362846632</v>
      </c>
      <c r="L9" s="243">
        <f t="shared" si="2"/>
        <v>2209.3612924495519</v>
      </c>
      <c r="M9" s="243">
        <f t="shared" si="2"/>
        <v>1863.5119615807932</v>
      </c>
      <c r="N9" s="243">
        <f t="shared" si="2"/>
        <v>1882.947566305068</v>
      </c>
      <c r="O9" s="243">
        <f t="shared" si="2"/>
        <v>1839.9632125622641</v>
      </c>
      <c r="P9" s="243">
        <f t="shared" si="2"/>
        <v>1568.5119028899908</v>
      </c>
      <c r="Q9" s="243">
        <f t="shared" si="2"/>
        <v>1636.9050646256699</v>
      </c>
      <c r="R9" s="243">
        <f t="shared" si="2"/>
        <v>1659.312854545494</v>
      </c>
      <c r="S9" s="243">
        <f t="shared" si="2"/>
        <v>1592.363010887547</v>
      </c>
      <c r="T9" s="243">
        <f t="shared" si="2"/>
        <v>1650.6857615101742</v>
      </c>
      <c r="U9" s="243">
        <f t="shared" si="2"/>
        <v>1555.6587772340442</v>
      </c>
      <c r="V9" s="243">
        <f t="shared" si="2"/>
        <v>1536.1831922600998</v>
      </c>
      <c r="W9" s="243">
        <f t="shared" si="2"/>
        <v>1551.3994357654165</v>
      </c>
      <c r="X9" s="243">
        <f t="shared" ref="X9:Y9" si="3">SUM(X10:X15)</f>
        <v>1153.6424761651167</v>
      </c>
      <c r="Y9" s="243">
        <f t="shared" si="3"/>
        <v>1191.951092860787</v>
      </c>
      <c r="DA9" s="269"/>
    </row>
    <row r="10" spans="1:105" x14ac:dyDescent="0.25">
      <c r="A10" s="253" t="s">
        <v>166</v>
      </c>
      <c r="B10" s="254">
        <v>63.901522104081216</v>
      </c>
      <c r="C10" s="254">
        <v>66.053965586796636</v>
      </c>
      <c r="D10" s="254">
        <v>57.671546921704739</v>
      </c>
      <c r="E10" s="254">
        <v>52.741557613364932</v>
      </c>
      <c r="F10" s="254">
        <v>46.413629788021517</v>
      </c>
      <c r="G10" s="254">
        <v>46.829371643890113</v>
      </c>
      <c r="H10" s="254">
        <v>53.668647871372777</v>
      </c>
      <c r="I10" s="254">
        <v>47.413728986016658</v>
      </c>
      <c r="J10" s="254">
        <v>41.829831877710461</v>
      </c>
      <c r="K10" s="254">
        <v>37.222418153589167</v>
      </c>
      <c r="L10" s="254">
        <v>34.899889122963081</v>
      </c>
      <c r="M10" s="254">
        <v>42.683148285577253</v>
      </c>
      <c r="N10" s="254">
        <v>33.724165418940053</v>
      </c>
      <c r="O10" s="254">
        <v>40.638680159232052</v>
      </c>
      <c r="P10" s="254">
        <v>52.07221873648183</v>
      </c>
      <c r="Q10" s="254">
        <v>55.295648227710942</v>
      </c>
      <c r="R10" s="254">
        <v>48.93666090393797</v>
      </c>
      <c r="S10" s="254">
        <v>41.983105136455997</v>
      </c>
      <c r="T10" s="254">
        <v>47.239246692229273</v>
      </c>
      <c r="U10" s="254">
        <v>45.352573594635203</v>
      </c>
      <c r="V10" s="254">
        <v>57.648816475435822</v>
      </c>
      <c r="W10" s="254">
        <v>43.000375132189468</v>
      </c>
      <c r="X10" s="254">
        <v>70.013250662762573</v>
      </c>
      <c r="Y10" s="254">
        <v>67.210023471123009</v>
      </c>
      <c r="DA10" s="270" t="s">
        <v>1040</v>
      </c>
    </row>
    <row r="11" spans="1:105" x14ac:dyDescent="0.25">
      <c r="A11" s="253" t="s">
        <v>169</v>
      </c>
      <c r="B11" s="255">
        <v>2178.105464265132</v>
      </c>
      <c r="C11" s="255">
        <v>2119.5332387658</v>
      </c>
      <c r="D11" s="255">
        <v>1971.3310592260821</v>
      </c>
      <c r="E11" s="255">
        <v>1995.755545021779</v>
      </c>
      <c r="F11" s="255">
        <v>2055.1550934597208</v>
      </c>
      <c r="G11" s="255">
        <v>2069.6179579715581</v>
      </c>
      <c r="H11" s="255">
        <v>1724.720117134359</v>
      </c>
      <c r="I11" s="255">
        <v>1731.8287394708091</v>
      </c>
      <c r="J11" s="255">
        <v>1786.9715758751779</v>
      </c>
      <c r="K11" s="255">
        <v>1763.011918131074</v>
      </c>
      <c r="L11" s="255">
        <v>2174.4614033265889</v>
      </c>
      <c r="M11" s="255">
        <v>1820.8288132952159</v>
      </c>
      <c r="N11" s="255">
        <v>1849.223400886128</v>
      </c>
      <c r="O11" s="255">
        <v>1799.324532403032</v>
      </c>
      <c r="P11" s="255">
        <v>1516.439684153509</v>
      </c>
      <c r="Q11" s="255">
        <v>1581.609416397959</v>
      </c>
      <c r="R11" s="255">
        <v>1610.376193641556</v>
      </c>
      <c r="S11" s="255">
        <v>1550.379905751091</v>
      </c>
      <c r="T11" s="255">
        <v>1603.4465148179449</v>
      </c>
      <c r="U11" s="255">
        <v>1510.306203639409</v>
      </c>
      <c r="V11" s="255">
        <v>1478.534375784664</v>
      </c>
      <c r="W11" s="255">
        <v>1508.399060633227</v>
      </c>
      <c r="X11" s="255">
        <v>1083.6292255023541</v>
      </c>
      <c r="Y11" s="255">
        <v>1124.7410693896641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1683.008104716552</v>
      </c>
      <c r="C16" s="257">
        <v>1669.4294528725759</v>
      </c>
      <c r="D16" s="257">
        <v>1514.941962466072</v>
      </c>
      <c r="E16" s="257">
        <v>1459.7613009516081</v>
      </c>
      <c r="F16" s="257">
        <v>1402.835648888713</v>
      </c>
      <c r="G16" s="257">
        <v>1425.139581935121</v>
      </c>
      <c r="H16" s="257">
        <v>1357.3648111036109</v>
      </c>
      <c r="I16" s="257">
        <v>1299.663356322447</v>
      </c>
      <c r="J16" s="257">
        <v>1254.767571192009</v>
      </c>
      <c r="K16" s="257">
        <v>1204.8443159952981</v>
      </c>
      <c r="L16" s="257">
        <v>1299.1176688759299</v>
      </c>
      <c r="M16" s="257">
        <v>1271.6265208349639</v>
      </c>
      <c r="N16" s="257">
        <v>1176.4256145601551</v>
      </c>
      <c r="O16" s="257">
        <v>1249.475546102017</v>
      </c>
      <c r="P16" s="257">
        <v>1272.497538357112</v>
      </c>
      <c r="Q16" s="257">
        <v>1343.496641499632</v>
      </c>
      <c r="R16" s="257">
        <v>1308.6293662498549</v>
      </c>
      <c r="S16" s="257">
        <v>1236.4521827526719</v>
      </c>
      <c r="T16" s="257">
        <v>1320.9722804158839</v>
      </c>
      <c r="U16" s="257">
        <v>1295.9990288447091</v>
      </c>
      <c r="V16" s="257">
        <v>1375.6357997453219</v>
      </c>
      <c r="W16" s="257">
        <v>1238.7745754447581</v>
      </c>
      <c r="X16" s="257">
        <v>1177.516748021879</v>
      </c>
      <c r="Y16" s="257">
        <v>1189.0056947955679</v>
      </c>
      <c r="DA16" s="272" t="s">
        <v>1046</v>
      </c>
    </row>
    <row r="17" spans="1:105" x14ac:dyDescent="0.25">
      <c r="A17" s="256" t="s">
        <v>121</v>
      </c>
      <c r="B17" s="257">
        <f>SUM(B18:B24)</f>
        <v>5250.869150196796</v>
      </c>
      <c r="C17" s="257">
        <f t="shared" ref="C17:W17" si="4">SUM(C18:C24)</f>
        <v>5105.482333183535</v>
      </c>
      <c r="D17" s="257">
        <f t="shared" si="4"/>
        <v>4707.0900887932039</v>
      </c>
      <c r="E17" s="257">
        <f t="shared" si="4"/>
        <v>4671.5279785163129</v>
      </c>
      <c r="F17" s="257">
        <f t="shared" si="4"/>
        <v>4712.9053923502215</v>
      </c>
      <c r="G17" s="257">
        <f t="shared" si="4"/>
        <v>4777.4389189805161</v>
      </c>
      <c r="H17" s="257">
        <f t="shared" si="4"/>
        <v>4112.5318231128831</v>
      </c>
      <c r="I17" s="257">
        <f t="shared" si="4"/>
        <v>4078.45084996181</v>
      </c>
      <c r="J17" s="257">
        <f t="shared" si="4"/>
        <v>4122.3553668550212</v>
      </c>
      <c r="K17" s="257">
        <f t="shared" si="4"/>
        <v>4083.7815190906649</v>
      </c>
      <c r="L17" s="257">
        <f t="shared" si="4"/>
        <v>4753.7704313202612</v>
      </c>
      <c r="M17" s="257">
        <f t="shared" si="4"/>
        <v>4074.5750773727941</v>
      </c>
      <c r="N17" s="257">
        <f t="shared" si="4"/>
        <v>4117.8196439076764</v>
      </c>
      <c r="O17" s="257">
        <f t="shared" si="4"/>
        <v>4061.9852287372128</v>
      </c>
      <c r="P17" s="257">
        <f t="shared" si="4"/>
        <v>3619.538684768138</v>
      </c>
      <c r="Q17" s="257">
        <f t="shared" si="4"/>
        <v>3768.734009068869</v>
      </c>
      <c r="R17" s="257">
        <f t="shared" si="4"/>
        <v>3759.5341471977949</v>
      </c>
      <c r="S17" s="257">
        <f t="shared" si="4"/>
        <v>3679.6244737979737</v>
      </c>
      <c r="T17" s="257">
        <f t="shared" si="4"/>
        <v>3848.1792033239012</v>
      </c>
      <c r="U17" s="257">
        <f t="shared" si="4"/>
        <v>3716.7177101503189</v>
      </c>
      <c r="V17" s="257">
        <f t="shared" si="4"/>
        <v>3541.860836946948</v>
      </c>
      <c r="W17" s="257">
        <f t="shared" si="4"/>
        <v>3529.5635862886584</v>
      </c>
      <c r="X17" s="257">
        <f t="shared" ref="X17:Y17" si="5">SUM(X18:X24)</f>
        <v>2482.7346060555551</v>
      </c>
      <c r="Y17" s="257">
        <f t="shared" si="5"/>
        <v>2691.8791998174565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119.7785149199786</v>
      </c>
      <c r="C19" s="55">
        <v>128.33404199998151</v>
      </c>
      <c r="D19" s="55">
        <v>116.926521119971</v>
      </c>
      <c r="E19" s="55">
        <v>105.51900023998</v>
      </c>
      <c r="F19" s="55">
        <v>111.2227606799605</v>
      </c>
      <c r="G19" s="55">
        <v>105.5190002399715</v>
      </c>
      <c r="H19" s="55">
        <v>105.51900023997629</v>
      </c>
      <c r="I19" s="55">
        <v>105.5190002399863</v>
      </c>
      <c r="J19" s="55">
        <v>102.6672335999793</v>
      </c>
      <c r="K19" s="55">
        <v>96.963473159988041</v>
      </c>
      <c r="L19" s="55">
        <v>108.37099403997721</v>
      </c>
      <c r="M19" s="55">
        <v>85.555952279982819</v>
      </c>
      <c r="N19" s="55">
        <v>79.852191839987213</v>
      </c>
      <c r="O19" s="55">
        <v>85.555952279991033</v>
      </c>
      <c r="P19" s="55">
        <v>59.889143879988737</v>
      </c>
      <c r="Q19" s="55">
        <v>88.342751159982754</v>
      </c>
      <c r="R19" s="55">
        <v>82.029293279989389</v>
      </c>
      <c r="S19" s="55">
        <v>77.717342159985606</v>
      </c>
      <c r="T19" s="55">
        <v>82.028838959987681</v>
      </c>
      <c r="U19" s="55">
        <v>86.320345679986502</v>
      </c>
      <c r="V19" s="55">
        <v>88.967895479984065</v>
      </c>
      <c r="W19" s="55">
        <v>112.3194891599792</v>
      </c>
      <c r="X19" s="55">
        <v>75.71992427998866</v>
      </c>
      <c r="Y19" s="55">
        <v>75.715835399994475</v>
      </c>
      <c r="DA19" s="101" t="s">
        <v>1048</v>
      </c>
    </row>
    <row r="20" spans="1:105" x14ac:dyDescent="0.25">
      <c r="A20" s="61" t="s">
        <v>166</v>
      </c>
      <c r="B20" s="55">
        <v>139.73371941087709</v>
      </c>
      <c r="C20" s="55">
        <v>144.18795996472551</v>
      </c>
      <c r="D20" s="55">
        <v>125.9589788544269</v>
      </c>
      <c r="E20" s="55">
        <v>113.636801128089</v>
      </c>
      <c r="F20" s="55">
        <v>98.405298744818253</v>
      </c>
      <c r="G20" s="55">
        <v>100.1428604731834</v>
      </c>
      <c r="H20" s="55">
        <v>116.6150621088743</v>
      </c>
      <c r="I20" s="55">
        <v>102.2354304587776</v>
      </c>
      <c r="J20" s="55">
        <v>88.457511240343862</v>
      </c>
      <c r="K20" s="55">
        <v>78.955589692797787</v>
      </c>
      <c r="L20" s="55">
        <v>71.325195439805256</v>
      </c>
      <c r="M20" s="55">
        <v>89.913497517813937</v>
      </c>
      <c r="N20" s="55">
        <v>71.517754177432792</v>
      </c>
      <c r="O20" s="55">
        <v>86.354234770816646</v>
      </c>
      <c r="P20" s="55">
        <v>114.6983562690029</v>
      </c>
      <c r="Q20" s="55">
        <v>120.6415758795896</v>
      </c>
      <c r="R20" s="55">
        <v>107.53185416560341</v>
      </c>
      <c r="S20" s="55">
        <v>94.174561984685823</v>
      </c>
      <c r="T20" s="55">
        <v>106.96771747211849</v>
      </c>
      <c r="U20" s="55">
        <v>105.0475120305647</v>
      </c>
      <c r="V20" s="55">
        <v>128.5696450101469</v>
      </c>
      <c r="W20" s="55">
        <v>93.998962026885167</v>
      </c>
      <c r="X20" s="55">
        <v>144.67808076481069</v>
      </c>
      <c r="Y20" s="55">
        <v>146.14392187298171</v>
      </c>
      <c r="DA20" s="101" t="s">
        <v>1049</v>
      </c>
    </row>
    <row r="21" spans="1:105" x14ac:dyDescent="0.25">
      <c r="A21" s="61" t="s">
        <v>129</v>
      </c>
      <c r="B21" s="55">
        <v>228.48479999995919</v>
      </c>
      <c r="C21" s="55">
        <v>206.27106191997029</v>
      </c>
      <c r="D21" s="55">
        <v>158.66987615996061</v>
      </c>
      <c r="E21" s="55">
        <v>152.32329287997109</v>
      </c>
      <c r="F21" s="55">
        <v>145.9764309599482</v>
      </c>
      <c r="G21" s="55">
        <v>145.97643095996051</v>
      </c>
      <c r="H21" s="55">
        <v>142.80299999996799</v>
      </c>
      <c r="I21" s="55">
        <v>136.45613807998231</v>
      </c>
      <c r="J21" s="55">
        <v>152.32329287996919</v>
      </c>
      <c r="K21" s="55">
        <v>168.19016903997911</v>
      </c>
      <c r="L21" s="55">
        <v>130.10927615997261</v>
      </c>
      <c r="M21" s="55">
        <v>63.468061919987257</v>
      </c>
      <c r="N21" s="55">
        <v>44.861039999992776</v>
      </c>
      <c r="O21" s="55">
        <v>66.641492879992981</v>
      </c>
      <c r="P21" s="55">
        <v>104.72210711998029</v>
      </c>
      <c r="Q21" s="55">
        <v>109.06488971997879</v>
      </c>
      <c r="R21" s="55">
        <v>31.383835559995941</v>
      </c>
      <c r="S21" s="55">
        <v>29.991986639994451</v>
      </c>
      <c r="T21" s="55">
        <v>28.366624439995729</v>
      </c>
      <c r="U21" s="55">
        <v>27.115981199995758</v>
      </c>
      <c r="V21" s="55">
        <v>26.86375691999519</v>
      </c>
      <c r="W21" s="55">
        <v>25.879807799995181</v>
      </c>
      <c r="X21" s="55">
        <v>23.08338647999653</v>
      </c>
      <c r="Y21" s="55">
        <v>24.341514119998219</v>
      </c>
      <c r="DA21" s="101" t="s">
        <v>1050</v>
      </c>
    </row>
    <row r="22" spans="1:105" x14ac:dyDescent="0.25">
      <c r="A22" s="61" t="s">
        <v>169</v>
      </c>
      <c r="B22" s="55">
        <v>4762.872115865981</v>
      </c>
      <c r="C22" s="55">
        <v>4626.6892692988577</v>
      </c>
      <c r="D22" s="55">
        <v>4305.5347126588449</v>
      </c>
      <c r="E22" s="55">
        <v>4300.0488842682726</v>
      </c>
      <c r="F22" s="55">
        <v>4357.3009019654946</v>
      </c>
      <c r="G22" s="55">
        <v>4425.8006273074006</v>
      </c>
      <c r="H22" s="55">
        <v>3747.5947607640642</v>
      </c>
      <c r="I22" s="55">
        <v>3734.2402811830639</v>
      </c>
      <c r="J22" s="55">
        <v>3778.907329134729</v>
      </c>
      <c r="K22" s="55">
        <v>3739.6722871979</v>
      </c>
      <c r="L22" s="55">
        <v>4443.9649656805059</v>
      </c>
      <c r="M22" s="55">
        <v>3835.6375656550099</v>
      </c>
      <c r="N22" s="55">
        <v>3921.5886578902632</v>
      </c>
      <c r="O22" s="55">
        <v>3823.4335488064121</v>
      </c>
      <c r="P22" s="55">
        <v>3340.2290774991661</v>
      </c>
      <c r="Q22" s="55">
        <v>3450.6847923093178</v>
      </c>
      <c r="R22" s="55">
        <v>3538.5891641922062</v>
      </c>
      <c r="S22" s="55">
        <v>3477.740583013308</v>
      </c>
      <c r="T22" s="55">
        <v>3630.8160224517992</v>
      </c>
      <c r="U22" s="55">
        <v>3498.2338712397718</v>
      </c>
      <c r="V22" s="55">
        <v>3297.4595395368219</v>
      </c>
      <c r="W22" s="55">
        <v>3297.365327301799</v>
      </c>
      <c r="X22" s="55">
        <v>2239.2532145307591</v>
      </c>
      <c r="Y22" s="55">
        <v>2445.6779284244822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323.4040330483532</v>
      </c>
      <c r="C25" s="257">
        <v>320.79478193578018</v>
      </c>
      <c r="D25" s="257">
        <v>291.10872319787728</v>
      </c>
      <c r="E25" s="257">
        <v>280.50529922740299</v>
      </c>
      <c r="F25" s="257">
        <v>269.56656078077617</v>
      </c>
      <c r="G25" s="257">
        <v>273.85244739049261</v>
      </c>
      <c r="H25" s="257">
        <v>260.82896035890178</v>
      </c>
      <c r="I25" s="257">
        <v>249.74114495463289</v>
      </c>
      <c r="J25" s="257">
        <v>241.11404569268291</v>
      </c>
      <c r="K25" s="257">
        <v>231.52087615994461</v>
      </c>
      <c r="L25" s="257">
        <v>249.63628656417549</v>
      </c>
      <c r="M25" s="257">
        <v>244.35363336443041</v>
      </c>
      <c r="N25" s="257">
        <v>226.05998584553339</v>
      </c>
      <c r="O25" s="257">
        <v>240.0971389693581</v>
      </c>
      <c r="P25" s="257">
        <v>244.52100664013179</v>
      </c>
      <c r="Q25" s="257">
        <v>258.16407599598261</v>
      </c>
      <c r="R25" s="257">
        <v>251.46403848244731</v>
      </c>
      <c r="S25" s="257">
        <v>237.59459116865011</v>
      </c>
      <c r="T25" s="257">
        <v>253.83583230190479</v>
      </c>
      <c r="U25" s="257">
        <v>249.0370138922874</v>
      </c>
      <c r="V25" s="257">
        <v>264.33988309180512</v>
      </c>
      <c r="W25" s="257">
        <v>238.04085827861681</v>
      </c>
      <c r="X25" s="257">
        <v>226.26965623340999</v>
      </c>
      <c r="Y25" s="257">
        <v>228.47735310169969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1.0000000000000002</v>
      </c>
      <c r="D31" s="235">
        <f t="shared" si="6"/>
        <v>0.99999999999999989</v>
      </c>
      <c r="E31" s="235">
        <f t="shared" si="6"/>
        <v>1</v>
      </c>
      <c r="F31" s="235">
        <f t="shared" si="6"/>
        <v>0.99999999999999989</v>
      </c>
      <c r="G31" s="235">
        <f t="shared" si="6"/>
        <v>0.99999999999999989</v>
      </c>
      <c r="H31" s="235">
        <f t="shared" si="6"/>
        <v>0.99999999999999989</v>
      </c>
      <c r="I31" s="235">
        <f t="shared" si="6"/>
        <v>1.0000000000000002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0.99999999999999978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0.23601841755109068</v>
      </c>
      <c r="C35" s="246">
        <f t="shared" si="12"/>
        <v>0.2354830326419578</v>
      </c>
      <c r="D35" s="246">
        <f t="shared" si="12"/>
        <v>0.23752851196043681</v>
      </c>
      <c r="E35" s="246">
        <f t="shared" si="12"/>
        <v>0.24213078931493731</v>
      </c>
      <c r="F35" s="246">
        <f t="shared" si="12"/>
        <v>0.24762570381647619</v>
      </c>
      <c r="G35" s="246">
        <f t="shared" si="12"/>
        <v>0.24630249157065551</v>
      </c>
      <c r="H35" s="246">
        <f t="shared" si="12"/>
        <v>0.23683069398678508</v>
      </c>
      <c r="I35" s="246">
        <f t="shared" si="12"/>
        <v>0.24020777256724785</v>
      </c>
      <c r="J35" s="246">
        <f t="shared" si="12"/>
        <v>0.24557432251753755</v>
      </c>
      <c r="K35" s="246">
        <f t="shared" si="12"/>
        <v>0.24592085092236385</v>
      </c>
      <c r="L35" s="246">
        <f t="shared" si="12"/>
        <v>0.25956190857284012</v>
      </c>
      <c r="M35" s="246">
        <f t="shared" si="12"/>
        <v>0.24999935113176108</v>
      </c>
      <c r="N35" s="246">
        <f t="shared" si="12"/>
        <v>0.25434057359278206</v>
      </c>
      <c r="O35" s="246">
        <f t="shared" si="12"/>
        <v>0.24892889854536127</v>
      </c>
      <c r="P35" s="246">
        <f t="shared" si="12"/>
        <v>0.23392926632940195</v>
      </c>
      <c r="Q35" s="246">
        <f t="shared" si="12"/>
        <v>0.23359997622531434</v>
      </c>
      <c r="R35" s="246">
        <f t="shared" si="12"/>
        <v>0.23775999763601041</v>
      </c>
      <c r="S35" s="246">
        <f t="shared" si="12"/>
        <v>0.23604431134572887</v>
      </c>
      <c r="T35" s="246">
        <f t="shared" si="12"/>
        <v>0.23335624129260185</v>
      </c>
      <c r="U35" s="246">
        <f t="shared" si="12"/>
        <v>0.22818903364886314</v>
      </c>
      <c r="V35" s="246">
        <f t="shared" si="12"/>
        <v>0.22866607394825078</v>
      </c>
      <c r="W35" s="246">
        <f t="shared" si="12"/>
        <v>0.23657393219781961</v>
      </c>
      <c r="X35" s="246">
        <f t="shared" si="12"/>
        <v>0.22888989201652538</v>
      </c>
      <c r="Y35" s="246">
        <f t="shared" si="12"/>
        <v>0.22484071706114028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0.17717202132547086</v>
      </c>
      <c r="C36" s="259">
        <f t="shared" si="13"/>
        <v>0.17987033853480455</v>
      </c>
      <c r="D36" s="259">
        <f t="shared" si="13"/>
        <v>0.17734916109061918</v>
      </c>
      <c r="E36" s="259">
        <f t="shared" si="13"/>
        <v>0.17254266825964157</v>
      </c>
      <c r="F36" s="259">
        <f t="shared" si="13"/>
        <v>0.16529469679110759</v>
      </c>
      <c r="G36" s="259">
        <f t="shared" si="13"/>
        <v>0.16585124749140864</v>
      </c>
      <c r="H36" s="259">
        <f t="shared" si="13"/>
        <v>0.18076230379574712</v>
      </c>
      <c r="I36" s="259">
        <f t="shared" si="13"/>
        <v>0.17546188641745755</v>
      </c>
      <c r="J36" s="259">
        <f t="shared" si="13"/>
        <v>0.16849215825521174</v>
      </c>
      <c r="K36" s="259">
        <f t="shared" si="13"/>
        <v>0.16458765031114542</v>
      </c>
      <c r="L36" s="259">
        <f t="shared" si="13"/>
        <v>0.15262395641062174</v>
      </c>
      <c r="M36" s="259">
        <f t="shared" si="13"/>
        <v>0.17059499034339681</v>
      </c>
      <c r="N36" s="259">
        <f t="shared" si="13"/>
        <v>0.15890658399140661</v>
      </c>
      <c r="O36" s="259">
        <f t="shared" si="13"/>
        <v>0.1690417337297789</v>
      </c>
      <c r="P36" s="259">
        <f t="shared" si="13"/>
        <v>0.18978141957697783</v>
      </c>
      <c r="Q36" s="259">
        <f t="shared" si="13"/>
        <v>0.19172815228894982</v>
      </c>
      <c r="R36" s="259">
        <f t="shared" si="13"/>
        <v>0.18751118221837934</v>
      </c>
      <c r="S36" s="259">
        <f t="shared" si="13"/>
        <v>0.18328578470753537</v>
      </c>
      <c r="T36" s="259">
        <f t="shared" si="13"/>
        <v>0.18674488712348875</v>
      </c>
      <c r="U36" s="259">
        <f t="shared" si="13"/>
        <v>0.1901013064881433</v>
      </c>
      <c r="V36" s="259">
        <f t="shared" si="13"/>
        <v>0.20476805051331715</v>
      </c>
      <c r="W36" s="259">
        <f t="shared" si="13"/>
        <v>0.18890155923968258</v>
      </c>
      <c r="X36" s="259">
        <f t="shared" si="13"/>
        <v>0.23362669706676295</v>
      </c>
      <c r="Y36" s="259">
        <f t="shared" si="13"/>
        <v>0.22428511925433353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0.55276448072280893</v>
      </c>
      <c r="C37" s="259">
        <f t="shared" si="14"/>
        <v>0.55008304428380062</v>
      </c>
      <c r="D37" s="259">
        <f t="shared" si="14"/>
        <v>0.55104320766620696</v>
      </c>
      <c r="E37" s="259">
        <f t="shared" si="14"/>
        <v>0.55217103079614716</v>
      </c>
      <c r="F37" s="259">
        <f t="shared" si="14"/>
        <v>0.55531684588342345</v>
      </c>
      <c r="G37" s="259">
        <f t="shared" si="14"/>
        <v>0.55597656157373965</v>
      </c>
      <c r="H37" s="259">
        <f t="shared" si="14"/>
        <v>0.54767201911974706</v>
      </c>
      <c r="I37" s="259">
        <f t="shared" si="14"/>
        <v>0.55061387728903433</v>
      </c>
      <c r="J37" s="259">
        <f t="shared" si="14"/>
        <v>0.55355634685116506</v>
      </c>
      <c r="K37" s="259">
        <f t="shared" si="14"/>
        <v>0.55786461013095379</v>
      </c>
      <c r="L37" s="259">
        <f t="shared" si="14"/>
        <v>0.55848616986612432</v>
      </c>
      <c r="M37" s="259">
        <f t="shared" si="14"/>
        <v>0.54662440943858692</v>
      </c>
      <c r="N37" s="259">
        <f t="shared" si="14"/>
        <v>0.5562176180180578</v>
      </c>
      <c r="O37" s="259">
        <f t="shared" si="14"/>
        <v>0.54954658984132521</v>
      </c>
      <c r="P37" s="259">
        <f t="shared" si="14"/>
        <v>0.53982123273570359</v>
      </c>
      <c r="Q37" s="259">
        <f t="shared" si="14"/>
        <v>0.53782970921367834</v>
      </c>
      <c r="R37" s="259">
        <f t="shared" si="14"/>
        <v>0.53869698381568265</v>
      </c>
      <c r="S37" s="259">
        <f t="shared" si="14"/>
        <v>0.54545001296181839</v>
      </c>
      <c r="T37" s="259">
        <f t="shared" si="14"/>
        <v>0.54401428524255779</v>
      </c>
      <c r="U37" s="259">
        <f t="shared" si="14"/>
        <v>0.54518010956924678</v>
      </c>
      <c r="V37" s="259">
        <f t="shared" si="14"/>
        <v>0.52721798815163379</v>
      </c>
      <c r="W37" s="259">
        <f t="shared" si="14"/>
        <v>0.53822549970090672</v>
      </c>
      <c r="X37" s="259">
        <f t="shared" si="14"/>
        <v>0.49259009409463855</v>
      </c>
      <c r="Y37" s="259">
        <f t="shared" si="14"/>
        <v>0.50777590888925372</v>
      </c>
      <c r="DA37" s="278"/>
    </row>
    <row r="38" spans="1:105" x14ac:dyDescent="0.25">
      <c r="A38" s="127" t="s">
        <v>167</v>
      </c>
      <c r="B38" s="259">
        <f t="shared" ref="B38:Y38" si="15">IF(B$25=0,0,B$25/B$5)</f>
        <v>3.4045080400629514E-2</v>
      </c>
      <c r="C38" s="259">
        <f t="shared" si="15"/>
        <v>3.4563584539437149E-2</v>
      </c>
      <c r="D38" s="259">
        <f t="shared" si="15"/>
        <v>3.4079119282736908E-2</v>
      </c>
      <c r="E38" s="259">
        <f t="shared" si="15"/>
        <v>3.3155511629274069E-2</v>
      </c>
      <c r="F38" s="259">
        <f t="shared" si="15"/>
        <v>3.1762753508992735E-2</v>
      </c>
      <c r="G38" s="259">
        <f t="shared" si="15"/>
        <v>3.1869699364196195E-2</v>
      </c>
      <c r="H38" s="259">
        <f t="shared" si="15"/>
        <v>3.4734983097720634E-2</v>
      </c>
      <c r="I38" s="259">
        <f t="shared" si="15"/>
        <v>3.3716463726260373E-2</v>
      </c>
      <c r="J38" s="259">
        <f t="shared" si="15"/>
        <v>3.2377172376085561E-2</v>
      </c>
      <c r="K38" s="259">
        <f t="shared" si="15"/>
        <v>3.1626888635536941E-2</v>
      </c>
      <c r="L38" s="259">
        <f t="shared" si="15"/>
        <v>2.9327965150413887E-2</v>
      </c>
      <c r="M38" s="259">
        <f t="shared" si="15"/>
        <v>3.2781249086255113E-2</v>
      </c>
      <c r="N38" s="259">
        <f t="shared" si="15"/>
        <v>3.0535224397753535E-2</v>
      </c>
      <c r="O38" s="259">
        <f t="shared" si="15"/>
        <v>3.2482777883534632E-2</v>
      </c>
      <c r="P38" s="259">
        <f t="shared" si="15"/>
        <v>3.6468081357916654E-2</v>
      </c>
      <c r="Q38" s="259">
        <f t="shared" si="15"/>
        <v>3.6842162272057555E-2</v>
      </c>
      <c r="R38" s="259">
        <f t="shared" si="15"/>
        <v>3.6031836329927659E-2</v>
      </c>
      <c r="S38" s="259">
        <f t="shared" si="15"/>
        <v>3.5219890984917256E-2</v>
      </c>
      <c r="T38" s="259">
        <f t="shared" si="15"/>
        <v>3.5884586341351693E-2</v>
      </c>
      <c r="U38" s="259">
        <f t="shared" si="15"/>
        <v>3.6529550293746736E-2</v>
      </c>
      <c r="V38" s="259">
        <f t="shared" si="15"/>
        <v>3.9347887386798265E-2</v>
      </c>
      <c r="W38" s="259">
        <f t="shared" si="15"/>
        <v>3.6299008861591098E-2</v>
      </c>
      <c r="X38" s="259">
        <f t="shared" si="15"/>
        <v>4.4893316822073127E-2</v>
      </c>
      <c r="Y38" s="259">
        <f t="shared" si="15"/>
        <v>4.3098254795272323E-2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2.109657204724944</v>
      </c>
      <c r="C44" s="237">
        <f>IF(C$5=0,0,C$5/AGR_fec!C$5)</f>
        <v>2.1071370663627307</v>
      </c>
      <c r="D44" s="237">
        <f>IF(D$5=0,0,D$5/AGR_fec!D$5)</f>
        <v>2.09634996316142</v>
      </c>
      <c r="E44" s="237">
        <f>IF(E$5=0,0,E$5/AGR_fec!E$5)</f>
        <v>2.0935405052129434</v>
      </c>
      <c r="F44" s="237">
        <f>IF(F$5=0,0,F$5/AGR_fec!F$5)</f>
        <v>2.0865941043243765</v>
      </c>
      <c r="G44" s="237">
        <f>IF(G$5=0,0,G$5/AGR_fec!G$5)</f>
        <v>2.0612006579047306</v>
      </c>
      <c r="H44" s="237">
        <f>IF(H$5=0,0,H$5/AGR_fec!H$5)</f>
        <v>2.0247559459032711</v>
      </c>
      <c r="I44" s="237">
        <f>IF(I$5=0,0,I$5/AGR_fec!I$5)</f>
        <v>1.9974218907148662</v>
      </c>
      <c r="J44" s="237">
        <f>IF(J$5=0,0,J$5/AGR_fec!J$5)</f>
        <v>1.9905789840066808</v>
      </c>
      <c r="K44" s="237">
        <f>IF(K$5=0,0,K$5/AGR_fec!K$5)</f>
        <v>1.9575822594858885</v>
      </c>
      <c r="L44" s="237">
        <f>IF(L$5=0,0,L$5/AGR_fec!L$5)</f>
        <v>2.007181750453372</v>
      </c>
      <c r="M44" s="237">
        <f>IF(M$5=0,0,M$5/AGR_fec!M$5)</f>
        <v>1.9665092987507009</v>
      </c>
      <c r="N44" s="237">
        <f>IF(N$5=0,0,N$5/AGR_fec!N$5)</f>
        <v>1.9246386078726725</v>
      </c>
      <c r="O44" s="237">
        <f>IF(O$5=0,0,O$5/AGR_fec!O$5)</f>
        <v>1.9050083788407177</v>
      </c>
      <c r="P44" s="237">
        <f>IF(P$5=0,0,P$5/AGR_fec!P$5)</f>
        <v>1.8495536416478455</v>
      </c>
      <c r="Q44" s="237">
        <f>IF(Q$5=0,0,Q$5/AGR_fec!Q$5)</f>
        <v>1.8270052721828016</v>
      </c>
      <c r="R44" s="237">
        <f>IF(R$5=0,0,R$5/AGR_fec!R$5)</f>
        <v>1.8110349418921099</v>
      </c>
      <c r="S44" s="237">
        <f>IF(S$5=0,0,S$5/AGR_fec!S$5)</f>
        <v>1.7559197083668483</v>
      </c>
      <c r="T44" s="237">
        <f>IF(T$5=0,0,T$5/AGR_fec!T$5)</f>
        <v>1.7152176167633257</v>
      </c>
      <c r="U44" s="237">
        <f>IF(U$5=0,0,U$5/AGR_fec!U$5)</f>
        <v>1.6426403833176919</v>
      </c>
      <c r="V44" s="237">
        <f>IF(V$5=0,0,V$5/AGR_fec!V$5)</f>
        <v>1.6585895504582919</v>
      </c>
      <c r="W44" s="237">
        <f>IF(W$5=0,0,W$5/AGR_fec!W$5)</f>
        <v>1.638374352590088</v>
      </c>
      <c r="X44" s="237">
        <f>IF(X$5=0,0,X$5/AGR_fec!X$5)</f>
        <v>1.6552290485691274</v>
      </c>
      <c r="Y44" s="237">
        <f>IF(Y$5=0,0,Y$5/AGR_fec!Y$5)</f>
        <v>1.7129990121944079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1.7028203353509532</v>
      </c>
      <c r="C48" s="252">
        <f>IF(C$9=0,0,C$9/AGR_fec!C$9)</f>
        <v>1.7137821668537969</v>
      </c>
      <c r="D48" s="252">
        <f>IF(D$9=0,0,D$9/AGR_fec!D$9)</f>
        <v>1.7303683064656978</v>
      </c>
      <c r="E48" s="252">
        <f>IF(E$9=0,0,E$9/AGR_fec!E$9)</f>
        <v>1.7833194525058209</v>
      </c>
      <c r="F48" s="252">
        <f>IF(F$9=0,0,F$9/AGR_fec!F$9)</f>
        <v>1.8411613509754468</v>
      </c>
      <c r="G48" s="252">
        <f>IF(G$9=0,0,G$9/AGR_fec!G$9)</f>
        <v>1.8291747207305002</v>
      </c>
      <c r="H48" s="252">
        <f>IF(H$9=0,0,H$9/AGR_fec!H$9)</f>
        <v>1.7720127822199374</v>
      </c>
      <c r="I48" s="252">
        <f>IF(I$9=0,0,I$9/AGR_fec!I$9)</f>
        <v>1.7941544283430182</v>
      </c>
      <c r="J48" s="252">
        <f>IF(J$9=0,0,J$9/AGR_fec!J$9)</f>
        <v>1.8354798506918106</v>
      </c>
      <c r="K48" s="252">
        <f>IF(K$9=0,0,K$9/AGR_fec!K$9)</f>
        <v>1.8222444860251401</v>
      </c>
      <c r="L48" s="252">
        <f>IF(L$9=0,0,L$9/AGR_fec!L$9)</f>
        <v>1.9290733873917623</v>
      </c>
      <c r="M48" s="252">
        <f>IF(M$9=0,0,M$9/AGR_fec!M$9)</f>
        <v>1.870251989484959</v>
      </c>
      <c r="N48" s="252">
        <f>IF(N$9=0,0,N$9/AGR_fec!N$9)</f>
        <v>1.8571169005333372</v>
      </c>
      <c r="O48" s="252">
        <f>IF(O$9=0,0,O$9/AGR_fec!O$9)</f>
        <v>1.8276843818161395</v>
      </c>
      <c r="P48" s="252">
        <f>IF(P$9=0,0,P$9/AGR_fec!P$9)</f>
        <v>1.7071706390445327</v>
      </c>
      <c r="Q48" s="252">
        <f>IF(Q$9=0,0,Q$9/AGR_fec!Q$9)</f>
        <v>1.7002242372424559</v>
      </c>
      <c r="R48" s="252">
        <f>IF(R$9=0,0,R$9/AGR_fec!R$9)</f>
        <v>1.6992605435404151</v>
      </c>
      <c r="S48" s="252">
        <f>IF(S$9=0,0,S$9/AGR_fec!S$9)</f>
        <v>1.6334245428713314</v>
      </c>
      <c r="T48" s="252">
        <f>IF(T$9=0,0,T$9/AGR_fec!T$9)</f>
        <v>1.5921900569261536</v>
      </c>
      <c r="U48" s="252">
        <f>IF(U$9=0,0,U$9/AGR_fec!U$9)</f>
        <v>1.4931740109604359</v>
      </c>
      <c r="V48" s="252">
        <f>IF(V$9=0,0,V$9/AGR_fec!V$9)</f>
        <v>1.529597393483378</v>
      </c>
      <c r="W48" s="252">
        <f>IF(W$9=0,0,W$9/AGR_fec!W$9)</f>
        <v>1.5405772048363151</v>
      </c>
      <c r="X48" s="252">
        <f>IF(X$9=0,0,X$9/AGR_fec!X$9)</f>
        <v>1.5626624737056611</v>
      </c>
      <c r="Y48" s="252">
        <f>IF(Y$9=0,0,Y$9/AGR_fec!Y$9)</f>
        <v>1.5773937337540189</v>
      </c>
      <c r="DA48" s="289"/>
    </row>
    <row r="49" spans="1:105" x14ac:dyDescent="0.25">
      <c r="A49" s="127" t="s">
        <v>168</v>
      </c>
      <c r="B49" s="264">
        <f>IF(B$16=0,0,B$16/AGR_fec!B$16)</f>
        <v>3.1024187999999997</v>
      </c>
      <c r="C49" s="264">
        <f>IF(C$16=0,0,C$16/AGR_fec!C$16)</f>
        <v>3.1024187999999997</v>
      </c>
      <c r="D49" s="264">
        <f>IF(D$16=0,0,D$16/AGR_fec!D$16)</f>
        <v>3.1024187999999988</v>
      </c>
      <c r="E49" s="264">
        <f>IF(E$16=0,0,E$16/AGR_fec!E$16)</f>
        <v>3.1024188000000006</v>
      </c>
      <c r="F49" s="264">
        <f>IF(F$16=0,0,F$16/AGR_fec!F$16)</f>
        <v>3.1024188000000006</v>
      </c>
      <c r="G49" s="264">
        <f>IF(G$16=0,0,G$16/AGR_fec!G$16)</f>
        <v>3.1024188000000006</v>
      </c>
      <c r="H49" s="264">
        <f>IF(H$16=0,0,H$16/AGR_fec!H$16)</f>
        <v>3.1024187999999997</v>
      </c>
      <c r="I49" s="264">
        <f>IF(I$16=0,0,I$16/AGR_fec!I$16)</f>
        <v>3.1024188000000001</v>
      </c>
      <c r="J49" s="264">
        <f>IF(J$16=0,0,J$16/AGR_fec!J$16)</f>
        <v>3.1024188000000001</v>
      </c>
      <c r="K49" s="264">
        <f>IF(K$16=0,0,K$16/AGR_fec!K$16)</f>
        <v>3.1024187999999997</v>
      </c>
      <c r="L49" s="264">
        <f>IF(L$16=0,0,L$16/AGR_fec!L$16)</f>
        <v>3.1024188000000001</v>
      </c>
      <c r="M49" s="264">
        <f>IF(M$16=0,0,M$16/AGR_fec!M$16)</f>
        <v>3.1024187999999993</v>
      </c>
      <c r="N49" s="264">
        <f>IF(N$16=0,0,N$16/AGR_fec!N$16)</f>
        <v>3.0361662362326123</v>
      </c>
      <c r="O49" s="264">
        <f>IF(O$16=0,0,O$16/AGR_fec!O$16)</f>
        <v>3.0455997690609</v>
      </c>
      <c r="P49" s="264">
        <f>IF(P$16=0,0,P$16/AGR_fec!P$16)</f>
        <v>3.0332720196397447</v>
      </c>
      <c r="Q49" s="264">
        <f>IF(Q$16=0,0,Q$16/AGR_fec!Q$16)</f>
        <v>3.0387294537315213</v>
      </c>
      <c r="R49" s="264">
        <f>IF(R$16=0,0,R$16/AGR_fec!R$16)</f>
        <v>3.0544670954193585</v>
      </c>
      <c r="S49" s="264">
        <f>IF(S$16=0,0,S$16/AGR_fec!S$16)</f>
        <v>3.0306495672903653</v>
      </c>
      <c r="T49" s="264">
        <f>IF(T$16=0,0,T$16/AGR_fec!T$16)</f>
        <v>2.9661781378741345</v>
      </c>
      <c r="U49" s="264">
        <f>IF(U$16=0,0,U$16/AGR_fec!U$16)</f>
        <v>2.9313094719856214</v>
      </c>
      <c r="V49" s="264">
        <f>IF(V$16=0,0,V$16/AGR_fec!V$16)</f>
        <v>2.9624138328549701</v>
      </c>
      <c r="W49" s="264">
        <f>IF(W$16=0,0,W$16/AGR_fec!W$16)</f>
        <v>2.9273896162046351</v>
      </c>
      <c r="X49" s="264">
        <f>IF(X$16=0,0,X$16/AGR_fec!X$16)</f>
        <v>2.9363238772291314</v>
      </c>
      <c r="Y49" s="264">
        <f>IF(Y$16=0,0,Y$16/AGR_fec!Y$16)</f>
        <v>2.9396961224279408</v>
      </c>
      <c r="DA49" s="290"/>
    </row>
    <row r="50" spans="1:105" x14ac:dyDescent="0.25">
      <c r="A50" s="127" t="s">
        <v>121</v>
      </c>
      <c r="B50" s="264">
        <f>IF(B$17=0,0,B$17/AGR_fec!B$17)</f>
        <v>2.3957639444097678</v>
      </c>
      <c r="C50" s="264">
        <f>IF(C$17=0,0,C$17/AGR_fec!C$17)</f>
        <v>2.3953622873505234</v>
      </c>
      <c r="D50" s="264">
        <f>IF(D$17=0,0,D$17/AGR_fec!D$17)</f>
        <v>2.389831062358764</v>
      </c>
      <c r="E50" s="264">
        <f>IF(E$17=0,0,E$17/AGR_fec!E$17)</f>
        <v>2.3871922031719564</v>
      </c>
      <c r="F50" s="264">
        <f>IF(F$17=0,0,F$17/AGR_fec!F$17)</f>
        <v>2.3842193438264392</v>
      </c>
      <c r="G50" s="264">
        <f>IF(G$17=0,0,G$17/AGR_fec!G$17)</f>
        <v>2.37840976521974</v>
      </c>
      <c r="H50" s="264">
        <f>IF(H$17=0,0,H$17/AGR_fec!H$17)</f>
        <v>2.3661975436832359</v>
      </c>
      <c r="I50" s="264">
        <f>IF(I$17=0,0,I$17/AGR_fec!I$17)</f>
        <v>2.3464360269433531</v>
      </c>
      <c r="J50" s="264">
        <f>IF(J$17=0,0,J$17/AGR_fec!J$17)</f>
        <v>2.3300518270473551</v>
      </c>
      <c r="K50" s="264">
        <f>IF(K$17=0,0,K$17/AGR_fec!K$17)</f>
        <v>2.3153023279616693</v>
      </c>
      <c r="L50" s="264">
        <f>IF(L$17=0,0,L$17/AGR_fec!L$17)</f>
        <v>2.3025438083648866</v>
      </c>
      <c r="M50" s="264">
        <f>IF(M$17=0,0,M$17/AGR_fec!M$17)</f>
        <v>2.2818771990901485</v>
      </c>
      <c r="N50" s="264">
        <f>IF(N$17=0,0,N$17/AGR_fec!N$17)</f>
        <v>2.2609631860898647</v>
      </c>
      <c r="O50" s="264">
        <f>IF(O$17=0,0,O$17/AGR_fec!O$17)</f>
        <v>2.2426891937471121</v>
      </c>
      <c r="P50" s="264">
        <f>IF(P$17=0,0,P$17/AGR_fec!P$17)</f>
        <v>2.217584117210448</v>
      </c>
      <c r="Q50" s="264">
        <f>IF(Q$17=0,0,Q$17/AGR_fec!Q$17)</f>
        <v>2.1865234072348971</v>
      </c>
      <c r="R50" s="264">
        <f>IF(R$17=0,0,R$17/AGR_fec!R$17)</f>
        <v>2.156034072415729</v>
      </c>
      <c r="S50" s="264">
        <f>IF(S$17=0,0,S$17/AGR_fec!S$17)</f>
        <v>2.1259422257632523</v>
      </c>
      <c r="T50" s="264">
        <f>IF(T$17=0,0,T$17/AGR_fec!T$17)</f>
        <v>2.0948303058034479</v>
      </c>
      <c r="U50" s="264">
        <f>IF(U$17=0,0,U$17/AGR_fec!U$17)</f>
        <v>2.0305917488878067</v>
      </c>
      <c r="V50" s="264">
        <f>IF(V$17=0,0,V$17/AGR_fec!V$17)</f>
        <v>1.9817780680569803</v>
      </c>
      <c r="W50" s="264">
        <f>IF(W$17=0,0,W$17/AGR_fec!W$17)</f>
        <v>1.9549927643395604</v>
      </c>
      <c r="X50" s="264">
        <f>IF(X$17=0,0,X$17/AGR_fec!X$17)</f>
        <v>1.8448838119079491</v>
      </c>
      <c r="Y50" s="264">
        <f>IF(Y$17=0,0,Y$17/AGR_fec!Y$17)</f>
        <v>1.9889201101664842</v>
      </c>
      <c r="DA50" s="290"/>
    </row>
    <row r="51" spans="1:105" x14ac:dyDescent="0.25">
      <c r="A51" s="127" t="s">
        <v>167</v>
      </c>
      <c r="B51" s="264">
        <f>IF(B$25=0,0,B$25/AGR_fec!B$25)</f>
        <v>3.1024188000000015</v>
      </c>
      <c r="C51" s="264">
        <f>IF(C$25=0,0,C$25/AGR_fec!C$25)</f>
        <v>3.1024187999999993</v>
      </c>
      <c r="D51" s="264">
        <f>IF(D$25=0,0,D$25/AGR_fec!D$25)</f>
        <v>3.1024187999999997</v>
      </c>
      <c r="E51" s="264">
        <f>IF(E$25=0,0,E$25/AGR_fec!E$25)</f>
        <v>3.1024187999999993</v>
      </c>
      <c r="F51" s="264">
        <f>IF(F$25=0,0,F$25/AGR_fec!F$25)</f>
        <v>3.1024187999999997</v>
      </c>
      <c r="G51" s="264">
        <f>IF(G$25=0,0,G$25/AGR_fec!G$25)</f>
        <v>3.1024188000000006</v>
      </c>
      <c r="H51" s="264">
        <f>IF(H$25=0,0,H$25/AGR_fec!H$25)</f>
        <v>3.1024187999999997</v>
      </c>
      <c r="I51" s="264">
        <f>IF(I$25=0,0,I$25/AGR_fec!I$25)</f>
        <v>3.1024188000000001</v>
      </c>
      <c r="J51" s="264">
        <f>IF(J$25=0,0,J$25/AGR_fec!J$25)</f>
        <v>3.1024187999999997</v>
      </c>
      <c r="K51" s="264">
        <f>IF(K$25=0,0,K$25/AGR_fec!K$25)</f>
        <v>3.1024187999999993</v>
      </c>
      <c r="L51" s="264">
        <f>IF(L$25=0,0,L$25/AGR_fec!L$25)</f>
        <v>3.1024188000000006</v>
      </c>
      <c r="M51" s="264">
        <f>IF(M$25=0,0,M$25/AGR_fec!M$25)</f>
        <v>3.1024187999999997</v>
      </c>
      <c r="N51" s="264">
        <f>IF(N$25=0,0,N$25/AGR_fec!N$25)</f>
        <v>3.0361662362326118</v>
      </c>
      <c r="O51" s="264">
        <f>IF(O$25=0,0,O$25/AGR_fec!O$25)</f>
        <v>3.0455997690608996</v>
      </c>
      <c r="P51" s="264">
        <f>IF(P$25=0,0,P$25/AGR_fec!P$25)</f>
        <v>3.0332720196397434</v>
      </c>
      <c r="Q51" s="264">
        <f>IF(Q$25=0,0,Q$25/AGR_fec!Q$25)</f>
        <v>3.0387294537315213</v>
      </c>
      <c r="R51" s="264">
        <f>IF(R$25=0,0,R$25/AGR_fec!R$25)</f>
        <v>3.0544670954193585</v>
      </c>
      <c r="S51" s="264">
        <f>IF(S$25=0,0,S$25/AGR_fec!S$25)</f>
        <v>3.0306495672903662</v>
      </c>
      <c r="T51" s="264">
        <f>IF(T$25=0,0,T$25/AGR_fec!T$25)</f>
        <v>2.966178137874135</v>
      </c>
      <c r="U51" s="264">
        <f>IF(U$25=0,0,U$25/AGR_fec!U$25)</f>
        <v>2.9313094719856223</v>
      </c>
      <c r="V51" s="264">
        <f>IF(V$25=0,0,V$25/AGR_fec!V$25)</f>
        <v>2.9624138328549687</v>
      </c>
      <c r="W51" s="264">
        <f>IF(W$25=0,0,W$25/AGR_fec!W$25)</f>
        <v>2.9273896162046351</v>
      </c>
      <c r="X51" s="264">
        <f>IF(X$25=0,0,X$25/AGR_fec!X$25)</f>
        <v>2.9363238772291305</v>
      </c>
      <c r="Y51" s="264">
        <f>IF(Y$25=0,0,Y$25/AGR_fec!Y$25)</f>
        <v>2.9396961224279403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2025-11-06T10:28:55Z</dcterms:created>
  <dcterms:modified xsi:type="dcterms:W3CDTF">2025-11-06T10:28:55Z</dcterms:modified>
</cp:coreProperties>
</file>