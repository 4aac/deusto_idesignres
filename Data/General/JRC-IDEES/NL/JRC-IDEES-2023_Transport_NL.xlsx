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N:\IDEES2023\Calibration_output\Results\xCountries\NL\"/>
    </mc:Choice>
  </mc:AlternateContent>
  <bookViews>
    <workbookView xWindow="0" yWindow="0" windowWidth="22260" windowHeight="12645" tabRatio="752"/>
  </bookViews>
  <sheets>
    <sheet name="cover" sheetId="2" r:id="rId1"/>
    <sheet name="index" sheetId="1" r:id="rId2"/>
    <sheet name="Transport" sheetId="3" r:id="rId3"/>
    <sheet name="TrRoad_act" sheetId="4" r:id="rId4"/>
    <sheet name="TrRoad_ene" sheetId="5" r:id="rId5"/>
    <sheet name="TrRoad_emi" sheetId="6" r:id="rId6"/>
    <sheet name="TrRoad_tech" sheetId="7" r:id="rId7"/>
    <sheet name="TrRail_act" sheetId="8" r:id="rId8"/>
    <sheet name="TrRail_ene" sheetId="9" r:id="rId9"/>
    <sheet name="TrRail_emi" sheetId="10" r:id="rId10"/>
    <sheet name="TrAvia_act" sheetId="11" r:id="rId11"/>
    <sheet name="TrAvia_ene" sheetId="12" r:id="rId12"/>
    <sheet name="TrAvia_emi" sheetId="13" r:id="rId13"/>
    <sheet name="TrAvia_png" sheetId="14" r:id="rId14"/>
    <sheet name="TrNavi_act" sheetId="15" r:id="rId15"/>
    <sheet name="TrNavi_ene" sheetId="16" r:id="rId16"/>
    <sheet name="TrNavi_emi" sheetId="17" r:id="rId17"/>
    <sheet name="MBunk_act" sheetId="18" r:id="rId18"/>
    <sheet name="MBunk_ene" sheetId="19" r:id="rId19"/>
    <sheet name="MBunk_emi" sheetId="20" r:id="rId2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Y52" i="6" l="1"/>
  <c r="X52" i="6"/>
  <c r="Y218" i="7"/>
  <c r="X218" i="7"/>
  <c r="Y211" i="7"/>
  <c r="X211" i="7"/>
  <c r="Y205" i="7"/>
  <c r="X205" i="7"/>
  <c r="Y32" i="8"/>
  <c r="X32" i="8"/>
  <c r="X28" i="8"/>
  <c r="X88" i="8"/>
  <c r="X87" i="8"/>
  <c r="X86" i="8"/>
  <c r="X84" i="8"/>
  <c r="Y12" i="3"/>
  <c r="X12" i="3"/>
  <c r="X17" i="9"/>
  <c r="X51" i="3" s="1"/>
  <c r="Y49" i="9"/>
  <c r="Y40" i="3"/>
  <c r="X25" i="9"/>
  <c r="X5" i="9"/>
  <c r="Y57" i="10"/>
  <c r="X68" i="10"/>
  <c r="X15" i="10"/>
  <c r="Y32" i="10"/>
  <c r="X54" i="10"/>
  <c r="Y53" i="10"/>
  <c r="X53" i="10"/>
  <c r="Y41" i="10"/>
  <c r="Y70" i="3"/>
  <c r="X28" i="10"/>
  <c r="Y24" i="10"/>
  <c r="X24" i="10"/>
  <c r="Y58" i="11"/>
  <c r="X102" i="11"/>
  <c r="Y44" i="11"/>
  <c r="Y67" i="11"/>
  <c r="X101" i="11"/>
  <c r="X25" i="3"/>
  <c r="Y24" i="3"/>
  <c r="X24" i="3"/>
  <c r="Y23" i="3"/>
  <c r="X8" i="11"/>
  <c r="X16" i="3"/>
  <c r="X15" i="3"/>
  <c r="Y14" i="3"/>
  <c r="Y25" i="12"/>
  <c r="Y75" i="12" s="1"/>
  <c r="X35" i="12"/>
  <c r="X54" i="3"/>
  <c r="Y53" i="3"/>
  <c r="X4" i="12"/>
  <c r="X41" i="12"/>
  <c r="Y45" i="3"/>
  <c r="X45" i="3"/>
  <c r="X48" i="13"/>
  <c r="X76" i="3"/>
  <c r="Y24" i="13"/>
  <c r="X5" i="13"/>
  <c r="Y23" i="13"/>
  <c r="Y7" i="15"/>
  <c r="X28" i="3"/>
  <c r="Y27" i="3"/>
  <c r="X27" i="3"/>
  <c r="Y15" i="17"/>
  <c r="X88" i="3"/>
  <c r="X31" i="3"/>
  <c r="Y3" i="18"/>
  <c r="Y17" i="18" s="1"/>
  <c r="X10" i="19"/>
  <c r="Y4" i="19"/>
  <c r="Y90" i="3"/>
  <c r="X90" i="3"/>
  <c r="Y85" i="3"/>
  <c r="X85" i="3"/>
  <c r="X83" i="3"/>
  <c r="Y76" i="3"/>
  <c r="Y44" i="3"/>
  <c r="X44" i="3"/>
  <c r="Y42" i="3"/>
  <c r="Y31" i="3"/>
  <c r="Y30" i="3"/>
  <c r="Y25" i="3"/>
  <c r="Y10" i="3"/>
  <c r="Y55" i="3" l="1"/>
  <c r="Y207" i="3" s="1"/>
  <c r="X90" i="8"/>
  <c r="X29" i="9"/>
  <c r="Y57" i="8"/>
  <c r="Y79" i="8" s="1"/>
  <c r="Y14" i="17"/>
  <c r="X46" i="3"/>
  <c r="X43" i="3" s="1"/>
  <c r="Y15" i="14"/>
  <c r="Y21" i="14" s="1"/>
  <c r="Y75" i="3"/>
  <c r="Y29" i="9"/>
  <c r="X91" i="8"/>
  <c r="Y91" i="8"/>
  <c r="Y18" i="11"/>
  <c r="Y123" i="11" s="1"/>
  <c r="X31" i="9"/>
  <c r="Y53" i="9"/>
  <c r="Y44" i="12"/>
  <c r="X84" i="3"/>
  <c r="Y69" i="11"/>
  <c r="X55" i="3"/>
  <c r="Y43" i="9"/>
  <c r="X53" i="3"/>
  <c r="X27" i="9"/>
  <c r="X75" i="3"/>
  <c r="X227" i="3" s="1"/>
  <c r="Y54" i="3"/>
  <c r="X14" i="17"/>
  <c r="X19" i="12"/>
  <c r="X69" i="12" s="1"/>
  <c r="Y41" i="12"/>
  <c r="X3" i="20"/>
  <c r="X22" i="20" s="1"/>
  <c r="Y7" i="18"/>
  <c r="Y23" i="18" s="1"/>
  <c r="Y39" i="12"/>
  <c r="X240" i="3"/>
  <c r="X98" i="11"/>
  <c r="X43" i="8"/>
  <c r="X88" i="11"/>
  <c r="Y88" i="11"/>
  <c r="Y25" i="9"/>
  <c r="Y31" i="9"/>
  <c r="Y42" i="9"/>
  <c r="Y48" i="11"/>
  <c r="Y43" i="11" s="1"/>
  <c r="X15" i="14"/>
  <c r="X27" i="14" s="1"/>
  <c r="X72" i="3"/>
  <c r="X164" i="3" s="1"/>
  <c r="X25" i="12"/>
  <c r="X75" i="12" s="1"/>
  <c r="Y103" i="11"/>
  <c r="X31" i="10"/>
  <c r="X54" i="11"/>
  <c r="Y31" i="10"/>
  <c r="X49" i="9"/>
  <c r="Y98" i="11"/>
  <c r="Y92" i="11"/>
  <c r="X32" i="10"/>
  <c r="X95" i="8"/>
  <c r="X43" i="10"/>
  <c r="X65" i="10"/>
  <c r="X53" i="8"/>
  <c r="X75" i="8" s="1"/>
  <c r="X47" i="13"/>
  <c r="X77" i="11"/>
  <c r="Y68" i="10"/>
  <c r="Y53" i="8"/>
  <c r="Y75" i="8" s="1"/>
  <c r="Y88" i="8"/>
  <c r="Y3" i="15"/>
  <c r="Y19" i="15" s="1"/>
  <c r="Y13" i="14"/>
  <c r="Y19" i="14" s="1"/>
  <c r="Y99" i="11"/>
  <c r="X112" i="11"/>
  <c r="X87" i="3"/>
  <c r="X239" i="3" s="1"/>
  <c r="X38" i="13"/>
  <c r="X78" i="11"/>
  <c r="X67" i="8"/>
  <c r="X87" i="11"/>
  <c r="Y14" i="14"/>
  <c r="Y26" i="14" s="1"/>
  <c r="Y77" i="11"/>
  <c r="Y88" i="3"/>
  <c r="Y28" i="13"/>
  <c r="X99" i="8"/>
  <c r="Y23" i="12"/>
  <c r="Y73" i="12" s="1"/>
  <c r="Y89" i="11"/>
  <c r="Y19" i="12"/>
  <c r="Y69" i="12" s="1"/>
  <c r="Y45" i="13"/>
  <c r="X79" i="11"/>
  <c r="Y5" i="9"/>
  <c r="Y4" i="9" s="1"/>
  <c r="Y55" i="8"/>
  <c r="Y77" i="8" s="1"/>
  <c r="Y67" i="8"/>
  <c r="X99" i="11"/>
  <c r="Y16" i="3"/>
  <c r="Y228" i="3" s="1"/>
  <c r="X40" i="3"/>
  <c r="X91" i="3"/>
  <c r="X243" i="3" s="1"/>
  <c r="Y39" i="13"/>
  <c r="Y79" i="11"/>
  <c r="X4" i="9"/>
  <c r="X57" i="8"/>
  <c r="X79" i="8" s="1"/>
  <c r="X7" i="15"/>
  <c r="X22" i="15" s="1"/>
  <c r="X13" i="14"/>
  <c r="X19" i="14" s="1"/>
  <c r="Y15" i="3"/>
  <c r="X23" i="3"/>
  <c r="X22" i="3" s="1"/>
  <c r="X14" i="20"/>
  <c r="Y15" i="18"/>
  <c r="Y29" i="13"/>
  <c r="X18" i="11"/>
  <c r="X120" i="11" s="1"/>
  <c r="X237" i="3"/>
  <c r="Y194" i="3"/>
  <c r="Y196" i="3"/>
  <c r="Y65" i="10"/>
  <c r="X46" i="10"/>
  <c r="X36" i="9"/>
  <c r="X47" i="9"/>
  <c r="X10" i="8"/>
  <c r="X21" i="3" s="1"/>
  <c r="X203" i="3" s="1"/>
  <c r="X26" i="8"/>
  <c r="X25" i="8" s="1"/>
  <c r="Y43" i="8"/>
  <c r="X35" i="10"/>
  <c r="X50" i="10"/>
  <c r="X38" i="9"/>
  <c r="X39" i="8"/>
  <c r="X37" i="8" s="1"/>
  <c r="X51" i="8"/>
  <c r="X73" i="8" s="1"/>
  <c r="Y43" i="10"/>
  <c r="X70" i="3"/>
  <c r="X162" i="3" s="1"/>
  <c r="Y35" i="10"/>
  <c r="Y36" i="9"/>
  <c r="Y38" i="9"/>
  <c r="X6" i="8"/>
  <c r="X11" i="3" s="1"/>
  <c r="Y39" i="8"/>
  <c r="Y37" i="8" s="1"/>
  <c r="Y39" i="10"/>
  <c r="Y54" i="10"/>
  <c r="X40" i="9"/>
  <c r="X51" i="9"/>
  <c r="Y90" i="8"/>
  <c r="X55" i="8"/>
  <c r="X77" i="8" s="1"/>
  <c r="X42" i="3"/>
  <c r="X194" i="3" s="1"/>
  <c r="Y72" i="3"/>
  <c r="Y164" i="3" s="1"/>
  <c r="X61" i="10"/>
  <c r="Y40" i="9"/>
  <c r="Y51" i="9"/>
  <c r="X10" i="3"/>
  <c r="X42" i="10"/>
  <c r="X64" i="10"/>
  <c r="X13" i="9"/>
  <c r="X48" i="9" s="1"/>
  <c r="X42" i="9"/>
  <c r="X53" i="9"/>
  <c r="Y99" i="8"/>
  <c r="Y86" i="8"/>
  <c r="X10" i="16"/>
  <c r="X58" i="3" s="1"/>
  <c r="X210" i="3" s="1"/>
  <c r="X18" i="17"/>
  <c r="Y4" i="16"/>
  <c r="Y24" i="16" s="1"/>
  <c r="X4" i="16"/>
  <c r="X20" i="16" s="1"/>
  <c r="X4" i="19"/>
  <c r="X3" i="19" s="1"/>
  <c r="X29" i="19" s="1"/>
  <c r="Y10" i="19"/>
  <c r="Y11" i="20" s="1"/>
  <c r="X15" i="20"/>
  <c r="Y14" i="20"/>
  <c r="X14" i="3"/>
  <c r="X196" i="3" s="1"/>
  <c r="X206" i="3"/>
  <c r="Y74" i="3"/>
  <c r="Y6" i="13"/>
  <c r="Y25" i="13"/>
  <c r="X44" i="13"/>
  <c r="Y45" i="12"/>
  <c r="X31" i="12"/>
  <c r="Y14" i="11"/>
  <c r="Y116" i="11" s="1"/>
  <c r="Y24" i="11"/>
  <c r="Y96" i="11" s="1"/>
  <c r="Y102" i="11"/>
  <c r="X44" i="11"/>
  <c r="Y97" i="11"/>
  <c r="X28" i="13"/>
  <c r="Y44" i="13"/>
  <c r="Y31" i="12"/>
  <c r="Y33" i="13"/>
  <c r="Y21" i="12"/>
  <c r="Y71" i="12" s="1"/>
  <c r="Y40" i="12"/>
  <c r="Y78" i="11"/>
  <c r="Y46" i="3"/>
  <c r="X34" i="13"/>
  <c r="Y4" i="12"/>
  <c r="Y72" i="11"/>
  <c r="Y34" i="13"/>
  <c r="X93" i="11"/>
  <c r="X21" i="12"/>
  <c r="X71" i="12" s="1"/>
  <c r="X28" i="11"/>
  <c r="X90" i="11" s="1"/>
  <c r="X68" i="11"/>
  <c r="X73" i="11"/>
  <c r="X24" i="13"/>
  <c r="Y35" i="13"/>
  <c r="X89" i="11"/>
  <c r="Y35" i="12"/>
  <c r="Y68" i="11"/>
  <c r="Y73" i="11"/>
  <c r="Y29" i="12"/>
  <c r="X14" i="11"/>
  <c r="X119" i="11" s="1"/>
  <c r="X92" i="11"/>
  <c r="X48" i="11"/>
  <c r="X236" i="3"/>
  <c r="Y47" i="13"/>
  <c r="Y27" i="13"/>
  <c r="Y83" i="3"/>
  <c r="Y235" i="3" s="1"/>
  <c r="Y10" i="13"/>
  <c r="Y37" i="13"/>
  <c r="X228" i="3"/>
  <c r="X44" i="10"/>
  <c r="X55" i="10"/>
  <c r="X81" i="3"/>
  <c r="X233" i="3" s="1"/>
  <c r="Y20" i="19"/>
  <c r="Y60" i="3"/>
  <c r="Y24" i="19"/>
  <c r="Y18" i="17"/>
  <c r="Y87" i="3"/>
  <c r="Y239" i="3" s="1"/>
  <c r="Y3" i="17"/>
  <c r="Y23" i="17" s="1"/>
  <c r="Y23" i="15"/>
  <c r="Y21" i="15"/>
  <c r="Y162" i="3"/>
  <c r="X43" i="13"/>
  <c r="X33" i="13"/>
  <c r="X23" i="13"/>
  <c r="X6" i="13"/>
  <c r="X4" i="13"/>
  <c r="X74" i="3"/>
  <c r="X25" i="19"/>
  <c r="X21" i="19"/>
  <c r="X61" i="3"/>
  <c r="X3" i="18"/>
  <c r="X18" i="18" s="1"/>
  <c r="X30" i="3"/>
  <c r="X14" i="18"/>
  <c r="X18" i="20"/>
  <c r="X14" i="14"/>
  <c r="X20" i="14" s="1"/>
  <c r="X4" i="14"/>
  <c r="Y91" i="3"/>
  <c r="Y243" i="3" s="1"/>
  <c r="Y19" i="20"/>
  <c r="Y3" i="20"/>
  <c r="Y23" i="20" s="1"/>
  <c r="Y15" i="20"/>
  <c r="Y28" i="11"/>
  <c r="Y101" i="11"/>
  <c r="X4" i="10"/>
  <c r="X23" i="10"/>
  <c r="X7" i="18"/>
  <c r="X110" i="11"/>
  <c r="X111" i="11"/>
  <c r="Y121" i="11"/>
  <c r="Y28" i="3"/>
  <c r="Y84" i="3"/>
  <c r="Y192" i="3"/>
  <c r="Y237" i="3"/>
  <c r="Y242" i="3"/>
  <c r="Y19" i="18"/>
  <c r="X19" i="17"/>
  <c r="X15" i="17"/>
  <c r="Y10" i="16"/>
  <c r="Y43" i="13"/>
  <c r="X4" i="11"/>
  <c r="X107" i="11" s="1"/>
  <c r="X91" i="11"/>
  <c r="X81" i="11"/>
  <c r="X24" i="11"/>
  <c r="X76" i="11" s="1"/>
  <c r="X97" i="11"/>
  <c r="X58" i="11"/>
  <c r="X69" i="11"/>
  <c r="X113" i="11"/>
  <c r="Y4" i="10"/>
  <c r="Y50" i="10"/>
  <c r="Y61" i="10"/>
  <c r="X207" i="3"/>
  <c r="X15" i="18"/>
  <c r="X14" i="15"/>
  <c r="Y38" i="13"/>
  <c r="Y48" i="13"/>
  <c r="Y91" i="11"/>
  <c r="Y8" i="11"/>
  <c r="Y113" i="11" s="1"/>
  <c r="X52" i="9"/>
  <c r="Y29" i="3"/>
  <c r="Y123" i="3" s="1"/>
  <c r="Y222" i="3"/>
  <c r="Y10" i="20"/>
  <c r="Y14" i="15"/>
  <c r="Y5" i="13"/>
  <c r="X49" i="13"/>
  <c r="X29" i="13"/>
  <c r="X39" i="13"/>
  <c r="X43" i="12"/>
  <c r="X23" i="12"/>
  <c r="X73" i="12" s="1"/>
  <c r="X10" i="12"/>
  <c r="X45" i="12"/>
  <c r="X103" i="11"/>
  <c r="X38" i="11"/>
  <c r="X71" i="11"/>
  <c r="X82" i="11"/>
  <c r="X26" i="3"/>
  <c r="X82" i="3"/>
  <c r="Y205" i="3"/>
  <c r="Y18" i="20"/>
  <c r="Y14" i="18"/>
  <c r="Y15" i="15"/>
  <c r="X45" i="13"/>
  <c r="X35" i="13"/>
  <c r="X25" i="13"/>
  <c r="Y43" i="12"/>
  <c r="Y38" i="11"/>
  <c r="Y71" i="11"/>
  <c r="Y82" i="11"/>
  <c r="Y87" i="8"/>
  <c r="Y17" i="8"/>
  <c r="Y34" i="10"/>
  <c r="Y15" i="10"/>
  <c r="Y45" i="10"/>
  <c r="Y22" i="3"/>
  <c r="X3" i="17"/>
  <c r="X23" i="17" s="1"/>
  <c r="Y19" i="17"/>
  <c r="Y4" i="14"/>
  <c r="Y4" i="13"/>
  <c r="X39" i="12"/>
  <c r="X6" i="12"/>
  <c r="X29" i="12"/>
  <c r="X25" i="14"/>
  <c r="X34" i="12"/>
  <c r="X24" i="12"/>
  <c r="X74" i="12" s="1"/>
  <c r="X33" i="12"/>
  <c r="X44" i="12"/>
  <c r="X67" i="11"/>
  <c r="X30" i="10"/>
  <c r="X52" i="10"/>
  <c r="X197" i="3"/>
  <c r="Y22" i="15"/>
  <c r="Y33" i="12"/>
  <c r="Y28" i="10"/>
  <c r="Y56" i="10"/>
  <c r="X50" i="9"/>
  <c r="X39" i="9"/>
  <c r="X28" i="9"/>
  <c r="X41" i="10"/>
  <c r="X19" i="20"/>
  <c r="X11" i="20"/>
  <c r="Y18" i="18"/>
  <c r="X3" i="15"/>
  <c r="X15" i="15"/>
  <c r="X37" i="13"/>
  <c r="X27" i="13"/>
  <c r="X10" i="13"/>
  <c r="X30" i="12"/>
  <c r="X20" i="12"/>
  <c r="X70" i="12" s="1"/>
  <c r="X5" i="12"/>
  <c r="X19" i="13" s="1"/>
  <c r="X40" i="12"/>
  <c r="X116" i="11"/>
  <c r="X117" i="11"/>
  <c r="X11" i="10"/>
  <c r="X9" i="10" s="1"/>
  <c r="X34" i="10"/>
  <c r="X45" i="10"/>
  <c r="X56" i="10"/>
  <c r="Y28" i="9"/>
  <c r="Y39" i="9"/>
  <c r="Y13" i="9"/>
  <c r="Y50" i="9"/>
  <c r="Y30" i="12"/>
  <c r="Y20" i="12"/>
  <c r="Y70" i="12" s="1"/>
  <c r="Y5" i="12"/>
  <c r="Y34" i="12"/>
  <c r="Y24" i="12"/>
  <c r="Y74" i="12" s="1"/>
  <c r="Y87" i="11"/>
  <c r="Y4" i="11"/>
  <c r="Y81" i="11"/>
  <c r="Y30" i="10"/>
  <c r="Y11" i="10"/>
  <c r="Y32" i="9"/>
  <c r="Y54" i="8"/>
  <c r="Y76" i="8" s="1"/>
  <c r="Y98" i="8"/>
  <c r="Y58" i="8"/>
  <c r="Y80" i="8" s="1"/>
  <c r="Y102" i="8"/>
  <c r="Y101" i="8"/>
  <c r="Y49" i="13"/>
  <c r="Y93" i="11"/>
  <c r="X34" i="11"/>
  <c r="X72" i="11"/>
  <c r="Y54" i="11"/>
  <c r="Y53" i="11" s="1"/>
  <c r="X83" i="11"/>
  <c r="Y17" i="9"/>
  <c r="Y27" i="9"/>
  <c r="Y6" i="12"/>
  <c r="Y10" i="12"/>
  <c r="Y83" i="11"/>
  <c r="Y34" i="11"/>
  <c r="X39" i="10"/>
  <c r="Y52" i="10"/>
  <c r="Y6" i="8"/>
  <c r="Y10" i="8"/>
  <c r="Y84" i="8"/>
  <c r="Y21" i="8"/>
  <c r="Y124" i="8" s="1"/>
  <c r="X63" i="8"/>
  <c r="Y95" i="8"/>
  <c r="Y54" i="9"/>
  <c r="X54" i="9"/>
  <c r="X43" i="9"/>
  <c r="X32" i="9"/>
  <c r="Y97" i="8"/>
  <c r="Y28" i="8"/>
  <c r="Y63" i="8" s="1"/>
  <c r="X98" i="8"/>
  <c r="X54" i="8"/>
  <c r="X76" i="8" s="1"/>
  <c r="X102" i="8"/>
  <c r="X58" i="8"/>
  <c r="X80" i="8" s="1"/>
  <c r="Y42" i="10"/>
  <c r="Y46" i="10"/>
  <c r="Y64" i="10"/>
  <c r="Y51" i="8"/>
  <c r="Y73" i="8" s="1"/>
  <c r="X57" i="10"/>
  <c r="Y47" i="9"/>
  <c r="X112" i="8"/>
  <c r="X17" i="8"/>
  <c r="X21" i="8"/>
  <c r="X123" i="8" s="1"/>
  <c r="X97" i="8"/>
  <c r="X101" i="8"/>
  <c r="X52" i="3" l="1"/>
  <c r="X100" i="8"/>
  <c r="X111" i="8"/>
  <c r="Y36" i="8"/>
  <c r="Y13" i="3"/>
  <c r="Y73" i="3"/>
  <c r="Y3" i="19"/>
  <c r="Y28" i="19" s="1"/>
  <c r="Y3" i="16"/>
  <c r="Y9" i="17" s="1"/>
  <c r="X61" i="8"/>
  <c r="Y198" i="3"/>
  <c r="X23" i="15"/>
  <c r="Y20" i="16"/>
  <c r="X21" i="15"/>
  <c r="X60" i="3"/>
  <c r="X212" i="3" s="1"/>
  <c r="Y52" i="3"/>
  <c r="Y204" i="3" s="1"/>
  <c r="Y25" i="19"/>
  <c r="X24" i="19"/>
  <c r="X86" i="3"/>
  <c r="X238" i="3" s="1"/>
  <c r="Y13" i="15"/>
  <c r="X36" i="8"/>
  <c r="Y57" i="3"/>
  <c r="Y209" i="3" s="1"/>
  <c r="X10" i="20"/>
  <c r="Y18" i="15"/>
  <c r="X118" i="11"/>
  <c r="X235" i="3"/>
  <c r="Y27" i="14"/>
  <c r="Y17" i="15"/>
  <c r="Y10" i="17"/>
  <c r="X89" i="3"/>
  <c r="X181" i="3" s="1"/>
  <c r="X21" i="20"/>
  <c r="X23" i="20"/>
  <c r="Y22" i="18"/>
  <c r="Y13" i="18"/>
  <c r="X11" i="17"/>
  <c r="X3" i="16"/>
  <c r="X28" i="16" s="1"/>
  <c r="X204" i="3"/>
  <c r="Y206" i="3"/>
  <c r="Y3" i="12"/>
  <c r="Y47" i="12" s="1"/>
  <c r="X198" i="3"/>
  <c r="Y227" i="3"/>
  <c r="Y120" i="11"/>
  <c r="X43" i="11"/>
  <c r="Y80" i="11"/>
  <c r="X122" i="11"/>
  <c r="Y122" i="11"/>
  <c r="Y20" i="14"/>
  <c r="X13" i="11"/>
  <c r="Y197" i="3"/>
  <c r="X80" i="11"/>
  <c r="Y25" i="14"/>
  <c r="X192" i="3"/>
  <c r="X41" i="3"/>
  <c r="X193" i="3" s="1"/>
  <c r="X11" i="9"/>
  <c r="X46" i="9" s="1"/>
  <c r="X22" i="10"/>
  <c r="X4" i="8"/>
  <c r="X108" i="8" s="1"/>
  <c r="X113" i="8"/>
  <c r="X41" i="9"/>
  <c r="Y22" i="13"/>
  <c r="X9" i="20"/>
  <c r="X22" i="17"/>
  <c r="X96" i="8"/>
  <c r="X205" i="3"/>
  <c r="X13" i="20"/>
  <c r="X20" i="19"/>
  <c r="Y21" i="18"/>
  <c r="X224" i="3"/>
  <c r="Y111" i="11"/>
  <c r="Y42" i="13"/>
  <c r="Y12" i="14"/>
  <c r="Y18" i="14" s="1"/>
  <c r="X13" i="3"/>
  <c r="X195" i="3" s="1"/>
  <c r="X37" i="9"/>
  <c r="X3" i="12"/>
  <c r="X49" i="12" s="1"/>
  <c r="Y23" i="10"/>
  <c r="Y22" i="10"/>
  <c r="Y117" i="11"/>
  <c r="X121" i="11"/>
  <c r="Y119" i="11"/>
  <c r="Y118" i="11"/>
  <c r="X53" i="11"/>
  <c r="Y76" i="11"/>
  <c r="X21" i="16"/>
  <c r="X10" i="17"/>
  <c r="X123" i="11"/>
  <c r="Y112" i="11"/>
  <c r="X21" i="14"/>
  <c r="Y13" i="11"/>
  <c r="X25" i="16"/>
  <c r="X57" i="3"/>
  <c r="X209" i="3" s="1"/>
  <c r="Y32" i="13"/>
  <c r="X24" i="16"/>
  <c r="X17" i="20"/>
  <c r="Y43" i="3"/>
  <c r="Y195" i="3" s="1"/>
  <c r="X9" i="3"/>
  <c r="X222" i="3"/>
  <c r="Y226" i="3"/>
  <c r="Y123" i="8"/>
  <c r="Y224" i="3"/>
  <c r="Y21" i="19"/>
  <c r="Y61" i="3"/>
  <c r="Y213" i="3" s="1"/>
  <c r="X70" i="11"/>
  <c r="X100" i="11"/>
  <c r="Y19" i="13"/>
  <c r="X85" i="8"/>
  <c r="X15" i="8"/>
  <c r="X49" i="10"/>
  <c r="X8" i="10"/>
  <c r="X60" i="10" s="1"/>
  <c r="Y44" i="10"/>
  <c r="Y55" i="10"/>
  <c r="Y33" i="10"/>
  <c r="Y81" i="3"/>
  <c r="X17" i="17"/>
  <c r="X13" i="17"/>
  <c r="X21" i="17"/>
  <c r="X29" i="3"/>
  <c r="X122" i="3" s="1"/>
  <c r="X242" i="3"/>
  <c r="Y89" i="3"/>
  <c r="Y183" i="3" s="1"/>
  <c r="Y122" i="8"/>
  <c r="Y89" i="8"/>
  <c r="X13" i="15"/>
  <c r="X19" i="15"/>
  <c r="X17" i="15"/>
  <c r="Y85" i="8"/>
  <c r="Y15" i="8"/>
  <c r="Y118" i="8" s="1"/>
  <c r="Y240" i="3"/>
  <c r="Y122" i="3"/>
  <c r="Y32" i="12"/>
  <c r="Y22" i="12"/>
  <c r="Y72" i="12" s="1"/>
  <c r="Y42" i="12"/>
  <c r="Y41" i="9"/>
  <c r="Y30" i="9"/>
  <c r="Y52" i="9"/>
  <c r="Y51" i="3"/>
  <c r="X18" i="15"/>
  <c r="Y70" i="11"/>
  <c r="X12" i="14"/>
  <c r="X18" i="14" s="1"/>
  <c r="X18" i="13"/>
  <c r="X3" i="13"/>
  <c r="X52" i="13" s="1"/>
  <c r="X26" i="14"/>
  <c r="X66" i="11"/>
  <c r="X26" i="13"/>
  <c r="X46" i="13"/>
  <c r="X36" i="13"/>
  <c r="Y66" i="11"/>
  <c r="Y40" i="10"/>
  <c r="Y51" i="10"/>
  <c r="Y29" i="10"/>
  <c r="Y71" i="3"/>
  <c r="X30" i="9"/>
  <c r="X106" i="11"/>
  <c r="X108" i="11"/>
  <c r="X86" i="11"/>
  <c r="X109" i="11"/>
  <c r="Y236" i="3"/>
  <c r="Y100" i="11"/>
  <c r="Y23" i="11"/>
  <c r="Y95" i="11" s="1"/>
  <c r="X213" i="3"/>
  <c r="X73" i="3"/>
  <c r="X226" i="3"/>
  <c r="X13" i="18"/>
  <c r="X17" i="18"/>
  <c r="X19" i="18"/>
  <c r="Y112" i="8"/>
  <c r="Y100" i="8"/>
  <c r="Y56" i="8"/>
  <c r="Y78" i="8" s="1"/>
  <c r="Y111" i="8"/>
  <c r="Y21" i="3"/>
  <c r="Y28" i="12"/>
  <c r="Y18" i="12"/>
  <c r="Y68" i="12" s="1"/>
  <c r="Y38" i="12"/>
  <c r="Y113" i="8"/>
  <c r="Y106" i="11"/>
  <c r="Y107" i="11"/>
  <c r="Y109" i="11"/>
  <c r="Y86" i="11"/>
  <c r="Y48" i="9"/>
  <c r="Y26" i="9"/>
  <c r="Y37" i="9"/>
  <c r="Y41" i="3"/>
  <c r="Y11" i="9"/>
  <c r="X40" i="10"/>
  <c r="X71" i="3"/>
  <c r="X51" i="10"/>
  <c r="X29" i="10"/>
  <c r="X52" i="8"/>
  <c r="X74" i="8" s="1"/>
  <c r="Y9" i="10"/>
  <c r="Y108" i="11"/>
  <c r="X38" i="12"/>
  <c r="X28" i="12"/>
  <c r="X18" i="12"/>
  <c r="X68" i="12" s="1"/>
  <c r="Y26" i="3"/>
  <c r="X42" i="13"/>
  <c r="X32" i="13"/>
  <c r="X22" i="13"/>
  <c r="Y212" i="3"/>
  <c r="X89" i="8"/>
  <c r="X122" i="8"/>
  <c r="X124" i="8"/>
  <c r="Y96" i="8"/>
  <c r="Y52" i="8"/>
  <c r="Y74" i="8" s="1"/>
  <c r="Y4" i="8"/>
  <c r="Y107" i="8" s="1"/>
  <c r="Y11" i="3"/>
  <c r="X26" i="9"/>
  <c r="Y36" i="13"/>
  <c r="Y26" i="13"/>
  <c r="Y46" i="13"/>
  <c r="Y18" i="13"/>
  <c r="Y3" i="13"/>
  <c r="Y56" i="13" s="1"/>
  <c r="X234" i="3"/>
  <c r="X32" i="12"/>
  <c r="X22" i="12"/>
  <c r="X72" i="12" s="1"/>
  <c r="X42" i="12"/>
  <c r="Y121" i="3"/>
  <c r="X96" i="11"/>
  <c r="X23" i="11"/>
  <c r="X95" i="11" s="1"/>
  <c r="Y21" i="16"/>
  <c r="Y11" i="17"/>
  <c r="Y25" i="16"/>
  <c r="Y58" i="3"/>
  <c r="Y21" i="20"/>
  <c r="Y13" i="20"/>
  <c r="Y17" i="20"/>
  <c r="Y22" i="20"/>
  <c r="Y13" i="17"/>
  <c r="Y21" i="17"/>
  <c r="Y17" i="17"/>
  <c r="X33" i="10"/>
  <c r="Y82" i="3"/>
  <c r="Y234" i="3" s="1"/>
  <c r="Y26" i="8"/>
  <c r="X56" i="8"/>
  <c r="X78" i="8" s="1"/>
  <c r="Y110" i="11"/>
  <c r="Y90" i="11"/>
  <c r="X21" i="18"/>
  <c r="X22" i="18"/>
  <c r="X23" i="19"/>
  <c r="X27" i="19"/>
  <c r="X19" i="19"/>
  <c r="Y86" i="3"/>
  <c r="Y22" i="17"/>
  <c r="Y53" i="12"/>
  <c r="Y49" i="12"/>
  <c r="X23" i="18"/>
  <c r="X28" i="19"/>
  <c r="Y225" i="3" l="1"/>
  <c r="Y19" i="19"/>
  <c r="Y29" i="16"/>
  <c r="Y28" i="16"/>
  <c r="Y29" i="19"/>
  <c r="Y19" i="16"/>
  <c r="Y23" i="16"/>
  <c r="Y27" i="19"/>
  <c r="Y23" i="19"/>
  <c r="Y27" i="16"/>
  <c r="X110" i="8"/>
  <c r="X109" i="8"/>
  <c r="X182" i="3"/>
  <c r="X183" i="3"/>
  <c r="X27" i="16"/>
  <c r="X23" i="16"/>
  <c r="X106" i="8"/>
  <c r="X94" i="8"/>
  <c r="X19" i="16"/>
  <c r="Y9" i="20"/>
  <c r="X107" i="8"/>
  <c r="X39" i="3"/>
  <c r="X191" i="3" s="1"/>
  <c r="X105" i="8"/>
  <c r="Y50" i="12"/>
  <c r="X9" i="17"/>
  <c r="X59" i="3"/>
  <c r="X153" i="3" s="1"/>
  <c r="X35" i="9"/>
  <c r="X29" i="16"/>
  <c r="Y48" i="12"/>
  <c r="X10" i="9"/>
  <c r="X57" i="9" s="1"/>
  <c r="Y54" i="12"/>
  <c r="Y17" i="12"/>
  <c r="Y67" i="12" s="1"/>
  <c r="X38" i="10"/>
  <c r="Y52" i="12"/>
  <c r="X225" i="3"/>
  <c r="Y51" i="12"/>
  <c r="Y55" i="12"/>
  <c r="Y56" i="3"/>
  <c r="Y208" i="3" s="1"/>
  <c r="Y24" i="14"/>
  <c r="X24" i="9"/>
  <c r="Y37" i="12"/>
  <c r="X51" i="12"/>
  <c r="X56" i="3"/>
  <c r="X208" i="3" s="1"/>
  <c r="X62" i="10"/>
  <c r="X53" i="12"/>
  <c r="X50" i="12"/>
  <c r="X54" i="12"/>
  <c r="X52" i="12"/>
  <c r="X55" i="12"/>
  <c r="X17" i="12"/>
  <c r="X67" i="12" s="1"/>
  <c r="X118" i="8"/>
  <c r="X48" i="12"/>
  <c r="X47" i="12"/>
  <c r="Y59" i="3"/>
  <c r="Y152" i="3" s="1"/>
  <c r="X50" i="8"/>
  <c r="X72" i="8" s="1"/>
  <c r="X27" i="10"/>
  <c r="X56" i="13"/>
  <c r="Y75" i="11"/>
  <c r="Y238" i="3"/>
  <c r="Y203" i="3"/>
  <c r="Y55" i="13"/>
  <c r="Y41" i="13"/>
  <c r="Y51" i="13"/>
  <c r="Y59" i="13"/>
  <c r="Y57" i="13"/>
  <c r="Y21" i="13"/>
  <c r="Y54" i="13"/>
  <c r="Y52" i="13"/>
  <c r="Y58" i="13"/>
  <c r="Y53" i="13"/>
  <c r="X37" i="12"/>
  <c r="X24" i="14"/>
  <c r="X69" i="3"/>
  <c r="X223" i="3"/>
  <c r="X59" i="10"/>
  <c r="X48" i="10"/>
  <c r="X63" i="10"/>
  <c r="X67" i="10"/>
  <c r="X66" i="10"/>
  <c r="X75" i="11"/>
  <c r="Y241" i="3"/>
  <c r="Y117" i="8"/>
  <c r="Y116" i="8"/>
  <c r="Y83" i="8"/>
  <c r="Y14" i="8"/>
  <c r="Y121" i="8"/>
  <c r="Y119" i="8"/>
  <c r="Y120" i="8"/>
  <c r="Y69" i="3"/>
  <c r="X14" i="8"/>
  <c r="X82" i="8" s="1"/>
  <c r="X83" i="8"/>
  <c r="X116" i="8"/>
  <c r="X120" i="8"/>
  <c r="X121" i="8"/>
  <c r="X117" i="8"/>
  <c r="X119" i="8"/>
  <c r="Y223" i="3"/>
  <c r="Y9" i="3"/>
  <c r="Y109" i="8"/>
  <c r="Y94" i="8"/>
  <c r="Y108" i="8"/>
  <c r="Y50" i="8"/>
  <c r="Y105" i="8"/>
  <c r="Y110" i="8"/>
  <c r="Y106" i="8"/>
  <c r="Y10" i="9"/>
  <c r="Y46" i="9"/>
  <c r="Y24" i="9"/>
  <c r="Y35" i="9"/>
  <c r="X41" i="13"/>
  <c r="X51" i="13"/>
  <c r="X21" i="13"/>
  <c r="X58" i="13"/>
  <c r="X59" i="13"/>
  <c r="X54" i="13"/>
  <c r="X55" i="13"/>
  <c r="X57" i="13"/>
  <c r="X53" i="13"/>
  <c r="Y49" i="10"/>
  <c r="Y38" i="10"/>
  <c r="Y8" i="10"/>
  <c r="Y27" i="10"/>
  <c r="Y39" i="3"/>
  <c r="Y193" i="3"/>
  <c r="Y233" i="3"/>
  <c r="Y181" i="3"/>
  <c r="Y182" i="3"/>
  <c r="Y61" i="8"/>
  <c r="Y25" i="8"/>
  <c r="Y210" i="3"/>
  <c r="X241" i="3"/>
  <c r="X121" i="3"/>
  <c r="X123" i="3"/>
  <c r="X64" i="9" l="1"/>
  <c r="X152" i="3"/>
  <c r="X60" i="9"/>
  <c r="X151" i="3"/>
  <c r="X211" i="3"/>
  <c r="X65" i="9"/>
  <c r="X59" i="9"/>
  <c r="X63" i="9"/>
  <c r="X45" i="9"/>
  <c r="X62" i="9"/>
  <c r="X56" i="9"/>
  <c r="X61" i="9"/>
  <c r="X58" i="9"/>
  <c r="Y153" i="3"/>
  <c r="Y151" i="3"/>
  <c r="Y72" i="8"/>
  <c r="Y211" i="3"/>
  <c r="X23" i="9"/>
  <c r="Y191" i="3"/>
  <c r="Y221" i="3"/>
  <c r="Y82" i="8"/>
  <c r="X26" i="10"/>
  <c r="X221" i="3"/>
  <c r="Y26" i="10"/>
  <c r="Y59" i="10"/>
  <c r="Y48" i="10"/>
  <c r="Y67" i="10"/>
  <c r="Y63" i="10"/>
  <c r="Y66" i="10"/>
  <c r="Y62" i="10"/>
  <c r="Y23" i="9"/>
  <c r="Y45" i="9"/>
  <c r="Y56" i="9"/>
  <c r="Y60" i="9"/>
  <c r="Y58" i="9"/>
  <c r="Y64" i="9"/>
  <c r="Y62" i="9"/>
  <c r="Y65" i="9"/>
  <c r="Y61" i="9"/>
  <c r="Y59" i="9"/>
  <c r="Y63" i="9"/>
  <c r="Y60" i="10"/>
  <c r="Y57" i="9"/>
  <c r="A236" i="3" l="1"/>
  <c r="A61" i="3"/>
  <c r="A60" i="3"/>
  <c r="A207" i="3"/>
  <c r="K29" i="13"/>
  <c r="Q23" i="13"/>
  <c r="W91" i="3"/>
  <c r="T91" i="3"/>
  <c r="S91" i="3"/>
  <c r="R91" i="3"/>
  <c r="Q91" i="3"/>
  <c r="P91" i="3"/>
  <c r="O91" i="3"/>
  <c r="N91" i="3"/>
  <c r="L91" i="3"/>
  <c r="K91" i="3"/>
  <c r="J91" i="3"/>
  <c r="I91" i="3"/>
  <c r="H91" i="3"/>
  <c r="E91" i="3"/>
  <c r="D91" i="3"/>
  <c r="C91" i="3"/>
  <c r="B91" i="3"/>
  <c r="W90" i="3"/>
  <c r="V90" i="3"/>
  <c r="U90" i="3"/>
  <c r="S90" i="3"/>
  <c r="R90" i="3"/>
  <c r="Q90" i="3"/>
  <c r="P90" i="3"/>
  <c r="O90" i="3"/>
  <c r="N90" i="3"/>
  <c r="L90" i="3"/>
  <c r="J90" i="3"/>
  <c r="I90" i="3"/>
  <c r="H90" i="3"/>
  <c r="G90" i="3"/>
  <c r="F90" i="3"/>
  <c r="E3" i="20"/>
  <c r="E22" i="20" s="1"/>
  <c r="C90" i="3"/>
  <c r="B90" i="3"/>
  <c r="M15" i="20"/>
  <c r="G15" i="20"/>
  <c r="E15" i="20"/>
  <c r="W14" i="18"/>
  <c r="W31" i="3"/>
  <c r="U31" i="3"/>
  <c r="T31" i="3"/>
  <c r="S31" i="3"/>
  <c r="R31" i="3"/>
  <c r="Q31" i="3"/>
  <c r="P31" i="3"/>
  <c r="O31" i="3"/>
  <c r="M31" i="3"/>
  <c r="L31" i="3"/>
  <c r="K31" i="3"/>
  <c r="H31" i="3"/>
  <c r="F31" i="3"/>
  <c r="E31" i="3"/>
  <c r="D31" i="3"/>
  <c r="C31" i="3"/>
  <c r="B31" i="3"/>
  <c r="W30" i="3"/>
  <c r="S30" i="3"/>
  <c r="Q14" i="18"/>
  <c r="P18" i="20"/>
  <c r="N30" i="3"/>
  <c r="M30" i="3"/>
  <c r="K30" i="3"/>
  <c r="J30" i="3"/>
  <c r="I30" i="3"/>
  <c r="H30" i="3"/>
  <c r="G30" i="3"/>
  <c r="C30" i="3"/>
  <c r="B30" i="3"/>
  <c r="C18" i="20"/>
  <c r="B25" i="1"/>
  <c r="B24" i="1"/>
  <c r="B26" i="1"/>
  <c r="S242" i="3" l="1"/>
  <c r="C242" i="3"/>
  <c r="O14" i="18"/>
  <c r="I15" i="18"/>
  <c r="E3" i="18"/>
  <c r="E19" i="18" s="1"/>
  <c r="I7" i="18"/>
  <c r="I23" i="18" s="1"/>
  <c r="U3" i="18"/>
  <c r="U17" i="18" s="1"/>
  <c r="I23" i="13"/>
  <c r="C29" i="13"/>
  <c r="F3" i="18"/>
  <c r="F17" i="18" s="1"/>
  <c r="V3" i="18"/>
  <c r="V19" i="18" s="1"/>
  <c r="R7" i="18"/>
  <c r="R21" i="18" s="1"/>
  <c r="O25" i="13"/>
  <c r="W3" i="20"/>
  <c r="W22" i="20" s="1"/>
  <c r="J15" i="18"/>
  <c r="F15" i="18"/>
  <c r="I24" i="13"/>
  <c r="U27" i="13"/>
  <c r="F23" i="13"/>
  <c r="N7" i="18"/>
  <c r="N21" i="18" s="1"/>
  <c r="E27" i="13"/>
  <c r="D14" i="18"/>
  <c r="L14" i="18"/>
  <c r="T14" i="18"/>
  <c r="N15" i="18"/>
  <c r="V15" i="18"/>
  <c r="S29" i="13"/>
  <c r="N23" i="13"/>
  <c r="U14" i="20"/>
  <c r="G15" i="18"/>
  <c r="O243" i="3"/>
  <c r="W243" i="3"/>
  <c r="B23" i="13"/>
  <c r="J23" i="13"/>
  <c r="R23" i="13"/>
  <c r="D24" i="13"/>
  <c r="L24" i="13"/>
  <c r="T24" i="13"/>
  <c r="D29" i="13"/>
  <c r="L29" i="13"/>
  <c r="T29" i="13"/>
  <c r="V23" i="13"/>
  <c r="Q24" i="13"/>
  <c r="M27" i="13"/>
  <c r="E24" i="13"/>
  <c r="M24" i="13"/>
  <c r="U24" i="13"/>
  <c r="G25" i="13"/>
  <c r="W25" i="13"/>
  <c r="T7" i="18"/>
  <c r="T21" i="18" s="1"/>
  <c r="K14" i="18"/>
  <c r="S14" i="18"/>
  <c r="M4" i="19"/>
  <c r="M10" i="20" s="1"/>
  <c r="H25" i="13"/>
  <c r="P25" i="13"/>
  <c r="B27" i="13"/>
  <c r="J27" i="13"/>
  <c r="R27" i="13"/>
  <c r="H29" i="13"/>
  <c r="P29" i="13"/>
  <c r="N242" i="3"/>
  <c r="H243" i="3"/>
  <c r="C25" i="13"/>
  <c r="O28" i="13"/>
  <c r="M15" i="18"/>
  <c r="H242" i="3"/>
  <c r="H23" i="13"/>
  <c r="P23" i="13"/>
  <c r="B24" i="13"/>
  <c r="J24" i="13"/>
  <c r="R24" i="13"/>
  <c r="D25" i="13"/>
  <c r="L25" i="13"/>
  <c r="T25" i="13"/>
  <c r="F27" i="13"/>
  <c r="N27" i="13"/>
  <c r="V27" i="13"/>
  <c r="H28" i="13"/>
  <c r="P28" i="13"/>
  <c r="B29" i="13"/>
  <c r="J29" i="13"/>
  <c r="R29" i="13"/>
  <c r="W23" i="13"/>
  <c r="G28" i="13"/>
  <c r="C243" i="3"/>
  <c r="K243" i="3"/>
  <c r="S243" i="3"/>
  <c r="E7" i="18"/>
  <c r="E21" i="18" s="1"/>
  <c r="M7" i="18"/>
  <c r="M21" i="18" s="1"/>
  <c r="U7" i="18"/>
  <c r="U21" i="18" s="1"/>
  <c r="I4" i="19"/>
  <c r="I60" i="3" s="1"/>
  <c r="I212" i="3" s="1"/>
  <c r="K4" i="19"/>
  <c r="K24" i="19" s="1"/>
  <c r="W4" i="19"/>
  <c r="W20" i="19" s="1"/>
  <c r="G10" i="19"/>
  <c r="G11" i="20" s="1"/>
  <c r="O10" i="19"/>
  <c r="O61" i="3" s="1"/>
  <c r="O213" i="3" s="1"/>
  <c r="Q10" i="19"/>
  <c r="Q61" i="3" s="1"/>
  <c r="Q213" i="3" s="1"/>
  <c r="D3" i="20"/>
  <c r="D22" i="20" s="1"/>
  <c r="T3" i="20"/>
  <c r="T22" i="20" s="1"/>
  <c r="F3" i="20"/>
  <c r="F23" i="20" s="1"/>
  <c r="C24" i="13"/>
  <c r="K24" i="13"/>
  <c r="S24" i="13"/>
  <c r="E25" i="13"/>
  <c r="M25" i="13"/>
  <c r="U25" i="13"/>
  <c r="G27" i="13"/>
  <c r="O27" i="13"/>
  <c r="W27" i="13"/>
  <c r="I28" i="13"/>
  <c r="Q28" i="13"/>
  <c r="Q15" i="18"/>
  <c r="R18" i="20"/>
  <c r="T243" i="3"/>
  <c r="M14" i="20"/>
  <c r="F25" i="13"/>
  <c r="N25" i="13"/>
  <c r="V25" i="13"/>
  <c r="H27" i="13"/>
  <c r="P27" i="13"/>
  <c r="B28" i="13"/>
  <c r="J28" i="13"/>
  <c r="R28" i="13"/>
  <c r="R30" i="3"/>
  <c r="R242" i="3" s="1"/>
  <c r="K25" i="13"/>
  <c r="I29" i="13"/>
  <c r="B242" i="3"/>
  <c r="L243" i="3"/>
  <c r="H89" i="3"/>
  <c r="H181" i="3" s="1"/>
  <c r="C23" i="13"/>
  <c r="K23" i="13"/>
  <c r="S23" i="13"/>
  <c r="I27" i="13"/>
  <c r="Q27" i="13"/>
  <c r="C28" i="13"/>
  <c r="K28" i="13"/>
  <c r="S28" i="13"/>
  <c r="E29" i="13"/>
  <c r="M29" i="13"/>
  <c r="U29" i="13"/>
  <c r="O23" i="13"/>
  <c r="S25" i="13"/>
  <c r="Q29" i="13"/>
  <c r="D243" i="3"/>
  <c r="M3" i="18"/>
  <c r="M18" i="18" s="1"/>
  <c r="G14" i="18"/>
  <c r="D23" i="13"/>
  <c r="L23" i="13"/>
  <c r="T23" i="13"/>
  <c r="F24" i="13"/>
  <c r="N24" i="13"/>
  <c r="V24" i="13"/>
  <c r="D28" i="13"/>
  <c r="L28" i="13"/>
  <c r="T28" i="13"/>
  <c r="F29" i="13"/>
  <c r="N29" i="13"/>
  <c r="V29" i="13"/>
  <c r="C7" i="18"/>
  <c r="C21" i="18" s="1"/>
  <c r="E23" i="13"/>
  <c r="M23" i="13"/>
  <c r="U23" i="13"/>
  <c r="G24" i="13"/>
  <c r="O24" i="13"/>
  <c r="W24" i="13"/>
  <c r="I25" i="13"/>
  <c r="Q25" i="13"/>
  <c r="C27" i="13"/>
  <c r="K27" i="13"/>
  <c r="S27" i="13"/>
  <c r="E28" i="13"/>
  <c r="M28" i="13"/>
  <c r="U28" i="13"/>
  <c r="G29" i="13"/>
  <c r="O29" i="13"/>
  <c r="W29" i="13"/>
  <c r="G23" i="13"/>
  <c r="W28" i="13"/>
  <c r="L15" i="20"/>
  <c r="F4" i="19"/>
  <c r="F60" i="3" s="1"/>
  <c r="N4" i="19"/>
  <c r="N60" i="3" s="1"/>
  <c r="N212" i="3" s="1"/>
  <c r="V4" i="19"/>
  <c r="V60" i="3" s="1"/>
  <c r="H4" i="19"/>
  <c r="H60" i="3" s="1"/>
  <c r="H212" i="3" s="1"/>
  <c r="P4" i="19"/>
  <c r="P20" i="19" s="1"/>
  <c r="J10" i="19"/>
  <c r="J61" i="3" s="1"/>
  <c r="S19" i="20"/>
  <c r="H24" i="13"/>
  <c r="P24" i="13"/>
  <c r="B25" i="13"/>
  <c r="J25" i="13"/>
  <c r="R25" i="13"/>
  <c r="D27" i="13"/>
  <c r="L27" i="13"/>
  <c r="T27" i="13"/>
  <c r="F28" i="13"/>
  <c r="N28" i="13"/>
  <c r="V28" i="13"/>
  <c r="R243" i="3"/>
  <c r="I242" i="3"/>
  <c r="E243" i="3"/>
  <c r="G242" i="3"/>
  <c r="W242" i="3"/>
  <c r="Q243" i="3"/>
  <c r="K15" i="18"/>
  <c r="L19" i="20"/>
  <c r="D7" i="18"/>
  <c r="D21" i="18" s="1"/>
  <c r="K14" i="20"/>
  <c r="M3" i="20"/>
  <c r="M21" i="20" s="1"/>
  <c r="U19" i="20"/>
  <c r="Q30" i="3"/>
  <c r="Q242" i="3" s="1"/>
  <c r="A242" i="3"/>
  <c r="N31" i="3"/>
  <c r="N243" i="3" s="1"/>
  <c r="V31" i="3"/>
  <c r="J242" i="3"/>
  <c r="A243" i="3"/>
  <c r="H10" i="19"/>
  <c r="H11" i="20" s="1"/>
  <c r="E14" i="20"/>
  <c r="L7" i="18"/>
  <c r="L21" i="18" s="1"/>
  <c r="G3" i="20"/>
  <c r="G22" i="20" s="1"/>
  <c r="C4" i="19"/>
  <c r="C20" i="19" s="1"/>
  <c r="S4" i="19"/>
  <c r="S20" i="19" s="1"/>
  <c r="U4" i="19"/>
  <c r="U20" i="19" s="1"/>
  <c r="Q4" i="19"/>
  <c r="Q60" i="3" s="1"/>
  <c r="D30" i="3"/>
  <c r="L30" i="3"/>
  <c r="L242" i="3" s="1"/>
  <c r="T30" i="3"/>
  <c r="G31" i="3"/>
  <c r="G29" i="3" s="1"/>
  <c r="G122" i="3" s="1"/>
  <c r="M91" i="3"/>
  <c r="M243" i="3" s="1"/>
  <c r="U91" i="3"/>
  <c r="U243" i="3" s="1"/>
  <c r="P10" i="19"/>
  <c r="P61" i="3" s="1"/>
  <c r="P213" i="3" s="1"/>
  <c r="U3" i="20"/>
  <c r="U22" i="20" s="1"/>
  <c r="H7" i="18"/>
  <c r="H23" i="18" s="1"/>
  <c r="D4" i="19"/>
  <c r="D60" i="3" s="1"/>
  <c r="L4" i="19"/>
  <c r="L60" i="3" s="1"/>
  <c r="T4" i="19"/>
  <c r="T60" i="3" s="1"/>
  <c r="R10" i="19"/>
  <c r="R61" i="3" s="1"/>
  <c r="R213" i="3" s="1"/>
  <c r="E30" i="3"/>
  <c r="E29" i="3" s="1"/>
  <c r="U30" i="3"/>
  <c r="U242" i="3" s="1"/>
  <c r="K90" i="3"/>
  <c r="K242" i="3" s="1"/>
  <c r="F91" i="3"/>
  <c r="F243" i="3" s="1"/>
  <c r="V91" i="3"/>
  <c r="V89" i="3" s="1"/>
  <c r="B243" i="3"/>
  <c r="B10" i="19"/>
  <c r="B61" i="3" s="1"/>
  <c r="B213" i="3" s="1"/>
  <c r="O15" i="20"/>
  <c r="V3" i="20"/>
  <c r="V22" i="20" s="1"/>
  <c r="O15" i="18"/>
  <c r="W15" i="18"/>
  <c r="E4" i="19"/>
  <c r="E60" i="3" s="1"/>
  <c r="G4" i="19"/>
  <c r="G60" i="3" s="1"/>
  <c r="G212" i="3" s="1"/>
  <c r="W10" i="19"/>
  <c r="W25" i="19" s="1"/>
  <c r="F30" i="3"/>
  <c r="F242" i="3" s="1"/>
  <c r="V30" i="3"/>
  <c r="V242" i="3" s="1"/>
  <c r="I31" i="3"/>
  <c r="I243" i="3" s="1"/>
  <c r="D90" i="3"/>
  <c r="D89" i="3" s="1"/>
  <c r="D183" i="3" s="1"/>
  <c r="T90" i="3"/>
  <c r="T89" i="3" s="1"/>
  <c r="T183" i="3" s="1"/>
  <c r="G91" i="3"/>
  <c r="G89" i="3" s="1"/>
  <c r="O30" i="3"/>
  <c r="O29" i="3" s="1"/>
  <c r="J31" i="3"/>
  <c r="J29" i="3" s="1"/>
  <c r="J122" i="3" s="1"/>
  <c r="E90" i="3"/>
  <c r="E89" i="3" s="1"/>
  <c r="M90" i="3"/>
  <c r="M242" i="3" s="1"/>
  <c r="G3" i="18"/>
  <c r="G17" i="18" s="1"/>
  <c r="W3" i="18"/>
  <c r="W18" i="18" s="1"/>
  <c r="C14" i="18"/>
  <c r="K7" i="18"/>
  <c r="K21" i="18" s="1"/>
  <c r="S7" i="18"/>
  <c r="S21" i="18" s="1"/>
  <c r="E15" i="18"/>
  <c r="O4" i="19"/>
  <c r="O24" i="19" s="1"/>
  <c r="I10" i="19"/>
  <c r="I61" i="3" s="1"/>
  <c r="B18" i="20"/>
  <c r="J18" i="20"/>
  <c r="D19" i="20"/>
  <c r="L3" i="20"/>
  <c r="L23" i="20" s="1"/>
  <c r="T19" i="20"/>
  <c r="P30" i="3"/>
  <c r="P242" i="3" s="1"/>
  <c r="O89" i="3"/>
  <c r="O181" i="3" s="1"/>
  <c r="A212" i="3"/>
  <c r="A213" i="3"/>
  <c r="K29" i="3"/>
  <c r="K123" i="3" s="1"/>
  <c r="P243" i="3"/>
  <c r="H29" i="3"/>
  <c r="C29" i="3"/>
  <c r="S29" i="3"/>
  <c r="S121" i="3" s="1"/>
  <c r="A182" i="3"/>
  <c r="A183" i="3"/>
  <c r="W89" i="3"/>
  <c r="N89" i="3"/>
  <c r="N181" i="3" s="1"/>
  <c r="A122" i="3"/>
  <c r="A91" i="3"/>
  <c r="B89" i="3"/>
  <c r="B181" i="3" s="1"/>
  <c r="J89" i="3"/>
  <c r="R89" i="3"/>
  <c r="R182" i="3" s="1"/>
  <c r="A123" i="3"/>
  <c r="I89" i="3"/>
  <c r="I181" i="3" s="1"/>
  <c r="Q89" i="3"/>
  <c r="Q181" i="3" s="1"/>
  <c r="A152" i="3"/>
  <c r="A153" i="3"/>
  <c r="M29" i="3"/>
  <c r="C89" i="3"/>
  <c r="C181" i="3" s="1"/>
  <c r="S89" i="3"/>
  <c r="S181" i="3" s="1"/>
  <c r="A90" i="3"/>
  <c r="P89" i="3"/>
  <c r="P182" i="3" s="1"/>
  <c r="A237" i="3"/>
  <c r="L89" i="3"/>
  <c r="L183" i="3" s="1"/>
  <c r="B29" i="3"/>
  <c r="W29" i="3"/>
  <c r="A117" i="3"/>
  <c r="A147" i="3"/>
  <c r="A54" i="3"/>
  <c r="A176" i="3"/>
  <c r="A55" i="3"/>
  <c r="A177" i="3"/>
  <c r="A84" i="3"/>
  <c r="A206" i="3"/>
  <c r="A85" i="3"/>
  <c r="A146" i="3"/>
  <c r="A116" i="3"/>
  <c r="E17" i="18"/>
  <c r="E18" i="18"/>
  <c r="I21" i="18"/>
  <c r="N3" i="18"/>
  <c r="N17" i="18" s="1"/>
  <c r="U14" i="18"/>
  <c r="E21" i="20"/>
  <c r="P14" i="18"/>
  <c r="J14" i="20"/>
  <c r="O3" i="20"/>
  <c r="O23" i="20" s="1"/>
  <c r="O3" i="18"/>
  <c r="O18" i="18" s="1"/>
  <c r="N3" i="20"/>
  <c r="Q21" i="19"/>
  <c r="Q14" i="20"/>
  <c r="Q3" i="20"/>
  <c r="Q22" i="20" s="1"/>
  <c r="C19" i="20"/>
  <c r="E14" i="18"/>
  <c r="M14" i="18"/>
  <c r="H18" i="20"/>
  <c r="E19" i="20"/>
  <c r="P3" i="18"/>
  <c r="P18" i="18" s="1"/>
  <c r="F7" i="18"/>
  <c r="F21" i="18" s="1"/>
  <c r="V7" i="18"/>
  <c r="V21" i="18" s="1"/>
  <c r="F14" i="18"/>
  <c r="N14" i="18"/>
  <c r="V14" i="18"/>
  <c r="H15" i="18"/>
  <c r="P15" i="18"/>
  <c r="B4" i="19"/>
  <c r="B60" i="3" s="1"/>
  <c r="J4" i="19"/>
  <c r="J60" i="3" s="1"/>
  <c r="J212" i="3" s="1"/>
  <c r="R4" i="19"/>
  <c r="R60" i="3" s="1"/>
  <c r="I18" i="20"/>
  <c r="J19" i="20"/>
  <c r="H3" i="18"/>
  <c r="H18" i="18" s="1"/>
  <c r="I3" i="18"/>
  <c r="I19" i="18" s="1"/>
  <c r="G7" i="18"/>
  <c r="G21" i="18" s="1"/>
  <c r="O7" i="18"/>
  <c r="O21" i="18" s="1"/>
  <c r="W7" i="18"/>
  <c r="W21" i="18" s="1"/>
  <c r="E13" i="18"/>
  <c r="C10" i="19"/>
  <c r="C61" i="3" s="1"/>
  <c r="C213" i="3" s="1"/>
  <c r="K10" i="19"/>
  <c r="S10" i="19"/>
  <c r="S61" i="3" s="1"/>
  <c r="S213" i="3" s="1"/>
  <c r="E10" i="19"/>
  <c r="E61" i="3" s="1"/>
  <c r="E213" i="3" s="1"/>
  <c r="M10" i="19"/>
  <c r="M61" i="3" s="1"/>
  <c r="M213" i="3" s="1"/>
  <c r="U10" i="19"/>
  <c r="U61" i="3" s="1"/>
  <c r="U213" i="3" s="1"/>
  <c r="K18" i="20"/>
  <c r="K19" i="20"/>
  <c r="I14" i="20"/>
  <c r="I3" i="20"/>
  <c r="I23" i="20" s="1"/>
  <c r="B3" i="18"/>
  <c r="B18" i="18" s="1"/>
  <c r="R3" i="18"/>
  <c r="R19" i="18" s="1"/>
  <c r="P7" i="18"/>
  <c r="P21" i="18" s="1"/>
  <c r="H14" i="18"/>
  <c r="B15" i="18"/>
  <c r="R15" i="18"/>
  <c r="D10" i="19"/>
  <c r="L10" i="19"/>
  <c r="T10" i="19"/>
  <c r="R14" i="20"/>
  <c r="M19" i="20"/>
  <c r="K15" i="20"/>
  <c r="K3" i="20"/>
  <c r="K22" i="20" s="1"/>
  <c r="Q3" i="18"/>
  <c r="Q18" i="18" s="1"/>
  <c r="C3" i="18"/>
  <c r="C19" i="18" s="1"/>
  <c r="Q7" i="18"/>
  <c r="Q21" i="18" s="1"/>
  <c r="I14" i="18"/>
  <c r="C15" i="18"/>
  <c r="S15" i="18"/>
  <c r="F18" i="20"/>
  <c r="F14" i="20"/>
  <c r="N18" i="20"/>
  <c r="N14" i="20"/>
  <c r="V18" i="20"/>
  <c r="V14" i="20"/>
  <c r="H19" i="20"/>
  <c r="H15" i="20"/>
  <c r="P19" i="20"/>
  <c r="P15" i="20"/>
  <c r="S14" i="20"/>
  <c r="T15" i="20"/>
  <c r="Q18" i="20"/>
  <c r="R19" i="20"/>
  <c r="C15" i="20"/>
  <c r="C3" i="20"/>
  <c r="C23" i="20" s="1"/>
  <c r="J3" i="18"/>
  <c r="J18" i="18" s="1"/>
  <c r="K3" i="18"/>
  <c r="K19" i="18" s="1"/>
  <c r="S3" i="18"/>
  <c r="S18" i="18" s="1"/>
  <c r="D3" i="18"/>
  <c r="D18" i="18" s="1"/>
  <c r="L3" i="18"/>
  <c r="T3" i="18"/>
  <c r="T18" i="18" s="1"/>
  <c r="B7" i="18"/>
  <c r="B22" i="18" s="1"/>
  <c r="J7" i="18"/>
  <c r="J21" i="18" s="1"/>
  <c r="D14" i="20"/>
  <c r="L14" i="20"/>
  <c r="T14" i="20"/>
  <c r="F15" i="20"/>
  <c r="N15" i="20"/>
  <c r="V15" i="20"/>
  <c r="B14" i="18"/>
  <c r="J14" i="18"/>
  <c r="R14" i="18"/>
  <c r="D15" i="18"/>
  <c r="L15" i="18"/>
  <c r="T15" i="18"/>
  <c r="F10" i="19"/>
  <c r="F61" i="3" s="1"/>
  <c r="N10" i="19"/>
  <c r="V10" i="19"/>
  <c r="E17" i="20"/>
  <c r="E13" i="20"/>
  <c r="G18" i="20"/>
  <c r="G14" i="20"/>
  <c r="O18" i="20"/>
  <c r="O14" i="20"/>
  <c r="W18" i="20"/>
  <c r="W14" i="20"/>
  <c r="I19" i="20"/>
  <c r="I15" i="20"/>
  <c r="Q19" i="20"/>
  <c r="Q15" i="20"/>
  <c r="B14" i="20"/>
  <c r="U15" i="20"/>
  <c r="S18" i="20"/>
  <c r="S15" i="20"/>
  <c r="S3" i="20"/>
  <c r="S23" i="20" s="1"/>
  <c r="E22" i="18"/>
  <c r="U15" i="18"/>
  <c r="H14" i="20"/>
  <c r="H3" i="20"/>
  <c r="H22" i="20" s="1"/>
  <c r="P14" i="20"/>
  <c r="P3" i="20"/>
  <c r="P22" i="20" s="1"/>
  <c r="B15" i="20"/>
  <c r="B3" i="20"/>
  <c r="J15" i="20"/>
  <c r="J3" i="20"/>
  <c r="J23" i="20" s="1"/>
  <c r="R15" i="20"/>
  <c r="C14" i="20"/>
  <c r="D15" i="20"/>
  <c r="W15" i="20"/>
  <c r="B19" i="20"/>
  <c r="D18" i="20"/>
  <c r="L18" i="20"/>
  <c r="T18" i="20"/>
  <c r="F19" i="20"/>
  <c r="N19" i="20"/>
  <c r="V19" i="20"/>
  <c r="E18" i="20"/>
  <c r="M18" i="20"/>
  <c r="U18" i="20"/>
  <c r="G19" i="20"/>
  <c r="O19" i="20"/>
  <c r="W19" i="20"/>
  <c r="E23" i="20"/>
  <c r="R3" i="20"/>
  <c r="R25" i="19" l="1"/>
  <c r="F24" i="19"/>
  <c r="W23" i="20"/>
  <c r="U18" i="18"/>
  <c r="M22" i="20"/>
  <c r="F20" i="19"/>
  <c r="N29" i="3"/>
  <c r="N241" i="3" s="1"/>
  <c r="I22" i="18"/>
  <c r="E23" i="18"/>
  <c r="Q25" i="19"/>
  <c r="L10" i="20"/>
  <c r="L20" i="19"/>
  <c r="U19" i="18"/>
  <c r="J11" i="20"/>
  <c r="N13" i="20"/>
  <c r="F22" i="20"/>
  <c r="M23" i="20"/>
  <c r="P10" i="20"/>
  <c r="R21" i="19"/>
  <c r="W24" i="19"/>
  <c r="G18" i="18"/>
  <c r="H20" i="19"/>
  <c r="K23" i="18"/>
  <c r="H25" i="19"/>
  <c r="F18" i="18"/>
  <c r="Q10" i="20"/>
  <c r="G25" i="19"/>
  <c r="D21" i="20"/>
  <c r="O11" i="20"/>
  <c r="N20" i="19"/>
  <c r="U24" i="19"/>
  <c r="Q24" i="19"/>
  <c r="G23" i="20"/>
  <c r="O21" i="19"/>
  <c r="P24" i="19"/>
  <c r="N23" i="18"/>
  <c r="T23" i="18"/>
  <c r="R23" i="18"/>
  <c r="W17" i="20"/>
  <c r="R22" i="18"/>
  <c r="N24" i="19"/>
  <c r="N10" i="20"/>
  <c r="W10" i="20"/>
  <c r="T22" i="18"/>
  <c r="K20" i="19"/>
  <c r="T20" i="19"/>
  <c r="H3" i="19"/>
  <c r="H29" i="19" s="1"/>
  <c r="M24" i="19"/>
  <c r="R212" i="3"/>
  <c r="L23" i="18"/>
  <c r="F19" i="18"/>
  <c r="N22" i="18"/>
  <c r="Q11" i="20"/>
  <c r="F89" i="3"/>
  <c r="F181" i="3" s="1"/>
  <c r="U29" i="3"/>
  <c r="U123" i="3" s="1"/>
  <c r="M23" i="18"/>
  <c r="S23" i="18"/>
  <c r="S22" i="18"/>
  <c r="D23" i="20"/>
  <c r="I213" i="3"/>
  <c r="M22" i="18"/>
  <c r="G24" i="19"/>
  <c r="L21" i="20"/>
  <c r="W3" i="19"/>
  <c r="W28" i="19" s="1"/>
  <c r="S10" i="20"/>
  <c r="R29" i="3"/>
  <c r="R123" i="3" s="1"/>
  <c r="J21" i="19"/>
  <c r="T24" i="19"/>
  <c r="W19" i="18"/>
  <c r="G19" i="18"/>
  <c r="H19" i="18"/>
  <c r="V17" i="18"/>
  <c r="V17" i="20"/>
  <c r="Q212" i="3"/>
  <c r="V18" i="18"/>
  <c r="W17" i="18"/>
  <c r="Q20" i="19"/>
  <c r="P3" i="19"/>
  <c r="P23" i="19" s="1"/>
  <c r="F10" i="20"/>
  <c r="W21" i="20"/>
  <c r="K10" i="20"/>
  <c r="O25" i="19"/>
  <c r="Q3" i="19"/>
  <c r="Q29" i="19" s="1"/>
  <c r="M20" i="19"/>
  <c r="G20" i="19"/>
  <c r="F23" i="18"/>
  <c r="R11" i="20"/>
  <c r="F59" i="3"/>
  <c r="F151" i="3" s="1"/>
  <c r="M3" i="19"/>
  <c r="M27" i="19" s="1"/>
  <c r="G21" i="20"/>
  <c r="Q29" i="3"/>
  <c r="Q123" i="3" s="1"/>
  <c r="R18" i="18"/>
  <c r="C22" i="20"/>
  <c r="W11" i="20"/>
  <c r="B11" i="20"/>
  <c r="B25" i="19"/>
  <c r="M13" i="20"/>
  <c r="J25" i="19"/>
  <c r="I25" i="19"/>
  <c r="W60" i="3"/>
  <c r="W212" i="3" s="1"/>
  <c r="B21" i="19"/>
  <c r="M17" i="18"/>
  <c r="T10" i="20"/>
  <c r="L24" i="19"/>
  <c r="M60" i="3"/>
  <c r="M212" i="3" s="1"/>
  <c r="K60" i="3"/>
  <c r="K212" i="3" s="1"/>
  <c r="P29" i="3"/>
  <c r="P123" i="3" s="1"/>
  <c r="T212" i="3"/>
  <c r="G61" i="3"/>
  <c r="G213" i="3" s="1"/>
  <c r="K122" i="3"/>
  <c r="G21" i="19"/>
  <c r="H10" i="20"/>
  <c r="E24" i="19"/>
  <c r="C22" i="18"/>
  <c r="D10" i="20"/>
  <c r="V20" i="19"/>
  <c r="H183" i="3"/>
  <c r="D24" i="19"/>
  <c r="I20" i="19"/>
  <c r="O23" i="18"/>
  <c r="N17" i="20"/>
  <c r="D20" i="19"/>
  <c r="V24" i="19"/>
  <c r="T29" i="3"/>
  <c r="T122" i="3" s="1"/>
  <c r="G3" i="19"/>
  <c r="G9" i="20" s="1"/>
  <c r="M19" i="18"/>
  <c r="E20" i="19"/>
  <c r="N23" i="20"/>
  <c r="C23" i="18"/>
  <c r="L17" i="20"/>
  <c r="U23" i="18"/>
  <c r="L22" i="20"/>
  <c r="F17" i="20"/>
  <c r="C10" i="20"/>
  <c r="H22" i="18"/>
  <c r="M13" i="18"/>
  <c r="I24" i="19"/>
  <c r="E10" i="20"/>
  <c r="V10" i="20"/>
  <c r="I10" i="20"/>
  <c r="N21" i="20"/>
  <c r="U13" i="18"/>
  <c r="H21" i="18"/>
  <c r="G17" i="20"/>
  <c r="K22" i="18"/>
  <c r="F21" i="20"/>
  <c r="U22" i="18"/>
  <c r="F13" i="20"/>
  <c r="T23" i="20"/>
  <c r="T21" i="20"/>
  <c r="T13" i="20"/>
  <c r="M17" i="20"/>
  <c r="H24" i="19"/>
  <c r="G10" i="20"/>
  <c r="M89" i="3"/>
  <c r="M241" i="3" s="1"/>
  <c r="H182" i="3"/>
  <c r="Q183" i="3"/>
  <c r="S19" i="18"/>
  <c r="O242" i="3"/>
  <c r="P60" i="3"/>
  <c r="P212" i="3" s="1"/>
  <c r="G243" i="3"/>
  <c r="F13" i="18"/>
  <c r="Q59" i="3"/>
  <c r="Q153" i="3" s="1"/>
  <c r="J241" i="3"/>
  <c r="S122" i="3"/>
  <c r="J243" i="3"/>
  <c r="S22" i="20"/>
  <c r="Q19" i="18"/>
  <c r="S123" i="3"/>
  <c r="J121" i="3"/>
  <c r="N22" i="20"/>
  <c r="U89" i="3"/>
  <c r="U183" i="3" s="1"/>
  <c r="J123" i="3"/>
  <c r="D242" i="3"/>
  <c r="V181" i="3"/>
  <c r="V182" i="3"/>
  <c r="Q23" i="20"/>
  <c r="O17" i="20"/>
  <c r="L13" i="20"/>
  <c r="P25" i="19"/>
  <c r="I21" i="19"/>
  <c r="V21" i="20"/>
  <c r="D22" i="18"/>
  <c r="D11" i="20"/>
  <c r="D61" i="3"/>
  <c r="D213" i="3" s="1"/>
  <c r="N13" i="18"/>
  <c r="I3" i="19"/>
  <c r="I27" i="19" s="1"/>
  <c r="F29" i="3"/>
  <c r="F122" i="3" s="1"/>
  <c r="R59" i="3"/>
  <c r="R153" i="3" s="1"/>
  <c r="S182" i="3"/>
  <c r="T242" i="3"/>
  <c r="V243" i="3"/>
  <c r="B212" i="3"/>
  <c r="B59" i="3"/>
  <c r="B152" i="3" s="1"/>
  <c r="D23" i="18"/>
  <c r="E59" i="3"/>
  <c r="E211" i="3" s="1"/>
  <c r="F213" i="3"/>
  <c r="O10" i="20"/>
  <c r="O60" i="3"/>
  <c r="U21" i="20"/>
  <c r="G23" i="18"/>
  <c r="N3" i="19"/>
  <c r="N28" i="19" s="1"/>
  <c r="N61" i="3"/>
  <c r="G13" i="18"/>
  <c r="O17" i="18"/>
  <c r="K11" i="20"/>
  <c r="K61" i="3"/>
  <c r="D29" i="3"/>
  <c r="D241" i="3" s="1"/>
  <c r="E242" i="3"/>
  <c r="U13" i="20"/>
  <c r="L29" i="3"/>
  <c r="L241" i="3" s="1"/>
  <c r="K89" i="3"/>
  <c r="K181" i="3" s="1"/>
  <c r="W21" i="19"/>
  <c r="W61" i="3"/>
  <c r="W213" i="3" s="1"/>
  <c r="H21" i="19"/>
  <c r="H61" i="3"/>
  <c r="V23" i="20"/>
  <c r="O3" i="19"/>
  <c r="O19" i="19" s="1"/>
  <c r="S11" i="20"/>
  <c r="U17" i="20"/>
  <c r="N18" i="18"/>
  <c r="C11" i="20"/>
  <c r="P11" i="20"/>
  <c r="D13" i="20"/>
  <c r="E3" i="19"/>
  <c r="E9" i="20" s="1"/>
  <c r="E11" i="20"/>
  <c r="I29" i="3"/>
  <c r="I241" i="3" s="1"/>
  <c r="U10" i="20"/>
  <c r="U60" i="3"/>
  <c r="V3" i="19"/>
  <c r="V28" i="19" s="1"/>
  <c r="V61" i="3"/>
  <c r="U23" i="20"/>
  <c r="O19" i="18"/>
  <c r="V23" i="18"/>
  <c r="L22" i="18"/>
  <c r="T3" i="19"/>
  <c r="T23" i="19" s="1"/>
  <c r="T61" i="3"/>
  <c r="T59" i="3" s="1"/>
  <c r="N19" i="18"/>
  <c r="C18" i="18"/>
  <c r="O20" i="19"/>
  <c r="P21" i="19"/>
  <c r="I11" i="20"/>
  <c r="V29" i="3"/>
  <c r="V123" i="3" s="1"/>
  <c r="I59" i="3"/>
  <c r="I152" i="3" s="1"/>
  <c r="Q182" i="3"/>
  <c r="L212" i="3"/>
  <c r="E212" i="3"/>
  <c r="F212" i="3"/>
  <c r="S24" i="19"/>
  <c r="S60" i="3"/>
  <c r="J213" i="3"/>
  <c r="L11" i="20"/>
  <c r="L61" i="3"/>
  <c r="J59" i="3"/>
  <c r="J151" i="3" s="1"/>
  <c r="D212" i="3"/>
  <c r="C24" i="19"/>
  <c r="C60" i="3"/>
  <c r="V212" i="3"/>
  <c r="H121" i="3"/>
  <c r="H241" i="3"/>
  <c r="H122" i="3"/>
  <c r="G121" i="3"/>
  <c r="G241" i="3"/>
  <c r="K121" i="3"/>
  <c r="V183" i="3"/>
  <c r="B121" i="3"/>
  <c r="B241" i="3"/>
  <c r="I183" i="3"/>
  <c r="O121" i="3"/>
  <c r="O241" i="3"/>
  <c r="E121" i="3"/>
  <c r="E241" i="3"/>
  <c r="S241" i="3"/>
  <c r="B182" i="3"/>
  <c r="N182" i="3"/>
  <c r="O182" i="3"/>
  <c r="O183" i="3"/>
  <c r="W121" i="3"/>
  <c r="W241" i="3"/>
  <c r="B122" i="3"/>
  <c r="C123" i="3"/>
  <c r="C241" i="3"/>
  <c r="B183" i="3"/>
  <c r="H123" i="3"/>
  <c r="C122" i="3"/>
  <c r="C182" i="3"/>
  <c r="E181" i="3"/>
  <c r="E182" i="3"/>
  <c r="C121" i="3"/>
  <c r="G181" i="3"/>
  <c r="G183" i="3"/>
  <c r="G182" i="3"/>
  <c r="T181" i="3"/>
  <c r="T182" i="3"/>
  <c r="S183" i="3"/>
  <c r="N183" i="3"/>
  <c r="J183" i="3"/>
  <c r="J181" i="3"/>
  <c r="P181" i="3"/>
  <c r="P183" i="3"/>
  <c r="L181" i="3"/>
  <c r="L182" i="3"/>
  <c r="W181" i="3"/>
  <c r="W182" i="3"/>
  <c r="W183" i="3"/>
  <c r="E183" i="3"/>
  <c r="D181" i="3"/>
  <c r="D182" i="3"/>
  <c r="R183" i="3"/>
  <c r="R181" i="3"/>
  <c r="I182" i="3"/>
  <c r="C183" i="3"/>
  <c r="J182" i="3"/>
  <c r="M123" i="3"/>
  <c r="M121" i="3"/>
  <c r="O123" i="3"/>
  <c r="E123" i="3"/>
  <c r="W123" i="3"/>
  <c r="G123" i="3"/>
  <c r="B123" i="3"/>
  <c r="W122" i="3"/>
  <c r="M122" i="3"/>
  <c r="N121" i="3"/>
  <c r="E122" i="3"/>
  <c r="O122" i="3"/>
  <c r="P23" i="20"/>
  <c r="D17" i="20"/>
  <c r="J22" i="18"/>
  <c r="P19" i="18"/>
  <c r="O21" i="20"/>
  <c r="O22" i="20"/>
  <c r="J23" i="18"/>
  <c r="B19" i="18"/>
  <c r="V13" i="20"/>
  <c r="T17" i="20"/>
  <c r="L18" i="18"/>
  <c r="E27" i="19"/>
  <c r="J17" i="18"/>
  <c r="J13" i="18"/>
  <c r="C25" i="19"/>
  <c r="C21" i="19"/>
  <c r="C3" i="19"/>
  <c r="C9" i="20" s="1"/>
  <c r="J19" i="18"/>
  <c r="T11" i="20"/>
  <c r="W22" i="18"/>
  <c r="L3" i="19"/>
  <c r="L29" i="19" s="1"/>
  <c r="F21" i="19"/>
  <c r="F11" i="20"/>
  <c r="F25" i="19"/>
  <c r="W23" i="18"/>
  <c r="K21" i="20"/>
  <c r="K17" i="20"/>
  <c r="K13" i="20"/>
  <c r="T25" i="19"/>
  <c r="T21" i="19"/>
  <c r="Q22" i="18"/>
  <c r="K25" i="19"/>
  <c r="K21" i="19"/>
  <c r="K3" i="19"/>
  <c r="P21" i="20"/>
  <c r="P17" i="20"/>
  <c r="P13" i="20"/>
  <c r="C21" i="20"/>
  <c r="C17" i="20"/>
  <c r="C13" i="20"/>
  <c r="L25" i="19"/>
  <c r="L21" i="19"/>
  <c r="R17" i="18"/>
  <c r="R13" i="18"/>
  <c r="I13" i="18"/>
  <c r="I17" i="18"/>
  <c r="W13" i="18"/>
  <c r="F22" i="18"/>
  <c r="R21" i="20"/>
  <c r="R17" i="20"/>
  <c r="R13" i="20"/>
  <c r="R22" i="20"/>
  <c r="J21" i="20"/>
  <c r="J17" i="20"/>
  <c r="J13" i="20"/>
  <c r="T17" i="18"/>
  <c r="T19" i="18"/>
  <c r="T13" i="18"/>
  <c r="D25" i="19"/>
  <c r="D21" i="19"/>
  <c r="B17" i="18"/>
  <c r="B13" i="18"/>
  <c r="U21" i="19"/>
  <c r="U25" i="19"/>
  <c r="H17" i="18"/>
  <c r="H13" i="18"/>
  <c r="R24" i="19"/>
  <c r="R20" i="19"/>
  <c r="R3" i="19"/>
  <c r="R9" i="20" s="1"/>
  <c r="P13" i="18"/>
  <c r="P17" i="18"/>
  <c r="R10" i="20"/>
  <c r="P23" i="18"/>
  <c r="O13" i="18"/>
  <c r="B21" i="20"/>
  <c r="B17" i="20"/>
  <c r="B13" i="20"/>
  <c r="J22" i="20"/>
  <c r="L17" i="18"/>
  <c r="L13" i="18"/>
  <c r="I21" i="20"/>
  <c r="I17" i="20"/>
  <c r="I13" i="20"/>
  <c r="M21" i="19"/>
  <c r="M25" i="19"/>
  <c r="J24" i="19"/>
  <c r="J20" i="19"/>
  <c r="J3" i="19"/>
  <c r="J9" i="20" s="1"/>
  <c r="J10" i="20"/>
  <c r="Q21" i="20"/>
  <c r="Q17" i="20"/>
  <c r="Q13" i="20"/>
  <c r="D3" i="19"/>
  <c r="D29" i="19" s="1"/>
  <c r="P22" i="18"/>
  <c r="K23" i="20"/>
  <c r="I22" i="20"/>
  <c r="K18" i="18"/>
  <c r="K17" i="18"/>
  <c r="K13" i="18"/>
  <c r="B22" i="20"/>
  <c r="R23" i="20"/>
  <c r="B23" i="20"/>
  <c r="V21" i="19"/>
  <c r="V11" i="20"/>
  <c r="V25" i="19"/>
  <c r="B21" i="18"/>
  <c r="B23" i="18"/>
  <c r="D17" i="18"/>
  <c r="D13" i="18"/>
  <c r="D19" i="18"/>
  <c r="C17" i="18"/>
  <c r="C13" i="18"/>
  <c r="E21" i="19"/>
  <c r="E25" i="19"/>
  <c r="U11" i="20"/>
  <c r="B24" i="19"/>
  <c r="B20" i="19"/>
  <c r="B3" i="19"/>
  <c r="B9" i="20" s="1"/>
  <c r="G13" i="20"/>
  <c r="B10" i="20"/>
  <c r="Q23" i="18"/>
  <c r="O22" i="18"/>
  <c r="G22" i="18"/>
  <c r="F3" i="19"/>
  <c r="H21" i="20"/>
  <c r="H17" i="20"/>
  <c r="H13" i="20"/>
  <c r="H23" i="20"/>
  <c r="S21" i="20"/>
  <c r="S17" i="20"/>
  <c r="S13" i="20"/>
  <c r="N21" i="19"/>
  <c r="N25" i="19"/>
  <c r="N11" i="20"/>
  <c r="S17" i="18"/>
  <c r="S13" i="18"/>
  <c r="U3" i="19"/>
  <c r="Q13" i="18"/>
  <c r="Q17" i="18"/>
  <c r="O13" i="20"/>
  <c r="L19" i="18"/>
  <c r="S25" i="19"/>
  <c r="S21" i="19"/>
  <c r="S3" i="19"/>
  <c r="S9" i="20" s="1"/>
  <c r="W13" i="20"/>
  <c r="M11" i="20"/>
  <c r="V22" i="18"/>
  <c r="V13" i="18"/>
  <c r="I18" i="18"/>
  <c r="U121" i="3" l="1"/>
  <c r="N123" i="3"/>
  <c r="N122" i="3"/>
  <c r="Q9" i="20"/>
  <c r="F182" i="3"/>
  <c r="H23" i="19"/>
  <c r="N19" i="19"/>
  <c r="N27" i="19"/>
  <c r="E23" i="19"/>
  <c r="F183" i="3"/>
  <c r="U122" i="3"/>
  <c r="N9" i="20"/>
  <c r="W9" i="20"/>
  <c r="M9" i="20"/>
  <c r="N29" i="19"/>
  <c r="M29" i="19"/>
  <c r="M28" i="19"/>
  <c r="W29" i="19"/>
  <c r="M19" i="19"/>
  <c r="M23" i="19"/>
  <c r="H27" i="19"/>
  <c r="Q23" i="19"/>
  <c r="H19" i="19"/>
  <c r="H28" i="19"/>
  <c r="G27" i="19"/>
  <c r="P9" i="20"/>
  <c r="H9" i="20"/>
  <c r="G28" i="19"/>
  <c r="W27" i="19"/>
  <c r="P27" i="19"/>
  <c r="W19" i="19"/>
  <c r="W23" i="19"/>
  <c r="R241" i="3"/>
  <c r="R121" i="3"/>
  <c r="R122" i="3"/>
  <c r="F241" i="3"/>
  <c r="Q122" i="3"/>
  <c r="L121" i="3"/>
  <c r="P121" i="3"/>
  <c r="Q121" i="3"/>
  <c r="T123" i="3"/>
  <c r="P122" i="3"/>
  <c r="Q241" i="3"/>
  <c r="U182" i="3"/>
  <c r="T241" i="3"/>
  <c r="K183" i="3"/>
  <c r="E28" i="19"/>
  <c r="M182" i="3"/>
  <c r="F152" i="3"/>
  <c r="D123" i="3"/>
  <c r="F153" i="3"/>
  <c r="Q27" i="19"/>
  <c r="E153" i="3"/>
  <c r="Q28" i="19"/>
  <c r="P59" i="3"/>
  <c r="P211" i="3" s="1"/>
  <c r="Q19" i="19"/>
  <c r="L123" i="3"/>
  <c r="M59" i="3"/>
  <c r="M152" i="3" s="1"/>
  <c r="O9" i="20"/>
  <c r="Q151" i="3"/>
  <c r="P29" i="19"/>
  <c r="P28" i="19"/>
  <c r="Q152" i="3"/>
  <c r="G59" i="3"/>
  <c r="M181" i="3"/>
  <c r="O27" i="19"/>
  <c r="E152" i="3"/>
  <c r="T121" i="3"/>
  <c r="E151" i="3"/>
  <c r="I122" i="3"/>
  <c r="M183" i="3"/>
  <c r="Q211" i="3"/>
  <c r="P19" i="19"/>
  <c r="I121" i="3"/>
  <c r="R211" i="3"/>
  <c r="O23" i="19"/>
  <c r="K182" i="3"/>
  <c r="E29" i="19"/>
  <c r="O28" i="19"/>
  <c r="E19" i="19"/>
  <c r="P241" i="3"/>
  <c r="F121" i="3"/>
  <c r="D122" i="3"/>
  <c r="J211" i="3"/>
  <c r="V19" i="19"/>
  <c r="J153" i="3"/>
  <c r="D121" i="3"/>
  <c r="F211" i="3"/>
  <c r="J152" i="3"/>
  <c r="G29" i="19"/>
  <c r="F123" i="3"/>
  <c r="V27" i="19"/>
  <c r="U181" i="3"/>
  <c r="G19" i="19"/>
  <c r="I153" i="3"/>
  <c r="U241" i="3"/>
  <c r="I211" i="3"/>
  <c r="G23" i="19"/>
  <c r="I23" i="19"/>
  <c r="I151" i="3"/>
  <c r="I28" i="19"/>
  <c r="T19" i="19"/>
  <c r="T27" i="19"/>
  <c r="I123" i="3"/>
  <c r="W59" i="3"/>
  <c r="W211" i="3" s="1"/>
  <c r="K241" i="3"/>
  <c r="L122" i="3"/>
  <c r="T151" i="3"/>
  <c r="T152" i="3"/>
  <c r="T211" i="3"/>
  <c r="O29" i="19"/>
  <c r="I19" i="19"/>
  <c r="V121" i="3"/>
  <c r="C212" i="3"/>
  <c r="C59" i="3"/>
  <c r="T29" i="19"/>
  <c r="T28" i="19"/>
  <c r="V241" i="3"/>
  <c r="R152" i="3"/>
  <c r="R151" i="3"/>
  <c r="I9" i="20"/>
  <c r="T9" i="20"/>
  <c r="V122" i="3"/>
  <c r="V59" i="3"/>
  <c r="V213" i="3"/>
  <c r="H213" i="3"/>
  <c r="H59" i="3"/>
  <c r="N59" i="3"/>
  <c r="N213" i="3"/>
  <c r="L59" i="3"/>
  <c r="L213" i="3"/>
  <c r="V23" i="19"/>
  <c r="N23" i="19"/>
  <c r="T213" i="3"/>
  <c r="T153" i="3"/>
  <c r="U212" i="3"/>
  <c r="U59" i="3"/>
  <c r="B151" i="3"/>
  <c r="B211" i="3"/>
  <c r="B153" i="3"/>
  <c r="D59" i="3"/>
  <c r="I29" i="19"/>
  <c r="V29" i="19"/>
  <c r="V9" i="20"/>
  <c r="S59" i="3"/>
  <c r="S212" i="3"/>
  <c r="K59" i="3"/>
  <c r="K213" i="3"/>
  <c r="O59" i="3"/>
  <c r="O212" i="3"/>
  <c r="C29" i="19"/>
  <c r="K27" i="19"/>
  <c r="K23" i="19"/>
  <c r="K19" i="19"/>
  <c r="K28" i="19"/>
  <c r="F27" i="19"/>
  <c r="F23" i="19"/>
  <c r="F19" i="19"/>
  <c r="F28" i="19"/>
  <c r="F9" i="20"/>
  <c r="K29" i="19"/>
  <c r="U27" i="19"/>
  <c r="U23" i="19"/>
  <c r="U19" i="19"/>
  <c r="U9" i="20"/>
  <c r="U28" i="19"/>
  <c r="K9" i="20"/>
  <c r="U29" i="19"/>
  <c r="D27" i="19"/>
  <c r="D23" i="19"/>
  <c r="D19" i="19"/>
  <c r="D28" i="19"/>
  <c r="D9" i="20"/>
  <c r="L27" i="19"/>
  <c r="L23" i="19"/>
  <c r="L19" i="19"/>
  <c r="L9" i="20"/>
  <c r="L28" i="19"/>
  <c r="B19" i="19"/>
  <c r="B27" i="19"/>
  <c r="B23" i="19"/>
  <c r="B29" i="19"/>
  <c r="B28" i="19"/>
  <c r="R19" i="19"/>
  <c r="R27" i="19"/>
  <c r="R23" i="19"/>
  <c r="R29" i="19"/>
  <c r="C27" i="19"/>
  <c r="C19" i="19"/>
  <c r="C23" i="19"/>
  <c r="C28" i="19"/>
  <c r="J19" i="19"/>
  <c r="J27" i="19"/>
  <c r="J23" i="19"/>
  <c r="J29" i="19"/>
  <c r="S27" i="19"/>
  <c r="S19" i="19"/>
  <c r="S23" i="19"/>
  <c r="S28" i="19"/>
  <c r="S29" i="19"/>
  <c r="J28" i="19"/>
  <c r="R28" i="19"/>
  <c r="F29" i="19"/>
  <c r="M211" i="3" l="1"/>
  <c r="M151" i="3"/>
  <c r="P153" i="3"/>
  <c r="P151" i="3"/>
  <c r="P152" i="3"/>
  <c r="M153" i="3"/>
  <c r="G211" i="3"/>
  <c r="G152" i="3"/>
  <c r="G151" i="3"/>
  <c r="G153" i="3"/>
  <c r="W153" i="3"/>
  <c r="W151" i="3"/>
  <c r="W152" i="3"/>
  <c r="N152" i="3"/>
  <c r="N151" i="3"/>
  <c r="N211" i="3"/>
  <c r="N153" i="3"/>
  <c r="H153" i="3"/>
  <c r="H211" i="3"/>
  <c r="H151" i="3"/>
  <c r="H152" i="3"/>
  <c r="C153" i="3"/>
  <c r="C151" i="3"/>
  <c r="C211" i="3"/>
  <c r="C152" i="3"/>
  <c r="O152" i="3"/>
  <c r="O151" i="3"/>
  <c r="O153" i="3"/>
  <c r="O211" i="3"/>
  <c r="D151" i="3"/>
  <c r="D211" i="3"/>
  <c r="D152" i="3"/>
  <c r="D153" i="3"/>
  <c r="V151" i="3"/>
  <c r="V211" i="3"/>
  <c r="V153" i="3"/>
  <c r="V152" i="3"/>
  <c r="K152" i="3"/>
  <c r="K151" i="3"/>
  <c r="K211" i="3"/>
  <c r="K153" i="3"/>
  <c r="L153" i="3"/>
  <c r="L152" i="3"/>
  <c r="L151" i="3"/>
  <c r="L211" i="3"/>
  <c r="S152" i="3"/>
  <c r="S151" i="3"/>
  <c r="S211" i="3"/>
  <c r="S153" i="3"/>
  <c r="U152" i="3"/>
  <c r="U153" i="3"/>
  <c r="U151" i="3"/>
  <c r="U211" i="3"/>
  <c r="W35" i="10" l="1"/>
  <c r="V35" i="10"/>
  <c r="U35" i="10"/>
  <c r="S35" i="10"/>
  <c r="R35" i="10"/>
  <c r="Q35" i="10"/>
  <c r="P35" i="10"/>
  <c r="O35" i="10"/>
  <c r="N35" i="10"/>
  <c r="M35" i="10"/>
  <c r="K35" i="10"/>
  <c r="J35" i="10"/>
  <c r="I35" i="10"/>
  <c r="H35" i="10"/>
  <c r="G35" i="10"/>
  <c r="F35" i="10"/>
  <c r="E35" i="10"/>
  <c r="C35" i="10"/>
  <c r="W32" i="10"/>
  <c r="V32" i="10"/>
  <c r="U32" i="10"/>
  <c r="T32" i="10"/>
  <c r="S32" i="10"/>
  <c r="R32" i="10"/>
  <c r="Q32" i="10"/>
  <c r="P32" i="10"/>
  <c r="O32" i="10"/>
  <c r="N32" i="10"/>
  <c r="M32" i="10"/>
  <c r="L32" i="10"/>
  <c r="K32" i="10"/>
  <c r="J32" i="10"/>
  <c r="I32" i="10"/>
  <c r="H32" i="10"/>
  <c r="G32" i="10"/>
  <c r="F32" i="10"/>
  <c r="E32" i="10"/>
  <c r="D32" i="10"/>
  <c r="C32" i="10"/>
  <c r="W31" i="10"/>
  <c r="V31" i="10"/>
  <c r="U31" i="10"/>
  <c r="T31" i="10"/>
  <c r="S31" i="10"/>
  <c r="R31" i="10"/>
  <c r="Q31" i="10"/>
  <c r="P31" i="10"/>
  <c r="O31" i="10"/>
  <c r="N31" i="10"/>
  <c r="M31" i="10"/>
  <c r="L31" i="10"/>
  <c r="K31" i="10"/>
  <c r="J31" i="10"/>
  <c r="I31" i="10"/>
  <c r="G31" i="10"/>
  <c r="F31" i="10"/>
  <c r="E31" i="10"/>
  <c r="D31" i="10"/>
  <c r="C31" i="10"/>
  <c r="V11" i="10"/>
  <c r="W28" i="10"/>
  <c r="V28" i="10"/>
  <c r="U28" i="10"/>
  <c r="T28" i="10"/>
  <c r="S28" i="10"/>
  <c r="R28" i="10"/>
  <c r="Q28" i="10"/>
  <c r="P28" i="10"/>
  <c r="O28" i="10"/>
  <c r="N28" i="10"/>
  <c r="M28" i="10"/>
  <c r="L28" i="10"/>
  <c r="K28" i="10"/>
  <c r="J28" i="10"/>
  <c r="I28" i="10"/>
  <c r="H28" i="10"/>
  <c r="G28" i="10"/>
  <c r="F28" i="10"/>
  <c r="E28" i="10"/>
  <c r="D28" i="10"/>
  <c r="C28" i="10"/>
  <c r="B35" i="10"/>
  <c r="B32" i="10"/>
  <c r="B31" i="10"/>
  <c r="B28" i="10"/>
  <c r="W24" i="10"/>
  <c r="V24" i="10"/>
  <c r="U24" i="10"/>
  <c r="T24" i="10"/>
  <c r="S24" i="10"/>
  <c r="Q24" i="10"/>
  <c r="P24" i="10"/>
  <c r="O24" i="10"/>
  <c r="N24" i="10"/>
  <c r="M24" i="10"/>
  <c r="L24" i="10"/>
  <c r="K24" i="10"/>
  <c r="I24" i="10"/>
  <c r="H24" i="10"/>
  <c r="G24" i="10"/>
  <c r="F24" i="10"/>
  <c r="E24" i="10"/>
  <c r="D24" i="10"/>
  <c r="C24" i="10"/>
  <c r="S4" i="10"/>
  <c r="K4" i="10"/>
  <c r="C4" i="10"/>
  <c r="B24" i="10"/>
  <c r="P17" i="9" l="1"/>
  <c r="T4" i="10"/>
  <c r="H17" i="9"/>
  <c r="Q17" i="9"/>
  <c r="E4" i="10"/>
  <c r="M4" i="10"/>
  <c r="U4" i="10"/>
  <c r="I17" i="9"/>
  <c r="F17" i="9"/>
  <c r="N17" i="9"/>
  <c r="G11" i="10"/>
  <c r="G9" i="10" s="1"/>
  <c r="O11" i="10"/>
  <c r="O9" i="10" s="1"/>
  <c r="V17" i="9"/>
  <c r="I11" i="10"/>
  <c r="Q11" i="10"/>
  <c r="Q9" i="10" s="1"/>
  <c r="G15" i="10"/>
  <c r="O15" i="10"/>
  <c r="W15" i="10"/>
  <c r="V9" i="10"/>
  <c r="F15" i="10"/>
  <c r="C11" i="10"/>
  <c r="C9" i="10" s="1"/>
  <c r="K11" i="10"/>
  <c r="K9" i="10" s="1"/>
  <c r="S11" i="10"/>
  <c r="S9" i="10" s="1"/>
  <c r="J15" i="10"/>
  <c r="D15" i="10"/>
  <c r="D35" i="10"/>
  <c r="L15" i="10"/>
  <c r="L35" i="10"/>
  <c r="T15" i="10"/>
  <c r="T35" i="10"/>
  <c r="R15" i="10"/>
  <c r="H11" i="10"/>
  <c r="H31" i="10"/>
  <c r="J11" i="10"/>
  <c r="R11" i="10"/>
  <c r="F11" i="10"/>
  <c r="N11" i="10"/>
  <c r="P11" i="10"/>
  <c r="M17" i="9"/>
  <c r="U17" i="9"/>
  <c r="J17" i="9"/>
  <c r="R17" i="9"/>
  <c r="C15" i="10"/>
  <c r="K15" i="10"/>
  <c r="S15" i="10"/>
  <c r="D4" i="10"/>
  <c r="L4" i="10"/>
  <c r="W11" i="10"/>
  <c r="E15" i="10"/>
  <c r="M15" i="10"/>
  <c r="U15" i="10"/>
  <c r="H15" i="10"/>
  <c r="P15" i="10"/>
  <c r="E17" i="9"/>
  <c r="N15" i="10"/>
  <c r="V15" i="10"/>
  <c r="J4" i="10"/>
  <c r="R4" i="10"/>
  <c r="D11" i="10"/>
  <c r="L11" i="10"/>
  <c r="T11" i="10"/>
  <c r="J24" i="10"/>
  <c r="R24" i="10"/>
  <c r="F4" i="10"/>
  <c r="N4" i="10"/>
  <c r="V4" i="10"/>
  <c r="I4" i="10"/>
  <c r="Q4" i="10"/>
  <c r="C17" i="9"/>
  <c r="O4" i="10"/>
  <c r="M11" i="10"/>
  <c r="I15" i="10"/>
  <c r="Q15" i="10"/>
  <c r="K17" i="9"/>
  <c r="S17" i="9"/>
  <c r="G4" i="10"/>
  <c r="W4" i="10"/>
  <c r="E11" i="10"/>
  <c r="E9" i="10" s="1"/>
  <c r="U11" i="10"/>
  <c r="D17" i="9"/>
  <c r="L17" i="9"/>
  <c r="T17" i="9"/>
  <c r="G17" i="9"/>
  <c r="O17" i="9"/>
  <c r="W17" i="9"/>
  <c r="H4" i="10"/>
  <c r="P4" i="10"/>
  <c r="O8" i="10" l="1"/>
  <c r="N9" i="10"/>
  <c r="N8" i="10" s="1"/>
  <c r="M9" i="10"/>
  <c r="G8" i="10"/>
  <c r="F9" i="10"/>
  <c r="W9" i="10"/>
  <c r="R9" i="10"/>
  <c r="E8" i="10"/>
  <c r="Q8" i="10"/>
  <c r="T9" i="10"/>
  <c r="J9" i="10"/>
  <c r="V8" i="10"/>
  <c r="L9" i="10"/>
  <c r="S8" i="10"/>
  <c r="I9" i="10"/>
  <c r="U9" i="10"/>
  <c r="U8" i="10" s="1"/>
  <c r="H9" i="10"/>
  <c r="D9" i="10"/>
  <c r="P9" i="10"/>
  <c r="K8" i="10"/>
  <c r="C8" i="10"/>
  <c r="M8" i="10" l="1"/>
  <c r="J8" i="10"/>
  <c r="D8" i="10"/>
  <c r="H8" i="10"/>
  <c r="R8" i="10"/>
  <c r="L8" i="10"/>
  <c r="W8" i="10"/>
  <c r="P8" i="10"/>
  <c r="I8" i="10"/>
  <c r="T8" i="10"/>
  <c r="F8" i="10"/>
  <c r="W30" i="10" l="1"/>
  <c r="W34" i="10" l="1"/>
  <c r="U30" i="10" l="1"/>
  <c r="U34" i="10"/>
  <c r="V34" i="10" l="1"/>
  <c r="T30" i="10" l="1"/>
  <c r="T34" i="10"/>
  <c r="S34" i="10" l="1"/>
  <c r="S30" i="10" l="1"/>
  <c r="V30" i="10" l="1"/>
  <c r="I34" i="10" l="1"/>
  <c r="I30" i="10"/>
  <c r="J34" i="10" l="1"/>
  <c r="H30" i="10" l="1"/>
  <c r="H34" i="10"/>
  <c r="K34" i="10" l="1"/>
  <c r="J30" i="10"/>
  <c r="K30" i="10" l="1"/>
  <c r="G30" i="10"/>
  <c r="G34" i="10" l="1"/>
  <c r="F30" i="10" l="1"/>
  <c r="F34" i="10"/>
  <c r="L34" i="10" l="1"/>
  <c r="M34" i="10"/>
  <c r="L30" i="10"/>
  <c r="E34" i="10" l="1"/>
  <c r="M30" i="10"/>
  <c r="E30" i="10" l="1"/>
  <c r="N34" i="10" l="1"/>
  <c r="D34" i="10" l="1"/>
  <c r="D30" i="10"/>
  <c r="N30" i="10"/>
  <c r="C30" i="10" l="1"/>
  <c r="C34" i="10"/>
  <c r="O34" i="10"/>
  <c r="O30" i="10" l="1"/>
  <c r="B30" i="10" l="1"/>
  <c r="P30" i="10" l="1"/>
  <c r="B34" i="10"/>
  <c r="P34" i="10" l="1"/>
  <c r="Q30" i="10" l="1"/>
  <c r="Q34" i="10"/>
  <c r="R34" i="10" l="1"/>
  <c r="R30" i="10" l="1"/>
  <c r="Q15" i="17" l="1"/>
  <c r="I15" i="17"/>
  <c r="G14" i="17" l="1"/>
  <c r="O14" i="17"/>
  <c r="W14" i="17"/>
  <c r="F14" i="17"/>
  <c r="N14" i="17"/>
  <c r="V14" i="17"/>
  <c r="H15" i="17"/>
  <c r="P15" i="17"/>
  <c r="H14" i="17"/>
  <c r="P14" i="17"/>
  <c r="B15" i="17"/>
  <c r="J15" i="17"/>
  <c r="R15" i="17"/>
  <c r="I14" i="17"/>
  <c r="Q14" i="17"/>
  <c r="C15" i="17"/>
  <c r="K15" i="17"/>
  <c r="S15" i="17"/>
  <c r="B14" i="17"/>
  <c r="J14" i="17"/>
  <c r="R14" i="17"/>
  <c r="D15" i="17"/>
  <c r="L15" i="17"/>
  <c r="T15" i="17"/>
  <c r="C14" i="17"/>
  <c r="K14" i="17"/>
  <c r="S14" i="17"/>
  <c r="E15" i="17"/>
  <c r="M15" i="17"/>
  <c r="U15" i="17"/>
  <c r="D14" i="17"/>
  <c r="L14" i="17"/>
  <c r="T14" i="17"/>
  <c r="F15" i="17"/>
  <c r="N15" i="17"/>
  <c r="V15" i="17"/>
  <c r="E14" i="17"/>
  <c r="M14" i="17"/>
  <c r="U14" i="17"/>
  <c r="G15" i="17"/>
  <c r="O15" i="17"/>
  <c r="W15" i="17"/>
  <c r="W99" i="8"/>
  <c r="W98" i="8"/>
  <c r="W97" i="8"/>
  <c r="W90" i="8"/>
  <c r="W87" i="8"/>
  <c r="W58" i="8"/>
  <c r="W80" i="8" s="1"/>
  <c r="W53" i="8"/>
  <c r="W75" i="8" s="1"/>
  <c r="W51" i="8"/>
  <c r="W73" i="8" s="1"/>
  <c r="W43" i="8"/>
  <c r="W39" i="8"/>
  <c r="W37" i="8" s="1"/>
  <c r="W32" i="8"/>
  <c r="W67" i="8" s="1"/>
  <c r="W28" i="8"/>
  <c r="W21" i="8"/>
  <c r="W86" i="8"/>
  <c r="W17" i="8"/>
  <c r="W29" i="10" s="1"/>
  <c r="W84" i="8"/>
  <c r="W57" i="8"/>
  <c r="W79" i="8" s="1"/>
  <c r="W55" i="8"/>
  <c r="W77" i="8" s="1"/>
  <c r="W54" i="8"/>
  <c r="W76" i="8" s="1"/>
  <c r="W6" i="8"/>
  <c r="W4" i="8" s="1"/>
  <c r="W105" i="8" s="1"/>
  <c r="W218" i="7"/>
  <c r="W211" i="7"/>
  <c r="W205" i="7"/>
  <c r="W52" i="6"/>
  <c r="W88" i="3"/>
  <c r="W87" i="3"/>
  <c r="W85" i="3"/>
  <c r="W84" i="3"/>
  <c r="W83" i="3"/>
  <c r="W76" i="3"/>
  <c r="W75" i="3"/>
  <c r="W74" i="3"/>
  <c r="W72" i="3"/>
  <c r="W164" i="3" s="1"/>
  <c r="W70" i="3"/>
  <c r="W162" i="3" s="1"/>
  <c r="W55" i="3"/>
  <c r="W54" i="3"/>
  <c r="W53" i="3"/>
  <c r="W46" i="3"/>
  <c r="W45" i="3"/>
  <c r="W44" i="3"/>
  <c r="W42" i="3"/>
  <c r="W40" i="3"/>
  <c r="W28" i="3"/>
  <c r="W27" i="3"/>
  <c r="W25" i="3"/>
  <c r="W24" i="3"/>
  <c r="W23" i="3"/>
  <c r="W16" i="3"/>
  <c r="W15" i="3"/>
  <c r="W14" i="3"/>
  <c r="W12" i="3"/>
  <c r="W10" i="3"/>
  <c r="W53" i="9"/>
  <c r="W51" i="9"/>
  <c r="W50" i="9"/>
  <c r="W49" i="9"/>
  <c r="W47" i="9"/>
  <c r="W42" i="9"/>
  <c r="W40" i="9"/>
  <c r="W38" i="9"/>
  <c r="W31" i="9"/>
  <c r="W28" i="9"/>
  <c r="W51" i="3"/>
  <c r="W29" i="9"/>
  <c r="W27" i="9"/>
  <c r="W13" i="9"/>
  <c r="W36" i="9"/>
  <c r="W5" i="9"/>
  <c r="W68" i="10"/>
  <c r="W43" i="10"/>
  <c r="W42" i="10"/>
  <c r="W41" i="10"/>
  <c r="W46" i="10"/>
  <c r="W56" i="10"/>
  <c r="W54" i="10"/>
  <c r="W64" i="10"/>
  <c r="W39" i="10"/>
  <c r="W101" i="11"/>
  <c r="W92" i="11"/>
  <c r="W82" i="11"/>
  <c r="W73" i="11"/>
  <c r="W71" i="11"/>
  <c r="W58" i="11"/>
  <c r="W54" i="11"/>
  <c r="W48" i="11"/>
  <c r="W44" i="11"/>
  <c r="W38" i="11"/>
  <c r="W72" i="11"/>
  <c r="W69" i="11"/>
  <c r="W68" i="11"/>
  <c r="W28" i="11"/>
  <c r="W102" i="11"/>
  <c r="W99" i="11"/>
  <c r="W98" i="11"/>
  <c r="W97" i="11"/>
  <c r="W83" i="11"/>
  <c r="W81" i="11"/>
  <c r="W18" i="11"/>
  <c r="W79" i="11"/>
  <c r="W14" i="11"/>
  <c r="W117" i="11" s="1"/>
  <c r="W93" i="11"/>
  <c r="W8" i="11"/>
  <c r="W4" i="11"/>
  <c r="W44" i="12"/>
  <c r="W35" i="12"/>
  <c r="W33" i="12"/>
  <c r="W29" i="12"/>
  <c r="W25" i="12"/>
  <c r="W75" i="12" s="1"/>
  <c r="W23" i="12"/>
  <c r="W73" i="12" s="1"/>
  <c r="W19" i="12"/>
  <c r="W69" i="12" s="1"/>
  <c r="W45" i="12"/>
  <c r="W41" i="12"/>
  <c r="W6" i="12"/>
  <c r="W4" i="12"/>
  <c r="W39" i="13"/>
  <c r="W37" i="13"/>
  <c r="W47" i="13"/>
  <c r="W45" i="13"/>
  <c r="W34" i="13"/>
  <c r="W43" i="13"/>
  <c r="W6" i="13"/>
  <c r="W4" i="13"/>
  <c r="W15" i="14"/>
  <c r="W14" i="14"/>
  <c r="W20" i="14" s="1"/>
  <c r="W4" i="14"/>
  <c r="W14" i="15"/>
  <c r="W10" i="16"/>
  <c r="W58" i="3" s="1"/>
  <c r="W4" i="16"/>
  <c r="W57" i="3" s="1"/>
  <c r="W19" i="17"/>
  <c r="W37" i="9" l="1"/>
  <c r="W11" i="3"/>
  <c r="W22" i="13"/>
  <c r="W80" i="11"/>
  <c r="W53" i="11"/>
  <c r="W70" i="11"/>
  <c r="W100" i="11"/>
  <c r="W122" i="8"/>
  <c r="W33" i="10"/>
  <c r="W224" i="3"/>
  <c r="W240" i="3"/>
  <c r="W36" i="8"/>
  <c r="W43" i="11"/>
  <c r="W239" i="3"/>
  <c r="W226" i="3"/>
  <c r="W73" i="3"/>
  <c r="W82" i="3"/>
  <c r="W86" i="3"/>
  <c r="W235" i="3"/>
  <c r="W209" i="3"/>
  <c r="W210" i="3"/>
  <c r="W192" i="3"/>
  <c r="W11" i="9"/>
  <c r="W35" i="9" s="1"/>
  <c r="W194" i="3"/>
  <c r="W123" i="8"/>
  <c r="W4" i="9"/>
  <c r="W22" i="10" s="1"/>
  <c r="W23" i="10"/>
  <c r="W41" i="3"/>
  <c r="W107" i="8"/>
  <c r="W124" i="8"/>
  <c r="W108" i="8"/>
  <c r="W110" i="8"/>
  <c r="W85" i="8"/>
  <c r="W106" i="8"/>
  <c r="W96" i="8"/>
  <c r="W227" i="3"/>
  <c r="W26" i="3"/>
  <c r="W18" i="13"/>
  <c r="W43" i="3"/>
  <c r="W122" i="11"/>
  <c r="W207" i="3"/>
  <c r="W22" i="3"/>
  <c r="W121" i="11"/>
  <c r="W63" i="8"/>
  <c r="W26" i="8"/>
  <c r="W94" i="8" s="1"/>
  <c r="W88" i="8"/>
  <c r="W52" i="8"/>
  <c r="W89" i="8"/>
  <c r="W109" i="8"/>
  <c r="W15" i="8"/>
  <c r="W91" i="8"/>
  <c r="W101" i="8"/>
  <c r="W102" i="8"/>
  <c r="W95" i="8"/>
  <c r="W9" i="3"/>
  <c r="W10" i="8"/>
  <c r="W113" i="8" s="1"/>
  <c r="W52" i="3"/>
  <c r="W196" i="3"/>
  <c r="W206" i="3"/>
  <c r="W228" i="3"/>
  <c r="W236" i="3"/>
  <c r="W197" i="3"/>
  <c r="W205" i="3"/>
  <c r="W198" i="3"/>
  <c r="W56" i="3"/>
  <c r="W237" i="3"/>
  <c r="W13" i="3"/>
  <c r="W222" i="3"/>
  <c r="W21" i="14"/>
  <c r="W27" i="14"/>
  <c r="W108" i="11"/>
  <c r="W109" i="11"/>
  <c r="W90" i="11"/>
  <c r="W113" i="11"/>
  <c r="W111" i="11"/>
  <c r="W110" i="11"/>
  <c r="W106" i="11"/>
  <c r="W112" i="11"/>
  <c r="W52" i="9"/>
  <c r="W30" i="9"/>
  <c r="W20" i="16"/>
  <c r="W3" i="16"/>
  <c r="W29" i="16" s="1"/>
  <c r="W24" i="16"/>
  <c r="W10" i="17"/>
  <c r="W25" i="16"/>
  <c r="W21" i="16"/>
  <c r="W11" i="17"/>
  <c r="W119" i="11"/>
  <c r="W13" i="11"/>
  <c r="W116" i="11"/>
  <c r="W3" i="15"/>
  <c r="W19" i="15" s="1"/>
  <c r="W15" i="15"/>
  <c r="W44" i="13"/>
  <c r="W5" i="13"/>
  <c r="W3" i="13" s="1"/>
  <c r="W5" i="12"/>
  <c r="W24" i="12"/>
  <c r="W74" i="12" s="1"/>
  <c r="W34" i="12"/>
  <c r="W43" i="12"/>
  <c r="W24" i="11"/>
  <c r="W86" i="11" s="1"/>
  <c r="W34" i="11"/>
  <c r="W91" i="11"/>
  <c r="W120" i="11"/>
  <c r="W57" i="10"/>
  <c r="W39" i="9"/>
  <c r="W48" i="9"/>
  <c r="W3" i="17"/>
  <c r="W7" i="15"/>
  <c r="W21" i="15" s="1"/>
  <c r="W38" i="13"/>
  <c r="W18" i="12"/>
  <c r="W68" i="12" s="1"/>
  <c r="W28" i="12"/>
  <c r="W71" i="3"/>
  <c r="W13" i="14"/>
  <c r="W25" i="14" s="1"/>
  <c r="W67" i="11"/>
  <c r="W103" i="11"/>
  <c r="W123" i="11"/>
  <c r="W52" i="10"/>
  <c r="W32" i="9"/>
  <c r="W18" i="17"/>
  <c r="W26" i="14"/>
  <c r="W32" i="13"/>
  <c r="W49" i="13"/>
  <c r="W20" i="12"/>
  <c r="W70" i="12" s="1"/>
  <c r="W30" i="12"/>
  <c r="W39" i="12"/>
  <c r="W77" i="11"/>
  <c r="W87" i="11"/>
  <c r="W53" i="10"/>
  <c r="W25" i="9"/>
  <c r="W43" i="9"/>
  <c r="W10" i="13"/>
  <c r="W26" i="13" s="1"/>
  <c r="W33" i="13"/>
  <c r="W10" i="12"/>
  <c r="W21" i="12"/>
  <c r="W71" i="12" s="1"/>
  <c r="W31" i="12"/>
  <c r="W40" i="12"/>
  <c r="W78" i="11"/>
  <c r="W88" i="11"/>
  <c r="W107" i="11"/>
  <c r="W45" i="10"/>
  <c r="W26" i="9"/>
  <c r="W50" i="10"/>
  <c r="W48" i="13"/>
  <c r="W89" i="11"/>
  <c r="W118" i="11"/>
  <c r="W81" i="3"/>
  <c r="W54" i="9"/>
  <c r="W35" i="13"/>
  <c r="V218" i="7"/>
  <c r="U218" i="7"/>
  <c r="T218" i="7"/>
  <c r="S218" i="7"/>
  <c r="R218" i="7"/>
  <c r="Q218" i="7"/>
  <c r="P218" i="7"/>
  <c r="O218" i="7"/>
  <c r="N218" i="7"/>
  <c r="M218" i="7"/>
  <c r="L218" i="7"/>
  <c r="J218" i="7"/>
  <c r="I218" i="7"/>
  <c r="H218" i="7"/>
  <c r="G218" i="7"/>
  <c r="F218" i="7"/>
  <c r="E218" i="7"/>
  <c r="D218" i="7"/>
  <c r="C218" i="7"/>
  <c r="B218" i="7"/>
  <c r="V211" i="7"/>
  <c r="U211" i="7"/>
  <c r="T211" i="7"/>
  <c r="S211" i="7"/>
  <c r="R211" i="7"/>
  <c r="Q211" i="7"/>
  <c r="P211" i="7"/>
  <c r="O211" i="7"/>
  <c r="N211" i="7"/>
  <c r="M211" i="7"/>
  <c r="L211" i="7"/>
  <c r="J211" i="7"/>
  <c r="I211" i="7"/>
  <c r="H211" i="7"/>
  <c r="G211" i="7"/>
  <c r="F211" i="7"/>
  <c r="E211" i="7"/>
  <c r="D211" i="7"/>
  <c r="C211" i="7"/>
  <c r="B211" i="7"/>
  <c r="V205" i="7"/>
  <c r="U205" i="7"/>
  <c r="T205" i="7"/>
  <c r="S205" i="7"/>
  <c r="R205" i="7"/>
  <c r="Q205" i="7"/>
  <c r="P205" i="7"/>
  <c r="O205" i="7"/>
  <c r="N205" i="7"/>
  <c r="M205" i="7"/>
  <c r="L205" i="7"/>
  <c r="J205" i="7"/>
  <c r="I205" i="7"/>
  <c r="H205" i="7"/>
  <c r="G205" i="7"/>
  <c r="F205" i="7"/>
  <c r="E205" i="7"/>
  <c r="D205" i="7"/>
  <c r="C205" i="7"/>
  <c r="B205" i="7"/>
  <c r="K205" i="7"/>
  <c r="K211" i="7"/>
  <c r="W10" i="9" l="1"/>
  <c r="W38" i="12"/>
  <c r="W42" i="13"/>
  <c r="W21" i="13"/>
  <c r="W23" i="17"/>
  <c r="W13" i="17"/>
  <c r="W118" i="8"/>
  <c r="W27" i="10"/>
  <c r="W234" i="3"/>
  <c r="W39" i="3"/>
  <c r="W191" i="3" s="1"/>
  <c r="W195" i="3"/>
  <c r="W238" i="3"/>
  <c r="W41" i="9"/>
  <c r="W24" i="9"/>
  <c r="W46" i="9"/>
  <c r="W69" i="3"/>
  <c r="W223" i="3"/>
  <c r="W60" i="9"/>
  <c r="W58" i="9"/>
  <c r="W64" i="9"/>
  <c r="W61" i="9"/>
  <c r="W62" i="9"/>
  <c r="W59" i="9"/>
  <c r="W65" i="9"/>
  <c r="W193" i="3"/>
  <c r="W57" i="9"/>
  <c r="W63" i="9"/>
  <c r="W120" i="8"/>
  <c r="W121" i="8"/>
  <c r="W119" i="8"/>
  <c r="W117" i="8"/>
  <c r="W112" i="8"/>
  <c r="W74" i="8"/>
  <c r="W50" i="8"/>
  <c r="W28" i="16"/>
  <c r="W54" i="13"/>
  <c r="W52" i="13"/>
  <c r="W12" i="14"/>
  <c r="W24" i="14" s="1"/>
  <c r="W116" i="8"/>
  <c r="W83" i="8"/>
  <c r="W14" i="8"/>
  <c r="W56" i="8"/>
  <c r="W78" i="8" s="1"/>
  <c r="W21" i="3"/>
  <c r="W203" i="3" s="1"/>
  <c r="W111" i="8"/>
  <c r="W100" i="8"/>
  <c r="W25" i="8"/>
  <c r="W45" i="9" s="1"/>
  <c r="W61" i="8"/>
  <c r="W208" i="3"/>
  <c r="W225" i="3"/>
  <c r="W204" i="3"/>
  <c r="W19" i="14"/>
  <c r="W55" i="10"/>
  <c r="W44" i="10"/>
  <c r="W38" i="10"/>
  <c r="W49" i="10"/>
  <c r="W59" i="13"/>
  <c r="W46" i="13"/>
  <c r="W56" i="13"/>
  <c r="W36" i="13"/>
  <c r="W42" i="12"/>
  <c r="W32" i="12"/>
  <c r="W22" i="12"/>
  <c r="W72" i="12" s="1"/>
  <c r="W3" i="12"/>
  <c r="W62" i="10"/>
  <c r="W51" i="10"/>
  <c r="W40" i="10"/>
  <c r="W66" i="11"/>
  <c r="W19" i="13"/>
  <c r="W23" i="15"/>
  <c r="W53" i="13"/>
  <c r="W51" i="13"/>
  <c r="W57" i="13"/>
  <c r="W55" i="13"/>
  <c r="W23" i="11"/>
  <c r="W95" i="11" s="1"/>
  <c r="W96" i="11"/>
  <c r="W76" i="11"/>
  <c r="W22" i="17"/>
  <c r="W21" i="17"/>
  <c r="W17" i="17"/>
  <c r="W9" i="17"/>
  <c r="W58" i="13"/>
  <c r="W56" i="9"/>
  <c r="W13" i="15"/>
  <c r="W18" i="15"/>
  <c r="W17" i="15"/>
  <c r="W19" i="16"/>
  <c r="W27" i="16"/>
  <c r="W23" i="16"/>
  <c r="W22" i="15"/>
  <c r="K218" i="7"/>
  <c r="V52" i="6"/>
  <c r="U52" i="6"/>
  <c r="M52" i="6"/>
  <c r="E52" i="6"/>
  <c r="D52" i="6"/>
  <c r="T52" i="6"/>
  <c r="S52" i="6"/>
  <c r="R52" i="6"/>
  <c r="Q52" i="6"/>
  <c r="P52" i="6"/>
  <c r="O52" i="6"/>
  <c r="N52" i="6"/>
  <c r="K52" i="6"/>
  <c r="J52" i="6"/>
  <c r="I52" i="6"/>
  <c r="H52" i="6"/>
  <c r="G52" i="6"/>
  <c r="F52" i="6"/>
  <c r="C52" i="6"/>
  <c r="B52" i="6"/>
  <c r="W52" i="12" l="1"/>
  <c r="W23" i="9"/>
  <c r="W26" i="10"/>
  <c r="W18" i="14"/>
  <c r="W60" i="10"/>
  <c r="W65" i="10"/>
  <c r="W61" i="10"/>
  <c r="W63" i="10"/>
  <c r="W67" i="10"/>
  <c r="W221" i="3"/>
  <c r="W66" i="10"/>
  <c r="W72" i="8"/>
  <c r="W82" i="8"/>
  <c r="W41" i="13"/>
  <c r="W233" i="3"/>
  <c r="W48" i="10"/>
  <c r="W59" i="10"/>
  <c r="W51" i="12"/>
  <c r="W17" i="12"/>
  <c r="W67" i="12" s="1"/>
  <c r="W53" i="12"/>
  <c r="W55" i="12"/>
  <c r="W47" i="12"/>
  <c r="W37" i="12"/>
  <c r="W54" i="12"/>
  <c r="W50" i="12"/>
  <c r="W48" i="12"/>
  <c r="W49" i="12"/>
  <c r="W75" i="11"/>
  <c r="L52" i="6" l="1"/>
  <c r="B15" i="10" l="1"/>
  <c r="P13" i="9"/>
  <c r="P11" i="9" s="1"/>
  <c r="O13" i="9"/>
  <c r="O11" i="9" s="1"/>
  <c r="V13" i="9"/>
  <c r="V11" i="9" s="1"/>
  <c r="T13" i="9"/>
  <c r="S13" i="9"/>
  <c r="L13" i="9"/>
  <c r="L11" i="9" s="1"/>
  <c r="K13" i="9"/>
  <c r="F13" i="9"/>
  <c r="F11" i="9" s="1"/>
  <c r="E13" i="9"/>
  <c r="E11" i="9" s="1"/>
  <c r="D13" i="9"/>
  <c r="D11" i="9" s="1"/>
  <c r="C13" i="9"/>
  <c r="N13" i="9"/>
  <c r="N11" i="9" s="1"/>
  <c r="N10" i="9" s="1"/>
  <c r="H13" i="9"/>
  <c r="G13" i="9"/>
  <c r="G11" i="9" s="1"/>
  <c r="B13" i="9"/>
  <c r="B11" i="9" s="1"/>
  <c r="U5" i="9"/>
  <c r="M5" i="9"/>
  <c r="L5" i="9"/>
  <c r="J5" i="9"/>
  <c r="E5" i="9"/>
  <c r="D5" i="9"/>
  <c r="C5" i="9"/>
  <c r="R5" i="9"/>
  <c r="Q5" i="9"/>
  <c r="B5" i="9"/>
  <c r="R43" i="8"/>
  <c r="Q43" i="8"/>
  <c r="P43" i="8"/>
  <c r="J43" i="8"/>
  <c r="I43" i="8"/>
  <c r="H43" i="8"/>
  <c r="T43" i="8"/>
  <c r="S43" i="8"/>
  <c r="O43" i="8"/>
  <c r="L43" i="8"/>
  <c r="K43" i="8"/>
  <c r="G43" i="8"/>
  <c r="D43" i="8"/>
  <c r="U39" i="8"/>
  <c r="T39" i="8"/>
  <c r="R39" i="8"/>
  <c r="R37" i="8" s="1"/>
  <c r="M39" i="8"/>
  <c r="L39" i="8"/>
  <c r="J39" i="8"/>
  <c r="J37" i="8" s="1"/>
  <c r="H39" i="8"/>
  <c r="E39" i="8"/>
  <c r="D39" i="8"/>
  <c r="S39" i="8"/>
  <c r="P39" i="8"/>
  <c r="O39" i="8"/>
  <c r="K39" i="8"/>
  <c r="G39" i="8"/>
  <c r="C43" i="8"/>
  <c r="C39" i="8"/>
  <c r="R32" i="8"/>
  <c r="R67" i="8" s="1"/>
  <c r="V32" i="8"/>
  <c r="V67" i="8" s="1"/>
  <c r="U32" i="8"/>
  <c r="T32" i="8"/>
  <c r="N32" i="8"/>
  <c r="N67" i="8" s="1"/>
  <c r="M32" i="8"/>
  <c r="L32" i="8"/>
  <c r="G32" i="8"/>
  <c r="G67" i="8" s="1"/>
  <c r="F32" i="8"/>
  <c r="F67" i="8" s="1"/>
  <c r="E32" i="8"/>
  <c r="D32" i="8"/>
  <c r="Q32" i="8"/>
  <c r="Q67" i="8" s="1"/>
  <c r="P32" i="8"/>
  <c r="O32" i="8"/>
  <c r="O67" i="8" s="1"/>
  <c r="J32" i="8"/>
  <c r="J67" i="8" s="1"/>
  <c r="I32" i="8"/>
  <c r="I67" i="8" s="1"/>
  <c r="H32" i="8"/>
  <c r="O28" i="8"/>
  <c r="T28" i="8"/>
  <c r="S28" i="8"/>
  <c r="S26" i="8" s="1"/>
  <c r="L28" i="8"/>
  <c r="L26" i="8" s="1"/>
  <c r="K28" i="8"/>
  <c r="K26" i="8" s="1"/>
  <c r="J28" i="8"/>
  <c r="I28" i="8"/>
  <c r="H28" i="8"/>
  <c r="D28" i="8"/>
  <c r="D26" i="8" s="1"/>
  <c r="C28" i="8"/>
  <c r="C26" i="8" s="1"/>
  <c r="R28" i="8"/>
  <c r="R63" i="8" s="1"/>
  <c r="Q28" i="8"/>
  <c r="Q26" i="8" s="1"/>
  <c r="Q25" i="8" s="1"/>
  <c r="P28" i="8"/>
  <c r="P26" i="8" s="1"/>
  <c r="G28" i="8"/>
  <c r="G63" i="8" s="1"/>
  <c r="B28" i="8"/>
  <c r="B63" i="8" s="1"/>
  <c r="N21" i="8"/>
  <c r="N33" i="10" s="1"/>
  <c r="S21" i="8"/>
  <c r="S33" i="10" s="1"/>
  <c r="K21" i="8"/>
  <c r="K33" i="10" s="1"/>
  <c r="I21" i="8"/>
  <c r="I33" i="10" s="1"/>
  <c r="H21" i="8"/>
  <c r="H33" i="10" s="1"/>
  <c r="E21" i="8"/>
  <c r="E33" i="10" s="1"/>
  <c r="C21" i="8"/>
  <c r="C33" i="10" s="1"/>
  <c r="P21" i="8"/>
  <c r="P33" i="10" s="1"/>
  <c r="O21" i="8"/>
  <c r="O33" i="10" s="1"/>
  <c r="G21" i="8"/>
  <c r="G33" i="10" s="1"/>
  <c r="P17" i="8"/>
  <c r="N17" i="8"/>
  <c r="N29" i="10" s="1"/>
  <c r="H17" i="8"/>
  <c r="H29" i="10" s="1"/>
  <c r="U17" i="8"/>
  <c r="U29" i="10" s="1"/>
  <c r="T17" i="8"/>
  <c r="T29" i="10" s="1"/>
  <c r="S17" i="8"/>
  <c r="R17" i="8"/>
  <c r="R29" i="10" s="1"/>
  <c r="M17" i="8"/>
  <c r="M29" i="10" s="1"/>
  <c r="L17" i="8"/>
  <c r="L29" i="10" s="1"/>
  <c r="K17" i="8"/>
  <c r="J17" i="8"/>
  <c r="J29" i="10" s="1"/>
  <c r="E17" i="8"/>
  <c r="E29" i="10" s="1"/>
  <c r="D17" i="8"/>
  <c r="D29" i="10" s="1"/>
  <c r="C17" i="8"/>
  <c r="V17" i="8"/>
  <c r="V29" i="10" s="1"/>
  <c r="Q17" i="8"/>
  <c r="O17" i="8"/>
  <c r="I17" i="8"/>
  <c r="G17" i="8"/>
  <c r="G29" i="10" s="1"/>
  <c r="F17" i="8"/>
  <c r="I10" i="8"/>
  <c r="U10" i="8"/>
  <c r="T10" i="8"/>
  <c r="S10" i="8"/>
  <c r="R10" i="8"/>
  <c r="P10" i="8"/>
  <c r="M10" i="8"/>
  <c r="L10" i="8"/>
  <c r="K10" i="8"/>
  <c r="J10" i="8"/>
  <c r="H10" i="8"/>
  <c r="E10" i="8"/>
  <c r="D10" i="8"/>
  <c r="C10" i="8"/>
  <c r="Q10" i="8"/>
  <c r="R6" i="8"/>
  <c r="R4" i="8" s="1"/>
  <c r="Q6" i="8"/>
  <c r="S6" i="8"/>
  <c r="S4" i="8" s="1"/>
  <c r="K6" i="8"/>
  <c r="K4" i="8" s="1"/>
  <c r="J6" i="8"/>
  <c r="J4" i="8" s="1"/>
  <c r="I6" i="8"/>
  <c r="C6" i="8"/>
  <c r="C4" i="8" s="1"/>
  <c r="B10" i="8"/>
  <c r="G26" i="8" l="1"/>
  <c r="J36" i="8"/>
  <c r="F15" i="8"/>
  <c r="F27" i="10" s="1"/>
  <c r="F29" i="10"/>
  <c r="I15" i="8"/>
  <c r="I27" i="10" s="1"/>
  <c r="I29" i="10"/>
  <c r="K15" i="8"/>
  <c r="K27" i="10" s="1"/>
  <c r="K29" i="10"/>
  <c r="S15" i="8"/>
  <c r="S27" i="10" s="1"/>
  <c r="S29" i="10"/>
  <c r="O15" i="8"/>
  <c r="O27" i="10" s="1"/>
  <c r="O29" i="10"/>
  <c r="P15" i="8"/>
  <c r="P27" i="10" s="1"/>
  <c r="P29" i="10"/>
  <c r="Q15" i="8"/>
  <c r="Q27" i="10" s="1"/>
  <c r="Q29" i="10"/>
  <c r="C15" i="8"/>
  <c r="C29" i="10"/>
  <c r="L25" i="8"/>
  <c r="R36" i="8"/>
  <c r="E10" i="9"/>
  <c r="D25" i="8"/>
  <c r="J4" i="9"/>
  <c r="J23" i="10"/>
  <c r="L4" i="9"/>
  <c r="L23" i="10"/>
  <c r="B4" i="9"/>
  <c r="B23" i="10"/>
  <c r="M4" i="9"/>
  <c r="M23" i="10"/>
  <c r="E4" i="9"/>
  <c r="E23" i="10"/>
  <c r="Q4" i="9"/>
  <c r="Q23" i="10"/>
  <c r="U4" i="9"/>
  <c r="U23" i="10"/>
  <c r="R4" i="9"/>
  <c r="R23" i="10"/>
  <c r="C4" i="9"/>
  <c r="C23" i="10"/>
  <c r="D4" i="9"/>
  <c r="D23" i="10"/>
  <c r="O10" i="9"/>
  <c r="P10" i="9"/>
  <c r="P25" i="8"/>
  <c r="V15" i="8"/>
  <c r="V27" i="10" s="1"/>
  <c r="V10" i="9"/>
  <c r="O63" i="8"/>
  <c r="O26" i="8"/>
  <c r="O25" i="8" s="1"/>
  <c r="F10" i="9"/>
  <c r="H63" i="8"/>
  <c r="H26" i="8"/>
  <c r="H25" i="8" s="1"/>
  <c r="J63" i="8"/>
  <c r="J26" i="8"/>
  <c r="J25" i="8" s="1"/>
  <c r="G10" i="9"/>
  <c r="Q4" i="8"/>
  <c r="P37" i="8"/>
  <c r="H15" i="8"/>
  <c r="G6" i="8"/>
  <c r="O6" i="8"/>
  <c r="O4" i="8" s="1"/>
  <c r="D21" i="8"/>
  <c r="D33" i="10" s="1"/>
  <c r="L21" i="8"/>
  <c r="L33" i="10" s="1"/>
  <c r="T21" i="8"/>
  <c r="T33" i="10" s="1"/>
  <c r="P67" i="8"/>
  <c r="K37" i="8"/>
  <c r="K36" i="8" s="1"/>
  <c r="S37" i="8"/>
  <c r="S36" i="8" s="1"/>
  <c r="K11" i="9"/>
  <c r="K10" i="9" s="1"/>
  <c r="S11" i="9"/>
  <c r="S10" i="9" s="1"/>
  <c r="I4" i="8"/>
  <c r="H6" i="8"/>
  <c r="H4" i="8" s="1"/>
  <c r="P6" i="8"/>
  <c r="P4" i="8" s="1"/>
  <c r="M21" i="8"/>
  <c r="M33" i="10" s="1"/>
  <c r="U21" i="8"/>
  <c r="U33" i="10" s="1"/>
  <c r="Q21" i="8"/>
  <c r="B11" i="10"/>
  <c r="D15" i="8"/>
  <c r="D27" i="10" s="1"/>
  <c r="L15" i="8"/>
  <c r="L27" i="10" s="1"/>
  <c r="T15" i="8"/>
  <c r="T27" i="10" s="1"/>
  <c r="F21" i="8"/>
  <c r="F33" i="10" s="1"/>
  <c r="V21" i="8"/>
  <c r="V33" i="10" s="1"/>
  <c r="F28" i="8"/>
  <c r="F63" i="8" s="1"/>
  <c r="N28" i="8"/>
  <c r="N63" i="8" s="1"/>
  <c r="V28" i="8"/>
  <c r="V63" i="8" s="1"/>
  <c r="E37" i="8"/>
  <c r="G5" i="9"/>
  <c r="O5" i="9"/>
  <c r="B32" i="8"/>
  <c r="B67" i="8" s="1"/>
  <c r="R26" i="8"/>
  <c r="R25" i="8" s="1"/>
  <c r="C32" i="8"/>
  <c r="C25" i="8" s="1"/>
  <c r="K32" i="8"/>
  <c r="K67" i="8" s="1"/>
  <c r="S32" i="8"/>
  <c r="S67" i="8" s="1"/>
  <c r="F39" i="8"/>
  <c r="F37" i="8" s="1"/>
  <c r="N39" i="8"/>
  <c r="N37" i="8" s="1"/>
  <c r="V39" i="8"/>
  <c r="V37" i="8" s="1"/>
  <c r="H5" i="9"/>
  <c r="P5" i="9"/>
  <c r="N15" i="8"/>
  <c r="K25" i="8"/>
  <c r="S25" i="8"/>
  <c r="P63" i="8"/>
  <c r="H67" i="8"/>
  <c r="I5" i="9"/>
  <c r="I13" i="9"/>
  <c r="I11" i="9" s="1"/>
  <c r="Q13" i="9"/>
  <c r="Q11" i="9" s="1"/>
  <c r="G15" i="8"/>
  <c r="G25" i="8"/>
  <c r="H37" i="8"/>
  <c r="H36" i="8" s="1"/>
  <c r="H11" i="9"/>
  <c r="H10" i="9" s="1"/>
  <c r="J13" i="9"/>
  <c r="J11" i="9" s="1"/>
  <c r="J10" i="9" s="1"/>
  <c r="R13" i="9"/>
  <c r="R11" i="9" s="1"/>
  <c r="R10" i="9" s="1"/>
  <c r="C11" i="9"/>
  <c r="C10" i="9" s="1"/>
  <c r="I26" i="8"/>
  <c r="I63" i="8"/>
  <c r="D6" i="8"/>
  <c r="D4" i="8" s="1"/>
  <c r="L6" i="8"/>
  <c r="L4" i="8" s="1"/>
  <c r="T6" i="8"/>
  <c r="T4" i="8" s="1"/>
  <c r="G10" i="8"/>
  <c r="O10" i="8"/>
  <c r="J21" i="8"/>
  <c r="J33" i="10" s="1"/>
  <c r="R21" i="8"/>
  <c r="R33" i="10" s="1"/>
  <c r="O37" i="8"/>
  <c r="O36" i="8" s="1"/>
  <c r="F43" i="8"/>
  <c r="N43" i="8"/>
  <c r="V43" i="8"/>
  <c r="P61" i="8"/>
  <c r="E6" i="8"/>
  <c r="E4" i="8" s="1"/>
  <c r="M6" i="8"/>
  <c r="M4" i="8" s="1"/>
  <c r="U6" i="8"/>
  <c r="U4" i="8" s="1"/>
  <c r="B21" i="8"/>
  <c r="B33" i="10" s="1"/>
  <c r="B26" i="8"/>
  <c r="E28" i="8"/>
  <c r="E26" i="8" s="1"/>
  <c r="E61" i="8" s="1"/>
  <c r="M28" i="8"/>
  <c r="M26" i="8" s="1"/>
  <c r="M61" i="8" s="1"/>
  <c r="U28" i="8"/>
  <c r="U26" i="8" s="1"/>
  <c r="U61" i="8" s="1"/>
  <c r="Q61" i="8"/>
  <c r="F6" i="8"/>
  <c r="F4" i="8" s="1"/>
  <c r="N6" i="8"/>
  <c r="N4" i="8" s="1"/>
  <c r="V6" i="8"/>
  <c r="V4" i="8" s="1"/>
  <c r="G61" i="8"/>
  <c r="C63" i="8"/>
  <c r="K63" i="8"/>
  <c r="S63" i="8"/>
  <c r="D67" i="8"/>
  <c r="L67" i="8"/>
  <c r="T67" i="8"/>
  <c r="M13" i="9"/>
  <c r="M11" i="9" s="1"/>
  <c r="M10" i="9" s="1"/>
  <c r="U13" i="9"/>
  <c r="U11" i="9" s="1"/>
  <c r="U10" i="9" s="1"/>
  <c r="C37" i="8"/>
  <c r="C36" i="8" s="1"/>
  <c r="I39" i="8"/>
  <c r="I37" i="8" s="1"/>
  <c r="I36" i="8" s="1"/>
  <c r="Q39" i="8"/>
  <c r="Q37" i="8" s="1"/>
  <c r="Q36" i="8" s="1"/>
  <c r="D63" i="8"/>
  <c r="L63" i="8"/>
  <c r="T63" i="8"/>
  <c r="E67" i="8"/>
  <c r="M67" i="8"/>
  <c r="U67" i="8"/>
  <c r="B17" i="9"/>
  <c r="B10" i="9" s="1"/>
  <c r="M37" i="8"/>
  <c r="U37" i="8"/>
  <c r="C61" i="8"/>
  <c r="K61" i="8"/>
  <c r="S61" i="8"/>
  <c r="Q63" i="8"/>
  <c r="G37" i="8"/>
  <c r="G36" i="8" s="1"/>
  <c r="D61" i="8"/>
  <c r="L61" i="8"/>
  <c r="T11" i="9"/>
  <c r="T10" i="9" s="1"/>
  <c r="B6" i="8"/>
  <c r="B4" i="8" s="1"/>
  <c r="B17" i="8"/>
  <c r="B15" i="8" s="1"/>
  <c r="E15" i="8"/>
  <c r="M15" i="8"/>
  <c r="U15" i="8"/>
  <c r="U27" i="10" s="1"/>
  <c r="K5" i="9"/>
  <c r="S5" i="9"/>
  <c r="F10" i="8"/>
  <c r="N10" i="8"/>
  <c r="V10" i="8"/>
  <c r="E43" i="8"/>
  <c r="M43" i="8"/>
  <c r="U43" i="8"/>
  <c r="T5" i="9"/>
  <c r="D10" i="9"/>
  <c r="L10" i="9"/>
  <c r="F5" i="9"/>
  <c r="N5" i="9"/>
  <c r="V5" i="9"/>
  <c r="P36" i="8"/>
  <c r="D37" i="8"/>
  <c r="D36" i="8" s="1"/>
  <c r="L37" i="8"/>
  <c r="L36" i="8" s="1"/>
  <c r="T37" i="8"/>
  <c r="T36" i="8" s="1"/>
  <c r="T26" i="8"/>
  <c r="T25" i="8" s="1"/>
  <c r="J15" i="8"/>
  <c r="J27" i="10" s="1"/>
  <c r="R15" i="8"/>
  <c r="R27" i="10" s="1"/>
  <c r="G4" i="8"/>
  <c r="O14" i="8" l="1"/>
  <c r="O26" i="10" s="1"/>
  <c r="E36" i="8"/>
  <c r="O61" i="8"/>
  <c r="H61" i="8"/>
  <c r="E25" i="8"/>
  <c r="K14" i="8"/>
  <c r="K26" i="10" s="1"/>
  <c r="J61" i="8"/>
  <c r="P14" i="8"/>
  <c r="P26" i="10" s="1"/>
  <c r="I14" i="8"/>
  <c r="I26" i="10" s="1"/>
  <c r="F14" i="8"/>
  <c r="F26" i="10" s="1"/>
  <c r="M25" i="8"/>
  <c r="M14" i="8"/>
  <c r="M26" i="10" s="1"/>
  <c r="M27" i="10"/>
  <c r="S14" i="8"/>
  <c r="S26" i="10" s="1"/>
  <c r="B9" i="10"/>
  <c r="B29" i="10"/>
  <c r="Q14" i="8"/>
  <c r="Q26" i="10" s="1"/>
  <c r="Q33" i="10"/>
  <c r="H14" i="8"/>
  <c r="H26" i="10" s="1"/>
  <c r="H27" i="10"/>
  <c r="C14" i="8"/>
  <c r="C26" i="10" s="1"/>
  <c r="C27" i="10"/>
  <c r="G14" i="8"/>
  <c r="G26" i="10" s="1"/>
  <c r="G27" i="10"/>
  <c r="N14" i="8"/>
  <c r="N26" i="10" s="1"/>
  <c r="N27" i="10"/>
  <c r="E14" i="8"/>
  <c r="E26" i="10" s="1"/>
  <c r="E27" i="10"/>
  <c r="N36" i="8"/>
  <c r="B14" i="8"/>
  <c r="F36" i="8"/>
  <c r="V14" i="8"/>
  <c r="V26" i="10" s="1"/>
  <c r="R14" i="8"/>
  <c r="R26" i="10" s="1"/>
  <c r="U14" i="8"/>
  <c r="U26" i="10" s="1"/>
  <c r="R61" i="8"/>
  <c r="U25" i="8"/>
  <c r="O4" i="9"/>
  <c r="O23" i="10"/>
  <c r="G4" i="9"/>
  <c r="G23" i="10"/>
  <c r="N4" i="9"/>
  <c r="N23" i="10"/>
  <c r="I10" i="9"/>
  <c r="P4" i="9"/>
  <c r="P23" i="10"/>
  <c r="I4" i="9"/>
  <c r="I23" i="10"/>
  <c r="H4" i="9"/>
  <c r="H23" i="10"/>
  <c r="K4" i="9"/>
  <c r="K23" i="10"/>
  <c r="V4" i="9"/>
  <c r="V23" i="10"/>
  <c r="Q10" i="9"/>
  <c r="F4" i="9"/>
  <c r="F23" i="10"/>
  <c r="T4" i="9"/>
  <c r="T23" i="10"/>
  <c r="S4" i="9"/>
  <c r="S23" i="10"/>
  <c r="C67" i="8"/>
  <c r="V36" i="8"/>
  <c r="N26" i="8"/>
  <c r="N25" i="8" s="1"/>
  <c r="L14" i="8"/>
  <c r="L26" i="10" s="1"/>
  <c r="U36" i="8"/>
  <c r="J14" i="8"/>
  <c r="J26" i="10" s="1"/>
  <c r="F26" i="8"/>
  <c r="F25" i="8" s="1"/>
  <c r="D14" i="8"/>
  <c r="D26" i="10" s="1"/>
  <c r="V26" i="8"/>
  <c r="V25" i="8" s="1"/>
  <c r="M36" i="8"/>
  <c r="B25" i="8"/>
  <c r="T61" i="8"/>
  <c r="U63" i="8"/>
  <c r="T14" i="8"/>
  <c r="T26" i="10" s="1"/>
  <c r="M63" i="8"/>
  <c r="E63" i="8"/>
  <c r="B61" i="8"/>
  <c r="I61" i="8"/>
  <c r="I25" i="8"/>
  <c r="B8" i="10" l="1"/>
  <c r="B26" i="10" s="1"/>
  <c r="B27" i="10"/>
  <c r="V61" i="8"/>
  <c r="F61" i="8"/>
  <c r="N61" i="8"/>
  <c r="Q10" i="16"/>
  <c r="G10" i="16"/>
  <c r="O10" i="16"/>
  <c r="S10" i="16"/>
  <c r="K4" i="16"/>
  <c r="J10" i="16"/>
  <c r="I10" i="16"/>
  <c r="M10" i="16"/>
  <c r="J4" i="16"/>
  <c r="F10" i="16"/>
  <c r="L4" i="16"/>
  <c r="M4" i="16"/>
  <c r="L10" i="16"/>
  <c r="I4" i="16"/>
  <c r="F4" i="16"/>
  <c r="O4" i="16"/>
  <c r="Q4" i="16"/>
  <c r="Q3" i="16" s="1"/>
  <c r="P10" i="16"/>
  <c r="P4" i="16"/>
  <c r="S4" i="16"/>
  <c r="S3" i="16" s="1"/>
  <c r="K10" i="16"/>
  <c r="K3" i="16" s="1"/>
  <c r="G4" i="16"/>
  <c r="O3" i="16" l="1"/>
  <c r="F3" i="16"/>
  <c r="P3" i="16"/>
  <c r="G3" i="16"/>
  <c r="B4" i="16"/>
  <c r="E10" i="16"/>
  <c r="J3" i="16"/>
  <c r="I3" i="16"/>
  <c r="M3" i="16"/>
  <c r="R10" i="16"/>
  <c r="L3" i="16"/>
  <c r="T10" i="16"/>
  <c r="R4" i="16"/>
  <c r="H10" i="16"/>
  <c r="B10" i="16"/>
  <c r="T4" i="16"/>
  <c r="N10" i="16"/>
  <c r="H4" i="16"/>
  <c r="E4" i="16"/>
  <c r="N4" i="16"/>
  <c r="R3" i="16" l="1"/>
  <c r="H3" i="16"/>
  <c r="E3" i="16"/>
  <c r="B3" i="16"/>
  <c r="T3" i="16"/>
  <c r="D10" i="16"/>
  <c r="N3" i="16"/>
  <c r="D4" i="16"/>
  <c r="U10" i="16"/>
  <c r="C4" i="16"/>
  <c r="C10" i="16"/>
  <c r="U4" i="16"/>
  <c r="D3" i="16" l="1"/>
  <c r="U3" i="16"/>
  <c r="C3" i="16"/>
  <c r="V10" i="16"/>
  <c r="V4" i="16"/>
  <c r="V3" i="16" s="1"/>
  <c r="V68" i="10" l="1"/>
  <c r="U68" i="10"/>
  <c r="T68" i="10"/>
  <c r="S68" i="10"/>
  <c r="R68" i="10"/>
  <c r="Q68" i="10"/>
  <c r="P68" i="10"/>
  <c r="O68" i="10"/>
  <c r="N68" i="10"/>
  <c r="M68" i="10"/>
  <c r="L68" i="10"/>
  <c r="K68" i="10"/>
  <c r="J68" i="10"/>
  <c r="I68" i="10"/>
  <c r="H68" i="10"/>
  <c r="G68" i="10"/>
  <c r="F68" i="10"/>
  <c r="E68" i="10"/>
  <c r="D68" i="10"/>
  <c r="C68" i="10"/>
  <c r="V67" i="10"/>
  <c r="U67" i="10"/>
  <c r="T67" i="10"/>
  <c r="S67" i="10"/>
  <c r="R67" i="10"/>
  <c r="Q67" i="10"/>
  <c r="V65" i="10"/>
  <c r="U65" i="10"/>
  <c r="T65" i="10"/>
  <c r="S65" i="10"/>
  <c r="R65" i="10"/>
  <c r="Q65" i="10"/>
  <c r="P65" i="10"/>
  <c r="O65" i="10"/>
  <c r="N65" i="10"/>
  <c r="M65" i="10"/>
  <c r="L65" i="10"/>
  <c r="K65" i="10"/>
  <c r="J65" i="10"/>
  <c r="I65" i="10"/>
  <c r="H65" i="10"/>
  <c r="G65" i="10"/>
  <c r="F65" i="10"/>
  <c r="E65" i="10"/>
  <c r="D65" i="10"/>
  <c r="C65" i="10"/>
  <c r="V64" i="10"/>
  <c r="U64" i="10"/>
  <c r="T64" i="10"/>
  <c r="S64" i="10"/>
  <c r="R64" i="10"/>
  <c r="Q64" i="10"/>
  <c r="P64" i="10"/>
  <c r="O64" i="10"/>
  <c r="N64" i="10"/>
  <c r="M64" i="10"/>
  <c r="L64" i="10"/>
  <c r="K64" i="10"/>
  <c r="J64" i="10"/>
  <c r="I64" i="10"/>
  <c r="H64" i="10"/>
  <c r="G64" i="10"/>
  <c r="F64" i="10"/>
  <c r="E64" i="10"/>
  <c r="D64" i="10"/>
  <c r="C64" i="10"/>
  <c r="V63" i="10"/>
  <c r="U63" i="10"/>
  <c r="T63" i="10"/>
  <c r="S63" i="10"/>
  <c r="R63" i="10"/>
  <c r="Q63" i="10"/>
  <c r="V61" i="10"/>
  <c r="U61" i="10"/>
  <c r="T61" i="10"/>
  <c r="S61" i="10"/>
  <c r="R61" i="10"/>
  <c r="Q61" i="10"/>
  <c r="P61" i="10"/>
  <c r="O61" i="10"/>
  <c r="N61" i="10"/>
  <c r="M61" i="10"/>
  <c r="L61" i="10"/>
  <c r="K61" i="10"/>
  <c r="J61" i="10"/>
  <c r="I61" i="10"/>
  <c r="H61" i="10"/>
  <c r="G61" i="10"/>
  <c r="F61" i="10"/>
  <c r="E61" i="10"/>
  <c r="D61" i="10"/>
  <c r="C61" i="10"/>
  <c r="V57" i="10"/>
  <c r="U57" i="10"/>
  <c r="T57" i="10"/>
  <c r="S57" i="10"/>
  <c r="R57" i="10"/>
  <c r="Q57" i="10"/>
  <c r="P57" i="10"/>
  <c r="O57" i="10"/>
  <c r="N57" i="10"/>
  <c r="M57" i="10"/>
  <c r="L57" i="10"/>
  <c r="K57" i="10"/>
  <c r="J57" i="10"/>
  <c r="I57" i="10"/>
  <c r="H57" i="10"/>
  <c r="G57" i="10"/>
  <c r="F57" i="10"/>
  <c r="E57" i="10"/>
  <c r="D57" i="10"/>
  <c r="C57" i="10"/>
  <c r="V56" i="10"/>
  <c r="U56" i="10"/>
  <c r="T56" i="10"/>
  <c r="S56" i="10"/>
  <c r="R56" i="10"/>
  <c r="Q56" i="10"/>
  <c r="P56" i="10"/>
  <c r="O56" i="10"/>
  <c r="N56" i="10"/>
  <c r="M56" i="10"/>
  <c r="L56" i="10"/>
  <c r="K56" i="10"/>
  <c r="J56" i="10"/>
  <c r="I56" i="10"/>
  <c r="H56" i="10"/>
  <c r="G56" i="10"/>
  <c r="F56" i="10"/>
  <c r="E56" i="10"/>
  <c r="D56" i="10"/>
  <c r="C56" i="10"/>
  <c r="V54" i="10"/>
  <c r="U54" i="10"/>
  <c r="T54" i="10"/>
  <c r="S54" i="10"/>
  <c r="R54" i="10"/>
  <c r="Q54" i="10"/>
  <c r="P54" i="10"/>
  <c r="O54" i="10"/>
  <c r="N54" i="10"/>
  <c r="M54" i="10"/>
  <c r="L54" i="10"/>
  <c r="K54" i="10"/>
  <c r="J54" i="10"/>
  <c r="I54" i="10"/>
  <c r="H54" i="10"/>
  <c r="G54" i="10"/>
  <c r="F54" i="10"/>
  <c r="E54" i="10"/>
  <c r="D54" i="10"/>
  <c r="C54" i="10"/>
  <c r="V53" i="10"/>
  <c r="U53" i="10"/>
  <c r="T53" i="10"/>
  <c r="S53" i="10"/>
  <c r="R53" i="10"/>
  <c r="Q53" i="10"/>
  <c r="P53" i="10"/>
  <c r="O53" i="10"/>
  <c r="N53" i="10"/>
  <c r="M53" i="10"/>
  <c r="L53" i="10"/>
  <c r="K53" i="10"/>
  <c r="J53" i="10"/>
  <c r="I53" i="10"/>
  <c r="H53" i="10"/>
  <c r="G53" i="10"/>
  <c r="F53" i="10"/>
  <c r="E53" i="10"/>
  <c r="D53" i="10"/>
  <c r="C53" i="10"/>
  <c r="V52" i="10"/>
  <c r="U52" i="10"/>
  <c r="T52" i="10"/>
  <c r="S52" i="10"/>
  <c r="R52" i="10"/>
  <c r="Q52" i="10"/>
  <c r="P52" i="10"/>
  <c r="O52" i="10"/>
  <c r="N52" i="10"/>
  <c r="M52" i="10"/>
  <c r="L52" i="10"/>
  <c r="K52" i="10"/>
  <c r="J52" i="10"/>
  <c r="I52" i="10"/>
  <c r="H52" i="10"/>
  <c r="G52" i="10"/>
  <c r="F52" i="10"/>
  <c r="E52" i="10"/>
  <c r="D52" i="10"/>
  <c r="C52" i="10"/>
  <c r="V50" i="10"/>
  <c r="U50" i="10"/>
  <c r="T50" i="10"/>
  <c r="S50" i="10"/>
  <c r="R50" i="10"/>
  <c r="Q50" i="10"/>
  <c r="P50" i="10"/>
  <c r="O50" i="10"/>
  <c r="N50" i="10"/>
  <c r="M50" i="10"/>
  <c r="L50" i="10"/>
  <c r="K50" i="10"/>
  <c r="J50" i="10"/>
  <c r="I50" i="10"/>
  <c r="H50" i="10"/>
  <c r="G50" i="10"/>
  <c r="F50" i="10"/>
  <c r="E50" i="10"/>
  <c r="D50" i="10"/>
  <c r="C50" i="10"/>
  <c r="V46" i="10"/>
  <c r="U46" i="10"/>
  <c r="T46" i="10"/>
  <c r="S46" i="10"/>
  <c r="R46" i="10"/>
  <c r="Q46" i="10"/>
  <c r="P46" i="10"/>
  <c r="O46" i="10"/>
  <c r="N46" i="10"/>
  <c r="M46" i="10"/>
  <c r="L46" i="10"/>
  <c r="K46" i="10"/>
  <c r="J46" i="10"/>
  <c r="I46" i="10"/>
  <c r="H46" i="10"/>
  <c r="G46" i="10"/>
  <c r="F46" i="10"/>
  <c r="E46" i="10"/>
  <c r="D46" i="10"/>
  <c r="C46" i="10"/>
  <c r="V45" i="10"/>
  <c r="U45" i="10"/>
  <c r="T45" i="10"/>
  <c r="S45" i="10"/>
  <c r="R45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E45" i="10"/>
  <c r="D45" i="10"/>
  <c r="C45" i="10"/>
  <c r="V43" i="10"/>
  <c r="U43" i="10"/>
  <c r="T43" i="10"/>
  <c r="S43" i="10"/>
  <c r="R43" i="10"/>
  <c r="Q43" i="10"/>
  <c r="P43" i="10"/>
  <c r="O43" i="10"/>
  <c r="N43" i="10"/>
  <c r="M43" i="10"/>
  <c r="L43" i="10"/>
  <c r="K43" i="10"/>
  <c r="J43" i="10"/>
  <c r="I43" i="10"/>
  <c r="H43" i="10"/>
  <c r="G43" i="10"/>
  <c r="F43" i="10"/>
  <c r="E43" i="10"/>
  <c r="D43" i="10"/>
  <c r="C43" i="10"/>
  <c r="V42" i="10"/>
  <c r="U42" i="10"/>
  <c r="T42" i="10"/>
  <c r="S42" i="10"/>
  <c r="R42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E42" i="10"/>
  <c r="D42" i="10"/>
  <c r="C42" i="10"/>
  <c r="V41" i="10"/>
  <c r="U41" i="10"/>
  <c r="T41" i="10"/>
  <c r="S41" i="10"/>
  <c r="R41" i="10"/>
  <c r="Q41" i="10"/>
  <c r="P41" i="10"/>
  <c r="O41" i="10"/>
  <c r="N41" i="10"/>
  <c r="M41" i="10"/>
  <c r="L41" i="10"/>
  <c r="K41" i="10"/>
  <c r="J41" i="10"/>
  <c r="I41" i="10"/>
  <c r="H41" i="10"/>
  <c r="G41" i="10"/>
  <c r="F41" i="10"/>
  <c r="E41" i="10"/>
  <c r="D41" i="10"/>
  <c r="C41" i="10"/>
  <c r="V39" i="10"/>
  <c r="U39" i="10"/>
  <c r="T39" i="10"/>
  <c r="S39" i="10"/>
  <c r="R39" i="10"/>
  <c r="Q39" i="10"/>
  <c r="P39" i="10"/>
  <c r="O39" i="10"/>
  <c r="N39" i="10"/>
  <c r="M39" i="10"/>
  <c r="L39" i="10"/>
  <c r="K39" i="10"/>
  <c r="J39" i="10"/>
  <c r="I39" i="10"/>
  <c r="H39" i="10"/>
  <c r="G39" i="10"/>
  <c r="F39" i="10"/>
  <c r="E39" i="10"/>
  <c r="D39" i="10"/>
  <c r="C39" i="10"/>
  <c r="V65" i="9"/>
  <c r="U65" i="9"/>
  <c r="T65" i="9"/>
  <c r="S65" i="9"/>
  <c r="R65" i="9"/>
  <c r="V64" i="9"/>
  <c r="U64" i="9"/>
  <c r="T64" i="9"/>
  <c r="S64" i="9"/>
  <c r="R64" i="9"/>
  <c r="V62" i="9"/>
  <c r="U62" i="9"/>
  <c r="T62" i="9"/>
  <c r="S62" i="9"/>
  <c r="R62" i="9"/>
  <c r="V61" i="9"/>
  <c r="U61" i="9"/>
  <c r="T61" i="9"/>
  <c r="S61" i="9"/>
  <c r="R61" i="9"/>
  <c r="V60" i="9"/>
  <c r="U60" i="9"/>
  <c r="T60" i="9"/>
  <c r="S60" i="9"/>
  <c r="R60" i="9"/>
  <c r="V58" i="9"/>
  <c r="U58" i="9"/>
  <c r="T58" i="9"/>
  <c r="S58" i="9"/>
  <c r="R58" i="9"/>
  <c r="V54" i="9"/>
  <c r="U54" i="9"/>
  <c r="T54" i="9"/>
  <c r="S54" i="9"/>
  <c r="R54" i="9"/>
  <c r="Q54" i="9"/>
  <c r="P54" i="9"/>
  <c r="O54" i="9"/>
  <c r="N54" i="9"/>
  <c r="M54" i="9"/>
  <c r="L54" i="9"/>
  <c r="K54" i="9"/>
  <c r="J54" i="9"/>
  <c r="I54" i="9"/>
  <c r="H54" i="9"/>
  <c r="G54" i="9"/>
  <c r="F54" i="9"/>
  <c r="E54" i="9"/>
  <c r="D54" i="9"/>
  <c r="C54" i="9"/>
  <c r="V53" i="9"/>
  <c r="U53" i="9"/>
  <c r="T53" i="9"/>
  <c r="S53" i="9"/>
  <c r="R53" i="9"/>
  <c r="Q53" i="9"/>
  <c r="P53" i="9"/>
  <c r="O53" i="9"/>
  <c r="N53" i="9"/>
  <c r="M53" i="9"/>
  <c r="L53" i="9"/>
  <c r="K53" i="9"/>
  <c r="J53" i="9"/>
  <c r="I53" i="9"/>
  <c r="H53" i="9"/>
  <c r="G53" i="9"/>
  <c r="F53" i="9"/>
  <c r="E53" i="9"/>
  <c r="D53" i="9"/>
  <c r="C53" i="9"/>
  <c r="V51" i="9"/>
  <c r="U51" i="9"/>
  <c r="T51" i="9"/>
  <c r="S51" i="9"/>
  <c r="R51" i="9"/>
  <c r="Q51" i="9"/>
  <c r="P51" i="9"/>
  <c r="O51" i="9"/>
  <c r="N51" i="9"/>
  <c r="M51" i="9"/>
  <c r="L51" i="9"/>
  <c r="K51" i="9"/>
  <c r="J51" i="9"/>
  <c r="I51" i="9"/>
  <c r="H51" i="9"/>
  <c r="G51" i="9"/>
  <c r="F51" i="9"/>
  <c r="E51" i="9"/>
  <c r="D51" i="9"/>
  <c r="C51" i="9"/>
  <c r="V50" i="9"/>
  <c r="U50" i="9"/>
  <c r="T50" i="9"/>
  <c r="S50" i="9"/>
  <c r="R50" i="9"/>
  <c r="Q50" i="9"/>
  <c r="P50" i="9"/>
  <c r="O50" i="9"/>
  <c r="N50" i="9"/>
  <c r="M50" i="9"/>
  <c r="L50" i="9"/>
  <c r="K50" i="9"/>
  <c r="J50" i="9"/>
  <c r="I50" i="9"/>
  <c r="H50" i="9"/>
  <c r="G50" i="9"/>
  <c r="F50" i="9"/>
  <c r="E50" i="9"/>
  <c r="D50" i="9"/>
  <c r="C50" i="9"/>
  <c r="V49" i="9"/>
  <c r="U49" i="9"/>
  <c r="T49" i="9"/>
  <c r="S49" i="9"/>
  <c r="R49" i="9"/>
  <c r="Q49" i="9"/>
  <c r="P49" i="9"/>
  <c r="O49" i="9"/>
  <c r="N49" i="9"/>
  <c r="M49" i="9"/>
  <c r="L49" i="9"/>
  <c r="K49" i="9"/>
  <c r="J49" i="9"/>
  <c r="I49" i="9"/>
  <c r="H49" i="9"/>
  <c r="G49" i="9"/>
  <c r="F49" i="9"/>
  <c r="E49" i="9"/>
  <c r="D49" i="9"/>
  <c r="C49" i="9"/>
  <c r="V47" i="9"/>
  <c r="U47" i="9"/>
  <c r="T47" i="9"/>
  <c r="S47" i="9"/>
  <c r="R47" i="9"/>
  <c r="Q47" i="9"/>
  <c r="P47" i="9"/>
  <c r="O47" i="9"/>
  <c r="N47" i="9"/>
  <c r="M47" i="9"/>
  <c r="L47" i="9"/>
  <c r="K47" i="9"/>
  <c r="J47" i="9"/>
  <c r="I47" i="9"/>
  <c r="H47" i="9"/>
  <c r="G47" i="9"/>
  <c r="F47" i="9"/>
  <c r="E47" i="9"/>
  <c r="D47" i="9"/>
  <c r="C47" i="9"/>
  <c r="V43" i="9"/>
  <c r="U43" i="9"/>
  <c r="T43" i="9"/>
  <c r="S43" i="9"/>
  <c r="R43" i="9"/>
  <c r="Q43" i="9"/>
  <c r="P43" i="9"/>
  <c r="O43" i="9"/>
  <c r="N43" i="9"/>
  <c r="M43" i="9"/>
  <c r="L43" i="9"/>
  <c r="K43" i="9"/>
  <c r="J43" i="9"/>
  <c r="I43" i="9"/>
  <c r="H43" i="9"/>
  <c r="G43" i="9"/>
  <c r="F43" i="9"/>
  <c r="E43" i="9"/>
  <c r="D43" i="9"/>
  <c r="C43" i="9"/>
  <c r="V42" i="9"/>
  <c r="U42" i="9"/>
  <c r="T42" i="9"/>
  <c r="S42" i="9"/>
  <c r="R42" i="9"/>
  <c r="Q42" i="9"/>
  <c r="P42" i="9"/>
  <c r="O42" i="9"/>
  <c r="N42" i="9"/>
  <c r="M42" i="9"/>
  <c r="L42" i="9"/>
  <c r="K42" i="9"/>
  <c r="J42" i="9"/>
  <c r="I42" i="9"/>
  <c r="H42" i="9"/>
  <c r="G42" i="9"/>
  <c r="F42" i="9"/>
  <c r="E42" i="9"/>
  <c r="D42" i="9"/>
  <c r="C42" i="9"/>
  <c r="V40" i="9"/>
  <c r="U40" i="9"/>
  <c r="T40" i="9"/>
  <c r="S40" i="9"/>
  <c r="R40" i="9"/>
  <c r="Q40" i="9"/>
  <c r="P40" i="9"/>
  <c r="O40" i="9"/>
  <c r="N40" i="9"/>
  <c r="M40" i="9"/>
  <c r="L40" i="9"/>
  <c r="K40" i="9"/>
  <c r="J40" i="9"/>
  <c r="I40" i="9"/>
  <c r="H40" i="9"/>
  <c r="G40" i="9"/>
  <c r="F40" i="9"/>
  <c r="E40" i="9"/>
  <c r="D40" i="9"/>
  <c r="C40" i="9"/>
  <c r="V39" i="9"/>
  <c r="U39" i="9"/>
  <c r="T39" i="9"/>
  <c r="S39" i="9"/>
  <c r="R39" i="9"/>
  <c r="Q39" i="9"/>
  <c r="P39" i="9"/>
  <c r="O39" i="9"/>
  <c r="N39" i="9"/>
  <c r="M39" i="9"/>
  <c r="L39" i="9"/>
  <c r="K39" i="9"/>
  <c r="J39" i="9"/>
  <c r="I39" i="9"/>
  <c r="H39" i="9"/>
  <c r="G39" i="9"/>
  <c r="F39" i="9"/>
  <c r="E39" i="9"/>
  <c r="D39" i="9"/>
  <c r="C39" i="9"/>
  <c r="V38" i="9"/>
  <c r="U38" i="9"/>
  <c r="T38" i="9"/>
  <c r="S38" i="9"/>
  <c r="R38" i="9"/>
  <c r="Q38" i="9"/>
  <c r="P38" i="9"/>
  <c r="O38" i="9"/>
  <c r="N38" i="9"/>
  <c r="M38" i="9"/>
  <c r="L38" i="9"/>
  <c r="K38" i="9"/>
  <c r="J38" i="9"/>
  <c r="I38" i="9"/>
  <c r="H38" i="9"/>
  <c r="G38" i="9"/>
  <c r="F38" i="9"/>
  <c r="E38" i="9"/>
  <c r="D38" i="9"/>
  <c r="C38" i="9"/>
  <c r="V36" i="9"/>
  <c r="U36" i="9"/>
  <c r="T36" i="9"/>
  <c r="S36" i="9"/>
  <c r="R36" i="9"/>
  <c r="Q36" i="9"/>
  <c r="P36" i="9"/>
  <c r="O36" i="9"/>
  <c r="N36" i="9"/>
  <c r="M36" i="9"/>
  <c r="L36" i="9"/>
  <c r="K36" i="9"/>
  <c r="J36" i="9"/>
  <c r="I36" i="9"/>
  <c r="H36" i="9"/>
  <c r="G36" i="9"/>
  <c r="F36" i="9"/>
  <c r="E36" i="9"/>
  <c r="D36" i="9"/>
  <c r="C36" i="9"/>
  <c r="V32" i="9"/>
  <c r="U32" i="9"/>
  <c r="T32" i="9"/>
  <c r="S32" i="9"/>
  <c r="R32" i="9"/>
  <c r="Q32" i="9"/>
  <c r="P32" i="9"/>
  <c r="O32" i="9"/>
  <c r="N32" i="9"/>
  <c r="M32" i="9"/>
  <c r="L32" i="9"/>
  <c r="K32" i="9"/>
  <c r="J32" i="9"/>
  <c r="I32" i="9"/>
  <c r="H32" i="9"/>
  <c r="G32" i="9"/>
  <c r="F32" i="9"/>
  <c r="E32" i="9"/>
  <c r="D32" i="9"/>
  <c r="C32" i="9"/>
  <c r="V31" i="9"/>
  <c r="U31" i="9"/>
  <c r="T31" i="9"/>
  <c r="S31" i="9"/>
  <c r="R31" i="9"/>
  <c r="Q31" i="9"/>
  <c r="P31" i="9"/>
  <c r="O31" i="9"/>
  <c r="N31" i="9"/>
  <c r="M31" i="9"/>
  <c r="L31" i="9"/>
  <c r="K31" i="9"/>
  <c r="J31" i="9"/>
  <c r="I31" i="9"/>
  <c r="H31" i="9"/>
  <c r="G31" i="9"/>
  <c r="F31" i="9"/>
  <c r="E31" i="9"/>
  <c r="D31" i="9"/>
  <c r="C31" i="9"/>
  <c r="V29" i="9"/>
  <c r="U29" i="9"/>
  <c r="T29" i="9"/>
  <c r="S29" i="9"/>
  <c r="R29" i="9"/>
  <c r="Q29" i="9"/>
  <c r="P29" i="9"/>
  <c r="O29" i="9"/>
  <c r="N29" i="9"/>
  <c r="M29" i="9"/>
  <c r="L29" i="9"/>
  <c r="K29" i="9"/>
  <c r="J29" i="9"/>
  <c r="I29" i="9"/>
  <c r="H29" i="9"/>
  <c r="G29" i="9"/>
  <c r="F29" i="9"/>
  <c r="E29" i="9"/>
  <c r="D29" i="9"/>
  <c r="C29" i="9"/>
  <c r="V28" i="9"/>
  <c r="U28" i="9"/>
  <c r="T28" i="9"/>
  <c r="S28" i="9"/>
  <c r="R28" i="9"/>
  <c r="Q28" i="9"/>
  <c r="P28" i="9"/>
  <c r="O28" i="9"/>
  <c r="N28" i="9"/>
  <c r="M28" i="9"/>
  <c r="L28" i="9"/>
  <c r="K28" i="9"/>
  <c r="J28" i="9"/>
  <c r="I28" i="9"/>
  <c r="H28" i="9"/>
  <c r="G28" i="9"/>
  <c r="F28" i="9"/>
  <c r="E28" i="9"/>
  <c r="D28" i="9"/>
  <c r="C28" i="9"/>
  <c r="V27" i="9"/>
  <c r="U27" i="9"/>
  <c r="T27" i="9"/>
  <c r="S27" i="9"/>
  <c r="R27" i="9"/>
  <c r="Q27" i="9"/>
  <c r="P27" i="9"/>
  <c r="O27" i="9"/>
  <c r="N27" i="9"/>
  <c r="M27" i="9"/>
  <c r="L27" i="9"/>
  <c r="K27" i="9"/>
  <c r="J27" i="9"/>
  <c r="I27" i="9"/>
  <c r="H27" i="9"/>
  <c r="G27" i="9"/>
  <c r="F27" i="9"/>
  <c r="E27" i="9"/>
  <c r="D27" i="9"/>
  <c r="C27" i="9"/>
  <c r="V25" i="9"/>
  <c r="U25" i="9"/>
  <c r="T25" i="9"/>
  <c r="S25" i="9"/>
  <c r="R25" i="9"/>
  <c r="Q25" i="9"/>
  <c r="P25" i="9"/>
  <c r="O25" i="9"/>
  <c r="N25" i="9"/>
  <c r="M25" i="9"/>
  <c r="L25" i="9"/>
  <c r="K25" i="9"/>
  <c r="J25" i="9"/>
  <c r="I25" i="9"/>
  <c r="H25" i="9"/>
  <c r="G25" i="9"/>
  <c r="F25" i="9"/>
  <c r="E25" i="9"/>
  <c r="D25" i="9"/>
  <c r="C25" i="9"/>
  <c r="V58" i="8"/>
  <c r="V80" i="8" s="1"/>
  <c r="U58" i="8"/>
  <c r="U80" i="8" s="1"/>
  <c r="T58" i="8"/>
  <c r="T80" i="8" s="1"/>
  <c r="S58" i="8"/>
  <c r="S80" i="8" s="1"/>
  <c r="R58" i="8"/>
  <c r="R80" i="8" s="1"/>
  <c r="Q58" i="8"/>
  <c r="Q80" i="8" s="1"/>
  <c r="P58" i="8"/>
  <c r="P80" i="8" s="1"/>
  <c r="O58" i="8"/>
  <c r="O80" i="8" s="1"/>
  <c r="N58" i="8"/>
  <c r="M58" i="8"/>
  <c r="M80" i="8" s="1"/>
  <c r="L58" i="8"/>
  <c r="L80" i="8" s="1"/>
  <c r="K58" i="8"/>
  <c r="K80" i="8" s="1"/>
  <c r="V57" i="8"/>
  <c r="V79" i="8" s="1"/>
  <c r="U57" i="8"/>
  <c r="U79" i="8" s="1"/>
  <c r="T57" i="8"/>
  <c r="T79" i="8" s="1"/>
  <c r="S57" i="8"/>
  <c r="S79" i="8" s="1"/>
  <c r="R57" i="8"/>
  <c r="Q57" i="8"/>
  <c r="Q79" i="8" s="1"/>
  <c r="P57" i="8"/>
  <c r="P79" i="8" s="1"/>
  <c r="O57" i="8"/>
  <c r="N57" i="8"/>
  <c r="N79" i="8" s="1"/>
  <c r="M57" i="8"/>
  <c r="M79" i="8" s="1"/>
  <c r="L57" i="8"/>
  <c r="L79" i="8" s="1"/>
  <c r="K57" i="8"/>
  <c r="V55" i="8"/>
  <c r="U55" i="8"/>
  <c r="U77" i="8" s="1"/>
  <c r="T55" i="8"/>
  <c r="T77" i="8" s="1"/>
  <c r="S55" i="8"/>
  <c r="R55" i="8"/>
  <c r="R77" i="8" s="1"/>
  <c r="Q55" i="8"/>
  <c r="Q77" i="8" s="1"/>
  <c r="P55" i="8"/>
  <c r="P77" i="8" s="1"/>
  <c r="O55" i="8"/>
  <c r="O77" i="8" s="1"/>
  <c r="N55" i="8"/>
  <c r="N77" i="8" s="1"/>
  <c r="M55" i="8"/>
  <c r="M77" i="8" s="1"/>
  <c r="L55" i="8"/>
  <c r="L77" i="8" s="1"/>
  <c r="K55" i="8"/>
  <c r="K77" i="8" s="1"/>
  <c r="V54" i="8"/>
  <c r="V76" i="8" s="1"/>
  <c r="U54" i="8"/>
  <c r="U76" i="8" s="1"/>
  <c r="T54" i="8"/>
  <c r="T76" i="8" s="1"/>
  <c r="S54" i="8"/>
  <c r="R54" i="8"/>
  <c r="R76" i="8" s="1"/>
  <c r="Q54" i="8"/>
  <c r="Q76" i="8" s="1"/>
  <c r="P54" i="8"/>
  <c r="P76" i="8" s="1"/>
  <c r="O54" i="8"/>
  <c r="O76" i="8" s="1"/>
  <c r="N54" i="8"/>
  <c r="N76" i="8" s="1"/>
  <c r="M54" i="8"/>
  <c r="M76" i="8" s="1"/>
  <c r="L54" i="8"/>
  <c r="L76" i="8" s="1"/>
  <c r="K54" i="8"/>
  <c r="K76" i="8" s="1"/>
  <c r="V53" i="8"/>
  <c r="V75" i="8" s="1"/>
  <c r="U53" i="8"/>
  <c r="U75" i="8" s="1"/>
  <c r="T53" i="8"/>
  <c r="T75" i="8" s="1"/>
  <c r="S53" i="8"/>
  <c r="S75" i="8" s="1"/>
  <c r="R53" i="8"/>
  <c r="R75" i="8" s="1"/>
  <c r="Q53" i="8"/>
  <c r="Q75" i="8" s="1"/>
  <c r="P53" i="8"/>
  <c r="P75" i="8" s="1"/>
  <c r="O53" i="8"/>
  <c r="O75" i="8" s="1"/>
  <c r="N53" i="8"/>
  <c r="N75" i="8" s="1"/>
  <c r="M53" i="8"/>
  <c r="M75" i="8" s="1"/>
  <c r="L53" i="8"/>
  <c r="L75" i="8" s="1"/>
  <c r="K53" i="8"/>
  <c r="K75" i="8" s="1"/>
  <c r="V51" i="8"/>
  <c r="V73" i="8" s="1"/>
  <c r="U51" i="8"/>
  <c r="U73" i="8" s="1"/>
  <c r="T51" i="8"/>
  <c r="T73" i="8" s="1"/>
  <c r="S51" i="8"/>
  <c r="S73" i="8" s="1"/>
  <c r="R51" i="8"/>
  <c r="Q51" i="8"/>
  <c r="Q73" i="8" s="1"/>
  <c r="P51" i="8"/>
  <c r="P73" i="8" s="1"/>
  <c r="O51" i="8"/>
  <c r="N51" i="8"/>
  <c r="N73" i="8" s="1"/>
  <c r="M51" i="8"/>
  <c r="M73" i="8" s="1"/>
  <c r="L51" i="8"/>
  <c r="L73" i="8" s="1"/>
  <c r="K51" i="8"/>
  <c r="K73" i="8" s="1"/>
  <c r="V124" i="8"/>
  <c r="U124" i="8"/>
  <c r="T124" i="8"/>
  <c r="S124" i="8"/>
  <c r="R124" i="8"/>
  <c r="V123" i="8"/>
  <c r="U123" i="8"/>
  <c r="T123" i="8"/>
  <c r="S123" i="8"/>
  <c r="R123" i="8"/>
  <c r="V121" i="8"/>
  <c r="U121" i="8"/>
  <c r="T121" i="8"/>
  <c r="S121" i="8"/>
  <c r="R121" i="8"/>
  <c r="V120" i="8"/>
  <c r="U120" i="8"/>
  <c r="T120" i="8"/>
  <c r="S120" i="8"/>
  <c r="R120" i="8"/>
  <c r="V119" i="8"/>
  <c r="U119" i="8"/>
  <c r="T119" i="8"/>
  <c r="S119" i="8"/>
  <c r="R119" i="8"/>
  <c r="V117" i="8"/>
  <c r="U117" i="8"/>
  <c r="T117" i="8"/>
  <c r="S117" i="8"/>
  <c r="R117" i="8"/>
  <c r="V113" i="8"/>
  <c r="U113" i="8"/>
  <c r="T113" i="8"/>
  <c r="S113" i="8"/>
  <c r="R113" i="8"/>
  <c r="V112" i="8"/>
  <c r="U112" i="8"/>
  <c r="T112" i="8"/>
  <c r="S112" i="8"/>
  <c r="R112" i="8"/>
  <c r="V110" i="8"/>
  <c r="U110" i="8"/>
  <c r="T110" i="8"/>
  <c r="S110" i="8"/>
  <c r="R110" i="8"/>
  <c r="V109" i="8"/>
  <c r="U109" i="8"/>
  <c r="T109" i="8"/>
  <c r="S109" i="8"/>
  <c r="R109" i="8"/>
  <c r="V108" i="8"/>
  <c r="U108" i="8"/>
  <c r="T108" i="8"/>
  <c r="S108" i="8"/>
  <c r="R108" i="8"/>
  <c r="V106" i="8"/>
  <c r="U106" i="8"/>
  <c r="T106" i="8"/>
  <c r="S106" i="8"/>
  <c r="R106" i="8"/>
  <c r="V102" i="8"/>
  <c r="U102" i="8"/>
  <c r="T102" i="8"/>
  <c r="S102" i="8"/>
  <c r="R102" i="8"/>
  <c r="Q102" i="8"/>
  <c r="P102" i="8"/>
  <c r="O102" i="8"/>
  <c r="N102" i="8"/>
  <c r="M102" i="8"/>
  <c r="L102" i="8"/>
  <c r="K102" i="8"/>
  <c r="V101" i="8"/>
  <c r="U101" i="8"/>
  <c r="T101" i="8"/>
  <c r="S101" i="8"/>
  <c r="R101" i="8"/>
  <c r="Q101" i="8"/>
  <c r="P101" i="8"/>
  <c r="O101" i="8"/>
  <c r="N101" i="8"/>
  <c r="M101" i="8"/>
  <c r="L101" i="8"/>
  <c r="K101" i="8"/>
  <c r="V99" i="8"/>
  <c r="U99" i="8"/>
  <c r="T99" i="8"/>
  <c r="S99" i="8"/>
  <c r="R99" i="8"/>
  <c r="Q99" i="8"/>
  <c r="P99" i="8"/>
  <c r="O99" i="8"/>
  <c r="N99" i="8"/>
  <c r="M99" i="8"/>
  <c r="L99" i="8"/>
  <c r="K99" i="8"/>
  <c r="V98" i="8"/>
  <c r="U98" i="8"/>
  <c r="T98" i="8"/>
  <c r="S98" i="8"/>
  <c r="R98" i="8"/>
  <c r="Q98" i="8"/>
  <c r="P98" i="8"/>
  <c r="O98" i="8"/>
  <c r="N98" i="8"/>
  <c r="M98" i="8"/>
  <c r="L98" i="8"/>
  <c r="K98" i="8"/>
  <c r="V97" i="8"/>
  <c r="U97" i="8"/>
  <c r="T97" i="8"/>
  <c r="S97" i="8"/>
  <c r="R97" i="8"/>
  <c r="Q97" i="8"/>
  <c r="P97" i="8"/>
  <c r="O97" i="8"/>
  <c r="N97" i="8"/>
  <c r="M97" i="8"/>
  <c r="L97" i="8"/>
  <c r="K97" i="8"/>
  <c r="V95" i="8"/>
  <c r="U95" i="8"/>
  <c r="T95" i="8"/>
  <c r="S95" i="8"/>
  <c r="R95" i="8"/>
  <c r="Q95" i="8"/>
  <c r="P95" i="8"/>
  <c r="O95" i="8"/>
  <c r="N95" i="8"/>
  <c r="M95" i="8"/>
  <c r="L95" i="8"/>
  <c r="K95" i="8"/>
  <c r="V91" i="8"/>
  <c r="U91" i="8"/>
  <c r="T91" i="8"/>
  <c r="S91" i="8"/>
  <c r="R91" i="8"/>
  <c r="Q91" i="8"/>
  <c r="P91" i="8"/>
  <c r="O91" i="8"/>
  <c r="N91" i="8"/>
  <c r="M91" i="8"/>
  <c r="L91" i="8"/>
  <c r="K91" i="8"/>
  <c r="V90" i="8"/>
  <c r="U90" i="8"/>
  <c r="T90" i="8"/>
  <c r="S90" i="8"/>
  <c r="R90" i="8"/>
  <c r="Q90" i="8"/>
  <c r="P90" i="8"/>
  <c r="O90" i="8"/>
  <c r="N90" i="8"/>
  <c r="M90" i="8"/>
  <c r="L90" i="8"/>
  <c r="K90" i="8"/>
  <c r="V88" i="8"/>
  <c r="U88" i="8"/>
  <c r="T88" i="8"/>
  <c r="S88" i="8"/>
  <c r="R88" i="8"/>
  <c r="Q88" i="8"/>
  <c r="P88" i="8"/>
  <c r="O88" i="8"/>
  <c r="N88" i="8"/>
  <c r="M88" i="8"/>
  <c r="L88" i="8"/>
  <c r="K88" i="8"/>
  <c r="V87" i="8"/>
  <c r="U87" i="8"/>
  <c r="T87" i="8"/>
  <c r="S87" i="8"/>
  <c r="R87" i="8"/>
  <c r="Q87" i="8"/>
  <c r="P87" i="8"/>
  <c r="O87" i="8"/>
  <c r="N87" i="8"/>
  <c r="M87" i="8"/>
  <c r="L87" i="8"/>
  <c r="K87" i="8"/>
  <c r="V86" i="8"/>
  <c r="U86" i="8"/>
  <c r="T86" i="8"/>
  <c r="S86" i="8"/>
  <c r="R86" i="8"/>
  <c r="Q86" i="8"/>
  <c r="P86" i="8"/>
  <c r="O86" i="8"/>
  <c r="N86" i="8"/>
  <c r="M86" i="8"/>
  <c r="L86" i="8"/>
  <c r="K86" i="8"/>
  <c r="V84" i="8"/>
  <c r="U84" i="8"/>
  <c r="T84" i="8"/>
  <c r="S84" i="8"/>
  <c r="R84" i="8"/>
  <c r="Q84" i="8"/>
  <c r="P84" i="8"/>
  <c r="O84" i="8"/>
  <c r="N84" i="8"/>
  <c r="M84" i="8"/>
  <c r="L84" i="8"/>
  <c r="K84" i="8"/>
  <c r="N80" i="8"/>
  <c r="R79" i="8"/>
  <c r="O79" i="8"/>
  <c r="K79" i="8"/>
  <c r="V77" i="8"/>
  <c r="S77" i="8"/>
  <c r="S76" i="8"/>
  <c r="R73" i="8"/>
  <c r="O73" i="8"/>
  <c r="B57" i="10"/>
  <c r="B56" i="10"/>
  <c r="B54" i="10"/>
  <c r="B53" i="10"/>
  <c r="B52" i="10"/>
  <c r="B50" i="10"/>
  <c r="B46" i="10"/>
  <c r="B45" i="10"/>
  <c r="B43" i="10"/>
  <c r="B42" i="10"/>
  <c r="B41" i="10"/>
  <c r="B39" i="10"/>
  <c r="V22" i="10"/>
  <c r="U22" i="10"/>
  <c r="T22" i="10"/>
  <c r="S22" i="10"/>
  <c r="R22" i="10"/>
  <c r="Q22" i="10"/>
  <c r="B4" i="10"/>
  <c r="B54" i="9"/>
  <c r="B53" i="9"/>
  <c r="B51" i="9"/>
  <c r="B50" i="9"/>
  <c r="B49" i="9"/>
  <c r="B47" i="9"/>
  <c r="B43" i="9"/>
  <c r="B42" i="9"/>
  <c r="B40" i="9"/>
  <c r="B39" i="9"/>
  <c r="B38" i="9"/>
  <c r="B36" i="9"/>
  <c r="B32" i="9"/>
  <c r="B31" i="9"/>
  <c r="B29" i="9"/>
  <c r="B28" i="9"/>
  <c r="B27" i="9"/>
  <c r="B25" i="9"/>
  <c r="P22" i="10"/>
  <c r="H22" i="10"/>
  <c r="G22" i="10" l="1"/>
  <c r="O22" i="10"/>
  <c r="B22" i="10"/>
  <c r="J22" i="10"/>
  <c r="I22" i="10"/>
  <c r="C22" i="10"/>
  <c r="K22" i="10"/>
  <c r="D22" i="10"/>
  <c r="L22" i="10"/>
  <c r="E22" i="10"/>
  <c r="M22" i="10"/>
  <c r="F22" i="10"/>
  <c r="N22" i="10"/>
  <c r="L50" i="8"/>
  <c r="L72" i="8" s="1"/>
  <c r="L109" i="8"/>
  <c r="L105" i="8"/>
  <c r="L110" i="8"/>
  <c r="L108" i="8"/>
  <c r="L106" i="8"/>
  <c r="L85" i="8"/>
  <c r="L118" i="8"/>
  <c r="L123" i="8"/>
  <c r="L89" i="8"/>
  <c r="L124" i="8"/>
  <c r="L122" i="8"/>
  <c r="L121" i="8"/>
  <c r="L119" i="8"/>
  <c r="L117" i="8"/>
  <c r="L120" i="8"/>
  <c r="L116" i="8"/>
  <c r="L56" i="8"/>
  <c r="L78" i="8" s="1"/>
  <c r="L113" i="8"/>
  <c r="L111" i="8"/>
  <c r="L112" i="8"/>
  <c r="L100" i="8"/>
  <c r="L52" i="8"/>
  <c r="L74" i="8" s="1"/>
  <c r="L107" i="8"/>
  <c r="L96" i="8"/>
  <c r="J102" i="8"/>
  <c r="I102" i="8"/>
  <c r="H102" i="8"/>
  <c r="G102" i="8"/>
  <c r="F102" i="8"/>
  <c r="E102" i="8"/>
  <c r="D102" i="8"/>
  <c r="C102" i="8"/>
  <c r="B102" i="8"/>
  <c r="J101" i="8"/>
  <c r="I101" i="8"/>
  <c r="H101" i="8"/>
  <c r="G101" i="8"/>
  <c r="F101" i="8"/>
  <c r="E101" i="8"/>
  <c r="D101" i="8"/>
  <c r="C101" i="8"/>
  <c r="B101" i="8"/>
  <c r="J99" i="8"/>
  <c r="I99" i="8"/>
  <c r="H99" i="8"/>
  <c r="G99" i="8"/>
  <c r="F99" i="8"/>
  <c r="E99" i="8"/>
  <c r="D99" i="8"/>
  <c r="C99" i="8"/>
  <c r="B99" i="8"/>
  <c r="J98" i="8"/>
  <c r="I98" i="8"/>
  <c r="H98" i="8"/>
  <c r="G98" i="8"/>
  <c r="F98" i="8"/>
  <c r="E98" i="8"/>
  <c r="D98" i="8"/>
  <c r="C98" i="8"/>
  <c r="B98" i="8"/>
  <c r="J97" i="8"/>
  <c r="I97" i="8"/>
  <c r="H97" i="8"/>
  <c r="G97" i="8"/>
  <c r="F97" i="8"/>
  <c r="E97" i="8"/>
  <c r="D97" i="8"/>
  <c r="C97" i="8"/>
  <c r="B97" i="8"/>
  <c r="J95" i="8"/>
  <c r="I95" i="8"/>
  <c r="H95" i="8"/>
  <c r="G95" i="8"/>
  <c r="F95" i="8"/>
  <c r="E95" i="8"/>
  <c r="D95" i="8"/>
  <c r="C95" i="8"/>
  <c r="B95" i="8"/>
  <c r="J91" i="8"/>
  <c r="I91" i="8"/>
  <c r="H91" i="8"/>
  <c r="G91" i="8"/>
  <c r="F91" i="8"/>
  <c r="E91" i="8"/>
  <c r="D91" i="8"/>
  <c r="C91" i="8"/>
  <c r="B91" i="8"/>
  <c r="J90" i="8"/>
  <c r="I90" i="8"/>
  <c r="H90" i="8"/>
  <c r="G90" i="8"/>
  <c r="F90" i="8"/>
  <c r="E90" i="8"/>
  <c r="D90" i="8"/>
  <c r="C90" i="8"/>
  <c r="B90" i="8"/>
  <c r="J88" i="8"/>
  <c r="I88" i="8"/>
  <c r="H88" i="8"/>
  <c r="G88" i="8"/>
  <c r="F88" i="8"/>
  <c r="E88" i="8"/>
  <c r="D88" i="8"/>
  <c r="C88" i="8"/>
  <c r="B88" i="8"/>
  <c r="J87" i="8"/>
  <c r="I87" i="8"/>
  <c r="H87" i="8"/>
  <c r="G87" i="8"/>
  <c r="F87" i="8"/>
  <c r="E87" i="8"/>
  <c r="D87" i="8"/>
  <c r="C87" i="8"/>
  <c r="B87" i="8"/>
  <c r="J86" i="8"/>
  <c r="I86" i="8"/>
  <c r="H86" i="8"/>
  <c r="G86" i="8"/>
  <c r="F86" i="8"/>
  <c r="E86" i="8"/>
  <c r="D86" i="8"/>
  <c r="C86" i="8"/>
  <c r="B86" i="8"/>
  <c r="J84" i="8"/>
  <c r="I84" i="8"/>
  <c r="H84" i="8"/>
  <c r="G84" i="8"/>
  <c r="F84" i="8"/>
  <c r="E84" i="8"/>
  <c r="D84" i="8"/>
  <c r="C84" i="8"/>
  <c r="B84" i="8"/>
  <c r="L83" i="8" l="1"/>
  <c r="L94" i="8"/>
  <c r="L82" i="8" l="1"/>
  <c r="S51" i="3" l="1"/>
  <c r="V81" i="3"/>
  <c r="U81" i="3"/>
  <c r="T81" i="3"/>
  <c r="S81" i="3"/>
  <c r="V72" i="3"/>
  <c r="V164" i="3" s="1"/>
  <c r="U72" i="3"/>
  <c r="U164" i="3" s="1"/>
  <c r="T72" i="3"/>
  <c r="T164" i="3" s="1"/>
  <c r="S72" i="3"/>
  <c r="S164" i="3" s="1"/>
  <c r="R72" i="3"/>
  <c r="R164" i="3" s="1"/>
  <c r="T71" i="3"/>
  <c r="S71" i="3"/>
  <c r="R71" i="3"/>
  <c r="V70" i="3"/>
  <c r="V162" i="3" s="1"/>
  <c r="U70" i="3"/>
  <c r="U162" i="3" s="1"/>
  <c r="T70" i="3"/>
  <c r="T162" i="3" s="1"/>
  <c r="S70" i="3"/>
  <c r="S162" i="3" s="1"/>
  <c r="R70" i="3"/>
  <c r="R162" i="3" s="1"/>
  <c r="U51" i="3"/>
  <c r="T51" i="3"/>
  <c r="R51" i="3"/>
  <c r="V42" i="3"/>
  <c r="U42" i="3"/>
  <c r="T42" i="3"/>
  <c r="S42" i="3"/>
  <c r="R42" i="3"/>
  <c r="V41" i="3"/>
  <c r="T41" i="3"/>
  <c r="R41" i="3"/>
  <c r="V40" i="3"/>
  <c r="U40" i="3"/>
  <c r="T40" i="3"/>
  <c r="S40" i="3"/>
  <c r="R40" i="3"/>
  <c r="V21" i="3"/>
  <c r="T21" i="3"/>
  <c r="S21" i="3"/>
  <c r="S233" i="3" s="1"/>
  <c r="V12" i="3"/>
  <c r="U12" i="3"/>
  <c r="T12" i="3"/>
  <c r="T224" i="3" s="1"/>
  <c r="S12" i="3"/>
  <c r="S224" i="3" s="1"/>
  <c r="R12" i="3"/>
  <c r="V11" i="3"/>
  <c r="U11" i="3"/>
  <c r="T11" i="3"/>
  <c r="S11" i="3"/>
  <c r="V10" i="3"/>
  <c r="U10" i="3"/>
  <c r="T10" i="3"/>
  <c r="S10" i="3"/>
  <c r="R10" i="3"/>
  <c r="Q72" i="3"/>
  <c r="Q164" i="3" s="1"/>
  <c r="P72" i="3"/>
  <c r="P164" i="3" s="1"/>
  <c r="O72" i="3"/>
  <c r="O164" i="3" s="1"/>
  <c r="N72" i="3"/>
  <c r="N164" i="3" s="1"/>
  <c r="M72" i="3"/>
  <c r="M164" i="3" s="1"/>
  <c r="L72" i="3"/>
  <c r="L164" i="3" s="1"/>
  <c r="K72" i="3"/>
  <c r="K164" i="3" s="1"/>
  <c r="J72" i="3"/>
  <c r="J164" i="3" s="1"/>
  <c r="I72" i="3"/>
  <c r="I164" i="3" s="1"/>
  <c r="H72" i="3"/>
  <c r="H164" i="3" s="1"/>
  <c r="G72" i="3"/>
  <c r="G164" i="3" s="1"/>
  <c r="F72" i="3"/>
  <c r="F164" i="3" s="1"/>
  <c r="E72" i="3"/>
  <c r="E164" i="3" s="1"/>
  <c r="D72" i="3"/>
  <c r="D164" i="3" s="1"/>
  <c r="C72" i="3"/>
  <c r="C164" i="3" s="1"/>
  <c r="B72" i="3"/>
  <c r="B164" i="3" s="1"/>
  <c r="Q70" i="3"/>
  <c r="Q162" i="3" s="1"/>
  <c r="P70" i="3"/>
  <c r="P162" i="3" s="1"/>
  <c r="O70" i="3"/>
  <c r="O162" i="3" s="1"/>
  <c r="N70" i="3"/>
  <c r="N162" i="3" s="1"/>
  <c r="M70" i="3"/>
  <c r="M162" i="3" s="1"/>
  <c r="L70" i="3"/>
  <c r="L162" i="3" s="1"/>
  <c r="K70" i="3"/>
  <c r="K162" i="3" s="1"/>
  <c r="J70" i="3"/>
  <c r="J162" i="3" s="1"/>
  <c r="I70" i="3"/>
  <c r="I162" i="3" s="1"/>
  <c r="H70" i="3"/>
  <c r="H162" i="3" s="1"/>
  <c r="G70" i="3"/>
  <c r="G162" i="3" s="1"/>
  <c r="F70" i="3"/>
  <c r="F162" i="3" s="1"/>
  <c r="E70" i="3"/>
  <c r="E162" i="3" s="1"/>
  <c r="D70" i="3"/>
  <c r="D162" i="3" s="1"/>
  <c r="C70" i="3"/>
  <c r="C162" i="3" s="1"/>
  <c r="B70" i="3"/>
  <c r="B162" i="3" s="1"/>
  <c r="Q42" i="3"/>
  <c r="P42" i="3"/>
  <c r="O42" i="3"/>
  <c r="N42" i="3"/>
  <c r="M42" i="3"/>
  <c r="L42" i="3"/>
  <c r="K42" i="3"/>
  <c r="J42" i="3"/>
  <c r="I42" i="3"/>
  <c r="H42" i="3"/>
  <c r="G42" i="3"/>
  <c r="F42" i="3"/>
  <c r="E42" i="3"/>
  <c r="D42" i="3"/>
  <c r="C42" i="3"/>
  <c r="B42" i="3"/>
  <c r="Q40" i="3"/>
  <c r="P40" i="3"/>
  <c r="O40" i="3"/>
  <c r="N40" i="3"/>
  <c r="M40" i="3"/>
  <c r="L40" i="3"/>
  <c r="K40" i="3"/>
  <c r="J40" i="3"/>
  <c r="I40" i="3"/>
  <c r="H40" i="3"/>
  <c r="G40" i="3"/>
  <c r="F40" i="3"/>
  <c r="E40" i="3"/>
  <c r="D40" i="3"/>
  <c r="C40" i="3"/>
  <c r="B40" i="3"/>
  <c r="A28" i="3"/>
  <c r="A27" i="3"/>
  <c r="Q12" i="3"/>
  <c r="P12" i="3"/>
  <c r="O12" i="3"/>
  <c r="N12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A11" i="3"/>
  <c r="Q10" i="3"/>
  <c r="P10" i="3"/>
  <c r="O10" i="3"/>
  <c r="N10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A20" i="3"/>
  <c r="A19" i="3"/>
  <c r="A8" i="3"/>
  <c r="A7" i="3"/>
  <c r="A6" i="3"/>
  <c r="G58" i="8"/>
  <c r="G80" i="8" s="1"/>
  <c r="J57" i="8"/>
  <c r="G57" i="8"/>
  <c r="J55" i="8"/>
  <c r="J77" i="8" s="1"/>
  <c r="G55" i="8"/>
  <c r="G77" i="8" s="1"/>
  <c r="G54" i="8"/>
  <c r="G76" i="8" s="1"/>
  <c r="J53" i="8"/>
  <c r="G53" i="8"/>
  <c r="J51" i="8"/>
  <c r="G51" i="8"/>
  <c r="G73" i="8" s="1"/>
  <c r="J58" i="8"/>
  <c r="J80" i="8" s="1"/>
  <c r="H58" i="8"/>
  <c r="H57" i="8"/>
  <c r="B55" i="8"/>
  <c r="J54" i="8"/>
  <c r="J76" i="8" s="1"/>
  <c r="H54" i="8"/>
  <c r="H53" i="8"/>
  <c r="L51" i="3"/>
  <c r="D51" i="3"/>
  <c r="B51" i="3"/>
  <c r="L41" i="3"/>
  <c r="D41" i="3"/>
  <c r="B68" i="10"/>
  <c r="B81" i="3"/>
  <c r="B65" i="10"/>
  <c r="B64" i="10"/>
  <c r="G71" i="3"/>
  <c r="B71" i="3"/>
  <c r="B61" i="10"/>
  <c r="A234" i="3"/>
  <c r="A233" i="3"/>
  <c r="A230" i="3"/>
  <c r="A225" i="3"/>
  <c r="A221" i="3"/>
  <c r="A217" i="3"/>
  <c r="A204" i="3"/>
  <c r="A203" i="3"/>
  <c r="A200" i="3"/>
  <c r="A195" i="3"/>
  <c r="A191" i="3"/>
  <c r="A187" i="3"/>
  <c r="A174" i="3"/>
  <c r="A173" i="3"/>
  <c r="A170" i="3"/>
  <c r="A165" i="3"/>
  <c r="A161" i="3"/>
  <c r="A157" i="3"/>
  <c r="A144" i="3"/>
  <c r="A143" i="3"/>
  <c r="A140" i="3"/>
  <c r="A135" i="3"/>
  <c r="A131" i="3"/>
  <c r="A127" i="3"/>
  <c r="A114" i="3"/>
  <c r="A113" i="3"/>
  <c r="A110" i="3"/>
  <c r="A105" i="3"/>
  <c r="A101" i="3"/>
  <c r="A97" i="3"/>
  <c r="A82" i="3"/>
  <c r="A81" i="3"/>
  <c r="A78" i="3"/>
  <c r="A75" i="3"/>
  <c r="A73" i="3"/>
  <c r="A69" i="3"/>
  <c r="A65" i="3"/>
  <c r="A52" i="3"/>
  <c r="A51" i="3"/>
  <c r="A48" i="3"/>
  <c r="A44" i="3"/>
  <c r="A43" i="3"/>
  <c r="A39" i="3"/>
  <c r="A35" i="3"/>
  <c r="A137" i="3"/>
  <c r="A74" i="3"/>
  <c r="B11" i="1"/>
  <c r="B7" i="1"/>
  <c r="B18" i="1"/>
  <c r="B8" i="1"/>
  <c r="B12" i="1"/>
  <c r="B22" i="1"/>
  <c r="B17" i="1"/>
  <c r="B13" i="1"/>
  <c r="B9" i="1"/>
  <c r="B21" i="1"/>
  <c r="B6" i="1"/>
  <c r="B15" i="1"/>
  <c r="B20" i="1"/>
  <c r="B4" i="1"/>
  <c r="B16" i="1"/>
  <c r="A71" i="3" l="1"/>
  <c r="A42" i="3"/>
  <c r="A66" i="3"/>
  <c r="A67" i="3"/>
  <c r="A100" i="3"/>
  <c r="A49" i="3"/>
  <c r="A192" i="3"/>
  <c r="A134" i="3"/>
  <c r="G222" i="3"/>
  <c r="O222" i="3"/>
  <c r="T222" i="3"/>
  <c r="E224" i="3"/>
  <c r="M224" i="3"/>
  <c r="V233" i="3"/>
  <c r="V222" i="3"/>
  <c r="V224" i="3"/>
  <c r="B224" i="3"/>
  <c r="J224" i="3"/>
  <c r="A149" i="3"/>
  <c r="A120" i="3"/>
  <c r="T193" i="3"/>
  <c r="T203" i="3"/>
  <c r="R222" i="3"/>
  <c r="N222" i="3"/>
  <c r="S222" i="3"/>
  <c r="R224" i="3"/>
  <c r="F222" i="3"/>
  <c r="V192" i="3"/>
  <c r="V194" i="3"/>
  <c r="S223" i="3"/>
  <c r="V193" i="3"/>
  <c r="S203" i="3"/>
  <c r="T223" i="3"/>
  <c r="R192" i="3"/>
  <c r="R194" i="3"/>
  <c r="S192" i="3"/>
  <c r="S194" i="3"/>
  <c r="T192" i="3"/>
  <c r="T194" i="3"/>
  <c r="T233" i="3"/>
  <c r="U192" i="3"/>
  <c r="U194" i="3"/>
  <c r="U222" i="3"/>
  <c r="U224" i="3"/>
  <c r="D222" i="3"/>
  <c r="L222" i="3"/>
  <c r="D224" i="3"/>
  <c r="L224" i="3"/>
  <c r="Q49" i="10"/>
  <c r="Q38" i="10"/>
  <c r="Q60" i="10"/>
  <c r="S57" i="9"/>
  <c r="S46" i="9"/>
  <c r="S35" i="9"/>
  <c r="S24" i="9"/>
  <c r="G67" i="10"/>
  <c r="G63" i="10"/>
  <c r="G59" i="10"/>
  <c r="F57" i="9"/>
  <c r="N57" i="9"/>
  <c r="L64" i="9"/>
  <c r="L62" i="9"/>
  <c r="L60" i="9"/>
  <c r="L58" i="9"/>
  <c r="L56" i="9"/>
  <c r="L65" i="9"/>
  <c r="L61" i="9"/>
  <c r="L23" i="9"/>
  <c r="L45" i="9"/>
  <c r="M67" i="10"/>
  <c r="M63" i="10"/>
  <c r="M59" i="10"/>
  <c r="K65" i="9"/>
  <c r="K61" i="9"/>
  <c r="K64" i="9"/>
  <c r="K62" i="9"/>
  <c r="K60" i="9"/>
  <c r="K58" i="9"/>
  <c r="K56" i="9"/>
  <c r="N51" i="3"/>
  <c r="R24" i="9"/>
  <c r="R57" i="9"/>
  <c r="R46" i="9"/>
  <c r="R35" i="9"/>
  <c r="C67" i="10"/>
  <c r="C59" i="10"/>
  <c r="C63" i="10"/>
  <c r="N67" i="10"/>
  <c r="N63" i="10"/>
  <c r="N59" i="10"/>
  <c r="H71" i="3"/>
  <c r="H62" i="10"/>
  <c r="P71" i="3"/>
  <c r="F81" i="3"/>
  <c r="F66" i="10"/>
  <c r="N81" i="3"/>
  <c r="N66" i="10"/>
  <c r="O24" i="9"/>
  <c r="F41" i="3"/>
  <c r="U62" i="10"/>
  <c r="U51" i="10"/>
  <c r="U40" i="10"/>
  <c r="T30" i="9"/>
  <c r="T41" i="9"/>
  <c r="T52" i="9"/>
  <c r="T63" i="9"/>
  <c r="E81" i="3"/>
  <c r="E66" i="10"/>
  <c r="F63" i="9"/>
  <c r="T62" i="10"/>
  <c r="T51" i="10"/>
  <c r="T40" i="10"/>
  <c r="S63" i="9"/>
  <c r="S52" i="9"/>
  <c r="S30" i="9"/>
  <c r="S41" i="9"/>
  <c r="I60" i="10"/>
  <c r="I62" i="10"/>
  <c r="Q40" i="10"/>
  <c r="Q62" i="10"/>
  <c r="Q51" i="10"/>
  <c r="G66" i="10"/>
  <c r="C57" i="9"/>
  <c r="H41" i="3"/>
  <c r="H39" i="3" s="1"/>
  <c r="H59" i="9"/>
  <c r="P41" i="3"/>
  <c r="H63" i="9"/>
  <c r="P59" i="9"/>
  <c r="H222" i="3"/>
  <c r="P222" i="3"/>
  <c r="F224" i="3"/>
  <c r="N224" i="3"/>
  <c r="V51" i="10"/>
  <c r="V40" i="10"/>
  <c r="V62" i="10"/>
  <c r="R59" i="9"/>
  <c r="R26" i="9"/>
  <c r="R48" i="9"/>
  <c r="R37" i="9"/>
  <c r="U63" i="9"/>
  <c r="U30" i="9"/>
  <c r="U41" i="9"/>
  <c r="U52" i="9"/>
  <c r="P60" i="10"/>
  <c r="F67" i="10"/>
  <c r="F63" i="10"/>
  <c r="F59" i="10"/>
  <c r="H81" i="3"/>
  <c r="P81" i="3"/>
  <c r="P66" i="10"/>
  <c r="Q51" i="3"/>
  <c r="N41" i="3"/>
  <c r="O71" i="3"/>
  <c r="R66" i="10"/>
  <c r="R55" i="10"/>
  <c r="R44" i="10"/>
  <c r="S59" i="9"/>
  <c r="S37" i="9"/>
  <c r="S48" i="9"/>
  <c r="S26" i="9"/>
  <c r="V30" i="9"/>
  <c r="V41" i="9"/>
  <c r="V52" i="9"/>
  <c r="V63" i="9"/>
  <c r="P57" i="9"/>
  <c r="C60" i="10"/>
  <c r="L62" i="10"/>
  <c r="L38" i="10"/>
  <c r="L49" i="10"/>
  <c r="C71" i="3"/>
  <c r="C62" i="10"/>
  <c r="K71" i="3"/>
  <c r="I81" i="3"/>
  <c r="I66" i="10"/>
  <c r="Q66" i="10"/>
  <c r="Q55" i="10"/>
  <c r="Q44" i="10"/>
  <c r="E57" i="9"/>
  <c r="J46" i="9"/>
  <c r="J51" i="3"/>
  <c r="G81" i="3"/>
  <c r="V51" i="3"/>
  <c r="S66" i="10"/>
  <c r="S55" i="10"/>
  <c r="S44" i="10"/>
  <c r="T48" i="9"/>
  <c r="T26" i="9"/>
  <c r="T37" i="9"/>
  <c r="T59" i="9"/>
  <c r="L57" i="9"/>
  <c r="L24" i="9"/>
  <c r="L35" i="9"/>
  <c r="L46" i="9"/>
  <c r="H60" i="10"/>
  <c r="D60" i="10"/>
  <c r="M60" i="10"/>
  <c r="D71" i="3"/>
  <c r="D62" i="10"/>
  <c r="L71" i="3"/>
  <c r="L51" i="10"/>
  <c r="L40" i="10"/>
  <c r="J81" i="3"/>
  <c r="C59" i="9"/>
  <c r="K59" i="9"/>
  <c r="C63" i="9"/>
  <c r="K63" i="9"/>
  <c r="Q52" i="9"/>
  <c r="O81" i="3"/>
  <c r="R60" i="10"/>
  <c r="R49" i="10"/>
  <c r="R38" i="10"/>
  <c r="T66" i="10"/>
  <c r="T55" i="10"/>
  <c r="T44" i="10"/>
  <c r="U41" i="3"/>
  <c r="U59" i="9"/>
  <c r="U26" i="9"/>
  <c r="U37" i="9"/>
  <c r="U48" i="9"/>
  <c r="G62" i="10"/>
  <c r="M81" i="3"/>
  <c r="M66" i="10"/>
  <c r="I67" i="10"/>
  <c r="I63" i="10"/>
  <c r="I59" i="10"/>
  <c r="E60" i="10"/>
  <c r="N60" i="10"/>
  <c r="E71" i="3"/>
  <c r="E62" i="10"/>
  <c r="M71" i="3"/>
  <c r="M62" i="10"/>
  <c r="C81" i="3"/>
  <c r="C66" i="10"/>
  <c r="K81" i="3"/>
  <c r="C65" i="9"/>
  <c r="C61" i="9"/>
  <c r="C64" i="9"/>
  <c r="C62" i="9"/>
  <c r="C60" i="9"/>
  <c r="C58" i="9"/>
  <c r="C56" i="9"/>
  <c r="H57" i="9"/>
  <c r="L59" i="9"/>
  <c r="L26" i="9"/>
  <c r="L48" i="9"/>
  <c r="L37" i="9"/>
  <c r="L63" i="9"/>
  <c r="L30" i="9"/>
  <c r="L52" i="9"/>
  <c r="L41" i="9"/>
  <c r="Q48" i="9"/>
  <c r="R51" i="10"/>
  <c r="R62" i="10"/>
  <c r="R40" i="10"/>
  <c r="U66" i="10"/>
  <c r="U55" i="10"/>
  <c r="U44" i="10"/>
  <c r="V26" i="9"/>
  <c r="V59" i="9"/>
  <c r="V37" i="9"/>
  <c r="V48" i="9"/>
  <c r="G60" i="10"/>
  <c r="F59" i="9"/>
  <c r="Q63" i="9"/>
  <c r="F60" i="10"/>
  <c r="O38" i="10"/>
  <c r="F71" i="3"/>
  <c r="F62" i="10"/>
  <c r="N71" i="3"/>
  <c r="N62" i="10"/>
  <c r="D81" i="3"/>
  <c r="D66" i="10"/>
  <c r="L81" i="3"/>
  <c r="L44" i="10"/>
  <c r="L55" i="10"/>
  <c r="D63" i="9"/>
  <c r="K57" i="9"/>
  <c r="E41" i="3"/>
  <c r="M41" i="3"/>
  <c r="E51" i="3"/>
  <c r="M51" i="3"/>
  <c r="S41" i="3"/>
  <c r="S62" i="10"/>
  <c r="S51" i="10"/>
  <c r="S40" i="10"/>
  <c r="V66" i="10"/>
  <c r="V55" i="10"/>
  <c r="V44" i="10"/>
  <c r="R63" i="9"/>
  <c r="R52" i="9"/>
  <c r="R30" i="9"/>
  <c r="R41" i="9"/>
  <c r="O120" i="8"/>
  <c r="O116" i="8"/>
  <c r="O121" i="8"/>
  <c r="O119" i="8"/>
  <c r="O117" i="8"/>
  <c r="O83" i="8"/>
  <c r="M48" i="10"/>
  <c r="P23" i="9"/>
  <c r="H49" i="10"/>
  <c r="H46" i="9"/>
  <c r="E49" i="10"/>
  <c r="E46" i="9"/>
  <c r="G44" i="10"/>
  <c r="G41" i="9"/>
  <c r="K85" i="8"/>
  <c r="K26" i="9"/>
  <c r="N51" i="10"/>
  <c r="N48" i="9"/>
  <c r="R100" i="8"/>
  <c r="R56" i="8"/>
  <c r="R78" i="8" s="1"/>
  <c r="R111" i="8"/>
  <c r="T85" i="8"/>
  <c r="T118" i="8"/>
  <c r="C40" i="10"/>
  <c r="C37" i="9"/>
  <c r="K40" i="10"/>
  <c r="K37" i="9"/>
  <c r="K52" i="8"/>
  <c r="K74" i="8" s="1"/>
  <c r="K96" i="8"/>
  <c r="H100" i="8"/>
  <c r="H44" i="10"/>
  <c r="H41" i="9"/>
  <c r="Q112" i="8"/>
  <c r="Q41" i="9"/>
  <c r="Q56" i="8"/>
  <c r="Q78" i="8" s="1"/>
  <c r="Q113" i="8"/>
  <c r="Q111" i="8"/>
  <c r="Q100" i="8"/>
  <c r="D85" i="8"/>
  <c r="D26" i="9"/>
  <c r="M26" i="9"/>
  <c r="M85" i="8"/>
  <c r="E30" i="9"/>
  <c r="N123" i="8"/>
  <c r="N89" i="8"/>
  <c r="N30" i="9"/>
  <c r="N124" i="8"/>
  <c r="N122" i="8"/>
  <c r="F51" i="10"/>
  <c r="F48" i="9"/>
  <c r="O51" i="10"/>
  <c r="O48" i="9"/>
  <c r="G55" i="10"/>
  <c r="G52" i="9"/>
  <c r="P55" i="10"/>
  <c r="P52" i="9"/>
  <c r="S56" i="8"/>
  <c r="S78" i="8" s="1"/>
  <c r="S111" i="8"/>
  <c r="S100" i="8"/>
  <c r="U118" i="8"/>
  <c r="U85" i="8"/>
  <c r="J96" i="8"/>
  <c r="J40" i="10"/>
  <c r="J37" i="9"/>
  <c r="D30" i="9"/>
  <c r="E51" i="10"/>
  <c r="E48" i="9"/>
  <c r="F55" i="10"/>
  <c r="F52" i="9"/>
  <c r="D38" i="10"/>
  <c r="D35" i="9"/>
  <c r="D96" i="8"/>
  <c r="D40" i="10"/>
  <c r="D37" i="9"/>
  <c r="M40" i="10"/>
  <c r="M37" i="9"/>
  <c r="M52" i="8"/>
  <c r="M74" i="8" s="1"/>
  <c r="M96" i="8"/>
  <c r="I100" i="8"/>
  <c r="I44" i="10"/>
  <c r="I41" i="9"/>
  <c r="K118" i="8"/>
  <c r="E26" i="9"/>
  <c r="N85" i="8"/>
  <c r="N26" i="9"/>
  <c r="N118" i="8"/>
  <c r="F89" i="8"/>
  <c r="F30" i="9"/>
  <c r="O30" i="9"/>
  <c r="O124" i="8"/>
  <c r="O122" i="8"/>
  <c r="O123" i="8"/>
  <c r="O89" i="8"/>
  <c r="F49" i="10"/>
  <c r="F46" i="9"/>
  <c r="G51" i="10"/>
  <c r="G48" i="9"/>
  <c r="P51" i="10"/>
  <c r="P48" i="9"/>
  <c r="H55" i="10"/>
  <c r="H52" i="9"/>
  <c r="T56" i="8"/>
  <c r="T78" i="8" s="1"/>
  <c r="T111" i="8"/>
  <c r="T100" i="8"/>
  <c r="V85" i="8"/>
  <c r="V118" i="8"/>
  <c r="B96" i="8"/>
  <c r="B40" i="10"/>
  <c r="B37" i="9"/>
  <c r="P112" i="8"/>
  <c r="P100" i="8"/>
  <c r="P44" i="10"/>
  <c r="P41" i="9"/>
  <c r="P56" i="8"/>
  <c r="P78" i="8" s="1"/>
  <c r="P113" i="8"/>
  <c r="P111" i="8"/>
  <c r="G48" i="10"/>
  <c r="B41" i="9"/>
  <c r="B44" i="10"/>
  <c r="B24" i="9"/>
  <c r="F85" i="8"/>
  <c r="F26" i="9"/>
  <c r="G30" i="9"/>
  <c r="P30" i="9"/>
  <c r="P124" i="8"/>
  <c r="P122" i="8"/>
  <c r="P123" i="8"/>
  <c r="P89" i="8"/>
  <c r="H38" i="10"/>
  <c r="H35" i="9"/>
  <c r="F40" i="10"/>
  <c r="F37" i="9"/>
  <c r="O96" i="8"/>
  <c r="O40" i="10"/>
  <c r="O37" i="9"/>
  <c r="O52" i="8"/>
  <c r="O74" i="8" s="1"/>
  <c r="O107" i="8"/>
  <c r="C44" i="10"/>
  <c r="C41" i="9"/>
  <c r="K44" i="10"/>
  <c r="K41" i="9"/>
  <c r="K56" i="8"/>
  <c r="K78" i="8" s="1"/>
  <c r="K113" i="8"/>
  <c r="K111" i="8"/>
  <c r="K112" i="8"/>
  <c r="K100" i="8"/>
  <c r="D24" i="9"/>
  <c r="G85" i="8"/>
  <c r="G26" i="9"/>
  <c r="P26" i="9"/>
  <c r="P118" i="8"/>
  <c r="P85" i="8"/>
  <c r="H30" i="9"/>
  <c r="Q30" i="9"/>
  <c r="Q124" i="8"/>
  <c r="Q122" i="8"/>
  <c r="Q123" i="8"/>
  <c r="Q89" i="8"/>
  <c r="Q83" i="8"/>
  <c r="I51" i="10"/>
  <c r="I48" i="9"/>
  <c r="B55" i="10"/>
  <c r="B52" i="9"/>
  <c r="J55" i="10"/>
  <c r="J52" i="9"/>
  <c r="S52" i="8"/>
  <c r="S74" i="8" s="1"/>
  <c r="S107" i="8"/>
  <c r="S96" i="8"/>
  <c r="V56" i="8"/>
  <c r="V78" i="8" s="1"/>
  <c r="V111" i="8"/>
  <c r="V100" i="8"/>
  <c r="S89" i="8"/>
  <c r="S122" i="8"/>
  <c r="M49" i="10"/>
  <c r="M46" i="9"/>
  <c r="N121" i="8"/>
  <c r="N119" i="8"/>
  <c r="N117" i="8"/>
  <c r="N83" i="8"/>
  <c r="N24" i="9"/>
  <c r="N120" i="8"/>
  <c r="N116" i="8"/>
  <c r="P49" i="10"/>
  <c r="P46" i="9"/>
  <c r="H51" i="10"/>
  <c r="H48" i="9"/>
  <c r="I55" i="10"/>
  <c r="I52" i="9"/>
  <c r="G96" i="8"/>
  <c r="G40" i="10"/>
  <c r="G37" i="9"/>
  <c r="P96" i="8"/>
  <c r="P40" i="10"/>
  <c r="P37" i="9"/>
  <c r="P52" i="8"/>
  <c r="P74" i="8" s="1"/>
  <c r="P107" i="8"/>
  <c r="D44" i="10"/>
  <c r="D41" i="9"/>
  <c r="M44" i="10"/>
  <c r="M41" i="9"/>
  <c r="M56" i="8"/>
  <c r="M78" i="8" s="1"/>
  <c r="M113" i="8"/>
  <c r="M111" i="8"/>
  <c r="M112" i="8"/>
  <c r="M100" i="8"/>
  <c r="P24" i="9"/>
  <c r="P120" i="8"/>
  <c r="P116" i="8"/>
  <c r="P121" i="8"/>
  <c r="P119" i="8"/>
  <c r="P117" i="8"/>
  <c r="P83" i="8"/>
  <c r="H85" i="8"/>
  <c r="H26" i="9"/>
  <c r="Q26" i="9"/>
  <c r="Q118" i="8"/>
  <c r="Q85" i="8"/>
  <c r="I89" i="8"/>
  <c r="I30" i="9"/>
  <c r="P82" i="8"/>
  <c r="I49" i="10"/>
  <c r="B51" i="10"/>
  <c r="B48" i="9"/>
  <c r="J51" i="10"/>
  <c r="J48" i="9"/>
  <c r="C55" i="10"/>
  <c r="C52" i="9"/>
  <c r="K55" i="10"/>
  <c r="K52" i="9"/>
  <c r="T52" i="8"/>
  <c r="T74" i="8" s="1"/>
  <c r="T107" i="8"/>
  <c r="T96" i="8"/>
  <c r="T89" i="8"/>
  <c r="T122" i="8"/>
  <c r="D49" i="10"/>
  <c r="D46" i="9"/>
  <c r="O55" i="10"/>
  <c r="O52" i="9"/>
  <c r="G94" i="8"/>
  <c r="G38" i="10"/>
  <c r="N40" i="10"/>
  <c r="N37" i="9"/>
  <c r="N52" i="8"/>
  <c r="N74" i="8" s="1"/>
  <c r="N96" i="8"/>
  <c r="O26" i="9"/>
  <c r="O118" i="8"/>
  <c r="O85" i="8"/>
  <c r="G49" i="10"/>
  <c r="R21" i="3"/>
  <c r="R203" i="3" s="1"/>
  <c r="U56" i="8"/>
  <c r="U78" i="8" s="1"/>
  <c r="U111" i="8"/>
  <c r="U100" i="8"/>
  <c r="A40" i="3"/>
  <c r="O110" i="8"/>
  <c r="O108" i="8"/>
  <c r="O106" i="8"/>
  <c r="O94" i="8"/>
  <c r="O50" i="8"/>
  <c r="O72" i="8" s="1"/>
  <c r="O109" i="8"/>
  <c r="O105" i="8"/>
  <c r="H96" i="8"/>
  <c r="H40" i="10"/>
  <c r="H37" i="9"/>
  <c r="Q37" i="9"/>
  <c r="Q52" i="8"/>
  <c r="Q74" i="8" s="1"/>
  <c r="Q96" i="8"/>
  <c r="E44" i="10"/>
  <c r="E41" i="9"/>
  <c r="N44" i="10"/>
  <c r="N41" i="9"/>
  <c r="N56" i="8"/>
  <c r="N78" i="8" s="1"/>
  <c r="N113" i="8"/>
  <c r="N111" i="8"/>
  <c r="N112" i="8"/>
  <c r="N100" i="8"/>
  <c r="G83" i="8"/>
  <c r="Q120" i="8"/>
  <c r="Q116" i="8"/>
  <c r="Q121" i="8"/>
  <c r="Q119" i="8"/>
  <c r="Q117" i="8"/>
  <c r="I85" i="8"/>
  <c r="I26" i="9"/>
  <c r="B30" i="9"/>
  <c r="J30" i="9"/>
  <c r="B46" i="9"/>
  <c r="J49" i="10"/>
  <c r="C51" i="10"/>
  <c r="C48" i="9"/>
  <c r="K51" i="10"/>
  <c r="K48" i="9"/>
  <c r="D55" i="10"/>
  <c r="D52" i="9"/>
  <c r="M55" i="10"/>
  <c r="M52" i="9"/>
  <c r="U52" i="8"/>
  <c r="U74" i="8" s="1"/>
  <c r="U107" i="8"/>
  <c r="U96" i="8"/>
  <c r="R118" i="8"/>
  <c r="R85" i="8"/>
  <c r="U122" i="8"/>
  <c r="U89" i="8"/>
  <c r="C85" i="8"/>
  <c r="C26" i="9"/>
  <c r="M123" i="8"/>
  <c r="M30" i="9"/>
  <c r="M124" i="8"/>
  <c r="M122" i="8"/>
  <c r="M89" i="8"/>
  <c r="E40" i="10"/>
  <c r="E37" i="9"/>
  <c r="J44" i="10"/>
  <c r="J41" i="9"/>
  <c r="R96" i="8"/>
  <c r="R52" i="8"/>
  <c r="R74" i="8" s="1"/>
  <c r="R107" i="8"/>
  <c r="R122" i="8"/>
  <c r="R89" i="8"/>
  <c r="P110" i="8"/>
  <c r="P108" i="8"/>
  <c r="P106" i="8"/>
  <c r="P94" i="8"/>
  <c r="P38" i="10"/>
  <c r="P35" i="9"/>
  <c r="P50" i="8"/>
  <c r="P72" i="8" s="1"/>
  <c r="P109" i="8"/>
  <c r="P105" i="8"/>
  <c r="I40" i="10"/>
  <c r="I37" i="9"/>
  <c r="F100" i="8"/>
  <c r="F44" i="10"/>
  <c r="F41" i="9"/>
  <c r="O112" i="8"/>
  <c r="O100" i="8"/>
  <c r="O44" i="10"/>
  <c r="O41" i="9"/>
  <c r="O56" i="8"/>
  <c r="O78" i="8" s="1"/>
  <c r="O113" i="8"/>
  <c r="O111" i="8"/>
  <c r="H24" i="9"/>
  <c r="B26" i="9"/>
  <c r="J85" i="8"/>
  <c r="J26" i="9"/>
  <c r="C30" i="9"/>
  <c r="K123" i="8"/>
  <c r="K89" i="8"/>
  <c r="K30" i="9"/>
  <c r="K124" i="8"/>
  <c r="K122" i="8"/>
  <c r="D51" i="10"/>
  <c r="D48" i="9"/>
  <c r="M51" i="10"/>
  <c r="M48" i="9"/>
  <c r="E55" i="10"/>
  <c r="E52" i="9"/>
  <c r="N55" i="10"/>
  <c r="N52" i="9"/>
  <c r="R11" i="3"/>
  <c r="R223" i="3" s="1"/>
  <c r="V52" i="8"/>
  <c r="V74" i="8" s="1"/>
  <c r="V107" i="8"/>
  <c r="V96" i="8"/>
  <c r="S85" i="8"/>
  <c r="S118" i="8"/>
  <c r="V89" i="8"/>
  <c r="V122" i="8"/>
  <c r="A104" i="3"/>
  <c r="I222" i="3"/>
  <c r="Q222" i="3"/>
  <c r="G224" i="3"/>
  <c r="O224" i="3"/>
  <c r="A194" i="3"/>
  <c r="E222" i="3"/>
  <c r="M222" i="3"/>
  <c r="C224" i="3"/>
  <c r="K224" i="3"/>
  <c r="B222" i="3"/>
  <c r="J222" i="3"/>
  <c r="H224" i="3"/>
  <c r="P224" i="3"/>
  <c r="I192" i="3"/>
  <c r="Q192" i="3"/>
  <c r="E194" i="3"/>
  <c r="M194" i="3"/>
  <c r="H192" i="3"/>
  <c r="P192" i="3"/>
  <c r="D194" i="3"/>
  <c r="L194" i="3"/>
  <c r="A88" i="3"/>
  <c r="B192" i="3"/>
  <c r="J192" i="3"/>
  <c r="F194" i="3"/>
  <c r="N194" i="3"/>
  <c r="C192" i="3"/>
  <c r="K192" i="3"/>
  <c r="G194" i="3"/>
  <c r="O194" i="3"/>
  <c r="D192" i="3"/>
  <c r="L192" i="3"/>
  <c r="H194" i="3"/>
  <c r="P194" i="3"/>
  <c r="E192" i="3"/>
  <c r="M192" i="3"/>
  <c r="I194" i="3"/>
  <c r="Q194" i="3"/>
  <c r="F192" i="3"/>
  <c r="N192" i="3"/>
  <c r="B194" i="3"/>
  <c r="J194" i="3"/>
  <c r="T39" i="3"/>
  <c r="C222" i="3"/>
  <c r="K222" i="3"/>
  <c r="I224" i="3"/>
  <c r="Q224" i="3"/>
  <c r="G192" i="3"/>
  <c r="O192" i="3"/>
  <c r="C194" i="3"/>
  <c r="K194" i="3"/>
  <c r="Q81" i="3"/>
  <c r="U71" i="3"/>
  <c r="V71" i="3"/>
  <c r="T69" i="3"/>
  <c r="I71" i="3"/>
  <c r="Q71" i="3"/>
  <c r="R81" i="3"/>
  <c r="J71" i="3"/>
  <c r="M11" i="3"/>
  <c r="N11" i="3"/>
  <c r="U21" i="3"/>
  <c r="U233" i="3" s="1"/>
  <c r="Q11" i="3"/>
  <c r="Q9" i="3" s="1"/>
  <c r="M21" i="3"/>
  <c r="C111" i="8"/>
  <c r="C100" i="8"/>
  <c r="G122" i="8"/>
  <c r="G89" i="8"/>
  <c r="D111" i="8"/>
  <c r="D100" i="8"/>
  <c r="H122" i="8"/>
  <c r="H89" i="8"/>
  <c r="I11" i="3"/>
  <c r="I9" i="3" s="1"/>
  <c r="I96" i="8"/>
  <c r="E21" i="3"/>
  <c r="E100" i="8"/>
  <c r="H116" i="8"/>
  <c r="H83" i="8"/>
  <c r="D105" i="8"/>
  <c r="D94" i="8"/>
  <c r="I116" i="8"/>
  <c r="I83" i="8"/>
  <c r="B85" i="8"/>
  <c r="B89" i="8"/>
  <c r="J122" i="8"/>
  <c r="J89" i="8"/>
  <c r="C96" i="8"/>
  <c r="G111" i="8"/>
  <c r="G100" i="8"/>
  <c r="D82" i="8"/>
  <c r="J116" i="8"/>
  <c r="J83" i="8"/>
  <c r="C122" i="8"/>
  <c r="C89" i="8"/>
  <c r="H50" i="8"/>
  <c r="H72" i="8" s="1"/>
  <c r="H94" i="8"/>
  <c r="B116" i="8"/>
  <c r="B83" i="8"/>
  <c r="D122" i="8"/>
  <c r="D89" i="8"/>
  <c r="E11" i="3"/>
  <c r="E96" i="8"/>
  <c r="E85" i="8"/>
  <c r="E89" i="8"/>
  <c r="F11" i="3"/>
  <c r="F96" i="8"/>
  <c r="B111" i="8"/>
  <c r="B100" i="8"/>
  <c r="J111" i="8"/>
  <c r="J100" i="8"/>
  <c r="I82" i="8"/>
  <c r="D116" i="8"/>
  <c r="D83" i="8"/>
  <c r="B56" i="9"/>
  <c r="F51" i="3"/>
  <c r="G41" i="3"/>
  <c r="O41" i="3"/>
  <c r="G51" i="3"/>
  <c r="O51" i="3"/>
  <c r="H51" i="3"/>
  <c r="P51" i="3"/>
  <c r="I41" i="3"/>
  <c r="Q41" i="3"/>
  <c r="I51" i="3"/>
  <c r="I46" i="9"/>
  <c r="B41" i="3"/>
  <c r="J41" i="3"/>
  <c r="M45" i="9"/>
  <c r="C41" i="3"/>
  <c r="K41" i="3"/>
  <c r="C51" i="3"/>
  <c r="K51" i="3"/>
  <c r="B50" i="8"/>
  <c r="M118" i="8"/>
  <c r="Q107" i="8"/>
  <c r="G107" i="8"/>
  <c r="I123" i="8"/>
  <c r="T82" i="8"/>
  <c r="S82" i="8"/>
  <c r="C105" i="8"/>
  <c r="C110" i="8"/>
  <c r="I109" i="8"/>
  <c r="C112" i="8"/>
  <c r="G123" i="8"/>
  <c r="I111" i="8"/>
  <c r="C116" i="8"/>
  <c r="I122" i="8"/>
  <c r="G11" i="3"/>
  <c r="O11" i="3"/>
  <c r="F21" i="3"/>
  <c r="N21" i="3"/>
  <c r="D106" i="8"/>
  <c r="G52" i="8"/>
  <c r="G74" i="8" s="1"/>
  <c r="I108" i="8"/>
  <c r="G116" i="8"/>
  <c r="C120" i="8"/>
  <c r="H11" i="3"/>
  <c r="P11" i="3"/>
  <c r="P9" i="3" s="1"/>
  <c r="G21" i="3"/>
  <c r="O21" i="3"/>
  <c r="E108" i="8"/>
  <c r="M107" i="8"/>
  <c r="I106" i="8"/>
  <c r="D107" i="8"/>
  <c r="G108" i="8"/>
  <c r="I110" i="8"/>
  <c r="G112" i="8"/>
  <c r="G119" i="8"/>
  <c r="I124" i="8"/>
  <c r="I112" i="8"/>
  <c r="G117" i="8"/>
  <c r="G120" i="8"/>
  <c r="H21" i="3"/>
  <c r="P21" i="3"/>
  <c r="J106" i="8"/>
  <c r="G118" i="8"/>
  <c r="I119" i="8"/>
  <c r="G50" i="8"/>
  <c r="G105" i="8"/>
  <c r="I117" i="8"/>
  <c r="E123" i="8"/>
  <c r="B11" i="3"/>
  <c r="J11" i="3"/>
  <c r="J9" i="3" s="1"/>
  <c r="I21" i="3"/>
  <c r="Q21" i="3"/>
  <c r="C121" i="8"/>
  <c r="G121" i="8"/>
  <c r="C11" i="3"/>
  <c r="K11" i="3"/>
  <c r="B21" i="3"/>
  <c r="B233" i="3" s="1"/>
  <c r="J21" i="3"/>
  <c r="G113" i="8"/>
  <c r="G56" i="8"/>
  <c r="G106" i="8"/>
  <c r="E113" i="8"/>
  <c r="I118" i="8"/>
  <c r="I121" i="8"/>
  <c r="C124" i="8"/>
  <c r="D11" i="3"/>
  <c r="D9" i="3" s="1"/>
  <c r="L11" i="3"/>
  <c r="C21" i="3"/>
  <c r="K21" i="3"/>
  <c r="G109" i="8"/>
  <c r="C117" i="8"/>
  <c r="B118" i="8"/>
  <c r="I120" i="8"/>
  <c r="J56" i="8"/>
  <c r="G110" i="8"/>
  <c r="G124" i="8"/>
  <c r="D21" i="3"/>
  <c r="L21" i="3"/>
  <c r="U9" i="3"/>
  <c r="B106" i="8"/>
  <c r="I107" i="8"/>
  <c r="I113" i="8"/>
  <c r="C118" i="8"/>
  <c r="B122" i="8"/>
  <c r="V39" i="3"/>
  <c r="S9" i="3"/>
  <c r="R69" i="3"/>
  <c r="T9" i="3"/>
  <c r="S69" i="3"/>
  <c r="V9" i="3"/>
  <c r="R39" i="3"/>
  <c r="V82" i="8"/>
  <c r="A198" i="3"/>
  <c r="A228" i="3"/>
  <c r="A168" i="3"/>
  <c r="A189" i="3"/>
  <c r="A219" i="3"/>
  <c r="A141" i="3"/>
  <c r="A231" i="3"/>
  <c r="A171" i="3"/>
  <c r="A111" i="3"/>
  <c r="A37" i="3"/>
  <c r="A45" i="3"/>
  <c r="B69" i="3"/>
  <c r="A70" i="3"/>
  <c r="A79" i="3"/>
  <c r="A190" i="3"/>
  <c r="A220" i="3"/>
  <c r="A160" i="3"/>
  <c r="A232" i="3"/>
  <c r="A172" i="3"/>
  <c r="A202" i="3"/>
  <c r="A142" i="3"/>
  <c r="A38" i="3"/>
  <c r="A46" i="3"/>
  <c r="A57" i="3"/>
  <c r="A80" i="3"/>
  <c r="A98" i="3"/>
  <c r="A106" i="3"/>
  <c r="A119" i="3"/>
  <c r="A129" i="3"/>
  <c r="A136" i="3"/>
  <c r="A201" i="3"/>
  <c r="A132" i="3"/>
  <c r="A222" i="3"/>
  <c r="A162" i="3"/>
  <c r="A58" i="3"/>
  <c r="A72" i="3"/>
  <c r="A99" i="3"/>
  <c r="A107" i="3"/>
  <c r="A112" i="3"/>
  <c r="A159" i="3"/>
  <c r="A180" i="3"/>
  <c r="A108" i="3"/>
  <c r="A138" i="3"/>
  <c r="A36" i="3"/>
  <c r="A223" i="3"/>
  <c r="A193" i="3"/>
  <c r="A164" i="3"/>
  <c r="A224" i="3"/>
  <c r="A209" i="3"/>
  <c r="A239" i="3"/>
  <c r="A179" i="3"/>
  <c r="A41" i="3"/>
  <c r="A50" i="3"/>
  <c r="A130" i="3"/>
  <c r="A133" i="3"/>
  <c r="A163" i="3"/>
  <c r="A188" i="3"/>
  <c r="A218" i="3"/>
  <c r="A158" i="3"/>
  <c r="A196" i="3"/>
  <c r="A226" i="3"/>
  <c r="A166" i="3"/>
  <c r="D39" i="3"/>
  <c r="A102" i="3"/>
  <c r="A150" i="3"/>
  <c r="A240" i="3"/>
  <c r="A210" i="3"/>
  <c r="L39" i="3"/>
  <c r="G69" i="3"/>
  <c r="A197" i="3"/>
  <c r="A227" i="3"/>
  <c r="A68" i="3"/>
  <c r="A76" i="3"/>
  <c r="A87" i="3"/>
  <c r="A103" i="3"/>
  <c r="A128" i="3"/>
  <c r="A167" i="3"/>
  <c r="H80" i="8"/>
  <c r="G75" i="8"/>
  <c r="B57" i="9"/>
  <c r="B58" i="9"/>
  <c r="B59" i="9"/>
  <c r="B60" i="9"/>
  <c r="B61" i="9"/>
  <c r="B62" i="9"/>
  <c r="B63" i="9"/>
  <c r="B64" i="9"/>
  <c r="B65" i="9"/>
  <c r="G79" i="8"/>
  <c r="J73" i="8"/>
  <c r="B53" i="8"/>
  <c r="B75" i="8" s="1"/>
  <c r="B57" i="8"/>
  <c r="B79" i="8" s="1"/>
  <c r="B105" i="8"/>
  <c r="B107" i="8"/>
  <c r="E51" i="8"/>
  <c r="E73" i="8" s="1"/>
  <c r="E52" i="8"/>
  <c r="E53" i="8"/>
  <c r="E75" i="8" s="1"/>
  <c r="E54" i="8"/>
  <c r="E76" i="8" s="1"/>
  <c r="E55" i="8"/>
  <c r="E77" i="8" s="1"/>
  <c r="E111" i="8"/>
  <c r="E56" i="8"/>
  <c r="E57" i="8"/>
  <c r="E79" i="8" s="1"/>
  <c r="E112" i="8"/>
  <c r="E58" i="8"/>
  <c r="E80" i="8" s="1"/>
  <c r="E116" i="8"/>
  <c r="E117" i="8"/>
  <c r="E118" i="8"/>
  <c r="E120" i="8"/>
  <c r="E121" i="8"/>
  <c r="E122" i="8"/>
  <c r="E124" i="8"/>
  <c r="B112" i="8"/>
  <c r="F105" i="8"/>
  <c r="F50" i="8"/>
  <c r="F106" i="8"/>
  <c r="F51" i="8"/>
  <c r="F107" i="8"/>
  <c r="F52" i="8"/>
  <c r="F53" i="8"/>
  <c r="F75" i="8" s="1"/>
  <c r="F108" i="8"/>
  <c r="F54" i="8"/>
  <c r="F76" i="8" s="1"/>
  <c r="F109" i="8"/>
  <c r="F55" i="8"/>
  <c r="F77" i="8" s="1"/>
  <c r="F110" i="8"/>
  <c r="F111" i="8"/>
  <c r="F56" i="8"/>
  <c r="F57" i="8"/>
  <c r="F79" i="8" s="1"/>
  <c r="F112" i="8"/>
  <c r="F58" i="8"/>
  <c r="F80" i="8" s="1"/>
  <c r="F113" i="8"/>
  <c r="F116" i="8"/>
  <c r="F117" i="8"/>
  <c r="F118" i="8"/>
  <c r="F119" i="8"/>
  <c r="F120" i="8"/>
  <c r="F121" i="8"/>
  <c r="F122" i="8"/>
  <c r="F123" i="8"/>
  <c r="F124" i="8"/>
  <c r="B52" i="8"/>
  <c r="B56" i="8"/>
  <c r="B77" i="8"/>
  <c r="E119" i="8"/>
  <c r="H105" i="8"/>
  <c r="H106" i="8"/>
  <c r="H107" i="8"/>
  <c r="H108" i="8"/>
  <c r="H109" i="8"/>
  <c r="H110" i="8"/>
  <c r="H111" i="8"/>
  <c r="H112" i="8"/>
  <c r="H113" i="8"/>
  <c r="H117" i="8"/>
  <c r="H118" i="8"/>
  <c r="H119" i="8"/>
  <c r="H120" i="8"/>
  <c r="H121" i="8"/>
  <c r="H123" i="8"/>
  <c r="H124" i="8"/>
  <c r="B51" i="8"/>
  <c r="H52" i="8"/>
  <c r="H56" i="8"/>
  <c r="B108" i="8"/>
  <c r="J52" i="8"/>
  <c r="B109" i="8"/>
  <c r="B110" i="8"/>
  <c r="J110" i="8"/>
  <c r="J112" i="8"/>
  <c r="B113" i="8"/>
  <c r="J113" i="8"/>
  <c r="B117" i="8"/>
  <c r="J117" i="8"/>
  <c r="J118" i="8"/>
  <c r="B119" i="8"/>
  <c r="J119" i="8"/>
  <c r="B120" i="8"/>
  <c r="J120" i="8"/>
  <c r="B121" i="8"/>
  <c r="J121" i="8"/>
  <c r="B123" i="8"/>
  <c r="J123" i="8"/>
  <c r="B124" i="8"/>
  <c r="J124" i="8"/>
  <c r="H51" i="8"/>
  <c r="H73" i="8" s="1"/>
  <c r="B54" i="8"/>
  <c r="B76" i="8" s="1"/>
  <c r="H55" i="8"/>
  <c r="H77" i="8" s="1"/>
  <c r="B58" i="8"/>
  <c r="B80" i="8" s="1"/>
  <c r="H76" i="8"/>
  <c r="I50" i="8"/>
  <c r="I51" i="8"/>
  <c r="I52" i="8"/>
  <c r="I53" i="8"/>
  <c r="I75" i="8" s="1"/>
  <c r="I54" i="8"/>
  <c r="I55" i="8"/>
  <c r="I77" i="8" s="1"/>
  <c r="I56" i="8"/>
  <c r="I57" i="8"/>
  <c r="I79" i="8" s="1"/>
  <c r="I58" i="8"/>
  <c r="C109" i="8"/>
  <c r="C113" i="8"/>
  <c r="C119" i="8"/>
  <c r="C123" i="8"/>
  <c r="C50" i="8"/>
  <c r="C51" i="8"/>
  <c r="C52" i="8"/>
  <c r="C53" i="8"/>
  <c r="C54" i="8"/>
  <c r="C76" i="8" s="1"/>
  <c r="C55" i="8"/>
  <c r="C56" i="8"/>
  <c r="C57" i="8"/>
  <c r="C79" i="8" s="1"/>
  <c r="C58" i="8"/>
  <c r="D50" i="8"/>
  <c r="D51" i="8"/>
  <c r="D52" i="8"/>
  <c r="D53" i="8"/>
  <c r="D54" i="8"/>
  <c r="D76" i="8" s="1"/>
  <c r="D55" i="8"/>
  <c r="D56" i="8"/>
  <c r="D57" i="8"/>
  <c r="D79" i="8" s="1"/>
  <c r="D58" i="8"/>
  <c r="D108" i="8"/>
  <c r="D109" i="8"/>
  <c r="D110" i="8"/>
  <c r="D112" i="8"/>
  <c r="D113" i="8"/>
  <c r="D117" i="8"/>
  <c r="D118" i="8"/>
  <c r="D119" i="8"/>
  <c r="D120" i="8"/>
  <c r="D121" i="8"/>
  <c r="D123" i="8"/>
  <c r="D124" i="8"/>
  <c r="H193" i="3" l="1"/>
  <c r="M223" i="3"/>
  <c r="I233" i="3"/>
  <c r="P233" i="3"/>
  <c r="J69" i="3"/>
  <c r="J221" i="3" s="1"/>
  <c r="M69" i="3"/>
  <c r="N69" i="3"/>
  <c r="D69" i="3"/>
  <c r="D221" i="3" s="1"/>
  <c r="P69" i="3"/>
  <c r="P221" i="3" s="1"/>
  <c r="Q69" i="3"/>
  <c r="Q221" i="3" s="1"/>
  <c r="E69" i="3"/>
  <c r="K69" i="3"/>
  <c r="I69" i="3"/>
  <c r="F69" i="3"/>
  <c r="H69" i="3"/>
  <c r="U223" i="3"/>
  <c r="L69" i="3"/>
  <c r="C69" i="3"/>
  <c r="V69" i="3"/>
  <c r="V221" i="3" s="1"/>
  <c r="O69" i="3"/>
  <c r="K39" i="3"/>
  <c r="O233" i="3"/>
  <c r="M39" i="3"/>
  <c r="U193" i="3"/>
  <c r="E39" i="3"/>
  <c r="V203" i="3"/>
  <c r="P39" i="3"/>
  <c r="P191" i="3" s="1"/>
  <c r="N39" i="3"/>
  <c r="F39" i="3"/>
  <c r="S193" i="3"/>
  <c r="E223" i="3"/>
  <c r="C223" i="3"/>
  <c r="C233" i="3"/>
  <c r="J233" i="3"/>
  <c r="K223" i="3"/>
  <c r="U39" i="3"/>
  <c r="N223" i="3"/>
  <c r="D233" i="3"/>
  <c r="E233" i="3"/>
  <c r="G233" i="3"/>
  <c r="U69" i="3"/>
  <c r="D223" i="3"/>
  <c r="P223" i="3"/>
  <c r="R9" i="3"/>
  <c r="R191" i="3" s="1"/>
  <c r="S39" i="3"/>
  <c r="M9" i="3"/>
  <c r="M221" i="3" s="1"/>
  <c r="F223" i="3"/>
  <c r="T191" i="3"/>
  <c r="V191" i="3"/>
  <c r="N233" i="3"/>
  <c r="M233" i="3"/>
  <c r="U203" i="3"/>
  <c r="N9" i="3"/>
  <c r="H233" i="3"/>
  <c r="R193" i="3"/>
  <c r="S221" i="3"/>
  <c r="R233" i="3"/>
  <c r="V223" i="3"/>
  <c r="F233" i="3"/>
  <c r="K233" i="3"/>
  <c r="L66" i="10"/>
  <c r="L223" i="3"/>
  <c r="L233" i="3"/>
  <c r="L60" i="10"/>
  <c r="O35" i="9"/>
  <c r="O46" i="9"/>
  <c r="D57" i="9"/>
  <c r="P63" i="9"/>
  <c r="O61" i="9"/>
  <c r="Q24" i="9"/>
  <c r="J24" i="9"/>
  <c r="J65" i="9"/>
  <c r="R48" i="10"/>
  <c r="R59" i="10"/>
  <c r="S23" i="9"/>
  <c r="S56" i="9"/>
  <c r="S45" i="9"/>
  <c r="O60" i="9"/>
  <c r="O56" i="9"/>
  <c r="O65" i="9"/>
  <c r="E59" i="9"/>
  <c r="N59" i="9"/>
  <c r="M57" i="9"/>
  <c r="B49" i="10"/>
  <c r="K59" i="10"/>
  <c r="K67" i="10"/>
  <c r="K63" i="10"/>
  <c r="K62" i="10"/>
  <c r="L63" i="10"/>
  <c r="L59" i="10"/>
  <c r="L67" i="10"/>
  <c r="L48" i="10"/>
  <c r="H66" i="10"/>
  <c r="M65" i="9"/>
  <c r="M64" i="9"/>
  <c r="M62" i="9"/>
  <c r="M60" i="9"/>
  <c r="M58" i="9"/>
  <c r="M56" i="9"/>
  <c r="M61" i="9"/>
  <c r="R45" i="9"/>
  <c r="R23" i="9"/>
  <c r="R56" i="9"/>
  <c r="G24" i="9"/>
  <c r="G46" i="9"/>
  <c r="M63" i="9"/>
  <c r="Q59" i="9"/>
  <c r="E61" i="9"/>
  <c r="E64" i="9"/>
  <c r="E62" i="9"/>
  <c r="E60" i="9"/>
  <c r="E58" i="9"/>
  <c r="E56" i="9"/>
  <c r="E65" i="9"/>
  <c r="N65" i="9"/>
  <c r="N64" i="9"/>
  <c r="N62" i="9"/>
  <c r="N60" i="9"/>
  <c r="N58" i="9"/>
  <c r="N56" i="9"/>
  <c r="N61" i="9"/>
  <c r="S38" i="10"/>
  <c r="S60" i="10"/>
  <c r="S49" i="10"/>
  <c r="J61" i="9"/>
  <c r="V49" i="10"/>
  <c r="V38" i="10"/>
  <c r="V60" i="10"/>
  <c r="I24" i="9"/>
  <c r="N23" i="9"/>
  <c r="D64" i="9"/>
  <c r="D62" i="9"/>
  <c r="D60" i="9"/>
  <c r="D58" i="9"/>
  <c r="D56" i="9"/>
  <c r="D65" i="9"/>
  <c r="D61" i="9"/>
  <c r="Q57" i="9"/>
  <c r="D67" i="10"/>
  <c r="D63" i="10"/>
  <c r="D59" i="10"/>
  <c r="P65" i="9"/>
  <c r="P61" i="9"/>
  <c r="P62" i="9"/>
  <c r="P58" i="9"/>
  <c r="P56" i="9"/>
  <c r="P60" i="9"/>
  <c r="P64" i="9"/>
  <c r="E67" i="10"/>
  <c r="E63" i="10"/>
  <c r="E59" i="10"/>
  <c r="T23" i="9"/>
  <c r="T45" i="9"/>
  <c r="T56" i="9"/>
  <c r="Q58" i="9"/>
  <c r="Q65" i="9"/>
  <c r="Q61" i="9"/>
  <c r="Q56" i="9"/>
  <c r="Q64" i="9"/>
  <c r="Q62" i="9"/>
  <c r="Q60" i="9"/>
  <c r="G35" i="9"/>
  <c r="E63" i="9"/>
  <c r="D59" i="9"/>
  <c r="H67" i="10"/>
  <c r="H63" i="10"/>
  <c r="H59" i="10"/>
  <c r="P67" i="10"/>
  <c r="P63" i="10"/>
  <c r="P59" i="10"/>
  <c r="N63" i="9"/>
  <c r="I223" i="3"/>
  <c r="V57" i="9"/>
  <c r="V24" i="9"/>
  <c r="V35" i="9"/>
  <c r="V46" i="9"/>
  <c r="U46" i="9"/>
  <c r="U57" i="9"/>
  <c r="U24" i="9"/>
  <c r="U35" i="9"/>
  <c r="Q59" i="10"/>
  <c r="Q48" i="10"/>
  <c r="O49" i="10"/>
  <c r="K66" i="10"/>
  <c r="K60" i="10"/>
  <c r="H65" i="9"/>
  <c r="H61" i="9"/>
  <c r="H64" i="9"/>
  <c r="H60" i="9"/>
  <c r="H58" i="9"/>
  <c r="H62" i="9"/>
  <c r="H56" i="9"/>
  <c r="F64" i="9"/>
  <c r="F62" i="9"/>
  <c r="F60" i="9"/>
  <c r="F58" i="9"/>
  <c r="F56" i="9"/>
  <c r="F65" i="9"/>
  <c r="F61" i="9"/>
  <c r="O57" i="9"/>
  <c r="P62" i="10"/>
  <c r="G57" i="9"/>
  <c r="U60" i="10"/>
  <c r="U49" i="10"/>
  <c r="U38" i="10"/>
  <c r="T49" i="10"/>
  <c r="T60" i="10"/>
  <c r="T38" i="10"/>
  <c r="M59" i="9"/>
  <c r="T46" i="9"/>
  <c r="T35" i="9"/>
  <c r="T24" i="9"/>
  <c r="T57" i="9"/>
  <c r="J94" i="8"/>
  <c r="J38" i="10"/>
  <c r="J35" i="9"/>
  <c r="J107" i="8"/>
  <c r="U116" i="8"/>
  <c r="U83" i="8"/>
  <c r="N38" i="10"/>
  <c r="N35" i="9"/>
  <c r="N50" i="8"/>
  <c r="N72" i="8" s="1"/>
  <c r="N109" i="8"/>
  <c r="N105" i="8"/>
  <c r="N110" i="8"/>
  <c r="N108" i="8"/>
  <c r="N106" i="8"/>
  <c r="N94" i="8"/>
  <c r="B23" i="9"/>
  <c r="C24" i="9"/>
  <c r="S83" i="8"/>
  <c r="S116" i="8"/>
  <c r="F48" i="10"/>
  <c r="F45" i="9"/>
  <c r="J109" i="8"/>
  <c r="J105" i="8"/>
  <c r="U50" i="8"/>
  <c r="U72" i="8" s="1"/>
  <c r="U105" i="8"/>
  <c r="U94" i="8"/>
  <c r="F94" i="8"/>
  <c r="F38" i="10"/>
  <c r="F35" i="9"/>
  <c r="H23" i="9"/>
  <c r="I48" i="10"/>
  <c r="I45" i="9"/>
  <c r="C49" i="10"/>
  <c r="C46" i="9"/>
  <c r="J50" i="8"/>
  <c r="J72" i="8" s="1"/>
  <c r="T50" i="8"/>
  <c r="T72" i="8" s="1"/>
  <c r="T105" i="8"/>
  <c r="T94" i="8"/>
  <c r="I38" i="10"/>
  <c r="I35" i="9"/>
  <c r="K38" i="10"/>
  <c r="K35" i="9"/>
  <c r="K50" i="8"/>
  <c r="K72" i="8" s="1"/>
  <c r="K109" i="8"/>
  <c r="K105" i="8"/>
  <c r="K110" i="8"/>
  <c r="K108" i="8"/>
  <c r="K94" i="8"/>
  <c r="K106" i="8"/>
  <c r="P48" i="10"/>
  <c r="P45" i="9"/>
  <c r="O48" i="10"/>
  <c r="O45" i="9"/>
  <c r="N49" i="10"/>
  <c r="N46" i="9"/>
  <c r="J108" i="8"/>
  <c r="R94" i="8"/>
  <c r="R50" i="8"/>
  <c r="R72" i="8" s="1"/>
  <c r="R105" i="8"/>
  <c r="B94" i="8"/>
  <c r="B35" i="9"/>
  <c r="B38" i="10"/>
  <c r="B45" i="9"/>
  <c r="Q23" i="9"/>
  <c r="Q82" i="8"/>
  <c r="T83" i="8"/>
  <c r="T116" i="8"/>
  <c r="E48" i="10"/>
  <c r="E45" i="9"/>
  <c r="S50" i="8"/>
  <c r="S72" i="8" s="1"/>
  <c r="S105" i="8"/>
  <c r="S94" i="8"/>
  <c r="Q110" i="8"/>
  <c r="Q108" i="8"/>
  <c r="Q106" i="8"/>
  <c r="Q35" i="9"/>
  <c r="Q50" i="8"/>
  <c r="Q72" i="8" s="1"/>
  <c r="Q109" i="8"/>
  <c r="Q105" i="8"/>
  <c r="Q94" i="8"/>
  <c r="C94" i="8"/>
  <c r="C38" i="10"/>
  <c r="C35" i="9"/>
  <c r="D48" i="10"/>
  <c r="D45" i="9"/>
  <c r="N107" i="8"/>
  <c r="F83" i="8"/>
  <c r="F24" i="9"/>
  <c r="H48" i="10"/>
  <c r="H45" i="9"/>
  <c r="E38" i="10"/>
  <c r="E35" i="9"/>
  <c r="Q45" i="9"/>
  <c r="Q46" i="9"/>
  <c r="R116" i="8"/>
  <c r="R83" i="8"/>
  <c r="O82" i="8"/>
  <c r="O23" i="9"/>
  <c r="M121" i="8"/>
  <c r="M119" i="8"/>
  <c r="M117" i="8"/>
  <c r="M24" i="9"/>
  <c r="M120" i="8"/>
  <c r="M116" i="8"/>
  <c r="M83" i="8"/>
  <c r="D23" i="9"/>
  <c r="E107" i="8"/>
  <c r="V50" i="8"/>
  <c r="V72" i="8" s="1"/>
  <c r="V105" i="8"/>
  <c r="V94" i="8"/>
  <c r="V83" i="8"/>
  <c r="V116" i="8"/>
  <c r="G23" i="9"/>
  <c r="M38" i="10"/>
  <c r="M35" i="9"/>
  <c r="M50" i="8"/>
  <c r="M72" i="8" s="1"/>
  <c r="M109" i="8"/>
  <c r="M105" i="8"/>
  <c r="M110" i="8"/>
  <c r="M108" i="8"/>
  <c r="M106" i="8"/>
  <c r="M94" i="8"/>
  <c r="E83" i="8"/>
  <c r="E24" i="9"/>
  <c r="K49" i="10"/>
  <c r="K46" i="9"/>
  <c r="K121" i="8"/>
  <c r="K119" i="8"/>
  <c r="K117" i="8"/>
  <c r="K83" i="8"/>
  <c r="K24" i="9"/>
  <c r="K120" i="8"/>
  <c r="K116" i="8"/>
  <c r="K107" i="8"/>
  <c r="J223" i="3"/>
  <c r="F9" i="3"/>
  <c r="Q233" i="3"/>
  <c r="G203" i="3"/>
  <c r="Q223" i="3"/>
  <c r="M193" i="3"/>
  <c r="N193" i="3"/>
  <c r="H203" i="3"/>
  <c r="F193" i="3"/>
  <c r="O203" i="3"/>
  <c r="E203" i="3"/>
  <c r="E9" i="3"/>
  <c r="J39" i="3"/>
  <c r="J193" i="3"/>
  <c r="P203" i="3"/>
  <c r="O39" i="3"/>
  <c r="O193" i="3"/>
  <c r="N203" i="3"/>
  <c r="E193" i="3"/>
  <c r="J203" i="3"/>
  <c r="K203" i="3"/>
  <c r="B39" i="3"/>
  <c r="B193" i="3"/>
  <c r="I203" i="3"/>
  <c r="G39" i="3"/>
  <c r="G193" i="3"/>
  <c r="D193" i="3"/>
  <c r="B203" i="3"/>
  <c r="C203" i="3"/>
  <c r="Q39" i="3"/>
  <c r="Q193" i="3"/>
  <c r="L203" i="3"/>
  <c r="L193" i="3"/>
  <c r="P193" i="3"/>
  <c r="B9" i="3"/>
  <c r="B221" i="3" s="1"/>
  <c r="B223" i="3"/>
  <c r="K193" i="3"/>
  <c r="I39" i="3"/>
  <c r="I193" i="3"/>
  <c r="F203" i="3"/>
  <c r="Q203" i="3"/>
  <c r="D203" i="3"/>
  <c r="O9" i="3"/>
  <c r="O223" i="3"/>
  <c r="C39" i="3"/>
  <c r="C193" i="3"/>
  <c r="H9" i="3"/>
  <c r="H223" i="3"/>
  <c r="G9" i="3"/>
  <c r="G223" i="3"/>
  <c r="M203" i="3"/>
  <c r="D191" i="3"/>
  <c r="T221" i="3"/>
  <c r="B60" i="10"/>
  <c r="J82" i="8"/>
  <c r="G82" i="8"/>
  <c r="E110" i="8"/>
  <c r="E94" i="8"/>
  <c r="C107" i="8"/>
  <c r="C106" i="8"/>
  <c r="I105" i="8"/>
  <c r="I94" i="8"/>
  <c r="C83" i="8"/>
  <c r="C108" i="8"/>
  <c r="B82" i="8"/>
  <c r="H82" i="8"/>
  <c r="I23" i="9"/>
  <c r="E50" i="8"/>
  <c r="E72" i="8" s="1"/>
  <c r="E105" i="8"/>
  <c r="G78" i="8"/>
  <c r="E106" i="8"/>
  <c r="F78" i="8"/>
  <c r="K9" i="3"/>
  <c r="E109" i="8"/>
  <c r="C9" i="3"/>
  <c r="L9" i="3"/>
  <c r="R82" i="8"/>
  <c r="U82" i="8"/>
  <c r="B72" i="8"/>
  <c r="H74" i="8"/>
  <c r="D80" i="8"/>
  <c r="C80" i="8"/>
  <c r="C72" i="8"/>
  <c r="H78" i="8"/>
  <c r="F73" i="8"/>
  <c r="G72" i="8"/>
  <c r="J78" i="8"/>
  <c r="J79" i="8"/>
  <c r="D75" i="8"/>
  <c r="C75" i="8"/>
  <c r="B73" i="8"/>
  <c r="B78" i="8"/>
  <c r="J75" i="8"/>
  <c r="H79" i="8"/>
  <c r="I78" i="8"/>
  <c r="I74" i="8"/>
  <c r="B74" i="8"/>
  <c r="F74" i="8"/>
  <c r="D74" i="8"/>
  <c r="C78" i="8"/>
  <c r="C74" i="8"/>
  <c r="E74" i="8"/>
  <c r="H75" i="8"/>
  <c r="I73" i="8"/>
  <c r="J74" i="8"/>
  <c r="D78" i="8"/>
  <c r="D72" i="8"/>
  <c r="D77" i="8"/>
  <c r="D73" i="8"/>
  <c r="C77" i="8"/>
  <c r="C73" i="8"/>
  <c r="I80" i="8"/>
  <c r="I76" i="8"/>
  <c r="I72" i="8"/>
  <c r="F72" i="8"/>
  <c r="E78" i="8"/>
  <c r="K221" i="3" l="1"/>
  <c r="F221" i="3"/>
  <c r="H221" i="3"/>
  <c r="N221" i="3"/>
  <c r="E221" i="3"/>
  <c r="M191" i="3"/>
  <c r="O221" i="3"/>
  <c r="U221" i="3"/>
  <c r="I221" i="3"/>
  <c r="S191" i="3"/>
  <c r="U191" i="3"/>
  <c r="I191" i="3"/>
  <c r="N191" i="3"/>
  <c r="R221" i="3"/>
  <c r="J45" i="9"/>
  <c r="J59" i="9"/>
  <c r="J56" i="9"/>
  <c r="O58" i="9"/>
  <c r="J60" i="9"/>
  <c r="J23" i="9"/>
  <c r="J63" i="9"/>
  <c r="O62" i="9"/>
  <c r="J64" i="9"/>
  <c r="J57" i="9"/>
  <c r="O64" i="9"/>
  <c r="O59" i="9"/>
  <c r="J58" i="9"/>
  <c r="J62" i="9"/>
  <c r="O63" i="9"/>
  <c r="U23" i="9"/>
  <c r="U56" i="9"/>
  <c r="U45" i="9"/>
  <c r="V48" i="10"/>
  <c r="V59" i="10"/>
  <c r="O67" i="10"/>
  <c r="O63" i="10"/>
  <c r="O59" i="10"/>
  <c r="O66" i="10"/>
  <c r="O62" i="10"/>
  <c r="V56" i="9"/>
  <c r="V45" i="9"/>
  <c r="V23" i="9"/>
  <c r="S59" i="10"/>
  <c r="S48" i="10"/>
  <c r="G64" i="9"/>
  <c r="G62" i="9"/>
  <c r="G60" i="9"/>
  <c r="G58" i="9"/>
  <c r="G56" i="9"/>
  <c r="G65" i="9"/>
  <c r="G61" i="9"/>
  <c r="G59" i="9"/>
  <c r="G45" i="9"/>
  <c r="G63" i="9"/>
  <c r="O60" i="10"/>
  <c r="T48" i="10"/>
  <c r="T59" i="10"/>
  <c r="B48" i="10"/>
  <c r="U48" i="10"/>
  <c r="U59" i="10"/>
  <c r="J67" i="10"/>
  <c r="J59" i="10"/>
  <c r="J63" i="10"/>
  <c r="J62" i="10"/>
  <c r="J48" i="10"/>
  <c r="J66" i="10"/>
  <c r="J60" i="10"/>
  <c r="I62" i="9"/>
  <c r="I65" i="9"/>
  <c r="I61" i="9"/>
  <c r="I64" i="9"/>
  <c r="I60" i="9"/>
  <c r="I58" i="9"/>
  <c r="I56" i="9"/>
  <c r="I59" i="9"/>
  <c r="I63" i="9"/>
  <c r="I57" i="9"/>
  <c r="N48" i="10"/>
  <c r="N45" i="9"/>
  <c r="N82" i="8"/>
  <c r="F23" i="9"/>
  <c r="F82" i="8"/>
  <c r="C23" i="9"/>
  <c r="K48" i="10"/>
  <c r="K45" i="9"/>
  <c r="E23" i="9"/>
  <c r="F191" i="3"/>
  <c r="C48" i="10"/>
  <c r="C45" i="9"/>
  <c r="M23" i="9"/>
  <c r="M82" i="8"/>
  <c r="K23" i="9"/>
  <c r="K82" i="8"/>
  <c r="G191" i="3"/>
  <c r="C191" i="3"/>
  <c r="B191" i="3"/>
  <c r="H191" i="3"/>
  <c r="Q191" i="3"/>
  <c r="G221" i="3"/>
  <c r="J191" i="3"/>
  <c r="O191" i="3"/>
  <c r="E191" i="3"/>
  <c r="L221" i="3"/>
  <c r="K191" i="3"/>
  <c r="C221" i="3"/>
  <c r="L191" i="3"/>
  <c r="B59" i="10"/>
  <c r="B67" i="10"/>
  <c r="B63" i="10"/>
  <c r="B66" i="10"/>
  <c r="B62" i="10"/>
  <c r="C82" i="8"/>
  <c r="E82" i="8"/>
  <c r="Q28" i="3" l="1"/>
  <c r="D28" i="3"/>
  <c r="K28" i="3"/>
  <c r="N28" i="3"/>
  <c r="E28" i="3"/>
  <c r="M28" i="3"/>
  <c r="L28" i="3"/>
  <c r="J28" i="3"/>
  <c r="S28" i="3"/>
  <c r="G28" i="3"/>
  <c r="R28" i="3"/>
  <c r="T28" i="3"/>
  <c r="H28" i="3"/>
  <c r="B28" i="3"/>
  <c r="O28" i="3"/>
  <c r="I28" i="3"/>
  <c r="C28" i="3"/>
  <c r="F28" i="3"/>
  <c r="P28" i="3"/>
  <c r="U28" i="3" l="1"/>
  <c r="V28" i="3" l="1"/>
  <c r="O15" i="15" l="1"/>
  <c r="N15" i="15" l="1"/>
  <c r="P15" i="15"/>
  <c r="Q15" i="15"/>
  <c r="M15" i="15" l="1"/>
  <c r="L15" i="15" l="1"/>
  <c r="K15" i="15" l="1"/>
  <c r="J15" i="15" l="1"/>
  <c r="I15" i="15"/>
  <c r="H15" i="15" l="1"/>
  <c r="G15" i="15" l="1"/>
  <c r="F15" i="15" l="1"/>
  <c r="E15" i="15" l="1"/>
  <c r="D15" i="15"/>
  <c r="C15" i="15" l="1"/>
  <c r="B15" i="15"/>
  <c r="R15" i="15" l="1"/>
  <c r="S15" i="15" l="1"/>
  <c r="L14" i="15" l="1"/>
  <c r="E27" i="3"/>
  <c r="Q7" i="15"/>
  <c r="G14" i="15"/>
  <c r="M14" i="15"/>
  <c r="R14" i="15"/>
  <c r="P7" i="15"/>
  <c r="P21" i="15" s="1"/>
  <c r="J14" i="15"/>
  <c r="I7" i="15"/>
  <c r="I22" i="15" s="1"/>
  <c r="H7" i="15"/>
  <c r="H22" i="15" s="1"/>
  <c r="B7" i="15"/>
  <c r="F7" i="15"/>
  <c r="F22" i="15" s="1"/>
  <c r="J3" i="15"/>
  <c r="J27" i="3"/>
  <c r="J18" i="15"/>
  <c r="P27" i="3"/>
  <c r="P3" i="15"/>
  <c r="N7" i="15"/>
  <c r="U27" i="3"/>
  <c r="U3" i="15"/>
  <c r="U14" i="15"/>
  <c r="S27" i="3"/>
  <c r="S3" i="15"/>
  <c r="S18" i="15" s="1"/>
  <c r="S14" i="15"/>
  <c r="I27" i="3"/>
  <c r="I3" i="15"/>
  <c r="L3" i="15"/>
  <c r="L18" i="15" s="1"/>
  <c r="L27" i="3"/>
  <c r="S7" i="15"/>
  <c r="S22" i="15" s="1"/>
  <c r="O3" i="15"/>
  <c r="O27" i="3"/>
  <c r="O14" i="15"/>
  <c r="B27" i="3"/>
  <c r="B3" i="15"/>
  <c r="B18" i="15"/>
  <c r="T3" i="15"/>
  <c r="T27" i="3"/>
  <c r="T14" i="15"/>
  <c r="N3" i="15"/>
  <c r="N27" i="3"/>
  <c r="N14" i="15"/>
  <c r="T15" i="15"/>
  <c r="M3" i="15"/>
  <c r="M18" i="15" s="1"/>
  <c r="M27" i="3"/>
  <c r="H3" i="15"/>
  <c r="H18" i="15" s="1"/>
  <c r="H27" i="3"/>
  <c r="T7" i="15"/>
  <c r="T21" i="15" s="1"/>
  <c r="G27" i="3"/>
  <c r="G3" i="15"/>
  <c r="Q27" i="3"/>
  <c r="Q3" i="15"/>
  <c r="J7" i="15"/>
  <c r="J22" i="15" s="1"/>
  <c r="F3" i="15"/>
  <c r="F18" i="15" s="1"/>
  <c r="F27" i="3"/>
  <c r="K27" i="3"/>
  <c r="K3" i="15"/>
  <c r="K18" i="15" s="1"/>
  <c r="K14" i="15"/>
  <c r="O7" i="15"/>
  <c r="O22" i="15" s="1"/>
  <c r="R27" i="3"/>
  <c r="R3" i="15"/>
  <c r="K7" i="15"/>
  <c r="K22" i="15" s="1"/>
  <c r="V27" i="3"/>
  <c r="V3" i="15"/>
  <c r="U7" i="15"/>
  <c r="P23" i="15" l="1"/>
  <c r="I14" i="15"/>
  <c r="H14" i="15"/>
  <c r="Q14" i="15"/>
  <c r="M7" i="15"/>
  <c r="M22" i="15" s="1"/>
  <c r="L7" i="15"/>
  <c r="L22" i="15" s="1"/>
  <c r="G7" i="15"/>
  <c r="G22" i="15" s="1"/>
  <c r="P22" i="15"/>
  <c r="P14" i="15"/>
  <c r="F14" i="15"/>
  <c r="B22" i="15"/>
  <c r="B14" i="15"/>
  <c r="R7" i="15"/>
  <c r="R22" i="15" s="1"/>
  <c r="E3" i="15"/>
  <c r="E17" i="15" s="1"/>
  <c r="U21" i="15"/>
  <c r="U22" i="15"/>
  <c r="Q17" i="15"/>
  <c r="Q13" i="15"/>
  <c r="Q19" i="15"/>
  <c r="K26" i="3"/>
  <c r="Q18" i="15"/>
  <c r="M26" i="3"/>
  <c r="Q23" i="15"/>
  <c r="Q21" i="15"/>
  <c r="I17" i="15"/>
  <c r="I13" i="15"/>
  <c r="I19" i="15"/>
  <c r="S17" i="15"/>
  <c r="S13" i="15"/>
  <c r="S19" i="15"/>
  <c r="N23" i="15"/>
  <c r="N21" i="15"/>
  <c r="E26" i="3"/>
  <c r="Q26" i="3"/>
  <c r="M17" i="15"/>
  <c r="M19" i="15"/>
  <c r="T18" i="15"/>
  <c r="T17" i="15"/>
  <c r="T13" i="15"/>
  <c r="T19" i="15"/>
  <c r="B21" i="15"/>
  <c r="B23" i="15"/>
  <c r="S26" i="3"/>
  <c r="P18" i="15"/>
  <c r="P17" i="15"/>
  <c r="P13" i="15"/>
  <c r="P19" i="15"/>
  <c r="U23" i="15"/>
  <c r="U15" i="15"/>
  <c r="F21" i="15"/>
  <c r="F23" i="15"/>
  <c r="F26" i="3"/>
  <c r="H21" i="15"/>
  <c r="H23" i="15"/>
  <c r="P26" i="3"/>
  <c r="I23" i="15"/>
  <c r="I21" i="15"/>
  <c r="I26" i="3"/>
  <c r="K21" i="15"/>
  <c r="K23" i="15"/>
  <c r="O23" i="15"/>
  <c r="O21" i="15"/>
  <c r="F17" i="15"/>
  <c r="F13" i="15"/>
  <c r="F19" i="15"/>
  <c r="G18" i="15"/>
  <c r="G17" i="15"/>
  <c r="G19" i="15"/>
  <c r="T23" i="15"/>
  <c r="O26" i="3"/>
  <c r="L26" i="3"/>
  <c r="U18" i="15"/>
  <c r="U17" i="15"/>
  <c r="U13" i="15"/>
  <c r="U19" i="15"/>
  <c r="T26" i="3"/>
  <c r="V18" i="15"/>
  <c r="V17" i="15"/>
  <c r="V19" i="15"/>
  <c r="G26" i="3"/>
  <c r="H26" i="3"/>
  <c r="B17" i="15"/>
  <c r="B13" i="15"/>
  <c r="B19" i="15"/>
  <c r="O18" i="15"/>
  <c r="O17" i="15"/>
  <c r="O13" i="15"/>
  <c r="O19" i="15"/>
  <c r="L17" i="15"/>
  <c r="L19" i="15"/>
  <c r="U26" i="3"/>
  <c r="S21" i="15"/>
  <c r="S23" i="15"/>
  <c r="V26" i="3"/>
  <c r="R18" i="15"/>
  <c r="R17" i="15"/>
  <c r="R19" i="15"/>
  <c r="J21" i="15"/>
  <c r="J23" i="15"/>
  <c r="H17" i="15"/>
  <c r="H13" i="15"/>
  <c r="H19" i="15"/>
  <c r="N26" i="3"/>
  <c r="B26" i="3"/>
  <c r="J26" i="3"/>
  <c r="R26" i="3"/>
  <c r="K17" i="15"/>
  <c r="K13" i="15"/>
  <c r="K19" i="15"/>
  <c r="T22" i="15"/>
  <c r="N18" i="15"/>
  <c r="N17" i="15"/>
  <c r="N13" i="15"/>
  <c r="N19" i="15"/>
  <c r="Q22" i="15"/>
  <c r="I18" i="15"/>
  <c r="N22" i="15"/>
  <c r="J17" i="15"/>
  <c r="J13" i="15"/>
  <c r="J19" i="15"/>
  <c r="V15" i="15"/>
  <c r="M23" i="15" l="1"/>
  <c r="M21" i="15"/>
  <c r="G13" i="15"/>
  <c r="M13" i="15"/>
  <c r="G23" i="15"/>
  <c r="G21" i="15"/>
  <c r="L21" i="15"/>
  <c r="E18" i="15"/>
  <c r="R21" i="15"/>
  <c r="L23" i="15"/>
  <c r="R23" i="15"/>
  <c r="R13" i="15"/>
  <c r="L13" i="15"/>
  <c r="E19" i="15"/>
  <c r="C14" i="15"/>
  <c r="D7" i="15"/>
  <c r="C27" i="3"/>
  <c r="C3" i="15"/>
  <c r="V7" i="15"/>
  <c r="V22" i="15" s="1"/>
  <c r="V14" i="15"/>
  <c r="D27" i="3"/>
  <c r="D3" i="15"/>
  <c r="D18" i="15" s="1"/>
  <c r="D14" i="15" l="1"/>
  <c r="C7" i="15"/>
  <c r="C22" i="15" s="1"/>
  <c r="E7" i="15"/>
  <c r="E14" i="15"/>
  <c r="D23" i="15"/>
  <c r="D21" i="15"/>
  <c r="C21" i="15"/>
  <c r="C23" i="15"/>
  <c r="V23" i="15"/>
  <c r="V21" i="15"/>
  <c r="V13" i="15"/>
  <c r="D17" i="15"/>
  <c r="D13" i="15"/>
  <c r="D19" i="15"/>
  <c r="C18" i="15"/>
  <c r="C17" i="15"/>
  <c r="C19" i="15"/>
  <c r="D26" i="3"/>
  <c r="C26" i="3"/>
  <c r="D22" i="15"/>
  <c r="C13" i="15" l="1"/>
  <c r="E13" i="15"/>
  <c r="E21" i="15"/>
  <c r="E23" i="15"/>
  <c r="E22" i="15"/>
  <c r="G88" i="3" l="1"/>
  <c r="L19" i="17"/>
  <c r="L88" i="3"/>
  <c r="L87" i="3"/>
  <c r="L18" i="17"/>
  <c r="S87" i="3"/>
  <c r="S18" i="17"/>
  <c r="K19" i="17"/>
  <c r="L10" i="17"/>
  <c r="K88" i="3" l="1"/>
  <c r="G19" i="17"/>
  <c r="L3" i="17"/>
  <c r="E18" i="17"/>
  <c r="G240" i="3"/>
  <c r="J21" i="16"/>
  <c r="J25" i="16"/>
  <c r="J58" i="3"/>
  <c r="Q11" i="17"/>
  <c r="Q21" i="16"/>
  <c r="Q25" i="16"/>
  <c r="Q58" i="3"/>
  <c r="S239" i="3"/>
  <c r="K87" i="3"/>
  <c r="K3" i="17"/>
  <c r="K18" i="17"/>
  <c r="F19" i="17"/>
  <c r="F88" i="3"/>
  <c r="F11" i="17"/>
  <c r="O58" i="3"/>
  <c r="O25" i="16"/>
  <c r="O21" i="16"/>
  <c r="Q19" i="17"/>
  <c r="Q88" i="3"/>
  <c r="S58" i="3"/>
  <c r="S21" i="16"/>
  <c r="S25" i="16"/>
  <c r="I58" i="3"/>
  <c r="I21" i="16"/>
  <c r="I25" i="16"/>
  <c r="F18" i="17"/>
  <c r="F3" i="17"/>
  <c r="F87" i="3"/>
  <c r="I18" i="17"/>
  <c r="I3" i="17"/>
  <c r="I87" i="3"/>
  <c r="O87" i="3"/>
  <c r="O3" i="17"/>
  <c r="O18" i="17"/>
  <c r="M18" i="17"/>
  <c r="M87" i="3"/>
  <c r="M3" i="17"/>
  <c r="L86" i="3"/>
  <c r="L239" i="3"/>
  <c r="L240" i="3"/>
  <c r="K21" i="16"/>
  <c r="K58" i="3"/>
  <c r="K25" i="16"/>
  <c r="J18" i="17"/>
  <c r="J3" i="17"/>
  <c r="J87" i="3"/>
  <c r="P3" i="17"/>
  <c r="P18" i="17"/>
  <c r="P87" i="3"/>
  <c r="P25" i="16"/>
  <c r="P21" i="16"/>
  <c r="P58" i="3"/>
  <c r="M11" i="17"/>
  <c r="M25" i="16"/>
  <c r="M21" i="16"/>
  <c r="M58" i="3"/>
  <c r="K11" i="17"/>
  <c r="L20" i="16"/>
  <c r="L57" i="3"/>
  <c r="L24" i="16"/>
  <c r="M88" i="3"/>
  <c r="M19" i="17"/>
  <c r="J19" i="17"/>
  <c r="J88" i="3"/>
  <c r="J11" i="17"/>
  <c r="I19" i="17"/>
  <c r="I88" i="3"/>
  <c r="I11" i="17"/>
  <c r="P88" i="3"/>
  <c r="P19" i="17"/>
  <c r="P11" i="17"/>
  <c r="O88" i="3"/>
  <c r="O19" i="17"/>
  <c r="O11" i="17"/>
  <c r="G87" i="3"/>
  <c r="G3" i="17"/>
  <c r="G18" i="17"/>
  <c r="Q18" i="17"/>
  <c r="Q3" i="17"/>
  <c r="Q87" i="3"/>
  <c r="Q10" i="17"/>
  <c r="K10" i="17"/>
  <c r="F10" i="17"/>
  <c r="I23" i="17" l="1"/>
  <c r="I13" i="17"/>
  <c r="J23" i="17"/>
  <c r="J13" i="17"/>
  <c r="L22" i="17"/>
  <c r="L13" i="17"/>
  <c r="O23" i="17"/>
  <c r="O13" i="17"/>
  <c r="K22" i="17"/>
  <c r="K13" i="17"/>
  <c r="Q22" i="17"/>
  <c r="Q13" i="17"/>
  <c r="M22" i="17"/>
  <c r="M13" i="17"/>
  <c r="F23" i="17"/>
  <c r="F13" i="17"/>
  <c r="L17" i="17"/>
  <c r="P23" i="17"/>
  <c r="P13" i="17"/>
  <c r="G22" i="17"/>
  <c r="G13" i="17"/>
  <c r="L23" i="17"/>
  <c r="K240" i="3"/>
  <c r="E3" i="17"/>
  <c r="L21" i="17"/>
  <c r="E87" i="3"/>
  <c r="F22" i="17"/>
  <c r="R58" i="3"/>
  <c r="M23" i="17"/>
  <c r="E10" i="17"/>
  <c r="E20" i="16"/>
  <c r="E57" i="3"/>
  <c r="E28" i="16"/>
  <c r="E24" i="16"/>
  <c r="L29" i="16"/>
  <c r="L27" i="16"/>
  <c r="L23" i="16"/>
  <c r="L19" i="16"/>
  <c r="P86" i="3"/>
  <c r="P239" i="3"/>
  <c r="O86" i="3"/>
  <c r="O239" i="3"/>
  <c r="K86" i="3"/>
  <c r="K239" i="3"/>
  <c r="O10" i="17"/>
  <c r="O24" i="16"/>
  <c r="O20" i="16"/>
  <c r="O9" i="17"/>
  <c r="O57" i="3"/>
  <c r="M17" i="17"/>
  <c r="M21" i="17"/>
  <c r="L25" i="16"/>
  <c r="L21" i="16"/>
  <c r="L58" i="3"/>
  <c r="L11" i="17"/>
  <c r="J210" i="3"/>
  <c r="R21" i="16"/>
  <c r="T19" i="17"/>
  <c r="T11" i="17"/>
  <c r="T88" i="3"/>
  <c r="N19" i="17"/>
  <c r="N88" i="3"/>
  <c r="N11" i="17"/>
  <c r="Q24" i="16"/>
  <c r="Q20" i="16"/>
  <c r="Q57" i="3"/>
  <c r="Q28" i="16"/>
  <c r="Q86" i="3"/>
  <c r="Q239" i="3"/>
  <c r="G21" i="17"/>
  <c r="G17" i="17"/>
  <c r="G23" i="17"/>
  <c r="I240" i="3"/>
  <c r="L209" i="3"/>
  <c r="P210" i="3"/>
  <c r="J86" i="3"/>
  <c r="J239" i="3"/>
  <c r="K210" i="3"/>
  <c r="M86" i="3"/>
  <c r="M239" i="3"/>
  <c r="F86" i="3"/>
  <c r="F239" i="3"/>
  <c r="B3" i="17"/>
  <c r="B18" i="17"/>
  <c r="B87" i="3"/>
  <c r="G86" i="3"/>
  <c r="G239" i="3"/>
  <c r="P17" i="17"/>
  <c r="P21" i="17"/>
  <c r="I210" i="3"/>
  <c r="L9" i="17"/>
  <c r="E58" i="3"/>
  <c r="E21" i="16"/>
  <c r="E25" i="16"/>
  <c r="R18" i="17"/>
  <c r="R87" i="3"/>
  <c r="R3" i="17"/>
  <c r="N21" i="16"/>
  <c r="N25" i="16"/>
  <c r="N58" i="3"/>
  <c r="M24" i="16"/>
  <c r="M20" i="16"/>
  <c r="M57" i="3"/>
  <c r="Q21" i="17"/>
  <c r="Q17" i="17"/>
  <c r="Q9" i="17"/>
  <c r="M210" i="3"/>
  <c r="J22" i="17"/>
  <c r="J21" i="17"/>
  <c r="J17" i="17"/>
  <c r="I86" i="3"/>
  <c r="I239" i="3"/>
  <c r="F21" i="17"/>
  <c r="F17" i="17"/>
  <c r="F240" i="3"/>
  <c r="S19" i="17"/>
  <c r="S88" i="3"/>
  <c r="S11" i="17"/>
  <c r="S3" i="17"/>
  <c r="S13" i="17" s="1"/>
  <c r="R19" i="17"/>
  <c r="R88" i="3"/>
  <c r="B88" i="3"/>
  <c r="B19" i="17"/>
  <c r="H3" i="17"/>
  <c r="H13" i="17" s="1"/>
  <c r="H87" i="3"/>
  <c r="H18" i="17"/>
  <c r="H19" i="17"/>
  <c r="H88" i="3"/>
  <c r="K57" i="3"/>
  <c r="K9" i="17"/>
  <c r="K24" i="16"/>
  <c r="K20" i="16"/>
  <c r="P240" i="3"/>
  <c r="Q23" i="17"/>
  <c r="S24" i="16"/>
  <c r="S20" i="16"/>
  <c r="S57" i="3"/>
  <c r="S10" i="17"/>
  <c r="T25" i="16"/>
  <c r="T21" i="16"/>
  <c r="T58" i="3"/>
  <c r="G57" i="3"/>
  <c r="G20" i="16"/>
  <c r="G24" i="16"/>
  <c r="G28" i="16"/>
  <c r="P20" i="16"/>
  <c r="P57" i="3"/>
  <c r="P24" i="16"/>
  <c r="H11" i="17"/>
  <c r="H21" i="16"/>
  <c r="H58" i="3"/>
  <c r="H25" i="16"/>
  <c r="E19" i="17"/>
  <c r="E88" i="3"/>
  <c r="E11" i="17"/>
  <c r="G10" i="17"/>
  <c r="J240" i="3"/>
  <c r="M240" i="3"/>
  <c r="P10" i="17"/>
  <c r="L238" i="3"/>
  <c r="I22" i="17"/>
  <c r="I17" i="17"/>
  <c r="I21" i="17"/>
  <c r="Q240" i="3"/>
  <c r="O210" i="3"/>
  <c r="Q210" i="3"/>
  <c r="G58" i="3"/>
  <c r="G21" i="16"/>
  <c r="G25" i="16"/>
  <c r="G29" i="16"/>
  <c r="G11" i="17"/>
  <c r="F9" i="17"/>
  <c r="F24" i="16"/>
  <c r="F57" i="3"/>
  <c r="F20" i="16"/>
  <c r="N3" i="17"/>
  <c r="N87" i="3"/>
  <c r="N18" i="17"/>
  <c r="T3" i="17"/>
  <c r="T18" i="17"/>
  <c r="T87" i="3"/>
  <c r="O240" i="3"/>
  <c r="L28" i="16"/>
  <c r="P22" i="17"/>
  <c r="M10" i="17"/>
  <c r="O22" i="17"/>
  <c r="O17" i="17"/>
  <c r="O21" i="17"/>
  <c r="S210" i="3"/>
  <c r="F25" i="16"/>
  <c r="F58" i="3"/>
  <c r="F21" i="16"/>
  <c r="K23" i="17"/>
  <c r="K17" i="17"/>
  <c r="K21" i="17"/>
  <c r="R10" i="17"/>
  <c r="N10" i="17"/>
  <c r="E17" i="17" l="1"/>
  <c r="E13" i="17"/>
  <c r="E21" i="17"/>
  <c r="B23" i="17"/>
  <c r="B13" i="17"/>
  <c r="R22" i="17"/>
  <c r="R13" i="17"/>
  <c r="T23" i="17"/>
  <c r="T13" i="17"/>
  <c r="N22" i="17"/>
  <c r="N13" i="17"/>
  <c r="E239" i="3"/>
  <c r="E86" i="3"/>
  <c r="L56" i="3"/>
  <c r="L208" i="3" s="1"/>
  <c r="E22" i="17"/>
  <c r="E23" i="17"/>
  <c r="R23" i="17"/>
  <c r="R11" i="17"/>
  <c r="R25" i="16"/>
  <c r="F29" i="16"/>
  <c r="K28" i="16"/>
  <c r="C25" i="16"/>
  <c r="C21" i="16"/>
  <c r="C58" i="3"/>
  <c r="D19" i="17"/>
  <c r="D88" i="3"/>
  <c r="D11" i="17"/>
  <c r="P56" i="3"/>
  <c r="P209" i="3"/>
  <c r="S28" i="16"/>
  <c r="S23" i="16"/>
  <c r="S27" i="16"/>
  <c r="S19" i="16"/>
  <c r="S29" i="16"/>
  <c r="S240" i="3"/>
  <c r="S86" i="3"/>
  <c r="I238" i="3"/>
  <c r="R21" i="17"/>
  <c r="R17" i="17"/>
  <c r="E210" i="3"/>
  <c r="N240" i="3"/>
  <c r="K238" i="3"/>
  <c r="D3" i="17"/>
  <c r="D18" i="17"/>
  <c r="D87" i="3"/>
  <c r="U3" i="17"/>
  <c r="U18" i="17"/>
  <c r="U87" i="3"/>
  <c r="U21" i="16"/>
  <c r="U58" i="3"/>
  <c r="U25" i="16"/>
  <c r="P27" i="16"/>
  <c r="P23" i="16"/>
  <c r="P19" i="16"/>
  <c r="P29" i="16"/>
  <c r="S209" i="3"/>
  <c r="S56" i="3"/>
  <c r="M28" i="16"/>
  <c r="M23" i="16"/>
  <c r="M19" i="16"/>
  <c r="M27" i="16"/>
  <c r="M29" i="16"/>
  <c r="R86" i="3"/>
  <c r="R239" i="3"/>
  <c r="O238" i="3"/>
  <c r="T210" i="3"/>
  <c r="K19" i="16"/>
  <c r="K23" i="16"/>
  <c r="K27" i="16"/>
  <c r="K29" i="16"/>
  <c r="B240" i="3"/>
  <c r="M56" i="3"/>
  <c r="M209" i="3"/>
  <c r="B22" i="17"/>
  <c r="B21" i="17"/>
  <c r="B17" i="17"/>
  <c r="F238" i="3"/>
  <c r="Q19" i="16"/>
  <c r="Q27" i="16"/>
  <c r="Q23" i="16"/>
  <c r="Q29" i="16"/>
  <c r="R210" i="3"/>
  <c r="L210" i="3"/>
  <c r="M9" i="17"/>
  <c r="C19" i="17"/>
  <c r="C88" i="3"/>
  <c r="C11" i="17"/>
  <c r="D58" i="3"/>
  <c r="D25" i="16"/>
  <c r="D21" i="16"/>
  <c r="C87" i="3"/>
  <c r="C3" i="17"/>
  <c r="C18" i="17"/>
  <c r="N86" i="3"/>
  <c r="N239" i="3"/>
  <c r="F56" i="3"/>
  <c r="F209" i="3"/>
  <c r="G210" i="3"/>
  <c r="H210" i="3"/>
  <c r="K209" i="3"/>
  <c r="K56" i="3"/>
  <c r="N210" i="3"/>
  <c r="G238" i="3"/>
  <c r="J238" i="3"/>
  <c r="Q209" i="3"/>
  <c r="Q56" i="3"/>
  <c r="O209" i="3"/>
  <c r="O56" i="3"/>
  <c r="E29" i="16"/>
  <c r="E23" i="16"/>
  <c r="E27" i="16"/>
  <c r="E19" i="16"/>
  <c r="C10" i="17"/>
  <c r="G27" i="16"/>
  <c r="G19" i="16"/>
  <c r="G23" i="16"/>
  <c r="H86" i="3"/>
  <c r="H239" i="3"/>
  <c r="Q238" i="3"/>
  <c r="O28" i="16"/>
  <c r="O23" i="16"/>
  <c r="O27" i="16"/>
  <c r="O19" i="16"/>
  <c r="O29" i="16"/>
  <c r="E209" i="3"/>
  <c r="E56" i="3"/>
  <c r="I20" i="16"/>
  <c r="I57" i="3"/>
  <c r="I24" i="16"/>
  <c r="I10" i="17"/>
  <c r="E9" i="17"/>
  <c r="T86" i="3"/>
  <c r="T239" i="3"/>
  <c r="N21" i="17"/>
  <c r="N17" i="17"/>
  <c r="F28" i="16"/>
  <c r="F19" i="16"/>
  <c r="F27" i="16"/>
  <c r="F23" i="16"/>
  <c r="H22" i="17"/>
  <c r="H17" i="17"/>
  <c r="H21" i="17"/>
  <c r="R240" i="3"/>
  <c r="S17" i="17"/>
  <c r="S21" i="17"/>
  <c r="S9" i="17"/>
  <c r="S22" i="17"/>
  <c r="B25" i="16"/>
  <c r="B58" i="3"/>
  <c r="B21" i="16"/>
  <c r="T240" i="3"/>
  <c r="B24" i="16"/>
  <c r="B20" i="16"/>
  <c r="B57" i="3"/>
  <c r="B9" i="17"/>
  <c r="N20" i="16"/>
  <c r="N57" i="3"/>
  <c r="N24" i="16"/>
  <c r="E238" i="3"/>
  <c r="E240" i="3"/>
  <c r="P28" i="16"/>
  <c r="H23" i="17"/>
  <c r="B11" i="17"/>
  <c r="S23" i="17"/>
  <c r="B10" i="17"/>
  <c r="M238" i="3"/>
  <c r="G9" i="17"/>
  <c r="P238" i="3"/>
  <c r="R20" i="16"/>
  <c r="R24" i="16"/>
  <c r="R57" i="3"/>
  <c r="R9" i="17"/>
  <c r="U19" i="17"/>
  <c r="U88" i="3"/>
  <c r="U11" i="17"/>
  <c r="F210" i="3"/>
  <c r="T22" i="17"/>
  <c r="T17" i="17"/>
  <c r="T21" i="17"/>
  <c r="G56" i="3"/>
  <c r="G209" i="3"/>
  <c r="H240" i="3"/>
  <c r="P9" i="17"/>
  <c r="B86" i="3"/>
  <c r="B239" i="3"/>
  <c r="N23" i="17"/>
  <c r="J20" i="16"/>
  <c r="J57" i="3"/>
  <c r="J24" i="16"/>
  <c r="J10" i="17"/>
  <c r="U23" i="17" l="1"/>
  <c r="U13" i="17"/>
  <c r="C23" i="17"/>
  <c r="C13" i="17"/>
  <c r="D23" i="17"/>
  <c r="D13" i="17"/>
  <c r="R28" i="16"/>
  <c r="B29" i="16"/>
  <c r="D22" i="17"/>
  <c r="C22" i="17"/>
  <c r="G208" i="3"/>
  <c r="R209" i="3"/>
  <c r="R56" i="3"/>
  <c r="N209" i="3"/>
  <c r="N56" i="3"/>
  <c r="H10" i="17"/>
  <c r="H57" i="3"/>
  <c r="H20" i="16"/>
  <c r="H28" i="16"/>
  <c r="H24" i="16"/>
  <c r="H238" i="3"/>
  <c r="C24" i="16"/>
  <c r="C20" i="16"/>
  <c r="C28" i="16"/>
  <c r="C57" i="3"/>
  <c r="S208" i="3"/>
  <c r="U10" i="17"/>
  <c r="U20" i="16"/>
  <c r="U24" i="16"/>
  <c r="U57" i="3"/>
  <c r="U28" i="16"/>
  <c r="J28" i="16"/>
  <c r="J27" i="16"/>
  <c r="J23" i="16"/>
  <c r="J19" i="16"/>
  <c r="J29" i="16"/>
  <c r="J9" i="17"/>
  <c r="T238" i="3"/>
  <c r="D210" i="3"/>
  <c r="M208" i="3"/>
  <c r="R238" i="3"/>
  <c r="D86" i="3"/>
  <c r="D239" i="3"/>
  <c r="N27" i="16"/>
  <c r="N23" i="16"/>
  <c r="N19" i="16"/>
  <c r="N29" i="16"/>
  <c r="T24" i="16"/>
  <c r="T20" i="16"/>
  <c r="T57" i="3"/>
  <c r="T10" i="17"/>
  <c r="I209" i="3"/>
  <c r="I56" i="3"/>
  <c r="Q208" i="3"/>
  <c r="U210" i="3"/>
  <c r="V3" i="17"/>
  <c r="V18" i="17"/>
  <c r="V87" i="3"/>
  <c r="J209" i="3"/>
  <c r="J56" i="3"/>
  <c r="U240" i="3"/>
  <c r="N9" i="17"/>
  <c r="S238" i="3"/>
  <c r="C210" i="3"/>
  <c r="B28" i="16"/>
  <c r="B19" i="16"/>
  <c r="B23" i="16"/>
  <c r="B27" i="16"/>
  <c r="I28" i="16"/>
  <c r="I23" i="16"/>
  <c r="I19" i="16"/>
  <c r="I27" i="16"/>
  <c r="I29" i="16"/>
  <c r="I9" i="17"/>
  <c r="F208" i="3"/>
  <c r="U86" i="3"/>
  <c r="U239" i="3"/>
  <c r="D21" i="17"/>
  <c r="D17" i="17"/>
  <c r="D240" i="3"/>
  <c r="V19" i="17"/>
  <c r="V88" i="3"/>
  <c r="V11" i="17"/>
  <c r="B209" i="3"/>
  <c r="B56" i="3"/>
  <c r="B210" i="3"/>
  <c r="C17" i="17"/>
  <c r="C21" i="17"/>
  <c r="V25" i="16"/>
  <c r="V21" i="16"/>
  <c r="V58" i="3"/>
  <c r="N28" i="16"/>
  <c r="C86" i="3"/>
  <c r="C239" i="3"/>
  <c r="C240" i="3"/>
  <c r="P208" i="3"/>
  <c r="D10" i="17"/>
  <c r="D20" i="16"/>
  <c r="D57" i="3"/>
  <c r="D9" i="17"/>
  <c r="D24" i="16"/>
  <c r="B238" i="3"/>
  <c r="R27" i="16"/>
  <c r="R19" i="16"/>
  <c r="R23" i="16"/>
  <c r="R29" i="16"/>
  <c r="E208" i="3"/>
  <c r="O208" i="3"/>
  <c r="K208" i="3"/>
  <c r="N238" i="3"/>
  <c r="U22" i="17"/>
  <c r="U21" i="17"/>
  <c r="U17" i="17"/>
  <c r="U9" i="17"/>
  <c r="V23" i="17" l="1"/>
  <c r="V13" i="17"/>
  <c r="C9" i="17"/>
  <c r="D28" i="16"/>
  <c r="T27" i="16"/>
  <c r="T23" i="16"/>
  <c r="T19" i="16"/>
  <c r="T29" i="16"/>
  <c r="T9" i="17"/>
  <c r="V17" i="17"/>
  <c r="V21" i="17"/>
  <c r="T209" i="3"/>
  <c r="T56" i="3"/>
  <c r="D238" i="3"/>
  <c r="C19" i="16"/>
  <c r="C27" i="16"/>
  <c r="C23" i="16"/>
  <c r="C29" i="16"/>
  <c r="H27" i="16"/>
  <c r="H23" i="16"/>
  <c r="H19" i="16"/>
  <c r="H29" i="16"/>
  <c r="H9" i="17"/>
  <c r="R208" i="3"/>
  <c r="J208" i="3"/>
  <c r="V20" i="16"/>
  <c r="V24" i="16"/>
  <c r="V9" i="17"/>
  <c r="V57" i="3"/>
  <c r="C238" i="3"/>
  <c r="V210" i="3"/>
  <c r="H56" i="3"/>
  <c r="H209" i="3"/>
  <c r="I208" i="3"/>
  <c r="D27" i="16"/>
  <c r="D23" i="16"/>
  <c r="D19" i="16"/>
  <c r="D29" i="16"/>
  <c r="V22" i="17"/>
  <c r="U29" i="16"/>
  <c r="U23" i="16"/>
  <c r="U27" i="16"/>
  <c r="U19" i="16"/>
  <c r="D209" i="3"/>
  <c r="V240" i="3"/>
  <c r="U238" i="3"/>
  <c r="V10" i="17"/>
  <c r="D56" i="3"/>
  <c r="U209" i="3"/>
  <c r="U56" i="3"/>
  <c r="N208" i="3"/>
  <c r="B208" i="3"/>
  <c r="V86" i="3"/>
  <c r="V239" i="3"/>
  <c r="T28" i="16"/>
  <c r="C209" i="3"/>
  <c r="C56" i="3"/>
  <c r="V28" i="16" l="1"/>
  <c r="H208" i="3"/>
  <c r="V238" i="3"/>
  <c r="C208" i="3"/>
  <c r="U208" i="3"/>
  <c r="V209" i="3"/>
  <c r="V56" i="3"/>
  <c r="T208" i="3"/>
  <c r="V27" i="16"/>
  <c r="V23" i="16"/>
  <c r="V19" i="16"/>
  <c r="V29" i="16"/>
  <c r="D208" i="3"/>
  <c r="V208" i="3" l="1"/>
  <c r="S68" i="11" l="1"/>
  <c r="L68" i="11"/>
  <c r="M68" i="11"/>
  <c r="U68" i="11" l="1"/>
  <c r="R68" i="11"/>
  <c r="N68" i="11"/>
  <c r="Q68" i="11"/>
  <c r="V68" i="11"/>
  <c r="J68" i="11"/>
  <c r="O67" i="11"/>
  <c r="K67" i="11"/>
  <c r="O13" i="14" l="1"/>
  <c r="O19" i="14" s="1"/>
  <c r="N13" i="14"/>
  <c r="N19" i="14" s="1"/>
  <c r="T13" i="14"/>
  <c r="T19" i="14" s="1"/>
  <c r="M13" i="14"/>
  <c r="M19" i="14" s="1"/>
  <c r="Q14" i="14"/>
  <c r="T67" i="11"/>
  <c r="L14" i="14"/>
  <c r="L20" i="14" s="1"/>
  <c r="U14" i="14"/>
  <c r="U20" i="14" s="1"/>
  <c r="T14" i="14"/>
  <c r="R14" i="14"/>
  <c r="R20" i="14" s="1"/>
  <c r="N14" i="14"/>
  <c r="N20" i="14" s="1"/>
  <c r="U67" i="11"/>
  <c r="M67" i="11"/>
  <c r="S14" i="14"/>
  <c r="S20" i="14" s="1"/>
  <c r="S13" i="14"/>
  <c r="S19" i="14" s="1"/>
  <c r="R13" i="14"/>
  <c r="R19" i="14" s="1"/>
  <c r="P14" i="14"/>
  <c r="P20" i="14" s="1"/>
  <c r="P13" i="14"/>
  <c r="P19" i="14" s="1"/>
  <c r="Q67" i="11"/>
  <c r="P67" i="11"/>
  <c r="R67" i="11"/>
  <c r="L13" i="14"/>
  <c r="L19" i="14" s="1"/>
  <c r="U13" i="14"/>
  <c r="U19" i="14" s="1"/>
  <c r="N67" i="11"/>
  <c r="I68" i="11"/>
  <c r="S67" i="11"/>
  <c r="L67" i="11"/>
  <c r="V67" i="11"/>
  <c r="M14" i="14"/>
  <c r="M20" i="14" s="1"/>
  <c r="Q13" i="14"/>
  <c r="Q19" i="14" s="1"/>
  <c r="O14" i="14"/>
  <c r="P68" i="11"/>
  <c r="J67" i="11"/>
  <c r="T24" i="11"/>
  <c r="U34" i="11"/>
  <c r="R24" i="11"/>
  <c r="M24" i="11"/>
  <c r="J24" i="11"/>
  <c r="N24" i="11"/>
  <c r="R69" i="11" l="1"/>
  <c r="V14" i="14"/>
  <c r="T69" i="11"/>
  <c r="T20" i="14"/>
  <c r="T68" i="11"/>
  <c r="Q20" i="14"/>
  <c r="Q24" i="11"/>
  <c r="R34" i="11"/>
  <c r="K14" i="14"/>
  <c r="K20" i="14" s="1"/>
  <c r="I67" i="11"/>
  <c r="U24" i="11"/>
  <c r="O24" i="11"/>
  <c r="T34" i="11"/>
  <c r="S24" i="11"/>
  <c r="K68" i="11"/>
  <c r="P24" i="11"/>
  <c r="U69" i="11"/>
  <c r="O68" i="11"/>
  <c r="O20" i="14"/>
  <c r="U15" i="14"/>
  <c r="U21" i="14" s="1"/>
  <c r="R66" i="11" l="1"/>
  <c r="V20" i="14"/>
  <c r="K13" i="14"/>
  <c r="K19" i="14" s="1"/>
  <c r="N69" i="11"/>
  <c r="N34" i="11"/>
  <c r="I24" i="11"/>
  <c r="L24" i="11"/>
  <c r="S69" i="11"/>
  <c r="S34" i="11"/>
  <c r="V13" i="14"/>
  <c r="K24" i="11"/>
  <c r="H68" i="11"/>
  <c r="H24" i="11"/>
  <c r="U4" i="14"/>
  <c r="U12" i="14" s="1"/>
  <c r="U18" i="14" s="1"/>
  <c r="T66" i="11"/>
  <c r="U66" i="11"/>
  <c r="S15" i="14" l="1"/>
  <c r="S4" i="14"/>
  <c r="S12" i="14" s="1"/>
  <c r="S18" i="14" s="1"/>
  <c r="Q15" i="14"/>
  <c r="Q4" i="14"/>
  <c r="Q12" i="14" s="1"/>
  <c r="N15" i="14"/>
  <c r="N4" i="14"/>
  <c r="N12" i="14" s="1"/>
  <c r="N18" i="14" s="1"/>
  <c r="V24" i="11"/>
  <c r="L14" i="3"/>
  <c r="L87" i="11"/>
  <c r="I14" i="3"/>
  <c r="I87" i="11"/>
  <c r="S16" i="3"/>
  <c r="S89" i="11"/>
  <c r="U14" i="3"/>
  <c r="U87" i="11"/>
  <c r="S66" i="11"/>
  <c r="M15" i="14"/>
  <c r="M4" i="14"/>
  <c r="M12" i="14" s="1"/>
  <c r="O14" i="3"/>
  <c r="O87" i="11"/>
  <c r="H67" i="11"/>
  <c r="V69" i="11"/>
  <c r="V34" i="11"/>
  <c r="O15" i="14"/>
  <c r="O21" i="14" s="1"/>
  <c r="O4" i="14"/>
  <c r="O12" i="14" s="1"/>
  <c r="P15" i="14"/>
  <c r="P4" i="14"/>
  <c r="P12" i="14" s="1"/>
  <c r="R15" i="14"/>
  <c r="R21" i="14" s="1"/>
  <c r="R4" i="14"/>
  <c r="R12" i="14" s="1"/>
  <c r="M69" i="11"/>
  <c r="M34" i="11"/>
  <c r="K14" i="3"/>
  <c r="K87" i="11"/>
  <c r="M14" i="3"/>
  <c r="M87" i="11"/>
  <c r="J13" i="14"/>
  <c r="J19" i="14" s="1"/>
  <c r="J14" i="14"/>
  <c r="J20" i="14" s="1"/>
  <c r="R14" i="3"/>
  <c r="R87" i="11"/>
  <c r="T15" i="14"/>
  <c r="T21" i="14" s="1"/>
  <c r="T4" i="14"/>
  <c r="T12" i="14" s="1"/>
  <c r="T18" i="14" s="1"/>
  <c r="T14" i="3"/>
  <c r="T87" i="11"/>
  <c r="V14" i="3"/>
  <c r="V87" i="11"/>
  <c r="N66" i="11"/>
  <c r="S14" i="3"/>
  <c r="S87" i="11"/>
  <c r="N14" i="3"/>
  <c r="N87" i="11"/>
  <c r="P14" i="3"/>
  <c r="P87" i="11"/>
  <c r="O69" i="11"/>
  <c r="O34" i="11"/>
  <c r="G24" i="11"/>
  <c r="J14" i="3"/>
  <c r="J87" i="11"/>
  <c r="Q14" i="3"/>
  <c r="Q87" i="11"/>
  <c r="L69" i="11"/>
  <c r="L34" i="11"/>
  <c r="V19" i="14"/>
  <c r="U16" i="3" l="1"/>
  <c r="U89" i="11"/>
  <c r="L66" i="11"/>
  <c r="R18" i="14"/>
  <c r="I14" i="14"/>
  <c r="V15" i="14"/>
  <c r="V4" i="14"/>
  <c r="V12" i="14" s="1"/>
  <c r="V18" i="14" s="1"/>
  <c r="T16" i="3"/>
  <c r="T89" i="11"/>
  <c r="N21" i="14"/>
  <c r="E24" i="11"/>
  <c r="R16" i="3"/>
  <c r="R89" i="11"/>
  <c r="O18" i="14"/>
  <c r="O66" i="11"/>
  <c r="F24" i="11"/>
  <c r="G68" i="11"/>
  <c r="M16" i="3"/>
  <c r="M89" i="11"/>
  <c r="K69" i="11"/>
  <c r="K34" i="11"/>
  <c r="P69" i="11"/>
  <c r="P21" i="14"/>
  <c r="P34" i="11"/>
  <c r="V16" i="3"/>
  <c r="V89" i="11"/>
  <c r="M18" i="14"/>
  <c r="M66" i="11"/>
  <c r="L15" i="14"/>
  <c r="L21" i="14" s="1"/>
  <c r="L4" i="14"/>
  <c r="L12" i="14" s="1"/>
  <c r="L18" i="14" s="1"/>
  <c r="M21" i="14"/>
  <c r="V66" i="11"/>
  <c r="S21" i="14"/>
  <c r="L16" i="3" l="1"/>
  <c r="L89" i="11"/>
  <c r="U15" i="3"/>
  <c r="U88" i="11"/>
  <c r="U4" i="11"/>
  <c r="Q77" i="11"/>
  <c r="I13" i="14"/>
  <c r="I19" i="14" s="1"/>
  <c r="N77" i="11"/>
  <c r="P15" i="3"/>
  <c r="P88" i="11"/>
  <c r="M77" i="11"/>
  <c r="R15" i="3"/>
  <c r="R88" i="11"/>
  <c r="R4" i="11"/>
  <c r="K15" i="3"/>
  <c r="K88" i="11"/>
  <c r="O15" i="3"/>
  <c r="O88" i="11"/>
  <c r="J15" i="3"/>
  <c r="J88" i="11"/>
  <c r="P18" i="14"/>
  <c r="P66" i="11"/>
  <c r="L77" i="11"/>
  <c r="I77" i="11"/>
  <c r="T77" i="11"/>
  <c r="J77" i="11"/>
  <c r="Q15" i="3"/>
  <c r="Q88" i="11"/>
  <c r="Q69" i="11"/>
  <c r="Q34" i="11"/>
  <c r="I20" i="14"/>
  <c r="S15" i="3"/>
  <c r="S88" i="11"/>
  <c r="S4" i="11"/>
  <c r="O77" i="11"/>
  <c r="U72" i="11"/>
  <c r="K77" i="11"/>
  <c r="M15" i="3"/>
  <c r="M88" i="11"/>
  <c r="M4" i="11"/>
  <c r="N15" i="3"/>
  <c r="N88" i="11"/>
  <c r="N4" i="11"/>
  <c r="J69" i="11"/>
  <c r="J34" i="11"/>
  <c r="L15" i="3"/>
  <c r="L88" i="11"/>
  <c r="L4" i="11"/>
  <c r="S77" i="11"/>
  <c r="S79" i="11"/>
  <c r="R77" i="11"/>
  <c r="U77" i="11"/>
  <c r="Q21" i="14"/>
  <c r="N16" i="3"/>
  <c r="N109" i="11"/>
  <c r="N89" i="11"/>
  <c r="T15" i="3"/>
  <c r="T88" i="11"/>
  <c r="T4" i="11"/>
  <c r="T72" i="11"/>
  <c r="I15" i="3"/>
  <c r="I88" i="11"/>
  <c r="K66" i="11"/>
  <c r="V77" i="11"/>
  <c r="G67" i="11"/>
  <c r="P77" i="11"/>
  <c r="V21" i="14"/>
  <c r="U79" i="11"/>
  <c r="H14" i="3" l="1"/>
  <c r="H87" i="11"/>
  <c r="D24" i="11"/>
  <c r="V15" i="3"/>
  <c r="V88" i="11"/>
  <c r="V4" i="11"/>
  <c r="V108" i="11" s="1"/>
  <c r="R79" i="11"/>
  <c r="J66" i="11"/>
  <c r="M13" i="3"/>
  <c r="U106" i="11"/>
  <c r="U86" i="11"/>
  <c r="U107" i="11"/>
  <c r="U109" i="11"/>
  <c r="S72" i="11"/>
  <c r="L106" i="11"/>
  <c r="L86" i="11"/>
  <c r="L107" i="11"/>
  <c r="S107" i="11"/>
  <c r="S106" i="11"/>
  <c r="S86" i="11"/>
  <c r="S109" i="11"/>
  <c r="R13" i="3"/>
  <c r="U108" i="11"/>
  <c r="M79" i="11"/>
  <c r="O89" i="11"/>
  <c r="O16" i="3"/>
  <c r="V79" i="11"/>
  <c r="F68" i="11"/>
  <c r="T106" i="11"/>
  <c r="T86" i="11"/>
  <c r="T107" i="11"/>
  <c r="T109" i="11"/>
  <c r="L108" i="11"/>
  <c r="N106" i="11"/>
  <c r="N86" i="11"/>
  <c r="N107" i="11"/>
  <c r="S108" i="11"/>
  <c r="T108" i="11"/>
  <c r="U13" i="3"/>
  <c r="I69" i="11"/>
  <c r="I34" i="11"/>
  <c r="L13" i="3"/>
  <c r="N108" i="11"/>
  <c r="S13" i="3"/>
  <c r="L109" i="11"/>
  <c r="T13" i="3"/>
  <c r="N13" i="3"/>
  <c r="T79" i="11"/>
  <c r="M108" i="11"/>
  <c r="M106" i="11"/>
  <c r="M86" i="11"/>
  <c r="M107" i="11"/>
  <c r="M109" i="11"/>
  <c r="Q66" i="11"/>
  <c r="Q18" i="14"/>
  <c r="O4" i="11"/>
  <c r="O109" i="11" s="1"/>
  <c r="R109" i="11"/>
  <c r="R86" i="11"/>
  <c r="R106" i="11"/>
  <c r="R107" i="11"/>
  <c r="R108" i="11"/>
  <c r="T73" i="11"/>
  <c r="L78" i="11" l="1"/>
  <c r="O78" i="11"/>
  <c r="H13" i="14"/>
  <c r="H19" i="14" s="1"/>
  <c r="U73" i="11"/>
  <c r="N78" i="11"/>
  <c r="N14" i="11"/>
  <c r="H14" i="14"/>
  <c r="H20" i="14" s="1"/>
  <c r="C24" i="11"/>
  <c r="F67" i="11"/>
  <c r="V13" i="3"/>
  <c r="S78" i="11"/>
  <c r="S14" i="11"/>
  <c r="S118" i="11" s="1"/>
  <c r="O108" i="11"/>
  <c r="O106" i="11"/>
  <c r="O86" i="11"/>
  <c r="O107" i="11"/>
  <c r="I66" i="11"/>
  <c r="N79" i="11"/>
  <c r="Q78" i="11"/>
  <c r="M78" i="11"/>
  <c r="M14" i="11"/>
  <c r="M118" i="11" s="1"/>
  <c r="V78" i="11"/>
  <c r="V14" i="11"/>
  <c r="K16" i="3"/>
  <c r="K89" i="11"/>
  <c r="K4" i="11"/>
  <c r="K109" i="11" s="1"/>
  <c r="B24" i="11"/>
  <c r="J78" i="11"/>
  <c r="P78" i="11"/>
  <c r="E68" i="11"/>
  <c r="R72" i="11"/>
  <c r="R78" i="11"/>
  <c r="R14" i="11"/>
  <c r="R118" i="11" s="1"/>
  <c r="P16" i="3"/>
  <c r="P89" i="11"/>
  <c r="P4" i="11"/>
  <c r="U78" i="11"/>
  <c r="U14" i="11"/>
  <c r="U118" i="11" s="1"/>
  <c r="K78" i="11"/>
  <c r="T78" i="11"/>
  <c r="T14" i="11"/>
  <c r="I78" i="11"/>
  <c r="O13" i="3"/>
  <c r="V106" i="11"/>
  <c r="V86" i="11"/>
  <c r="V107" i="11"/>
  <c r="V109" i="11"/>
  <c r="O14" i="11"/>
  <c r="V72" i="11"/>
  <c r="Q72" i="11"/>
  <c r="O116" i="11" l="1"/>
  <c r="O76" i="11"/>
  <c r="O117" i="11"/>
  <c r="O118" i="11"/>
  <c r="S73" i="11"/>
  <c r="K13" i="3"/>
  <c r="H77" i="11"/>
  <c r="H15" i="3"/>
  <c r="H88" i="11"/>
  <c r="O79" i="11"/>
  <c r="O119" i="11"/>
  <c r="V118" i="11"/>
  <c r="V116" i="11"/>
  <c r="V76" i="11"/>
  <c r="V117" i="11"/>
  <c r="V119" i="11"/>
  <c r="N116" i="11"/>
  <c r="N76" i="11"/>
  <c r="N117" i="11"/>
  <c r="T116" i="11"/>
  <c r="T76" i="11"/>
  <c r="T117" i="11"/>
  <c r="T119" i="11"/>
  <c r="P109" i="11"/>
  <c r="P106" i="11"/>
  <c r="P86" i="11"/>
  <c r="P107" i="11"/>
  <c r="P108" i="11"/>
  <c r="J16" i="3"/>
  <c r="J89" i="11"/>
  <c r="J4" i="11"/>
  <c r="T118" i="11"/>
  <c r="M116" i="11"/>
  <c r="M76" i="11"/>
  <c r="M117" i="11"/>
  <c r="M119" i="11"/>
  <c r="N119" i="11"/>
  <c r="N118" i="11"/>
  <c r="K15" i="14"/>
  <c r="K21" i="14" s="1"/>
  <c r="K4" i="14"/>
  <c r="K12" i="14" s="1"/>
  <c r="G87" i="11"/>
  <c r="G14" i="3"/>
  <c r="P13" i="3"/>
  <c r="Q89" i="11"/>
  <c r="Q16" i="3"/>
  <c r="Q4" i="11"/>
  <c r="Q109" i="11" s="1"/>
  <c r="H69" i="11"/>
  <c r="H34" i="11"/>
  <c r="U119" i="11"/>
  <c r="U76" i="11"/>
  <c r="U116" i="11"/>
  <c r="U117" i="11"/>
  <c r="R116" i="11"/>
  <c r="R76" i="11"/>
  <c r="R117" i="11"/>
  <c r="R119" i="11"/>
  <c r="K106" i="11"/>
  <c r="K86" i="11"/>
  <c r="K107" i="11"/>
  <c r="K108" i="11"/>
  <c r="S116" i="11"/>
  <c r="S76" i="11"/>
  <c r="S117" i="11"/>
  <c r="S119" i="11"/>
  <c r="P72" i="11"/>
  <c r="I16" i="3" l="1"/>
  <c r="I89" i="11"/>
  <c r="I4" i="11"/>
  <c r="K18" i="14"/>
  <c r="L79" i="11"/>
  <c r="L14" i="11"/>
  <c r="H66" i="11"/>
  <c r="E67" i="11"/>
  <c r="K79" i="11"/>
  <c r="K14" i="11"/>
  <c r="D68" i="11"/>
  <c r="R73" i="11"/>
  <c r="Q108" i="11"/>
  <c r="Q86" i="11"/>
  <c r="Q106" i="11"/>
  <c r="Q107" i="11"/>
  <c r="J15" i="14"/>
  <c r="J21" i="14" s="1"/>
  <c r="J4" i="14"/>
  <c r="J12" i="14" s="1"/>
  <c r="P79" i="11"/>
  <c r="P14" i="11"/>
  <c r="Q13" i="3"/>
  <c r="J109" i="11"/>
  <c r="J86" i="11"/>
  <c r="J106" i="11"/>
  <c r="J107" i="11"/>
  <c r="J108" i="11"/>
  <c r="G13" i="14"/>
  <c r="G19" i="14" s="1"/>
  <c r="G14" i="14"/>
  <c r="G20" i="14" s="1"/>
  <c r="J13" i="3"/>
  <c r="O72" i="11"/>
  <c r="I15" i="14" l="1"/>
  <c r="I21" i="14" s="1"/>
  <c r="I4" i="14"/>
  <c r="I12" i="14" s="1"/>
  <c r="Q73" i="11"/>
  <c r="J18" i="14"/>
  <c r="F14" i="14"/>
  <c r="F14" i="3"/>
  <c r="F87" i="11"/>
  <c r="Q79" i="11"/>
  <c r="Q14" i="11"/>
  <c r="G77" i="11"/>
  <c r="G69" i="11"/>
  <c r="G34" i="11"/>
  <c r="K116" i="11"/>
  <c r="K76" i="11"/>
  <c r="K117" i="11"/>
  <c r="K118" i="11"/>
  <c r="I109" i="11"/>
  <c r="I86" i="11"/>
  <c r="I106" i="11"/>
  <c r="I107" i="11"/>
  <c r="I108" i="11"/>
  <c r="J79" i="11"/>
  <c r="J14" i="11"/>
  <c r="K119" i="11"/>
  <c r="P116" i="11"/>
  <c r="P76" i="11"/>
  <c r="P117" i="11"/>
  <c r="P118" i="11"/>
  <c r="L116" i="11"/>
  <c r="L76" i="11"/>
  <c r="L117" i="11"/>
  <c r="L118" i="11"/>
  <c r="I13" i="3"/>
  <c r="V73" i="11"/>
  <c r="L119" i="11"/>
  <c r="G15" i="3"/>
  <c r="G88" i="11"/>
  <c r="H78" i="11"/>
  <c r="P119" i="11"/>
  <c r="P73" i="11"/>
  <c r="H16" i="3" l="1"/>
  <c r="H89" i="11"/>
  <c r="H4" i="11"/>
  <c r="F20" i="14"/>
  <c r="D67" i="11"/>
  <c r="J76" i="11"/>
  <c r="J116" i="11"/>
  <c r="J117" i="11"/>
  <c r="J118" i="11"/>
  <c r="Q117" i="11"/>
  <c r="Q116" i="11"/>
  <c r="Q76" i="11"/>
  <c r="Q118" i="11"/>
  <c r="J119" i="11"/>
  <c r="F13" i="14"/>
  <c r="F19" i="14" s="1"/>
  <c r="Q119" i="11"/>
  <c r="N72" i="11"/>
  <c r="I79" i="11"/>
  <c r="I14" i="11"/>
  <c r="I18" i="14"/>
  <c r="G66" i="11"/>
  <c r="O73" i="11"/>
  <c r="F69" i="11" l="1"/>
  <c r="F34" i="11"/>
  <c r="F66" i="11" s="1"/>
  <c r="F77" i="11"/>
  <c r="I116" i="11"/>
  <c r="I76" i="11"/>
  <c r="I117" i="11"/>
  <c r="I118" i="11"/>
  <c r="G78" i="11"/>
  <c r="I119" i="11"/>
  <c r="H107" i="11"/>
  <c r="H86" i="11"/>
  <c r="H106" i="11"/>
  <c r="H108" i="11"/>
  <c r="H15" i="14"/>
  <c r="H21" i="14" s="1"/>
  <c r="H4" i="14"/>
  <c r="H12" i="14" s="1"/>
  <c r="H18" i="14" s="1"/>
  <c r="H109" i="11"/>
  <c r="C68" i="11"/>
  <c r="E14" i="3"/>
  <c r="E87" i="11"/>
  <c r="F15" i="3"/>
  <c r="F88" i="11"/>
  <c r="H13" i="3"/>
  <c r="L72" i="11"/>
  <c r="N73" i="11" l="1"/>
  <c r="M72" i="11"/>
  <c r="E14" i="14"/>
  <c r="E20" i="14" s="1"/>
  <c r="E15" i="3"/>
  <c r="E88" i="11"/>
  <c r="C67" i="11"/>
  <c r="G89" i="11"/>
  <c r="G16" i="3"/>
  <c r="G4" i="11"/>
  <c r="E13" i="14"/>
  <c r="E19" i="14" s="1"/>
  <c r="H79" i="11"/>
  <c r="H14" i="11"/>
  <c r="D14" i="3" l="1"/>
  <c r="D87" i="11"/>
  <c r="E69" i="11"/>
  <c r="E34" i="11"/>
  <c r="G15" i="14"/>
  <c r="G21" i="14" s="1"/>
  <c r="G4" i="14"/>
  <c r="G12" i="14" s="1"/>
  <c r="K72" i="11"/>
  <c r="H117" i="11"/>
  <c r="H116" i="11"/>
  <c r="H76" i="11"/>
  <c r="H118" i="11"/>
  <c r="G106" i="11"/>
  <c r="G86" i="11"/>
  <c r="G107" i="11"/>
  <c r="G108" i="11"/>
  <c r="H119" i="11"/>
  <c r="G109" i="11"/>
  <c r="G13" i="3"/>
  <c r="B68" i="11"/>
  <c r="F78" i="11"/>
  <c r="E77" i="11"/>
  <c r="E78" i="11"/>
  <c r="J72" i="11" l="1"/>
  <c r="D15" i="3"/>
  <c r="D88" i="11"/>
  <c r="B67" i="11"/>
  <c r="G79" i="11"/>
  <c r="G14" i="11"/>
  <c r="G119" i="11" s="1"/>
  <c r="D13" i="14"/>
  <c r="D19" i="14" s="1"/>
  <c r="L73" i="11"/>
  <c r="M73" i="11"/>
  <c r="G18" i="14"/>
  <c r="F16" i="3"/>
  <c r="F89" i="11"/>
  <c r="F4" i="11"/>
  <c r="D14" i="14"/>
  <c r="D20" i="14" s="1"/>
  <c r="E66" i="11"/>
  <c r="F109" i="11" l="1"/>
  <c r="F106" i="11"/>
  <c r="F86" i="11"/>
  <c r="F107" i="11"/>
  <c r="F108" i="11"/>
  <c r="F15" i="14"/>
  <c r="F21" i="14" s="1"/>
  <c r="F4" i="14"/>
  <c r="F12" i="14" s="1"/>
  <c r="F18" i="14" s="1"/>
  <c r="D77" i="11"/>
  <c r="F13" i="3"/>
  <c r="C14" i="14"/>
  <c r="C20" i="14" s="1"/>
  <c r="C87" i="11"/>
  <c r="C14" i="3"/>
  <c r="I72" i="11"/>
  <c r="K73" i="11"/>
  <c r="D69" i="11"/>
  <c r="D34" i="11"/>
  <c r="G116" i="11"/>
  <c r="G76" i="11"/>
  <c r="G117" i="11"/>
  <c r="G118" i="11"/>
  <c r="H72" i="11"/>
  <c r="C13" i="14" l="1"/>
  <c r="C19" i="14" s="1"/>
  <c r="J73" i="11"/>
  <c r="C15" i="3"/>
  <c r="C88" i="11"/>
  <c r="F79" i="11"/>
  <c r="F14" i="11"/>
  <c r="D66" i="11"/>
  <c r="D78" i="11"/>
  <c r="E16" i="3"/>
  <c r="E89" i="11"/>
  <c r="E4" i="11"/>
  <c r="B14" i="3" l="1"/>
  <c r="B87" i="11"/>
  <c r="E106" i="11"/>
  <c r="E86" i="11"/>
  <c r="E107" i="11"/>
  <c r="E108" i="11"/>
  <c r="F116" i="11"/>
  <c r="F76" i="11"/>
  <c r="F117" i="11"/>
  <c r="F118" i="11"/>
  <c r="I73" i="11"/>
  <c r="E109" i="11"/>
  <c r="E15" i="14"/>
  <c r="E21" i="14" s="1"/>
  <c r="E4" i="14"/>
  <c r="E12" i="14" s="1"/>
  <c r="E18" i="14" s="1"/>
  <c r="F119" i="11"/>
  <c r="E13" i="3"/>
  <c r="G72" i="11"/>
  <c r="C77" i="11"/>
  <c r="C69" i="11"/>
  <c r="C34" i="11"/>
  <c r="C66" i="11" s="1"/>
  <c r="H73" i="11" l="1"/>
  <c r="F72" i="11"/>
  <c r="D16" i="3"/>
  <c r="D89" i="11"/>
  <c r="D4" i="11"/>
  <c r="B13" i="14"/>
  <c r="B19" i="14" s="1"/>
  <c r="B14" i="14"/>
  <c r="C78" i="11"/>
  <c r="B15" i="3"/>
  <c r="B88" i="11"/>
  <c r="E79" i="11"/>
  <c r="E14" i="11"/>
  <c r="D13" i="3" l="1"/>
  <c r="B69" i="11"/>
  <c r="B34" i="11"/>
  <c r="G73" i="11"/>
  <c r="D15" i="14"/>
  <c r="D4" i="14"/>
  <c r="D12" i="14" s="1"/>
  <c r="E72" i="11"/>
  <c r="B77" i="11"/>
  <c r="E118" i="11"/>
  <c r="E76" i="11"/>
  <c r="E116" i="11"/>
  <c r="E117" i="11"/>
  <c r="D108" i="11"/>
  <c r="D86" i="11"/>
  <c r="D106" i="11"/>
  <c r="D107" i="11"/>
  <c r="E119" i="11"/>
  <c r="B20" i="14"/>
  <c r="D109" i="11"/>
  <c r="B78" i="11" l="1"/>
  <c r="C89" i="11"/>
  <c r="C16" i="3"/>
  <c r="C4" i="11"/>
  <c r="D79" i="11"/>
  <c r="D14" i="11"/>
  <c r="F73" i="11"/>
  <c r="D21" i="14"/>
  <c r="B66" i="11"/>
  <c r="D18" i="14"/>
  <c r="D72" i="11"/>
  <c r="B97" i="11"/>
  <c r="C72" i="11" l="1"/>
  <c r="C108" i="11"/>
  <c r="C86" i="11"/>
  <c r="C106" i="11"/>
  <c r="C107" i="11"/>
  <c r="C109" i="11"/>
  <c r="E73" i="11"/>
  <c r="D116" i="11"/>
  <c r="D76" i="11"/>
  <c r="D117" i="11"/>
  <c r="D118" i="11"/>
  <c r="C13" i="3"/>
  <c r="D119" i="11"/>
  <c r="C15" i="14"/>
  <c r="C21" i="14" s="1"/>
  <c r="C4" i="14"/>
  <c r="C12" i="14" s="1"/>
  <c r="C18" i="14" s="1"/>
  <c r="C97" i="11"/>
  <c r="B72" i="11" l="1"/>
  <c r="C79" i="11"/>
  <c r="C14" i="11"/>
  <c r="B16" i="3"/>
  <c r="B89" i="11"/>
  <c r="B4" i="11"/>
  <c r="B98" i="11"/>
  <c r="D73" i="11"/>
  <c r="C73" i="11"/>
  <c r="B13" i="3" l="1"/>
  <c r="E97" i="11"/>
  <c r="B15" i="14"/>
  <c r="B21" i="14" s="1"/>
  <c r="B4" i="14"/>
  <c r="B12" i="14" s="1"/>
  <c r="C119" i="11"/>
  <c r="C116" i="11"/>
  <c r="C76" i="11"/>
  <c r="C117" i="11"/>
  <c r="C118" i="11"/>
  <c r="D97" i="11"/>
  <c r="D98" i="11"/>
  <c r="C98" i="11"/>
  <c r="B106" i="11"/>
  <c r="B86" i="11"/>
  <c r="B107" i="11"/>
  <c r="B108" i="11"/>
  <c r="B109" i="11"/>
  <c r="B73" i="11"/>
  <c r="F97" i="11" l="1"/>
  <c r="B18" i="14"/>
  <c r="B79" i="11"/>
  <c r="B14" i="11"/>
  <c r="B99" i="11" l="1"/>
  <c r="B44" i="11"/>
  <c r="E98" i="11"/>
  <c r="G97" i="11"/>
  <c r="B119" i="11"/>
  <c r="B76" i="11"/>
  <c r="B116" i="11"/>
  <c r="B117" i="11"/>
  <c r="B118" i="11"/>
  <c r="H97" i="11" l="1"/>
  <c r="C99" i="11"/>
  <c r="C44" i="11"/>
  <c r="B96" i="11"/>
  <c r="F98" i="11"/>
  <c r="D99" i="11" l="1"/>
  <c r="D44" i="11"/>
  <c r="C96" i="11"/>
  <c r="B54" i="11"/>
  <c r="G98" i="11"/>
  <c r="I97" i="11"/>
  <c r="H98" i="11" l="1"/>
  <c r="J97" i="11"/>
  <c r="C54" i="11"/>
  <c r="E99" i="11"/>
  <c r="E44" i="11"/>
  <c r="D54" i="11"/>
  <c r="D96" i="11"/>
  <c r="E54" i="11" l="1"/>
  <c r="I98" i="11"/>
  <c r="F99" i="11"/>
  <c r="F44" i="11"/>
  <c r="K97" i="11"/>
  <c r="E96" i="11"/>
  <c r="F96" i="11" l="1"/>
  <c r="L97" i="11"/>
  <c r="G99" i="11"/>
  <c r="G44" i="11"/>
  <c r="F54" i="11"/>
  <c r="J98" i="11"/>
  <c r="M97" i="11" l="1"/>
  <c r="H99" i="11"/>
  <c r="H44" i="11"/>
  <c r="H96" i="11" s="1"/>
  <c r="G96" i="11"/>
  <c r="K98" i="11"/>
  <c r="G54" i="11" l="1"/>
  <c r="I99" i="11"/>
  <c r="I44" i="11"/>
  <c r="N97" i="11"/>
  <c r="L98" i="11"/>
  <c r="J99" i="11" l="1"/>
  <c r="J44" i="11"/>
  <c r="J96" i="11" s="1"/>
  <c r="H54" i="11"/>
  <c r="I96" i="11"/>
  <c r="O97" i="11"/>
  <c r="I54" i="11"/>
  <c r="M98" i="11"/>
  <c r="N98" i="11" l="1"/>
  <c r="K99" i="11"/>
  <c r="K44" i="11"/>
  <c r="P97" i="11"/>
  <c r="J54" i="11"/>
  <c r="K54" i="11" l="1"/>
  <c r="K96" i="11"/>
  <c r="Q97" i="11"/>
  <c r="L99" i="11"/>
  <c r="L44" i="11"/>
  <c r="O98" i="11"/>
  <c r="L54" i="11" l="1"/>
  <c r="L96" i="11"/>
  <c r="P98" i="11"/>
  <c r="M99" i="11"/>
  <c r="M44" i="11"/>
  <c r="R97" i="11"/>
  <c r="M54" i="11" l="1"/>
  <c r="Q98" i="11"/>
  <c r="N99" i="11"/>
  <c r="N44" i="11"/>
  <c r="M96" i="11"/>
  <c r="S97" i="11"/>
  <c r="N96" i="11" l="1"/>
  <c r="R98" i="11"/>
  <c r="T97" i="11"/>
  <c r="O99" i="11"/>
  <c r="O44" i="11"/>
  <c r="P99" i="11" l="1"/>
  <c r="P44" i="11"/>
  <c r="U97" i="11"/>
  <c r="O54" i="11"/>
  <c r="S98" i="11"/>
  <c r="N54" i="11"/>
  <c r="O96" i="11"/>
  <c r="T98" i="11" l="1"/>
  <c r="Q99" i="11"/>
  <c r="Q44" i="11"/>
  <c r="Q96" i="11" s="1"/>
  <c r="P54" i="11"/>
  <c r="P96" i="11"/>
  <c r="Q54" i="11" l="1"/>
  <c r="U98" i="11"/>
  <c r="R99" i="11"/>
  <c r="R44" i="11"/>
  <c r="R96" i="11" s="1"/>
  <c r="V97" i="11"/>
  <c r="R54" i="11" l="1"/>
  <c r="S99" i="11"/>
  <c r="S44" i="11"/>
  <c r="V98" i="11" l="1"/>
  <c r="T99" i="11"/>
  <c r="T44" i="11"/>
  <c r="S96" i="11"/>
  <c r="S54" i="11"/>
  <c r="U99" i="11" l="1"/>
  <c r="U44" i="11"/>
  <c r="T96" i="11"/>
  <c r="T54" i="11" l="1"/>
  <c r="U96" i="11"/>
  <c r="V99" i="11" l="1"/>
  <c r="V44" i="11"/>
  <c r="V54" i="11"/>
  <c r="U54" i="11"/>
  <c r="V96" i="11" l="1"/>
  <c r="U28" i="11" l="1"/>
  <c r="H28" i="11"/>
  <c r="K28" i="11"/>
  <c r="T28" i="11"/>
  <c r="E28" i="11"/>
  <c r="N28" i="11"/>
  <c r="O28" i="11"/>
  <c r="L28" i="11"/>
  <c r="L23" i="11" s="1"/>
  <c r="J28" i="11"/>
  <c r="R28" i="11"/>
  <c r="P28" i="11"/>
  <c r="M28" i="11"/>
  <c r="Q28" i="11"/>
  <c r="S28" i="11"/>
  <c r="F28" i="11"/>
  <c r="G28" i="11"/>
  <c r="I28" i="11"/>
  <c r="M23" i="11" l="1"/>
  <c r="F23" i="11"/>
  <c r="T23" i="11"/>
  <c r="P23" i="11"/>
  <c r="D28" i="11"/>
  <c r="R23" i="11"/>
  <c r="N23" i="11"/>
  <c r="H23" i="11"/>
  <c r="I23" i="11"/>
  <c r="S23" i="11"/>
  <c r="K23" i="11"/>
  <c r="Q23" i="11"/>
  <c r="J23" i="11"/>
  <c r="E23" i="11"/>
  <c r="U23" i="11"/>
  <c r="O23" i="11"/>
  <c r="V28" i="11"/>
  <c r="G23" i="11"/>
  <c r="I71" i="11" l="1"/>
  <c r="I38" i="11"/>
  <c r="I70" i="11" s="1"/>
  <c r="C28" i="11"/>
  <c r="V23" i="11"/>
  <c r="D23" i="11"/>
  <c r="M38" i="11"/>
  <c r="M70" i="11" s="1"/>
  <c r="M71" i="11"/>
  <c r="G71" i="11"/>
  <c r="G38" i="11"/>
  <c r="G70" i="11" s="1"/>
  <c r="L38" i="11"/>
  <c r="L70" i="11" s="1"/>
  <c r="L71" i="11"/>
  <c r="K71" i="11"/>
  <c r="K38" i="11"/>
  <c r="K70" i="11" s="1"/>
  <c r="R71" i="11"/>
  <c r="R38" i="11"/>
  <c r="R70" i="11" s="1"/>
  <c r="F38" i="11"/>
  <c r="F70" i="11" s="1"/>
  <c r="F71" i="11"/>
  <c r="H71" i="11"/>
  <c r="H38" i="11"/>
  <c r="H70" i="11" s="1"/>
  <c r="N71" i="11"/>
  <c r="N38" i="11"/>
  <c r="N70" i="11" s="1"/>
  <c r="F23" i="3" l="1"/>
  <c r="F91" i="11"/>
  <c r="M23" i="3"/>
  <c r="M91" i="11"/>
  <c r="J71" i="11"/>
  <c r="J38" i="11"/>
  <c r="J70" i="11" s="1"/>
  <c r="T71" i="11"/>
  <c r="T38" i="11"/>
  <c r="T70" i="11" s="1"/>
  <c r="S71" i="11"/>
  <c r="S38" i="11"/>
  <c r="S70" i="11" s="1"/>
  <c r="U71" i="11"/>
  <c r="U38" i="11"/>
  <c r="U70" i="11" s="1"/>
  <c r="P71" i="11"/>
  <c r="P38" i="11"/>
  <c r="P70" i="11" s="1"/>
  <c r="P23" i="3"/>
  <c r="P91" i="11"/>
  <c r="S23" i="3"/>
  <c r="S91" i="11"/>
  <c r="K23" i="3"/>
  <c r="K91" i="11"/>
  <c r="L91" i="11"/>
  <c r="L23" i="3"/>
  <c r="N23" i="3"/>
  <c r="N91" i="11"/>
  <c r="U23" i="3"/>
  <c r="U91" i="11"/>
  <c r="O71" i="11"/>
  <c r="O38" i="11"/>
  <c r="O70" i="11" s="1"/>
  <c r="Q23" i="3"/>
  <c r="Q91" i="11"/>
  <c r="E23" i="3"/>
  <c r="E91" i="11"/>
  <c r="O23" i="3"/>
  <c r="O91" i="11"/>
  <c r="Q38" i="11"/>
  <c r="Q70" i="11" s="1"/>
  <c r="Q71" i="11"/>
  <c r="G23" i="3"/>
  <c r="G91" i="11"/>
  <c r="R91" i="11"/>
  <c r="R23" i="3"/>
  <c r="E71" i="11"/>
  <c r="E38" i="11"/>
  <c r="E70" i="11" s="1"/>
  <c r="H91" i="11"/>
  <c r="H23" i="3"/>
  <c r="I23" i="3"/>
  <c r="I91" i="11"/>
  <c r="T23" i="3"/>
  <c r="T91" i="11"/>
  <c r="V38" i="11"/>
  <c r="V70" i="11" s="1"/>
  <c r="V71" i="11"/>
  <c r="J91" i="11"/>
  <c r="J23" i="3"/>
  <c r="C23" i="11"/>
  <c r="D23" i="3" l="1"/>
  <c r="D91" i="11"/>
  <c r="D38" i="11"/>
  <c r="D70" i="11" s="1"/>
  <c r="D71" i="11"/>
  <c r="B28" i="11"/>
  <c r="V23" i="3"/>
  <c r="V91" i="11"/>
  <c r="H81" i="11" l="1"/>
  <c r="M81" i="11"/>
  <c r="I24" i="3"/>
  <c r="I92" i="11"/>
  <c r="G92" i="11"/>
  <c r="G24" i="3"/>
  <c r="N24" i="3"/>
  <c r="N92" i="11"/>
  <c r="F81" i="11"/>
  <c r="R24" i="3"/>
  <c r="R92" i="11"/>
  <c r="P24" i="3"/>
  <c r="P92" i="11"/>
  <c r="U81" i="11"/>
  <c r="Q24" i="3"/>
  <c r="Q92" i="11"/>
  <c r="O24" i="3"/>
  <c r="O92" i="11"/>
  <c r="S92" i="11"/>
  <c r="S24" i="3"/>
  <c r="O81" i="11"/>
  <c r="E81" i="11"/>
  <c r="C71" i="11"/>
  <c r="C38" i="11"/>
  <c r="C70" i="11" s="1"/>
  <c r="L24" i="3"/>
  <c r="L92" i="11"/>
  <c r="J24" i="3"/>
  <c r="J92" i="11"/>
  <c r="P81" i="11"/>
  <c r="K92" i="11"/>
  <c r="K24" i="3"/>
  <c r="M92" i="11"/>
  <c r="M24" i="3"/>
  <c r="R81" i="11"/>
  <c r="C23" i="3"/>
  <c r="C91" i="11"/>
  <c r="J81" i="11"/>
  <c r="F24" i="3"/>
  <c r="F92" i="11"/>
  <c r="B23" i="11"/>
  <c r="T81" i="11"/>
  <c r="N81" i="11"/>
  <c r="U92" i="11"/>
  <c r="U24" i="3"/>
  <c r="G81" i="11"/>
  <c r="I81" i="11"/>
  <c r="E24" i="3"/>
  <c r="E92" i="11"/>
  <c r="S81" i="11"/>
  <c r="H24" i="3"/>
  <c r="H92" i="11"/>
  <c r="L81" i="11"/>
  <c r="T24" i="3"/>
  <c r="T92" i="11"/>
  <c r="Q81" i="11"/>
  <c r="K81" i="11"/>
  <c r="S8" i="11"/>
  <c r="H8" i="11"/>
  <c r="U8" i="11"/>
  <c r="L8" i="11"/>
  <c r="P8" i="11"/>
  <c r="P113" i="11" l="1"/>
  <c r="P110" i="11"/>
  <c r="P90" i="11"/>
  <c r="P111" i="11"/>
  <c r="P112" i="11"/>
  <c r="L113" i="11"/>
  <c r="L90" i="11"/>
  <c r="L110" i="11"/>
  <c r="L111" i="11"/>
  <c r="L112" i="11"/>
  <c r="U90" i="11"/>
  <c r="U110" i="11"/>
  <c r="U111" i="11"/>
  <c r="U112" i="11"/>
  <c r="H112" i="11"/>
  <c r="H110" i="11"/>
  <c r="H90" i="11"/>
  <c r="H111" i="11"/>
  <c r="S113" i="11"/>
  <c r="S90" i="11"/>
  <c r="S110" i="11"/>
  <c r="S111" i="11"/>
  <c r="S112" i="11"/>
  <c r="T25" i="3"/>
  <c r="T93" i="11"/>
  <c r="N25" i="3"/>
  <c r="N22" i="3" s="1"/>
  <c r="N93" i="11"/>
  <c r="U25" i="3"/>
  <c r="U22" i="3" s="1"/>
  <c r="U93" i="11"/>
  <c r="U113" i="11"/>
  <c r="R93" i="11"/>
  <c r="R25" i="3"/>
  <c r="T8" i="11"/>
  <c r="T113" i="11" s="1"/>
  <c r="G25" i="3"/>
  <c r="G22" i="3" s="1"/>
  <c r="G93" i="11"/>
  <c r="D81" i="11"/>
  <c r="G8" i="11"/>
  <c r="G113" i="11" s="1"/>
  <c r="I25" i="3"/>
  <c r="I93" i="11"/>
  <c r="H93" i="11"/>
  <c r="H25" i="3"/>
  <c r="H22" i="3" s="1"/>
  <c r="H113" i="11"/>
  <c r="P93" i="11"/>
  <c r="P25" i="3"/>
  <c r="D92" i="11"/>
  <c r="D24" i="3"/>
  <c r="S25" i="3"/>
  <c r="S22" i="3" s="1"/>
  <c r="S93" i="11"/>
  <c r="L25" i="3"/>
  <c r="L93" i="11"/>
  <c r="V24" i="3"/>
  <c r="V92" i="11"/>
  <c r="V81" i="11"/>
  <c r="N8" i="11"/>
  <c r="I8" i="11"/>
  <c r="I113" i="11" s="1"/>
  <c r="B38" i="11"/>
  <c r="B70" i="11" s="1"/>
  <c r="B71" i="11"/>
  <c r="R8" i="11"/>
  <c r="R113" i="11" s="1"/>
  <c r="T83" i="11"/>
  <c r="F83" i="11"/>
  <c r="V8" i="11"/>
  <c r="S83" i="11"/>
  <c r="V110" i="11" l="1"/>
  <c r="V90" i="11"/>
  <c r="V111" i="11"/>
  <c r="V112" i="11"/>
  <c r="P82" i="11"/>
  <c r="P18" i="11"/>
  <c r="P123" i="11" s="1"/>
  <c r="T82" i="11"/>
  <c r="T18" i="11"/>
  <c r="H83" i="11"/>
  <c r="S82" i="11"/>
  <c r="S18" i="11"/>
  <c r="J83" i="11"/>
  <c r="M83" i="11"/>
  <c r="K83" i="11"/>
  <c r="E83" i="11"/>
  <c r="L82" i="11"/>
  <c r="L18" i="11"/>
  <c r="L123" i="11" s="1"/>
  <c r="K25" i="3"/>
  <c r="K93" i="11"/>
  <c r="K8" i="11"/>
  <c r="K113" i="11" s="1"/>
  <c r="J25" i="3"/>
  <c r="J93" i="11"/>
  <c r="J8" i="11"/>
  <c r="J113" i="11" s="1"/>
  <c r="T22" i="3"/>
  <c r="C92" i="11"/>
  <c r="C24" i="3"/>
  <c r="N83" i="11"/>
  <c r="E25" i="3"/>
  <c r="E93" i="11"/>
  <c r="E8" i="11"/>
  <c r="F82" i="11"/>
  <c r="F18" i="11"/>
  <c r="F122" i="11" s="1"/>
  <c r="L83" i="11"/>
  <c r="H82" i="11"/>
  <c r="H18" i="11"/>
  <c r="N82" i="11"/>
  <c r="N18" i="11"/>
  <c r="N122" i="11" s="1"/>
  <c r="V25" i="3"/>
  <c r="V22" i="3" s="1"/>
  <c r="V113" i="11"/>
  <c r="V93" i="11"/>
  <c r="I83" i="11"/>
  <c r="Q82" i="11"/>
  <c r="Q18" i="11"/>
  <c r="Q122" i="11" s="1"/>
  <c r="O82" i="11"/>
  <c r="O18" i="11"/>
  <c r="O123" i="11" s="1"/>
  <c r="Q83" i="11"/>
  <c r="M25" i="3"/>
  <c r="M93" i="11"/>
  <c r="M8" i="11"/>
  <c r="O83" i="11"/>
  <c r="J82" i="11"/>
  <c r="J18" i="11"/>
  <c r="R82" i="11"/>
  <c r="R18" i="11"/>
  <c r="R123" i="11" s="1"/>
  <c r="R83" i="11"/>
  <c r="G82" i="11"/>
  <c r="G18" i="11"/>
  <c r="G123" i="11" s="1"/>
  <c r="U83" i="11"/>
  <c r="F25" i="3"/>
  <c r="F93" i="11"/>
  <c r="F8" i="11"/>
  <c r="I82" i="11"/>
  <c r="I18" i="11"/>
  <c r="I123" i="11" s="1"/>
  <c r="U82" i="11"/>
  <c r="U18" i="11"/>
  <c r="Q25" i="3"/>
  <c r="Q93" i="11"/>
  <c r="Q8" i="11"/>
  <c r="C81" i="11"/>
  <c r="P83" i="11"/>
  <c r="K82" i="11"/>
  <c r="K18" i="11"/>
  <c r="K123" i="11" s="1"/>
  <c r="I90" i="11"/>
  <c r="I110" i="11"/>
  <c r="I111" i="11"/>
  <c r="I112" i="11"/>
  <c r="L22" i="3"/>
  <c r="G110" i="11"/>
  <c r="G90" i="11"/>
  <c r="G111" i="11"/>
  <c r="G112" i="11"/>
  <c r="I22" i="3"/>
  <c r="G83" i="11"/>
  <c r="R110" i="11"/>
  <c r="R90" i="11"/>
  <c r="R111" i="11"/>
  <c r="R112" i="11"/>
  <c r="N113" i="11"/>
  <c r="N90" i="11"/>
  <c r="N110" i="11"/>
  <c r="N111" i="11"/>
  <c r="N112" i="11"/>
  <c r="R22" i="3"/>
  <c r="B23" i="3"/>
  <c r="B91" i="11"/>
  <c r="E82" i="11"/>
  <c r="E18" i="11"/>
  <c r="E122" i="11" s="1"/>
  <c r="M82" i="11"/>
  <c r="M18" i="11"/>
  <c r="O25" i="3"/>
  <c r="O93" i="11"/>
  <c r="O8" i="11"/>
  <c r="P22" i="3"/>
  <c r="T111" i="11"/>
  <c r="T90" i="11"/>
  <c r="T110" i="11"/>
  <c r="T112" i="11"/>
  <c r="D83" i="11"/>
  <c r="E123" i="11" l="1"/>
  <c r="K122" i="11"/>
  <c r="O111" i="11"/>
  <c r="O90" i="11"/>
  <c r="O110" i="11"/>
  <c r="O112" i="11"/>
  <c r="Q22" i="3"/>
  <c r="Q120" i="11"/>
  <c r="Q13" i="11"/>
  <c r="Q80" i="11"/>
  <c r="Q121" i="11"/>
  <c r="N121" i="11"/>
  <c r="N120" i="11"/>
  <c r="N80" i="11"/>
  <c r="N13" i="11"/>
  <c r="F123" i="11"/>
  <c r="F120" i="11"/>
  <c r="F80" i="11"/>
  <c r="F13" i="11"/>
  <c r="F121" i="11"/>
  <c r="K111" i="11"/>
  <c r="K110" i="11"/>
  <c r="K90" i="11"/>
  <c r="K112" i="11"/>
  <c r="O113" i="11"/>
  <c r="F110" i="11"/>
  <c r="F90" i="11"/>
  <c r="F111" i="11"/>
  <c r="F112" i="11"/>
  <c r="S123" i="11"/>
  <c r="S80" i="11"/>
  <c r="S120" i="11"/>
  <c r="S13" i="11"/>
  <c r="S121" i="11"/>
  <c r="P13" i="11"/>
  <c r="P75" i="11" s="1"/>
  <c r="P120" i="11"/>
  <c r="P80" i="11"/>
  <c r="P121" i="11"/>
  <c r="J22" i="3"/>
  <c r="S122" i="11"/>
  <c r="P122" i="11"/>
  <c r="O22" i="3"/>
  <c r="U120" i="11"/>
  <c r="U80" i="11"/>
  <c r="U13" i="11"/>
  <c r="U121" i="11"/>
  <c r="F113" i="11"/>
  <c r="R121" i="11"/>
  <c r="R80" i="11"/>
  <c r="R120" i="11"/>
  <c r="R13" i="11"/>
  <c r="M113" i="11"/>
  <c r="M90" i="11"/>
  <c r="M110" i="11"/>
  <c r="M111" i="11"/>
  <c r="M112" i="11"/>
  <c r="H120" i="11"/>
  <c r="H13" i="11"/>
  <c r="H80" i="11"/>
  <c r="H121" i="11"/>
  <c r="E110" i="11"/>
  <c r="E90" i="11"/>
  <c r="E111" i="11"/>
  <c r="E112" i="11"/>
  <c r="K22" i="3"/>
  <c r="D82" i="11"/>
  <c r="D18" i="11"/>
  <c r="D122" i="11" s="1"/>
  <c r="M120" i="11"/>
  <c r="M80" i="11"/>
  <c r="M13" i="11"/>
  <c r="M75" i="11" s="1"/>
  <c r="M121" i="11"/>
  <c r="F22" i="3"/>
  <c r="R122" i="11"/>
  <c r="E113" i="11"/>
  <c r="D25" i="3"/>
  <c r="D93" i="11"/>
  <c r="D8" i="11"/>
  <c r="U122" i="11"/>
  <c r="M22" i="3"/>
  <c r="Q123" i="11"/>
  <c r="H122" i="11"/>
  <c r="M123" i="11"/>
  <c r="H123" i="11"/>
  <c r="V82" i="11"/>
  <c r="V18" i="11"/>
  <c r="V123" i="11" s="1"/>
  <c r="M122" i="11"/>
  <c r="K120" i="11"/>
  <c r="K80" i="11"/>
  <c r="K13" i="11"/>
  <c r="K121" i="11"/>
  <c r="Q113" i="11"/>
  <c r="Q110" i="11"/>
  <c r="Q90" i="11"/>
  <c r="Q111" i="11"/>
  <c r="Q112" i="11"/>
  <c r="I120" i="11"/>
  <c r="I80" i="11"/>
  <c r="I13" i="11"/>
  <c r="I121" i="11"/>
  <c r="U123" i="11"/>
  <c r="J120" i="11"/>
  <c r="J80" i="11"/>
  <c r="J13" i="11"/>
  <c r="J75" i="11" s="1"/>
  <c r="J121" i="11"/>
  <c r="O122" i="11"/>
  <c r="O120" i="11"/>
  <c r="O80" i="11"/>
  <c r="O13" i="11"/>
  <c r="O121" i="11"/>
  <c r="E22" i="3"/>
  <c r="L120" i="11"/>
  <c r="L80" i="11"/>
  <c r="L13" i="11"/>
  <c r="L75" i="11" s="1"/>
  <c r="L121" i="11"/>
  <c r="T123" i="11"/>
  <c r="T120" i="11"/>
  <c r="T80" i="11"/>
  <c r="T13" i="11"/>
  <c r="T75" i="11" s="1"/>
  <c r="T121" i="11"/>
  <c r="V83" i="11"/>
  <c r="E120" i="11"/>
  <c r="E80" i="11"/>
  <c r="E13" i="11"/>
  <c r="E121" i="11"/>
  <c r="I122" i="11"/>
  <c r="G122" i="11"/>
  <c r="G120" i="11"/>
  <c r="G80" i="11"/>
  <c r="G13" i="11"/>
  <c r="G121" i="11"/>
  <c r="J122" i="11"/>
  <c r="N123" i="11"/>
  <c r="J111" i="11"/>
  <c r="J110" i="11"/>
  <c r="J90" i="11"/>
  <c r="J112" i="11"/>
  <c r="L122" i="11"/>
  <c r="J123" i="11"/>
  <c r="T122" i="11"/>
  <c r="T43" i="12" l="1"/>
  <c r="T23" i="12"/>
  <c r="T73" i="12" s="1"/>
  <c r="T53" i="3"/>
  <c r="T33" i="12"/>
  <c r="O75" i="11"/>
  <c r="K75" i="11"/>
  <c r="V120" i="11"/>
  <c r="V80" i="11"/>
  <c r="V13" i="11"/>
  <c r="V121" i="11"/>
  <c r="G53" i="3"/>
  <c r="G43" i="12"/>
  <c r="G23" i="12"/>
  <c r="G73" i="12" s="1"/>
  <c r="G33" i="12"/>
  <c r="U53" i="3"/>
  <c r="U23" i="12"/>
  <c r="U73" i="12" s="1"/>
  <c r="U43" i="12"/>
  <c r="U33" i="12"/>
  <c r="B81" i="11"/>
  <c r="V122" i="11"/>
  <c r="R75" i="11"/>
  <c r="N75" i="11"/>
  <c r="C83" i="11"/>
  <c r="C82" i="11"/>
  <c r="C18" i="11"/>
  <c r="C122" i="11" s="1"/>
  <c r="G75" i="11"/>
  <c r="H75" i="11"/>
  <c r="M53" i="3"/>
  <c r="M43" i="12"/>
  <c r="M23" i="12"/>
  <c r="M73" i="12" s="1"/>
  <c r="M33" i="12"/>
  <c r="E75" i="11"/>
  <c r="N53" i="3"/>
  <c r="N23" i="12"/>
  <c r="N73" i="12" s="1"/>
  <c r="N33" i="12"/>
  <c r="N43" i="12"/>
  <c r="D123" i="11"/>
  <c r="D80" i="11"/>
  <c r="D120" i="11"/>
  <c r="D13" i="11"/>
  <c r="D75" i="11" s="1"/>
  <c r="D121" i="11"/>
  <c r="S75" i="11"/>
  <c r="D113" i="11"/>
  <c r="D110" i="11"/>
  <c r="D90" i="11"/>
  <c r="D111" i="11"/>
  <c r="D112" i="11"/>
  <c r="F75" i="11"/>
  <c r="B24" i="3"/>
  <c r="B92" i="11"/>
  <c r="I75" i="11"/>
  <c r="L23" i="12"/>
  <c r="L73" i="12" s="1"/>
  <c r="L53" i="3"/>
  <c r="L33" i="12"/>
  <c r="L43" i="12"/>
  <c r="D22" i="3"/>
  <c r="C25" i="3"/>
  <c r="C93" i="11"/>
  <c r="C8" i="11"/>
  <c r="C113" i="11" s="1"/>
  <c r="U75" i="11"/>
  <c r="Q75" i="11"/>
  <c r="F53" i="3"/>
  <c r="F43" i="12"/>
  <c r="F23" i="12"/>
  <c r="F73" i="12" s="1"/>
  <c r="F33" i="12"/>
  <c r="B8" i="11"/>
  <c r="B112" i="11" l="1"/>
  <c r="B90" i="11"/>
  <c r="B110" i="11"/>
  <c r="B111" i="11"/>
  <c r="N33" i="13"/>
  <c r="N43" i="13"/>
  <c r="N74" i="3"/>
  <c r="M25" i="14"/>
  <c r="M19" i="12"/>
  <c r="M69" i="12" s="1"/>
  <c r="M4" i="12"/>
  <c r="M39" i="12"/>
  <c r="M29" i="12"/>
  <c r="M44" i="3"/>
  <c r="L19" i="12"/>
  <c r="L69" i="12" s="1"/>
  <c r="L29" i="12"/>
  <c r="L4" i="12"/>
  <c r="L39" i="12"/>
  <c r="L44" i="3"/>
  <c r="L25" i="14"/>
  <c r="B101" i="11"/>
  <c r="M4" i="13"/>
  <c r="M33" i="13"/>
  <c r="M43" i="13"/>
  <c r="M74" i="3"/>
  <c r="F205" i="3"/>
  <c r="C120" i="11"/>
  <c r="C80" i="11"/>
  <c r="C13" i="11"/>
  <c r="C75" i="11" s="1"/>
  <c r="C121" i="11"/>
  <c r="N25" i="14"/>
  <c r="N19" i="12"/>
  <c r="N69" i="12" s="1"/>
  <c r="N29" i="12"/>
  <c r="N39" i="12"/>
  <c r="N44" i="3"/>
  <c r="G205" i="3"/>
  <c r="U4" i="13"/>
  <c r="U33" i="13"/>
  <c r="U43" i="13"/>
  <c r="U74" i="3"/>
  <c r="C22" i="3"/>
  <c r="E53" i="3"/>
  <c r="E33" i="12"/>
  <c r="E23" i="12"/>
  <c r="E73" i="12" s="1"/>
  <c r="E43" i="12"/>
  <c r="G83" i="3"/>
  <c r="G37" i="13"/>
  <c r="G47" i="13"/>
  <c r="L83" i="3"/>
  <c r="L47" i="13"/>
  <c r="L37" i="13"/>
  <c r="O53" i="3"/>
  <c r="O23" i="12"/>
  <c r="O73" i="12" s="1"/>
  <c r="O43" i="12"/>
  <c r="O33" i="12"/>
  <c r="L205" i="3"/>
  <c r="N205" i="3"/>
  <c r="V53" i="3"/>
  <c r="V43" i="12"/>
  <c r="V23" i="12"/>
  <c r="V73" i="12" s="1"/>
  <c r="V33" i="12"/>
  <c r="U205" i="3"/>
  <c r="V75" i="11"/>
  <c r="F83" i="3"/>
  <c r="F37" i="13"/>
  <c r="F47" i="13"/>
  <c r="N4" i="12"/>
  <c r="C123" i="11"/>
  <c r="T205" i="3"/>
  <c r="U29" i="12"/>
  <c r="U25" i="14"/>
  <c r="U4" i="12"/>
  <c r="U19" i="12"/>
  <c r="U69" i="12" s="1"/>
  <c r="U39" i="12"/>
  <c r="U44" i="3"/>
  <c r="M83" i="3"/>
  <c r="M37" i="13"/>
  <c r="M47" i="13"/>
  <c r="N4" i="13"/>
  <c r="N37" i="13"/>
  <c r="N47" i="13"/>
  <c r="N83" i="3"/>
  <c r="H53" i="3"/>
  <c r="H33" i="12"/>
  <c r="H43" i="12"/>
  <c r="H23" i="12"/>
  <c r="H73" i="12" s="1"/>
  <c r="U83" i="3"/>
  <c r="U47" i="13"/>
  <c r="U37" i="13"/>
  <c r="L4" i="13"/>
  <c r="L43" i="13"/>
  <c r="L33" i="13"/>
  <c r="L74" i="3"/>
  <c r="T43" i="13"/>
  <c r="T33" i="13"/>
  <c r="T4" i="13"/>
  <c r="T74" i="3"/>
  <c r="B25" i="3"/>
  <c r="B22" i="3" s="1"/>
  <c r="B93" i="11"/>
  <c r="B113" i="11"/>
  <c r="T83" i="3"/>
  <c r="T47" i="13"/>
  <c r="T37" i="13"/>
  <c r="M205" i="3"/>
  <c r="C112" i="11"/>
  <c r="C110" i="11"/>
  <c r="C90" i="11"/>
  <c r="C111" i="11"/>
  <c r="U235" i="3" l="1"/>
  <c r="M235" i="3"/>
  <c r="T25" i="14"/>
  <c r="T29" i="12"/>
  <c r="T4" i="12"/>
  <c r="T18" i="13" s="1"/>
  <c r="T39" i="12"/>
  <c r="T44" i="3"/>
  <c r="T19" i="12"/>
  <c r="T69" i="12" s="1"/>
  <c r="D33" i="12"/>
  <c r="D23" i="12"/>
  <c r="D73" i="12" s="1"/>
  <c r="D53" i="3"/>
  <c r="D43" i="12"/>
  <c r="M18" i="13"/>
  <c r="O4" i="13"/>
  <c r="O33" i="13"/>
  <c r="O43" i="13"/>
  <c r="O74" i="3"/>
  <c r="U196" i="3"/>
  <c r="F235" i="3"/>
  <c r="L235" i="3"/>
  <c r="H37" i="13"/>
  <c r="H47" i="13"/>
  <c r="H83" i="3"/>
  <c r="V37" i="13"/>
  <c r="V83" i="3"/>
  <c r="V47" i="13"/>
  <c r="E83" i="3"/>
  <c r="E47" i="13"/>
  <c r="E37" i="13"/>
  <c r="E25" i="14"/>
  <c r="E4" i="12"/>
  <c r="E19" i="12"/>
  <c r="E69" i="12" s="1"/>
  <c r="E29" i="12"/>
  <c r="E39" i="12"/>
  <c r="E44" i="3"/>
  <c r="T235" i="3"/>
  <c r="G25" i="14"/>
  <c r="G29" i="12"/>
  <c r="G4" i="12"/>
  <c r="G19" i="12"/>
  <c r="G69" i="12" s="1"/>
  <c r="G39" i="12"/>
  <c r="G44" i="3"/>
  <c r="F33" i="13"/>
  <c r="F4" i="13"/>
  <c r="F43" i="13"/>
  <c r="F74" i="3"/>
  <c r="O83" i="3"/>
  <c r="O47" i="13"/>
  <c r="O37" i="13"/>
  <c r="G4" i="13"/>
  <c r="G43" i="13"/>
  <c r="G33" i="13"/>
  <c r="G74" i="3"/>
  <c r="B83" i="11"/>
  <c r="L18" i="13"/>
  <c r="I23" i="12"/>
  <c r="I73" i="12" s="1"/>
  <c r="I53" i="3"/>
  <c r="I33" i="12"/>
  <c r="I43" i="12"/>
  <c r="V4" i="12"/>
  <c r="V19" i="12"/>
  <c r="V69" i="12" s="1"/>
  <c r="V29" i="12"/>
  <c r="V39" i="12"/>
  <c r="V44" i="3"/>
  <c r="V25" i="14"/>
  <c r="E205" i="3"/>
  <c r="F44" i="12"/>
  <c r="F54" i="3"/>
  <c r="F24" i="12"/>
  <c r="F74" i="12" s="1"/>
  <c r="F34" i="12"/>
  <c r="U18" i="13"/>
  <c r="M196" i="3"/>
  <c r="N18" i="13"/>
  <c r="O205" i="3"/>
  <c r="H4" i="12"/>
  <c r="H25" i="14"/>
  <c r="H39" i="12"/>
  <c r="H19" i="12"/>
  <c r="H69" i="12" s="1"/>
  <c r="H29" i="12"/>
  <c r="H44" i="3"/>
  <c r="L196" i="3"/>
  <c r="N226" i="3"/>
  <c r="E4" i="13"/>
  <c r="E43" i="13"/>
  <c r="E33" i="13"/>
  <c r="E74" i="3"/>
  <c r="B82" i="11"/>
  <c r="B18" i="11"/>
  <c r="L226" i="3"/>
  <c r="H205" i="3"/>
  <c r="O25" i="14"/>
  <c r="O4" i="12"/>
  <c r="O19" i="12"/>
  <c r="O69" i="12" s="1"/>
  <c r="O39" i="12"/>
  <c r="O29" i="12"/>
  <c r="O44" i="3"/>
  <c r="F25" i="14"/>
  <c r="F19" i="12"/>
  <c r="F69" i="12" s="1"/>
  <c r="F39" i="12"/>
  <c r="F29" i="12"/>
  <c r="F44" i="3"/>
  <c r="F4" i="12"/>
  <c r="U226" i="3"/>
  <c r="N196" i="3"/>
  <c r="H43" i="13"/>
  <c r="H33" i="13"/>
  <c r="H4" i="13"/>
  <c r="H74" i="3"/>
  <c r="T226" i="3"/>
  <c r="V205" i="3"/>
  <c r="G235" i="3"/>
  <c r="M226" i="3"/>
  <c r="C101" i="11"/>
  <c r="V4" i="13"/>
  <c r="V43" i="13"/>
  <c r="V33" i="13"/>
  <c r="V74" i="3"/>
  <c r="N235" i="3"/>
  <c r="P53" i="3"/>
  <c r="P23" i="12"/>
  <c r="P73" i="12" s="1"/>
  <c r="P43" i="12"/>
  <c r="P33" i="12"/>
  <c r="I37" i="13" l="1"/>
  <c r="I83" i="3"/>
  <c r="I47" i="13"/>
  <c r="N84" i="3"/>
  <c r="N38" i="13"/>
  <c r="N48" i="13"/>
  <c r="N10" i="13"/>
  <c r="N26" i="13" s="1"/>
  <c r="T85" i="3"/>
  <c r="T49" i="13"/>
  <c r="T39" i="13"/>
  <c r="G196" i="3"/>
  <c r="V235" i="3"/>
  <c r="L44" i="13"/>
  <c r="L34" i="13"/>
  <c r="L75" i="3"/>
  <c r="L6" i="13"/>
  <c r="L22" i="13" s="1"/>
  <c r="G85" i="3"/>
  <c r="G39" i="13"/>
  <c r="G49" i="13"/>
  <c r="N34" i="13"/>
  <c r="N44" i="13"/>
  <c r="N75" i="3"/>
  <c r="F27" i="14"/>
  <c r="F21" i="12"/>
  <c r="F71" i="12" s="1"/>
  <c r="F31" i="12"/>
  <c r="F41" i="12"/>
  <c r="F46" i="3"/>
  <c r="K43" i="12"/>
  <c r="K33" i="12"/>
  <c r="K53" i="3"/>
  <c r="K23" i="12"/>
  <c r="K73" i="12" s="1"/>
  <c r="J53" i="3"/>
  <c r="J23" i="12"/>
  <c r="J73" i="12" s="1"/>
  <c r="J43" i="12"/>
  <c r="J33" i="12"/>
  <c r="H44" i="12"/>
  <c r="H34" i="12"/>
  <c r="H54" i="3"/>
  <c r="H24" i="12"/>
  <c r="H74" i="12" s="1"/>
  <c r="L35" i="13"/>
  <c r="L45" i="13"/>
  <c r="L76" i="3"/>
  <c r="U44" i="13"/>
  <c r="U34" i="13"/>
  <c r="U75" i="3"/>
  <c r="B103" i="11"/>
  <c r="V226" i="3"/>
  <c r="G5" i="12"/>
  <c r="G3" i="12" s="1"/>
  <c r="G20" i="12"/>
  <c r="G70" i="12" s="1"/>
  <c r="G30" i="12"/>
  <c r="G40" i="12"/>
  <c r="G26" i="14"/>
  <c r="G45" i="3"/>
  <c r="N21" i="12"/>
  <c r="N71" i="12" s="1"/>
  <c r="N31" i="12"/>
  <c r="N41" i="12"/>
  <c r="N46" i="3"/>
  <c r="N27" i="14"/>
  <c r="P83" i="3"/>
  <c r="P37" i="13"/>
  <c r="P47" i="13"/>
  <c r="M54" i="3"/>
  <c r="M24" i="12"/>
  <c r="M74" i="12" s="1"/>
  <c r="M34" i="12"/>
  <c r="M44" i="12"/>
  <c r="M10" i="12"/>
  <c r="U20" i="12"/>
  <c r="U70" i="12" s="1"/>
  <c r="U26" i="14"/>
  <c r="U40" i="12"/>
  <c r="U30" i="12"/>
  <c r="U45" i="3"/>
  <c r="U6" i="12"/>
  <c r="E18" i="13"/>
  <c r="L54" i="3"/>
  <c r="L24" i="12"/>
  <c r="L74" i="12" s="1"/>
  <c r="L44" i="12"/>
  <c r="L34" i="12"/>
  <c r="L10" i="12"/>
  <c r="T26" i="14"/>
  <c r="T20" i="12"/>
  <c r="T70" i="12" s="1"/>
  <c r="T40" i="12"/>
  <c r="T30" i="12"/>
  <c r="T45" i="3"/>
  <c r="F18" i="13"/>
  <c r="E235" i="3"/>
  <c r="L21" i="12"/>
  <c r="L71" i="12" s="1"/>
  <c r="L27" i="14"/>
  <c r="L41" i="12"/>
  <c r="L31" i="12"/>
  <c r="L46" i="3"/>
  <c r="O226" i="3"/>
  <c r="D83" i="3"/>
  <c r="D47" i="13"/>
  <c r="D37" i="13"/>
  <c r="P43" i="13"/>
  <c r="P33" i="13"/>
  <c r="P4" i="13"/>
  <c r="P74" i="3"/>
  <c r="T84" i="3"/>
  <c r="T48" i="13"/>
  <c r="T38" i="13"/>
  <c r="T10" i="13"/>
  <c r="T26" i="13" s="1"/>
  <c r="L84" i="3"/>
  <c r="L48" i="13"/>
  <c r="L38" i="13"/>
  <c r="U48" i="13"/>
  <c r="U38" i="13"/>
  <c r="U84" i="3"/>
  <c r="G34" i="13"/>
  <c r="G44" i="13"/>
  <c r="G75" i="3"/>
  <c r="L55" i="3"/>
  <c r="L25" i="12"/>
  <c r="L75" i="12" s="1"/>
  <c r="L35" i="12"/>
  <c r="L45" i="12"/>
  <c r="T55" i="3"/>
  <c r="T35" i="12"/>
  <c r="T45" i="12"/>
  <c r="T25" i="12"/>
  <c r="T75" i="12" s="1"/>
  <c r="B122" i="11"/>
  <c r="B120" i="11"/>
  <c r="B80" i="11"/>
  <c r="B13" i="11"/>
  <c r="B75" i="11" s="1"/>
  <c r="B121" i="11"/>
  <c r="N54" i="3"/>
  <c r="N24" i="12"/>
  <c r="N74" i="12" s="1"/>
  <c r="N44" i="12"/>
  <c r="N34" i="12"/>
  <c r="N10" i="12"/>
  <c r="V196" i="3"/>
  <c r="B123" i="11"/>
  <c r="O235" i="3"/>
  <c r="G6" i="12"/>
  <c r="E196" i="3"/>
  <c r="D33" i="13"/>
  <c r="D4" i="13"/>
  <c r="D43" i="13"/>
  <c r="D74" i="3"/>
  <c r="T44" i="13"/>
  <c r="T34" i="13"/>
  <c r="T75" i="3"/>
  <c r="T5" i="12"/>
  <c r="F84" i="3"/>
  <c r="F48" i="13"/>
  <c r="F38" i="13"/>
  <c r="L26" i="14"/>
  <c r="L40" i="12"/>
  <c r="L30" i="12"/>
  <c r="L5" i="12"/>
  <c r="L20" i="12"/>
  <c r="L70" i="12" s="1"/>
  <c r="L45" i="3"/>
  <c r="L6" i="12"/>
  <c r="H226" i="3"/>
  <c r="U27" i="14"/>
  <c r="U21" i="12"/>
  <c r="U71" i="12" s="1"/>
  <c r="U41" i="12"/>
  <c r="U31" i="12"/>
  <c r="U46" i="3"/>
  <c r="G18" i="13"/>
  <c r="H235" i="3"/>
  <c r="D205" i="3"/>
  <c r="T196" i="3"/>
  <c r="E54" i="3"/>
  <c r="E24" i="12"/>
  <c r="E74" i="12" s="1"/>
  <c r="E44" i="12"/>
  <c r="E34" i="12"/>
  <c r="N85" i="3"/>
  <c r="N49" i="13"/>
  <c r="N39" i="13"/>
  <c r="G84" i="3"/>
  <c r="G38" i="13"/>
  <c r="G48" i="13"/>
  <c r="G10" i="13"/>
  <c r="G26" i="13" s="1"/>
  <c r="C53" i="3"/>
  <c r="C43" i="12"/>
  <c r="C23" i="12"/>
  <c r="C73" i="12" s="1"/>
  <c r="C33" i="12"/>
  <c r="F196" i="3"/>
  <c r="O18" i="13"/>
  <c r="E226" i="3"/>
  <c r="F206" i="3"/>
  <c r="G226" i="3"/>
  <c r="F226" i="3"/>
  <c r="D101" i="11"/>
  <c r="B102" i="11"/>
  <c r="B48" i="11"/>
  <c r="P205" i="3"/>
  <c r="V18" i="13"/>
  <c r="T54" i="3"/>
  <c r="T24" i="12"/>
  <c r="T74" i="12" s="1"/>
  <c r="T44" i="12"/>
  <c r="T34" i="12"/>
  <c r="T10" i="12"/>
  <c r="H18" i="13"/>
  <c r="O196" i="3"/>
  <c r="Q43" i="12"/>
  <c r="Q33" i="12"/>
  <c r="Q53" i="3"/>
  <c r="Q23" i="12"/>
  <c r="Q73" i="12" s="1"/>
  <c r="G41" i="12"/>
  <c r="G21" i="12"/>
  <c r="G71" i="12" s="1"/>
  <c r="G31" i="12"/>
  <c r="G27" i="14"/>
  <c r="G46" i="3"/>
  <c r="H196" i="3"/>
  <c r="G54" i="3"/>
  <c r="G24" i="12"/>
  <c r="G74" i="12" s="1"/>
  <c r="G34" i="12"/>
  <c r="G44" i="12"/>
  <c r="G10" i="12"/>
  <c r="I205" i="3"/>
  <c r="G55" i="3"/>
  <c r="G45" i="12"/>
  <c r="G35" i="12"/>
  <c r="G25" i="12"/>
  <c r="G75" i="12" s="1"/>
  <c r="D19" i="12"/>
  <c r="D69" i="12" s="1"/>
  <c r="D25" i="14"/>
  <c r="D29" i="12"/>
  <c r="D39" i="12"/>
  <c r="D4" i="12"/>
  <c r="D44" i="3"/>
  <c r="N5" i="12"/>
  <c r="N26" i="14"/>
  <c r="N30" i="12"/>
  <c r="N20" i="12"/>
  <c r="N70" i="12" s="1"/>
  <c r="N40" i="12"/>
  <c r="N45" i="3"/>
  <c r="N6" i="12"/>
  <c r="U10" i="13"/>
  <c r="U26" i="13" s="1"/>
  <c r="L10" i="13"/>
  <c r="L26" i="13" s="1"/>
  <c r="N5" i="13"/>
  <c r="G50" i="12" l="1"/>
  <c r="G55" i="12"/>
  <c r="G54" i="12"/>
  <c r="U5" i="13"/>
  <c r="L36" i="13"/>
  <c r="L46" i="13"/>
  <c r="T3" i="12"/>
  <c r="N19" i="13"/>
  <c r="N3" i="13"/>
  <c r="N21" i="13" s="1"/>
  <c r="U36" i="13"/>
  <c r="U46" i="13"/>
  <c r="U3" i="13"/>
  <c r="U21" i="13" s="1"/>
  <c r="C102" i="11"/>
  <c r="U198" i="3"/>
  <c r="D18" i="13"/>
  <c r="N206" i="3"/>
  <c r="T236" i="3"/>
  <c r="T82" i="3"/>
  <c r="M42" i="12"/>
  <c r="M32" i="12"/>
  <c r="M22" i="12"/>
  <c r="M72" i="12" s="1"/>
  <c r="H206" i="3"/>
  <c r="K205" i="3"/>
  <c r="O55" i="3"/>
  <c r="O25" i="12"/>
  <c r="O75" i="12" s="1"/>
  <c r="O45" i="12"/>
  <c r="O35" i="12"/>
  <c r="L227" i="3"/>
  <c r="L73" i="3"/>
  <c r="C83" i="3"/>
  <c r="C47" i="13"/>
  <c r="C37" i="13"/>
  <c r="L85" i="3"/>
  <c r="L39" i="13"/>
  <c r="L49" i="13"/>
  <c r="F45" i="13"/>
  <c r="F35" i="13"/>
  <c r="F76" i="3"/>
  <c r="F85" i="3"/>
  <c r="F39" i="13"/>
  <c r="F49" i="13"/>
  <c r="I4" i="13"/>
  <c r="I43" i="13"/>
  <c r="I33" i="13"/>
  <c r="I74" i="3"/>
  <c r="C33" i="13"/>
  <c r="C4" i="13"/>
  <c r="C43" i="13"/>
  <c r="C74" i="3"/>
  <c r="N3" i="12"/>
  <c r="G236" i="3"/>
  <c r="G82" i="3"/>
  <c r="L38" i="12"/>
  <c r="L28" i="12"/>
  <c r="L18" i="12"/>
  <c r="L68" i="12" s="1"/>
  <c r="L24" i="14"/>
  <c r="F10" i="13"/>
  <c r="F26" i="13" s="1"/>
  <c r="L207" i="3"/>
  <c r="U28" i="12"/>
  <c r="U18" i="12"/>
  <c r="U68" i="12" s="1"/>
  <c r="U38" i="12"/>
  <c r="U24" i="14"/>
  <c r="S53" i="3"/>
  <c r="S23" i="12"/>
  <c r="S73" i="12" s="1"/>
  <c r="S43" i="12"/>
  <c r="S33" i="12"/>
  <c r="V40" i="12"/>
  <c r="V30" i="12"/>
  <c r="V20" i="12"/>
  <c r="V70" i="12" s="1"/>
  <c r="V45" i="3"/>
  <c r="V26" i="14"/>
  <c r="G197" i="3"/>
  <c r="F5" i="12"/>
  <c r="F40" i="12"/>
  <c r="F30" i="12"/>
  <c r="F20" i="12"/>
  <c r="F70" i="12" s="1"/>
  <c r="F45" i="3"/>
  <c r="F26" i="14"/>
  <c r="F6" i="12"/>
  <c r="U55" i="3"/>
  <c r="U35" i="12"/>
  <c r="U25" i="12"/>
  <c r="U75" i="12" s="1"/>
  <c r="U45" i="12"/>
  <c r="R53" i="3"/>
  <c r="R23" i="12"/>
  <c r="R73" i="12" s="1"/>
  <c r="R33" i="12"/>
  <c r="R43" i="12"/>
  <c r="N28" i="12"/>
  <c r="N18" i="12"/>
  <c r="N68" i="12" s="1"/>
  <c r="N38" i="12"/>
  <c r="N24" i="14"/>
  <c r="G32" i="12"/>
  <c r="G42" i="12"/>
  <c r="G22" i="12"/>
  <c r="G72" i="12" s="1"/>
  <c r="G52" i="12"/>
  <c r="L197" i="3"/>
  <c r="L43" i="3"/>
  <c r="U54" i="3"/>
  <c r="U24" i="12"/>
  <c r="U74" i="12" s="1"/>
  <c r="U34" i="12"/>
  <c r="U44" i="12"/>
  <c r="U10" i="12"/>
  <c r="G28" i="12"/>
  <c r="G48" i="12"/>
  <c r="G38" i="12"/>
  <c r="G18" i="12"/>
  <c r="G68" i="12" s="1"/>
  <c r="G24" i="14"/>
  <c r="B43" i="12"/>
  <c r="B23" i="12"/>
  <c r="B73" i="12" s="1"/>
  <c r="B33" i="12"/>
  <c r="B53" i="3"/>
  <c r="D235" i="3"/>
  <c r="U197" i="3"/>
  <c r="U43" i="3"/>
  <c r="M55" i="3"/>
  <c r="M45" i="12"/>
  <c r="M35" i="12"/>
  <c r="M25" i="12"/>
  <c r="M75" i="12" s="1"/>
  <c r="G43" i="3"/>
  <c r="I235" i="3"/>
  <c r="N45" i="13"/>
  <c r="N35" i="13"/>
  <c r="N55" i="13"/>
  <c r="N76" i="3"/>
  <c r="V84" i="3"/>
  <c r="V48" i="13"/>
  <c r="V38" i="13"/>
  <c r="J83" i="3"/>
  <c r="J47" i="13"/>
  <c r="J37" i="13"/>
  <c r="Q43" i="13"/>
  <c r="Q4" i="13"/>
  <c r="Q33" i="13"/>
  <c r="Q74" i="3"/>
  <c r="N197" i="3"/>
  <c r="N43" i="3"/>
  <c r="D196" i="3"/>
  <c r="G37" i="12"/>
  <c r="G17" i="12"/>
  <c r="G67" i="12" s="1"/>
  <c r="G47" i="12"/>
  <c r="G53" i="12"/>
  <c r="G49" i="12"/>
  <c r="N42" i="12"/>
  <c r="N22" i="12"/>
  <c r="N72" i="12" s="1"/>
  <c r="N32" i="12"/>
  <c r="T207" i="3"/>
  <c r="T36" i="13"/>
  <c r="T46" i="13"/>
  <c r="L198" i="3"/>
  <c r="L206" i="3"/>
  <c r="L52" i="3"/>
  <c r="N198" i="3"/>
  <c r="N6" i="13"/>
  <c r="N22" i="13" s="1"/>
  <c r="F5" i="13"/>
  <c r="F34" i="13"/>
  <c r="F44" i="13"/>
  <c r="F75" i="3"/>
  <c r="F6" i="13"/>
  <c r="F22" i="13" s="1"/>
  <c r="V45" i="13"/>
  <c r="V35" i="13"/>
  <c r="V76" i="3"/>
  <c r="O85" i="3"/>
  <c r="O39" i="13"/>
  <c r="O49" i="13"/>
  <c r="H45" i="13"/>
  <c r="H35" i="13"/>
  <c r="H76" i="3"/>
  <c r="Q83" i="3"/>
  <c r="Q47" i="13"/>
  <c r="Q37" i="13"/>
  <c r="M45" i="13"/>
  <c r="M35" i="13"/>
  <c r="M76" i="3"/>
  <c r="O84" i="3"/>
  <c r="O38" i="13"/>
  <c r="O48" i="13"/>
  <c r="O10" i="13"/>
  <c r="O26" i="13" s="1"/>
  <c r="G198" i="3"/>
  <c r="Q205" i="3"/>
  <c r="T206" i="3"/>
  <c r="T52" i="3"/>
  <c r="P4" i="12"/>
  <c r="P29" i="12"/>
  <c r="P19" i="12"/>
  <c r="P69" i="12" s="1"/>
  <c r="P25" i="14"/>
  <c r="P39" i="12"/>
  <c r="P44" i="3"/>
  <c r="G36" i="13"/>
  <c r="G46" i="13"/>
  <c r="T41" i="12"/>
  <c r="T27" i="14"/>
  <c r="T21" i="12"/>
  <c r="T71" i="12" s="1"/>
  <c r="T31" i="12"/>
  <c r="T46" i="3"/>
  <c r="G227" i="3"/>
  <c r="U236" i="3"/>
  <c r="V54" i="3"/>
  <c r="V34" i="12"/>
  <c r="V24" i="12"/>
  <c r="V74" i="12" s="1"/>
  <c r="V44" i="12"/>
  <c r="P235" i="3"/>
  <c r="N55" i="3"/>
  <c r="N45" i="12"/>
  <c r="N35" i="12"/>
  <c r="N25" i="12"/>
  <c r="N75" i="12" s="1"/>
  <c r="M26" i="14"/>
  <c r="M20" i="12"/>
  <c r="M70" i="12" s="1"/>
  <c r="M40" i="12"/>
  <c r="M30" i="12"/>
  <c r="M45" i="3"/>
  <c r="M6" i="12"/>
  <c r="J205" i="3"/>
  <c r="F198" i="3"/>
  <c r="N227" i="3"/>
  <c r="O20" i="12"/>
  <c r="O70" i="12" s="1"/>
  <c r="O40" i="12"/>
  <c r="O5" i="12"/>
  <c r="O30" i="12"/>
  <c r="O45" i="3"/>
  <c r="O26" i="14"/>
  <c r="O6" i="12"/>
  <c r="N236" i="3"/>
  <c r="N82" i="3"/>
  <c r="E44" i="13"/>
  <c r="E34" i="13"/>
  <c r="E75" i="3"/>
  <c r="M85" i="3"/>
  <c r="M49" i="13"/>
  <c r="M39" i="13"/>
  <c r="E101" i="11"/>
  <c r="G51" i="12"/>
  <c r="E30" i="12"/>
  <c r="E40" i="12"/>
  <c r="E20" i="12"/>
  <c r="E70" i="12" s="1"/>
  <c r="E26" i="14"/>
  <c r="E45" i="3"/>
  <c r="I4" i="12"/>
  <c r="I39" i="12"/>
  <c r="I29" i="12"/>
  <c r="I19" i="12"/>
  <c r="I69" i="12" s="1"/>
  <c r="I25" i="14"/>
  <c r="I44" i="3"/>
  <c r="E206" i="3"/>
  <c r="L3" i="12"/>
  <c r="D226" i="3"/>
  <c r="L236" i="3"/>
  <c r="L82" i="3"/>
  <c r="M206" i="3"/>
  <c r="M52" i="3"/>
  <c r="F55" i="3"/>
  <c r="F35" i="12"/>
  <c r="F45" i="12"/>
  <c r="F25" i="12"/>
  <c r="F75" i="12" s="1"/>
  <c r="F10" i="12"/>
  <c r="O54" i="3"/>
  <c r="O34" i="12"/>
  <c r="O24" i="12"/>
  <c r="O74" i="12" s="1"/>
  <c r="O44" i="12"/>
  <c r="O10" i="12"/>
  <c r="L5" i="13"/>
  <c r="O21" i="12"/>
  <c r="O71" i="12" s="1"/>
  <c r="O31" i="12"/>
  <c r="O27" i="14"/>
  <c r="O41" i="12"/>
  <c r="O46" i="3"/>
  <c r="U35" i="13"/>
  <c r="U45" i="13"/>
  <c r="U76" i="3"/>
  <c r="U73" i="3" s="1"/>
  <c r="O35" i="13"/>
  <c r="O45" i="13"/>
  <c r="O76" i="3"/>
  <c r="C103" i="11"/>
  <c r="V44" i="13"/>
  <c r="V34" i="13"/>
  <c r="V75" i="3"/>
  <c r="V6" i="13"/>
  <c r="V22" i="13" s="1"/>
  <c r="U85" i="3"/>
  <c r="U49" i="13"/>
  <c r="U39" i="13"/>
  <c r="G207" i="3"/>
  <c r="B43" i="11"/>
  <c r="B95" i="11" s="1"/>
  <c r="B100" i="11"/>
  <c r="C205" i="3"/>
  <c r="F236" i="3"/>
  <c r="M5" i="12"/>
  <c r="M21" i="12"/>
  <c r="M71" i="12" s="1"/>
  <c r="M41" i="12"/>
  <c r="M31" i="12"/>
  <c r="M46" i="3"/>
  <c r="M27" i="14"/>
  <c r="P226" i="3"/>
  <c r="L32" i="12"/>
  <c r="L22" i="12"/>
  <c r="L72" i="12" s="1"/>
  <c r="L42" i="12"/>
  <c r="U6" i="13"/>
  <c r="U22" i="13" s="1"/>
  <c r="M84" i="3"/>
  <c r="M48" i="13"/>
  <c r="M38" i="13"/>
  <c r="M10" i="13"/>
  <c r="M26" i="13" s="1"/>
  <c r="G237" i="3"/>
  <c r="T237" i="3"/>
  <c r="T6" i="12"/>
  <c r="K83" i="3"/>
  <c r="K47" i="13"/>
  <c r="K37" i="13"/>
  <c r="H44" i="13"/>
  <c r="H34" i="13"/>
  <c r="H75" i="3"/>
  <c r="H6" i="13"/>
  <c r="H22" i="13" s="1"/>
  <c r="G206" i="3"/>
  <c r="G52" i="3"/>
  <c r="T42" i="12"/>
  <c r="T32" i="12"/>
  <c r="T22" i="12"/>
  <c r="T72" i="12" s="1"/>
  <c r="N237" i="3"/>
  <c r="T227" i="3"/>
  <c r="T197" i="3"/>
  <c r="U5" i="12"/>
  <c r="U19" i="13" s="1"/>
  <c r="U227" i="3"/>
  <c r="L228" i="3"/>
  <c r="L32" i="13"/>
  <c r="L42" i="13"/>
  <c r="N36" i="13"/>
  <c r="N46" i="13"/>
  <c r="N56" i="13"/>
  <c r="H5" i="13"/>
  <c r="L52" i="12" l="1"/>
  <c r="N55" i="12"/>
  <c r="T51" i="12"/>
  <c r="N73" i="3"/>
  <c r="F82" i="3"/>
  <c r="F234" i="3" s="1"/>
  <c r="N52" i="3"/>
  <c r="N48" i="12"/>
  <c r="N52" i="12"/>
  <c r="H3" i="13"/>
  <c r="H21" i="13" s="1"/>
  <c r="S83" i="3"/>
  <c r="S37" i="13"/>
  <c r="S47" i="13"/>
  <c r="I34" i="13"/>
  <c r="I44" i="13"/>
  <c r="I75" i="3"/>
  <c r="K4" i="13"/>
  <c r="K43" i="13"/>
  <c r="K33" i="13"/>
  <c r="K74" i="3"/>
  <c r="I84" i="3"/>
  <c r="I48" i="13"/>
  <c r="I38" i="13"/>
  <c r="T28" i="12"/>
  <c r="T18" i="12"/>
  <c r="T68" i="12" s="1"/>
  <c r="T24" i="14"/>
  <c r="T38" i="12"/>
  <c r="T48" i="12"/>
  <c r="M236" i="3"/>
  <c r="M82" i="3"/>
  <c r="M198" i="3"/>
  <c r="O237" i="3"/>
  <c r="V21" i="12"/>
  <c r="V71" i="12" s="1"/>
  <c r="V41" i="12"/>
  <c r="V31" i="12"/>
  <c r="V46" i="3"/>
  <c r="V27" i="14"/>
  <c r="R205" i="3"/>
  <c r="F24" i="14"/>
  <c r="F18" i="12"/>
  <c r="F68" i="12" s="1"/>
  <c r="F38" i="12"/>
  <c r="F28" i="12"/>
  <c r="O207" i="3"/>
  <c r="E55" i="3"/>
  <c r="E25" i="12"/>
  <c r="E75" i="12" s="1"/>
  <c r="E45" i="12"/>
  <c r="E35" i="12"/>
  <c r="E10" i="12"/>
  <c r="U57" i="13"/>
  <c r="U51" i="13"/>
  <c r="U41" i="13"/>
  <c r="U53" i="13"/>
  <c r="U58" i="13"/>
  <c r="U54" i="13"/>
  <c r="D44" i="13"/>
  <c r="D34" i="13"/>
  <c r="D75" i="3"/>
  <c r="P5" i="12"/>
  <c r="B47" i="13"/>
  <c r="B37" i="13"/>
  <c r="B83" i="3"/>
  <c r="G204" i="3"/>
  <c r="E21" i="12"/>
  <c r="E71" i="12" s="1"/>
  <c r="E41" i="12"/>
  <c r="E27" i="14"/>
  <c r="E31" i="12"/>
  <c r="E46" i="3"/>
  <c r="O28" i="12"/>
  <c r="O24" i="14"/>
  <c r="O38" i="12"/>
  <c r="O18" i="12"/>
  <c r="O68" i="12" s="1"/>
  <c r="V228" i="3"/>
  <c r="F32" i="13"/>
  <c r="F42" i="13"/>
  <c r="U42" i="12"/>
  <c r="U32" i="12"/>
  <c r="U22" i="12"/>
  <c r="U72" i="12" s="1"/>
  <c r="V5" i="12"/>
  <c r="F46" i="13"/>
  <c r="F36" i="13"/>
  <c r="N47" i="12"/>
  <c r="N37" i="12"/>
  <c r="N17" i="12"/>
  <c r="N67" i="12" s="1"/>
  <c r="N53" i="12"/>
  <c r="N49" i="12"/>
  <c r="N51" i="12"/>
  <c r="N54" i="12"/>
  <c r="N50" i="12"/>
  <c r="F228" i="3"/>
  <c r="C235" i="3"/>
  <c r="L225" i="3"/>
  <c r="P84" i="3"/>
  <c r="P48" i="13"/>
  <c r="P38" i="13"/>
  <c r="P10" i="12"/>
  <c r="I54" i="3"/>
  <c r="I44" i="12"/>
  <c r="I24" i="12"/>
  <c r="I74" i="12" s="1"/>
  <c r="I34" i="12"/>
  <c r="O206" i="3"/>
  <c r="O52" i="3"/>
  <c r="F207" i="3"/>
  <c r="F52" i="3"/>
  <c r="V206" i="3"/>
  <c r="O236" i="3"/>
  <c r="O82" i="3"/>
  <c r="Q235" i="3"/>
  <c r="F227" i="3"/>
  <c r="F73" i="3"/>
  <c r="N32" i="13"/>
  <c r="N42" i="13"/>
  <c r="N52" i="13"/>
  <c r="L204" i="3"/>
  <c r="Q226" i="3"/>
  <c r="F197" i="3"/>
  <c r="F43" i="3"/>
  <c r="V6" i="12"/>
  <c r="O5" i="13"/>
  <c r="O34" i="13"/>
  <c r="O44" i="13"/>
  <c r="O75" i="3"/>
  <c r="O6" i="13"/>
  <c r="O22" i="13" s="1"/>
  <c r="I18" i="13"/>
  <c r="L237" i="3"/>
  <c r="G35" i="13"/>
  <c r="G45" i="13"/>
  <c r="G76" i="3"/>
  <c r="G6" i="13"/>
  <c r="G22" i="13" s="1"/>
  <c r="G5" i="13"/>
  <c r="P44" i="12"/>
  <c r="P34" i="12"/>
  <c r="P54" i="3"/>
  <c r="P24" i="12"/>
  <c r="P74" i="12" s="1"/>
  <c r="T52" i="12"/>
  <c r="T17" i="12"/>
  <c r="T67" i="12" s="1"/>
  <c r="T37" i="12"/>
  <c r="T47" i="12"/>
  <c r="T53" i="12"/>
  <c r="T49" i="12"/>
  <c r="T55" i="12"/>
  <c r="T50" i="12"/>
  <c r="T54" i="12"/>
  <c r="D84" i="3"/>
  <c r="D38" i="13"/>
  <c r="D48" i="13"/>
  <c r="R83" i="3"/>
  <c r="R47" i="13"/>
  <c r="R37" i="13"/>
  <c r="P44" i="13"/>
  <c r="P34" i="13"/>
  <c r="P75" i="3"/>
  <c r="P40" i="12"/>
  <c r="P20" i="12"/>
  <c r="P70" i="12" s="1"/>
  <c r="P26" i="14"/>
  <c r="P30" i="12"/>
  <c r="P45" i="3"/>
  <c r="H42" i="13"/>
  <c r="H32" i="13"/>
  <c r="M36" i="13"/>
  <c r="M46" i="13"/>
  <c r="U32" i="13"/>
  <c r="U42" i="13"/>
  <c r="U52" i="13"/>
  <c r="U237" i="3"/>
  <c r="H55" i="3"/>
  <c r="H35" i="12"/>
  <c r="H45" i="12"/>
  <c r="H25" i="12"/>
  <c r="H75" i="12" s="1"/>
  <c r="H10" i="12"/>
  <c r="M204" i="3"/>
  <c r="Q6" i="12"/>
  <c r="Q39" i="12"/>
  <c r="Q19" i="12"/>
  <c r="Q69" i="12" s="1"/>
  <c r="Q29" i="12"/>
  <c r="Q25" i="14"/>
  <c r="Q44" i="3"/>
  <c r="Q4" i="12"/>
  <c r="Q18" i="13" s="1"/>
  <c r="M237" i="3"/>
  <c r="O197" i="3"/>
  <c r="O43" i="3"/>
  <c r="N225" i="3"/>
  <c r="P196" i="3"/>
  <c r="M228" i="3"/>
  <c r="B205" i="3"/>
  <c r="H20" i="12"/>
  <c r="H70" i="12" s="1"/>
  <c r="H26" i="14"/>
  <c r="H5" i="12"/>
  <c r="H30" i="12"/>
  <c r="H40" i="12"/>
  <c r="H45" i="3"/>
  <c r="H6" i="12"/>
  <c r="P18" i="13"/>
  <c r="R4" i="12"/>
  <c r="R39" i="12"/>
  <c r="R29" i="12"/>
  <c r="R19" i="12"/>
  <c r="R69" i="12" s="1"/>
  <c r="R25" i="14"/>
  <c r="R44" i="3"/>
  <c r="C25" i="14"/>
  <c r="C19" i="12"/>
  <c r="C69" i="12" s="1"/>
  <c r="C39" i="12"/>
  <c r="C29" i="12"/>
  <c r="C4" i="12"/>
  <c r="C44" i="3"/>
  <c r="U56" i="13"/>
  <c r="H85" i="3"/>
  <c r="H49" i="13"/>
  <c r="H39" i="13"/>
  <c r="E85" i="3"/>
  <c r="E49" i="13"/>
  <c r="E39" i="13"/>
  <c r="B33" i="13"/>
  <c r="B4" i="13"/>
  <c r="B43" i="13"/>
  <c r="B74" i="3"/>
  <c r="E38" i="13"/>
  <c r="E48" i="13"/>
  <c r="E84" i="3"/>
  <c r="E10" i="13"/>
  <c r="E26" i="13" s="1"/>
  <c r="H227" i="3"/>
  <c r="H73" i="3"/>
  <c r="V42" i="13"/>
  <c r="V32" i="13"/>
  <c r="U228" i="3"/>
  <c r="V55" i="3"/>
  <c r="V45" i="12"/>
  <c r="V35" i="12"/>
  <c r="V25" i="12"/>
  <c r="V75" i="12" s="1"/>
  <c r="L19" i="13"/>
  <c r="L3" i="13"/>
  <c r="L21" i="13" s="1"/>
  <c r="L48" i="12"/>
  <c r="L37" i="12"/>
  <c r="L47" i="12"/>
  <c r="L17" i="12"/>
  <c r="L67" i="12" s="1"/>
  <c r="L53" i="12"/>
  <c r="L49" i="12"/>
  <c r="L54" i="12"/>
  <c r="L55" i="12"/>
  <c r="L51" i="12"/>
  <c r="L50" i="12"/>
  <c r="E5" i="12"/>
  <c r="M18" i="12"/>
  <c r="M68" i="12" s="1"/>
  <c r="M28" i="12"/>
  <c r="M38" i="12"/>
  <c r="M24" i="14"/>
  <c r="C54" i="3"/>
  <c r="C44" i="12"/>
  <c r="C34" i="12"/>
  <c r="C24" i="12"/>
  <c r="C74" i="12" s="1"/>
  <c r="V236" i="3"/>
  <c r="M207" i="3"/>
  <c r="V197" i="3"/>
  <c r="I226" i="3"/>
  <c r="T234" i="3"/>
  <c r="C48" i="11"/>
  <c r="R4" i="13"/>
  <c r="R33" i="13"/>
  <c r="R43" i="13"/>
  <c r="R74" i="3"/>
  <c r="D5" i="12"/>
  <c r="B58" i="11"/>
  <c r="B53" i="11" s="1"/>
  <c r="J4" i="13"/>
  <c r="J33" i="13"/>
  <c r="J43" i="13"/>
  <c r="J74" i="3"/>
  <c r="M3" i="12"/>
  <c r="V227" i="3"/>
  <c r="V73" i="3"/>
  <c r="O228" i="3"/>
  <c r="U55" i="13"/>
  <c r="O198" i="3"/>
  <c r="O22" i="12"/>
  <c r="O72" i="12" s="1"/>
  <c r="O42" i="12"/>
  <c r="O32" i="12"/>
  <c r="F32" i="12"/>
  <c r="F22" i="12"/>
  <c r="F72" i="12" s="1"/>
  <c r="F42" i="12"/>
  <c r="I196" i="3"/>
  <c r="E6" i="12"/>
  <c r="M197" i="3"/>
  <c r="M43" i="3"/>
  <c r="V10" i="12"/>
  <c r="U82" i="3"/>
  <c r="T198" i="3"/>
  <c r="T43" i="3"/>
  <c r="T204" i="3"/>
  <c r="O36" i="13"/>
  <c r="O46" i="13"/>
  <c r="N228" i="3"/>
  <c r="U195" i="3"/>
  <c r="U207" i="3"/>
  <c r="C226" i="3"/>
  <c r="I20" i="12"/>
  <c r="I70" i="12" s="1"/>
  <c r="I40" i="12"/>
  <c r="I30" i="12"/>
  <c r="I45" i="3"/>
  <c r="I26" i="14"/>
  <c r="D103" i="11"/>
  <c r="Q5" i="12"/>
  <c r="U3" i="12"/>
  <c r="H27" i="14"/>
  <c r="H41" i="12"/>
  <c r="H31" i="12"/>
  <c r="H21" i="12"/>
  <c r="H71" i="12" s="1"/>
  <c r="H46" i="3"/>
  <c r="L234" i="3"/>
  <c r="E197" i="3"/>
  <c r="E43" i="3"/>
  <c r="M34" i="13"/>
  <c r="M5" i="13"/>
  <c r="M44" i="13"/>
  <c r="M75" i="3"/>
  <c r="M6" i="13"/>
  <c r="M22" i="13" s="1"/>
  <c r="E227" i="3"/>
  <c r="N234" i="3"/>
  <c r="O3" i="12"/>
  <c r="P6" i="12"/>
  <c r="D26" i="14"/>
  <c r="D40" i="12"/>
  <c r="D30" i="12"/>
  <c r="D20" i="12"/>
  <c r="D70" i="12" s="1"/>
  <c r="D45" i="3"/>
  <c r="D6" i="12"/>
  <c r="J235" i="3"/>
  <c r="U206" i="3"/>
  <c r="U52" i="3"/>
  <c r="K19" i="12"/>
  <c r="K69" i="12" s="1"/>
  <c r="K39" i="12"/>
  <c r="K29" i="12"/>
  <c r="K4" i="12"/>
  <c r="K25" i="14"/>
  <c r="K44" i="3"/>
  <c r="H84" i="3"/>
  <c r="H48" i="13"/>
  <c r="H38" i="13"/>
  <c r="H10" i="13"/>
  <c r="H26" i="13" s="1"/>
  <c r="N51" i="13"/>
  <c r="N41" i="13"/>
  <c r="N57" i="13"/>
  <c r="N53" i="13"/>
  <c r="N54" i="13"/>
  <c r="N59" i="13"/>
  <c r="N58" i="13"/>
  <c r="Q44" i="13"/>
  <c r="Q34" i="13"/>
  <c r="Q75" i="3"/>
  <c r="C58" i="11"/>
  <c r="C53" i="11" s="1"/>
  <c r="U225" i="3"/>
  <c r="K235" i="3"/>
  <c r="U59" i="13"/>
  <c r="J4" i="12"/>
  <c r="J19" i="12"/>
  <c r="J69" i="12" s="1"/>
  <c r="J29" i="12"/>
  <c r="J39" i="12"/>
  <c r="J25" i="14"/>
  <c r="J44" i="3"/>
  <c r="N207" i="3"/>
  <c r="H228" i="3"/>
  <c r="T35" i="13"/>
  <c r="T45" i="13"/>
  <c r="T76" i="3"/>
  <c r="T6" i="13"/>
  <c r="T22" i="13" s="1"/>
  <c r="T5" i="13"/>
  <c r="F19" i="13"/>
  <c r="F3" i="13"/>
  <c r="N195" i="3"/>
  <c r="G195" i="3"/>
  <c r="L195" i="3"/>
  <c r="Q30" i="12"/>
  <c r="Q40" i="12"/>
  <c r="Q45" i="3"/>
  <c r="Q26" i="14"/>
  <c r="Q20" i="12"/>
  <c r="Q70" i="12" s="1"/>
  <c r="F3" i="12"/>
  <c r="S205" i="3"/>
  <c r="G234" i="3"/>
  <c r="F237" i="3"/>
  <c r="I6" i="13"/>
  <c r="I22" i="13" s="1"/>
  <c r="P6" i="13"/>
  <c r="P22" i="13" s="1"/>
  <c r="P10" i="13"/>
  <c r="P26" i="13" s="1"/>
  <c r="U52" i="12" l="1"/>
  <c r="O52" i="12"/>
  <c r="H58" i="13"/>
  <c r="H59" i="13"/>
  <c r="F52" i="13"/>
  <c r="F21" i="13"/>
  <c r="V43" i="3"/>
  <c r="V195" i="3" s="1"/>
  <c r="V52" i="3"/>
  <c r="V204" i="3" s="1"/>
  <c r="N204" i="3"/>
  <c r="I5" i="12"/>
  <c r="P3" i="12"/>
  <c r="P49" i="12" s="1"/>
  <c r="P32" i="13"/>
  <c r="P42" i="13"/>
  <c r="I32" i="13"/>
  <c r="I42" i="13"/>
  <c r="P46" i="13"/>
  <c r="P36" i="13"/>
  <c r="C34" i="13"/>
  <c r="C44" i="13"/>
  <c r="C75" i="3"/>
  <c r="D102" i="11"/>
  <c r="D48" i="11"/>
  <c r="K44" i="13"/>
  <c r="K75" i="3"/>
  <c r="K34" i="13"/>
  <c r="E102" i="11"/>
  <c r="G101" i="11"/>
  <c r="T42" i="13"/>
  <c r="T32" i="13"/>
  <c r="K196" i="3"/>
  <c r="D3" i="12"/>
  <c r="V32" i="12"/>
  <c r="V22" i="12"/>
  <c r="V72" i="12" s="1"/>
  <c r="V42" i="12"/>
  <c r="R226" i="3"/>
  <c r="E3" i="12"/>
  <c r="R235" i="3"/>
  <c r="F225" i="3"/>
  <c r="P55" i="3"/>
  <c r="P52" i="3" s="1"/>
  <c r="P45" i="12"/>
  <c r="P35" i="12"/>
  <c r="P25" i="12"/>
  <c r="P75" i="12" s="1"/>
  <c r="B235" i="3"/>
  <c r="D21" i="12"/>
  <c r="D71" i="12" s="1"/>
  <c r="D41" i="12"/>
  <c r="D31" i="12"/>
  <c r="D46" i="3"/>
  <c r="D43" i="3" s="1"/>
  <c r="D27" i="14"/>
  <c r="K226" i="3"/>
  <c r="J44" i="13"/>
  <c r="J34" i="13"/>
  <c r="J75" i="3"/>
  <c r="D85" i="3"/>
  <c r="D49" i="13"/>
  <c r="D39" i="13"/>
  <c r="Q197" i="3"/>
  <c r="T228" i="3"/>
  <c r="T73" i="3"/>
  <c r="M19" i="13"/>
  <c r="M3" i="13"/>
  <c r="M21" i="13" s="1"/>
  <c r="M195" i="3"/>
  <c r="Q54" i="3"/>
  <c r="Q44" i="12"/>
  <c r="Q34" i="12"/>
  <c r="Q24" i="12"/>
  <c r="Q74" i="12" s="1"/>
  <c r="Q10" i="12"/>
  <c r="P42" i="12"/>
  <c r="P32" i="12"/>
  <c r="P22" i="12"/>
  <c r="P72" i="12" s="1"/>
  <c r="G3" i="13"/>
  <c r="G19" i="13"/>
  <c r="J26" i="14"/>
  <c r="J20" i="12"/>
  <c r="J70" i="12" s="1"/>
  <c r="J40" i="12"/>
  <c r="J30" i="12"/>
  <c r="J45" i="3"/>
  <c r="V3" i="12"/>
  <c r="I236" i="3"/>
  <c r="H52" i="13"/>
  <c r="H41" i="13"/>
  <c r="H51" i="13"/>
  <c r="H53" i="13"/>
  <c r="H57" i="13"/>
  <c r="H54" i="13"/>
  <c r="H55" i="13"/>
  <c r="R34" i="13"/>
  <c r="R44" i="13"/>
  <c r="R75" i="3"/>
  <c r="F52" i="12"/>
  <c r="F47" i="12"/>
  <c r="F37" i="12"/>
  <c r="F17" i="12"/>
  <c r="F67" i="12" s="1"/>
  <c r="F53" i="12"/>
  <c r="F49" i="12"/>
  <c r="F54" i="12"/>
  <c r="F51" i="12"/>
  <c r="F55" i="12"/>
  <c r="F50" i="12"/>
  <c r="H236" i="3"/>
  <c r="H82" i="3"/>
  <c r="I197" i="3"/>
  <c r="M37" i="12"/>
  <c r="M47" i="12"/>
  <c r="M17" i="12"/>
  <c r="M67" i="12" s="1"/>
  <c r="M53" i="12"/>
  <c r="M49" i="12"/>
  <c r="M54" i="12"/>
  <c r="M50" i="12"/>
  <c r="M52" i="12"/>
  <c r="M51" i="12"/>
  <c r="M55" i="12"/>
  <c r="J226" i="3"/>
  <c r="J54" i="3"/>
  <c r="J44" i="12"/>
  <c r="J34" i="12"/>
  <c r="J24" i="12"/>
  <c r="J74" i="12" s="1"/>
  <c r="J10" i="12"/>
  <c r="B226" i="3"/>
  <c r="H237" i="3"/>
  <c r="H3" i="12"/>
  <c r="Q28" i="12"/>
  <c r="Q18" i="12"/>
  <c r="Q68" i="12" s="1"/>
  <c r="Q38" i="12"/>
  <c r="Q24" i="14"/>
  <c r="D10" i="13"/>
  <c r="D26" i="13" s="1"/>
  <c r="G42" i="13"/>
  <c r="G32" i="13"/>
  <c r="O19" i="13"/>
  <c r="O3" i="13"/>
  <c r="O204" i="3"/>
  <c r="V198" i="3"/>
  <c r="M234" i="3"/>
  <c r="C40" i="12"/>
  <c r="C20" i="12"/>
  <c r="C70" i="12" s="1"/>
  <c r="C30" i="12"/>
  <c r="C26" i="14"/>
  <c r="C45" i="3"/>
  <c r="H19" i="13"/>
  <c r="R84" i="3"/>
  <c r="R48" i="13"/>
  <c r="R38" i="13"/>
  <c r="U204" i="3"/>
  <c r="D54" i="3"/>
  <c r="D24" i="12"/>
  <c r="D74" i="12" s="1"/>
  <c r="D44" i="12"/>
  <c r="D34" i="12"/>
  <c r="D10" i="12"/>
  <c r="E36" i="13"/>
  <c r="E46" i="13"/>
  <c r="Q3" i="12"/>
  <c r="R20" i="12"/>
  <c r="R70" i="12" s="1"/>
  <c r="R40" i="12"/>
  <c r="R30" i="12"/>
  <c r="R26" i="14"/>
  <c r="R45" i="3"/>
  <c r="G228" i="3"/>
  <c r="G73" i="3"/>
  <c r="D227" i="3"/>
  <c r="J55" i="3"/>
  <c r="J25" i="12"/>
  <c r="J75" i="12" s="1"/>
  <c r="J35" i="12"/>
  <c r="J45" i="12"/>
  <c r="Q41" i="12"/>
  <c r="Q31" i="12"/>
  <c r="Q21" i="12"/>
  <c r="Q71" i="12" s="1"/>
  <c r="Q27" i="14"/>
  <c r="Q46" i="3"/>
  <c r="I227" i="3"/>
  <c r="D58" i="11"/>
  <c r="D53" i="11" s="1"/>
  <c r="I5" i="13"/>
  <c r="J84" i="3"/>
  <c r="J48" i="13"/>
  <c r="J38" i="13"/>
  <c r="K48" i="13"/>
  <c r="K38" i="13"/>
  <c r="K84" i="3"/>
  <c r="J196" i="3"/>
  <c r="D18" i="12"/>
  <c r="D68" i="12" s="1"/>
  <c r="D38" i="12"/>
  <c r="D28" i="12"/>
  <c r="D24" i="14"/>
  <c r="P24" i="14"/>
  <c r="P28" i="12"/>
  <c r="P38" i="12"/>
  <c r="P18" i="12"/>
  <c r="P68" i="12" s="1"/>
  <c r="E195" i="3"/>
  <c r="Q55" i="3"/>
  <c r="Q45" i="12"/>
  <c r="Q35" i="12"/>
  <c r="Q25" i="12"/>
  <c r="Q75" i="12" s="1"/>
  <c r="T195" i="3"/>
  <c r="E28" i="12"/>
  <c r="E18" i="12"/>
  <c r="E68" i="12" s="1"/>
  <c r="E24" i="14"/>
  <c r="E38" i="12"/>
  <c r="V207" i="3"/>
  <c r="Q196" i="3"/>
  <c r="H207" i="3"/>
  <c r="H52" i="3"/>
  <c r="P206" i="3"/>
  <c r="O32" i="13"/>
  <c r="O42" i="13"/>
  <c r="I206" i="3"/>
  <c r="F101" i="11"/>
  <c r="C18" i="13"/>
  <c r="K54" i="3"/>
  <c r="K24" i="12"/>
  <c r="K74" i="12" s="1"/>
  <c r="K44" i="12"/>
  <c r="K34" i="12"/>
  <c r="K10" i="12"/>
  <c r="E207" i="3"/>
  <c r="E52" i="3"/>
  <c r="E103" i="11"/>
  <c r="C84" i="3"/>
  <c r="C48" i="13"/>
  <c r="C38" i="13"/>
  <c r="F51" i="13"/>
  <c r="F41" i="13"/>
  <c r="F57" i="13"/>
  <c r="F53" i="13"/>
  <c r="F58" i="13"/>
  <c r="F59" i="13"/>
  <c r="F54" i="13"/>
  <c r="F55" i="13"/>
  <c r="Q227" i="3"/>
  <c r="H46" i="13"/>
  <c r="H36" i="13"/>
  <c r="H56" i="13"/>
  <c r="D197" i="3"/>
  <c r="O37" i="12"/>
  <c r="O47" i="12"/>
  <c r="O17" i="12"/>
  <c r="O67" i="12" s="1"/>
  <c r="O53" i="12"/>
  <c r="O49" i="12"/>
  <c r="O54" i="12"/>
  <c r="O51" i="12"/>
  <c r="O55" i="12"/>
  <c r="O50" i="12"/>
  <c r="M32" i="13"/>
  <c r="M52" i="13"/>
  <c r="M42" i="13"/>
  <c r="I3" i="12"/>
  <c r="I27" i="14"/>
  <c r="I41" i="12"/>
  <c r="I31" i="12"/>
  <c r="I21" i="12"/>
  <c r="I71" i="12" s="1"/>
  <c r="I46" i="3"/>
  <c r="I6" i="12"/>
  <c r="H225" i="3"/>
  <c r="E237" i="3"/>
  <c r="C196" i="3"/>
  <c r="H24" i="14"/>
  <c r="H38" i="12"/>
  <c r="H28" i="12"/>
  <c r="H18" i="12"/>
  <c r="H68" i="12" s="1"/>
  <c r="E45" i="13"/>
  <c r="E35" i="13"/>
  <c r="E76" i="3"/>
  <c r="E6" i="13"/>
  <c r="E22" i="13" s="1"/>
  <c r="E5" i="13"/>
  <c r="P227" i="3"/>
  <c r="O227" i="3"/>
  <c r="O73" i="3"/>
  <c r="V28" i="12"/>
  <c r="V18" i="12"/>
  <c r="V68" i="12" s="1"/>
  <c r="V38" i="12"/>
  <c r="V24" i="14"/>
  <c r="F56" i="13"/>
  <c r="E198" i="3"/>
  <c r="D55" i="3"/>
  <c r="D35" i="12"/>
  <c r="D25" i="12"/>
  <c r="D75" i="12" s="1"/>
  <c r="D45" i="12"/>
  <c r="P85" i="3"/>
  <c r="P39" i="13"/>
  <c r="P49" i="13"/>
  <c r="P45" i="13"/>
  <c r="P35" i="13"/>
  <c r="P76" i="3"/>
  <c r="I45" i="13"/>
  <c r="I35" i="13"/>
  <c r="I76" i="3"/>
  <c r="S4" i="13"/>
  <c r="S33" i="13"/>
  <c r="S43" i="13"/>
  <c r="S74" i="3"/>
  <c r="C5" i="12"/>
  <c r="R54" i="3"/>
  <c r="R44" i="12"/>
  <c r="R34" i="12"/>
  <c r="R24" i="12"/>
  <c r="R74" i="12" s="1"/>
  <c r="M227" i="3"/>
  <c r="M73" i="3"/>
  <c r="I55" i="3"/>
  <c r="I45" i="12"/>
  <c r="I35" i="12"/>
  <c r="I25" i="12"/>
  <c r="I75" i="12" s="1"/>
  <c r="R18" i="13"/>
  <c r="C206" i="3"/>
  <c r="M48" i="12"/>
  <c r="L52" i="13"/>
  <c r="L41" i="13"/>
  <c r="L51" i="13"/>
  <c r="L53" i="13"/>
  <c r="L57" i="13"/>
  <c r="L54" i="13"/>
  <c r="L58" i="13"/>
  <c r="L55" i="13"/>
  <c r="L59" i="13"/>
  <c r="L56" i="13"/>
  <c r="E82" i="3"/>
  <c r="E236" i="3"/>
  <c r="B19" i="12"/>
  <c r="B69" i="12" s="1"/>
  <c r="B29" i="12"/>
  <c r="B4" i="12"/>
  <c r="B18" i="13" s="1"/>
  <c r="B39" i="12"/>
  <c r="B25" i="14"/>
  <c r="B44" i="3"/>
  <c r="H197" i="3"/>
  <c r="H43" i="3"/>
  <c r="O195" i="3"/>
  <c r="P197" i="3"/>
  <c r="F195" i="3"/>
  <c r="V85" i="3"/>
  <c r="V39" i="13"/>
  <c r="V49" i="13"/>
  <c r="V10" i="13"/>
  <c r="V26" i="13" s="1"/>
  <c r="V5" i="13"/>
  <c r="K18" i="13"/>
  <c r="S235" i="3"/>
  <c r="T19" i="13"/>
  <c r="T3" i="13"/>
  <c r="T21" i="13" s="1"/>
  <c r="H198" i="3"/>
  <c r="U49" i="12"/>
  <c r="U47" i="12"/>
  <c r="U37" i="12"/>
  <c r="U53" i="12"/>
  <c r="U17" i="12"/>
  <c r="U67" i="12" s="1"/>
  <c r="U50" i="12"/>
  <c r="U51" i="12"/>
  <c r="U48" i="12"/>
  <c r="U54" i="12"/>
  <c r="U55" i="12"/>
  <c r="U234" i="3"/>
  <c r="V225" i="3"/>
  <c r="J18" i="13"/>
  <c r="S39" i="12"/>
  <c r="S19" i="12"/>
  <c r="S69" i="12" s="1"/>
  <c r="S29" i="12"/>
  <c r="S4" i="12"/>
  <c r="S25" i="14"/>
  <c r="S44" i="3"/>
  <c r="C43" i="11"/>
  <c r="C95" i="11" s="1"/>
  <c r="C100" i="11"/>
  <c r="R196" i="3"/>
  <c r="H42" i="12"/>
  <c r="H32" i="12"/>
  <c r="H22" i="12"/>
  <c r="H72" i="12" s="1"/>
  <c r="P50" i="12"/>
  <c r="P5" i="13"/>
  <c r="D236" i="3"/>
  <c r="O234" i="3"/>
  <c r="F204" i="3"/>
  <c r="I10" i="12"/>
  <c r="P236" i="3"/>
  <c r="O48" i="12"/>
  <c r="P31" i="12"/>
  <c r="P41" i="12"/>
  <c r="P21" i="12"/>
  <c r="P71" i="12" s="1"/>
  <c r="P46" i="3"/>
  <c r="P27" i="14"/>
  <c r="E42" i="12"/>
  <c r="E32" i="12"/>
  <c r="E22" i="12"/>
  <c r="E72" i="12" s="1"/>
  <c r="F48" i="12"/>
  <c r="K5" i="12"/>
  <c r="K3" i="12" s="1"/>
  <c r="K30" i="12"/>
  <c r="K26" i="14"/>
  <c r="K20" i="12"/>
  <c r="K70" i="12" s="1"/>
  <c r="K40" i="12"/>
  <c r="K45" i="3"/>
  <c r="F103" i="11"/>
  <c r="J10" i="13"/>
  <c r="J26" i="13" s="1"/>
  <c r="C6" i="13"/>
  <c r="C22" i="13" s="1"/>
  <c r="V48" i="12" l="1"/>
  <c r="P54" i="12"/>
  <c r="Q55" i="12"/>
  <c r="H52" i="12"/>
  <c r="D54" i="12"/>
  <c r="I51" i="12"/>
  <c r="E52" i="12"/>
  <c r="P53" i="12"/>
  <c r="P52" i="12"/>
  <c r="P37" i="12"/>
  <c r="P51" i="12"/>
  <c r="P47" i="12"/>
  <c r="P48" i="12"/>
  <c r="P17" i="12"/>
  <c r="P67" i="12" s="1"/>
  <c r="P55" i="12"/>
  <c r="G52" i="13"/>
  <c r="G21" i="13"/>
  <c r="O52" i="13"/>
  <c r="O21" i="13"/>
  <c r="D82" i="3"/>
  <c r="D234" i="3" s="1"/>
  <c r="P82" i="3"/>
  <c r="P234" i="3" s="1"/>
  <c r="I52" i="3"/>
  <c r="I204" i="3" s="1"/>
  <c r="Q43" i="3"/>
  <c r="Q195" i="3" s="1"/>
  <c r="I43" i="3"/>
  <c r="D55" i="12"/>
  <c r="E48" i="12"/>
  <c r="I55" i="12"/>
  <c r="Q51" i="12"/>
  <c r="H48" i="12"/>
  <c r="D51" i="12"/>
  <c r="C3" i="12"/>
  <c r="C32" i="13"/>
  <c r="C42" i="13"/>
  <c r="J36" i="13"/>
  <c r="J46" i="13"/>
  <c r="K17" i="12"/>
  <c r="K67" i="12" s="1"/>
  <c r="K47" i="12"/>
  <c r="K37" i="12"/>
  <c r="K53" i="12"/>
  <c r="K49" i="12"/>
  <c r="K54" i="12"/>
  <c r="K50" i="12"/>
  <c r="S84" i="3"/>
  <c r="S38" i="13"/>
  <c r="S48" i="13"/>
  <c r="R45" i="13"/>
  <c r="R35" i="13"/>
  <c r="R76" i="3"/>
  <c r="I19" i="13"/>
  <c r="I3" i="13"/>
  <c r="I21" i="13" s="1"/>
  <c r="H195" i="3"/>
  <c r="E234" i="3"/>
  <c r="M225" i="3"/>
  <c r="R55" i="3"/>
  <c r="R25" i="12"/>
  <c r="R75" i="12" s="1"/>
  <c r="R45" i="12"/>
  <c r="R35" i="12"/>
  <c r="E42" i="13"/>
  <c r="E32" i="13"/>
  <c r="E204" i="3"/>
  <c r="Q45" i="13"/>
  <c r="Q35" i="13"/>
  <c r="Q76" i="3"/>
  <c r="Q5" i="13"/>
  <c r="Q6" i="13"/>
  <c r="Q22" i="13" s="1"/>
  <c r="Q198" i="3"/>
  <c r="R197" i="3"/>
  <c r="C197" i="3"/>
  <c r="Q206" i="3"/>
  <c r="Q52" i="3"/>
  <c r="M41" i="13"/>
  <c r="M51" i="13"/>
  <c r="M53" i="13"/>
  <c r="M57" i="13"/>
  <c r="M59" i="13"/>
  <c r="M55" i="13"/>
  <c r="M58" i="13"/>
  <c r="M54" i="13"/>
  <c r="M56" i="13"/>
  <c r="D198" i="3"/>
  <c r="E48" i="11"/>
  <c r="D43" i="11"/>
  <c r="D95" i="11" s="1"/>
  <c r="D100" i="11"/>
  <c r="H101" i="11"/>
  <c r="C85" i="3"/>
  <c r="C49" i="13"/>
  <c r="C39" i="13"/>
  <c r="K45" i="13"/>
  <c r="K35" i="13"/>
  <c r="K76" i="3"/>
  <c r="V19" i="13"/>
  <c r="V3" i="13"/>
  <c r="V21" i="13" s="1"/>
  <c r="R206" i="3"/>
  <c r="P228" i="3"/>
  <c r="O225" i="3"/>
  <c r="E228" i="3"/>
  <c r="E73" i="3"/>
  <c r="C236" i="3"/>
  <c r="K206" i="3"/>
  <c r="Q54" i="12"/>
  <c r="Q47" i="12"/>
  <c r="Q37" i="12"/>
  <c r="Q17" i="12"/>
  <c r="Q67" i="12" s="1"/>
  <c r="Q53" i="12"/>
  <c r="Q49" i="12"/>
  <c r="Q50" i="12"/>
  <c r="K45" i="12"/>
  <c r="K35" i="12"/>
  <c r="K55" i="3"/>
  <c r="K25" i="12"/>
  <c r="K75" i="12" s="1"/>
  <c r="K55" i="12"/>
  <c r="Q48" i="12"/>
  <c r="J52" i="3"/>
  <c r="J206" i="3"/>
  <c r="V53" i="12"/>
  <c r="V47" i="12"/>
  <c r="V37" i="12"/>
  <c r="V17" i="12"/>
  <c r="V67" i="12" s="1"/>
  <c r="V49" i="12"/>
  <c r="V54" i="12"/>
  <c r="V50" i="12"/>
  <c r="V51" i="12"/>
  <c r="V55" i="12"/>
  <c r="K197" i="3"/>
  <c r="I52" i="12"/>
  <c r="I42" i="12"/>
  <c r="I32" i="12"/>
  <c r="I22" i="12"/>
  <c r="I72" i="12" s="1"/>
  <c r="S196" i="3"/>
  <c r="Q85" i="3"/>
  <c r="Q39" i="13"/>
  <c r="Q49" i="13"/>
  <c r="V46" i="13"/>
  <c r="V36" i="13"/>
  <c r="D207" i="3"/>
  <c r="K41" i="12"/>
  <c r="K31" i="12"/>
  <c r="K21" i="12"/>
  <c r="K71" i="12" s="1"/>
  <c r="K27" i="14"/>
  <c r="K51" i="12"/>
  <c r="K46" i="3"/>
  <c r="K6" i="12"/>
  <c r="P204" i="3"/>
  <c r="J207" i="3"/>
  <c r="D206" i="3"/>
  <c r="D52" i="3"/>
  <c r="R236" i="3"/>
  <c r="D46" i="13"/>
  <c r="D36" i="13"/>
  <c r="R5" i="13"/>
  <c r="G51" i="13"/>
  <c r="G41" i="13"/>
  <c r="G57" i="13"/>
  <c r="G53" i="13"/>
  <c r="G54" i="13"/>
  <c r="G59" i="13"/>
  <c r="G58" i="13"/>
  <c r="G56" i="13"/>
  <c r="G55" i="13"/>
  <c r="C21" i="12"/>
  <c r="C71" i="12" s="1"/>
  <c r="C27" i="14"/>
  <c r="C31" i="12"/>
  <c r="C41" i="12"/>
  <c r="C46" i="3"/>
  <c r="C6" i="12"/>
  <c r="I228" i="3"/>
  <c r="I73" i="3"/>
  <c r="I28" i="12"/>
  <c r="I18" i="12"/>
  <c r="I68" i="12" s="1"/>
  <c r="I48" i="12"/>
  <c r="I38" i="12"/>
  <c r="I24" i="14"/>
  <c r="D35" i="13"/>
  <c r="D45" i="13"/>
  <c r="D76" i="3"/>
  <c r="D6" i="13"/>
  <c r="D22" i="13" s="1"/>
  <c r="D5" i="13"/>
  <c r="R6" i="13"/>
  <c r="R22" i="13" s="1"/>
  <c r="J197" i="3"/>
  <c r="K227" i="3"/>
  <c r="C227" i="3"/>
  <c r="S44" i="13"/>
  <c r="S34" i="13"/>
  <c r="S75" i="3"/>
  <c r="S10" i="12"/>
  <c r="R10" i="12"/>
  <c r="S26" i="14"/>
  <c r="S30" i="12"/>
  <c r="S40" i="12"/>
  <c r="S20" i="12"/>
  <c r="S70" i="12" s="1"/>
  <c r="S45" i="3"/>
  <c r="P73" i="3"/>
  <c r="I198" i="3"/>
  <c r="D195" i="3"/>
  <c r="C10" i="13"/>
  <c r="C26" i="13" s="1"/>
  <c r="K32" i="12"/>
  <c r="K42" i="12"/>
  <c r="K22" i="12"/>
  <c r="K72" i="12" s="1"/>
  <c r="K52" i="12"/>
  <c r="K6" i="13"/>
  <c r="K22" i="13" s="1"/>
  <c r="O53" i="13"/>
  <c r="O51" i="13"/>
  <c r="O41" i="13"/>
  <c r="O57" i="13"/>
  <c r="O58" i="13"/>
  <c r="O55" i="13"/>
  <c r="O59" i="13"/>
  <c r="O54" i="13"/>
  <c r="O56" i="13"/>
  <c r="J32" i="12"/>
  <c r="J22" i="12"/>
  <c r="J72" i="12" s="1"/>
  <c r="J42" i="12"/>
  <c r="Q32" i="12"/>
  <c r="Q52" i="12"/>
  <c r="Q22" i="12"/>
  <c r="Q72" i="12" s="1"/>
  <c r="Q42" i="12"/>
  <c r="D237" i="3"/>
  <c r="C45" i="13"/>
  <c r="C35" i="13"/>
  <c r="C76" i="3"/>
  <c r="E58" i="11"/>
  <c r="E53" i="11" s="1"/>
  <c r="B84" i="3"/>
  <c r="B38" i="13"/>
  <c r="B48" i="13"/>
  <c r="P198" i="3"/>
  <c r="S18" i="13"/>
  <c r="B196" i="3"/>
  <c r="I207" i="3"/>
  <c r="S226" i="3"/>
  <c r="P237" i="3"/>
  <c r="H204" i="3"/>
  <c r="Q207" i="3"/>
  <c r="K236" i="3"/>
  <c r="J236" i="3"/>
  <c r="G225" i="3"/>
  <c r="D42" i="12"/>
  <c r="D32" i="12"/>
  <c r="D22" i="12"/>
  <c r="D72" i="12" s="1"/>
  <c r="D52" i="12"/>
  <c r="S54" i="3"/>
  <c r="S34" i="12"/>
  <c r="S24" i="12"/>
  <c r="S74" i="12" s="1"/>
  <c r="S44" i="12"/>
  <c r="Q84" i="3"/>
  <c r="Q48" i="13"/>
  <c r="Q38" i="13"/>
  <c r="Q10" i="13"/>
  <c r="Q26" i="13" s="1"/>
  <c r="H47" i="12"/>
  <c r="H37" i="12"/>
  <c r="H17" i="12"/>
  <c r="H67" i="12" s="1"/>
  <c r="H53" i="12"/>
  <c r="H49" i="12"/>
  <c r="H54" i="12"/>
  <c r="H50" i="12"/>
  <c r="H55" i="12"/>
  <c r="H51" i="12"/>
  <c r="H234" i="3"/>
  <c r="R227" i="3"/>
  <c r="B20" i="12"/>
  <c r="B70" i="12" s="1"/>
  <c r="B40" i="12"/>
  <c r="B30" i="12"/>
  <c r="B45" i="3"/>
  <c r="B26" i="14"/>
  <c r="T225" i="3"/>
  <c r="E47" i="12"/>
  <c r="E37" i="12"/>
  <c r="E17" i="12"/>
  <c r="E67" i="12" s="1"/>
  <c r="E53" i="12"/>
  <c r="E49" i="12"/>
  <c r="E54" i="12"/>
  <c r="E50" i="12"/>
  <c r="E51" i="12"/>
  <c r="E55" i="12"/>
  <c r="R27" i="14"/>
  <c r="R21" i="12"/>
  <c r="R71" i="12" s="1"/>
  <c r="R31" i="12"/>
  <c r="R41" i="12"/>
  <c r="R46" i="3"/>
  <c r="R6" i="12"/>
  <c r="C5" i="13"/>
  <c r="J39" i="13"/>
  <c r="J49" i="13"/>
  <c r="J85" i="3"/>
  <c r="R49" i="13"/>
  <c r="R39" i="13"/>
  <c r="R85" i="3"/>
  <c r="T52" i="13"/>
  <c r="T51" i="13"/>
  <c r="T41" i="13"/>
  <c r="T53" i="13"/>
  <c r="T57" i="13"/>
  <c r="T58" i="13"/>
  <c r="T59" i="13"/>
  <c r="T54" i="13"/>
  <c r="T56" i="13"/>
  <c r="T55" i="13"/>
  <c r="I47" i="12"/>
  <c r="I37" i="12"/>
  <c r="I17" i="12"/>
  <c r="I67" i="12" s="1"/>
  <c r="I53" i="12"/>
  <c r="I49" i="12"/>
  <c r="I50" i="12"/>
  <c r="I54" i="12"/>
  <c r="J41" i="12"/>
  <c r="J31" i="12"/>
  <c r="J21" i="12"/>
  <c r="J71" i="12" s="1"/>
  <c r="J27" i="14"/>
  <c r="J46" i="3"/>
  <c r="J6" i="12"/>
  <c r="I85" i="3"/>
  <c r="I39" i="13"/>
  <c r="I49" i="13"/>
  <c r="I10" i="13"/>
  <c r="I26" i="13" s="1"/>
  <c r="R5" i="12"/>
  <c r="J5" i="12"/>
  <c r="J227" i="3"/>
  <c r="P207" i="3"/>
  <c r="B34" i="13"/>
  <c r="B44" i="13"/>
  <c r="B75" i="3"/>
  <c r="P19" i="13"/>
  <c r="P3" i="13"/>
  <c r="P21" i="13" s="1"/>
  <c r="P43" i="3"/>
  <c r="V237" i="3"/>
  <c r="V82" i="3"/>
  <c r="R10" i="13"/>
  <c r="R26" i="13" s="1"/>
  <c r="C55" i="3"/>
  <c r="C25" i="12"/>
  <c r="C75" i="12" s="1"/>
  <c r="C45" i="12"/>
  <c r="C35" i="12"/>
  <c r="C10" i="12"/>
  <c r="E19" i="13"/>
  <c r="E3" i="13"/>
  <c r="E21" i="13" s="1"/>
  <c r="V52" i="12"/>
  <c r="D48" i="12"/>
  <c r="D37" i="12"/>
  <c r="D17" i="12"/>
  <c r="D67" i="12" s="1"/>
  <c r="D47" i="12"/>
  <c r="D53" i="12"/>
  <c r="D49" i="12"/>
  <c r="D50" i="12"/>
  <c r="S10" i="13"/>
  <c r="S26" i="13" s="1"/>
  <c r="C51" i="12" l="1"/>
  <c r="C82" i="3"/>
  <c r="C234" i="3" s="1"/>
  <c r="R73" i="3"/>
  <c r="K43" i="3"/>
  <c r="R52" i="3"/>
  <c r="R204" i="3" s="1"/>
  <c r="I195" i="3"/>
  <c r="B5" i="12"/>
  <c r="C55" i="12"/>
  <c r="S36" i="13"/>
  <c r="S46" i="13"/>
  <c r="V234" i="3"/>
  <c r="B227" i="3"/>
  <c r="J198" i="3"/>
  <c r="J43" i="3"/>
  <c r="C228" i="3"/>
  <c r="I237" i="3"/>
  <c r="I82" i="3"/>
  <c r="J82" i="3"/>
  <c r="J237" i="3"/>
  <c r="R198" i="3"/>
  <c r="R43" i="3"/>
  <c r="Q36" i="13"/>
  <c r="Q46" i="13"/>
  <c r="C18" i="12"/>
  <c r="C68" i="12" s="1"/>
  <c r="C28" i="12"/>
  <c r="C48" i="12"/>
  <c r="C38" i="12"/>
  <c r="C24" i="14"/>
  <c r="S6" i="13"/>
  <c r="S22" i="13" s="1"/>
  <c r="S35" i="13"/>
  <c r="S45" i="13"/>
  <c r="S76" i="3"/>
  <c r="S21" i="12"/>
  <c r="S71" i="12" s="1"/>
  <c r="S41" i="12"/>
  <c r="S31" i="12"/>
  <c r="S46" i="3"/>
  <c r="S27" i="14"/>
  <c r="S6" i="12"/>
  <c r="C73" i="3"/>
  <c r="K198" i="3"/>
  <c r="G103" i="11"/>
  <c r="S55" i="3"/>
  <c r="S45" i="12"/>
  <c r="S25" i="12"/>
  <c r="S75" i="12" s="1"/>
  <c r="S35" i="12"/>
  <c r="R42" i="13"/>
  <c r="R32" i="13"/>
  <c r="J45" i="13"/>
  <c r="J35" i="13"/>
  <c r="J76" i="3"/>
  <c r="J6" i="13"/>
  <c r="J22" i="13" s="1"/>
  <c r="J5" i="13"/>
  <c r="R207" i="3"/>
  <c r="Q228" i="3"/>
  <c r="Q73" i="3"/>
  <c r="C207" i="3"/>
  <c r="C52" i="3"/>
  <c r="K85" i="3"/>
  <c r="K39" i="13"/>
  <c r="K49" i="13"/>
  <c r="K10" i="13"/>
  <c r="K26" i="13" s="1"/>
  <c r="R3" i="12"/>
  <c r="S5" i="12"/>
  <c r="C198" i="3"/>
  <c r="C43" i="3"/>
  <c r="D204" i="3"/>
  <c r="K207" i="3"/>
  <c r="Q204" i="3"/>
  <c r="I41" i="13"/>
  <c r="I51" i="13"/>
  <c r="I57" i="13"/>
  <c r="I53" i="13"/>
  <c r="I58" i="13"/>
  <c r="I54" i="13"/>
  <c r="I55" i="13"/>
  <c r="I52" i="13"/>
  <c r="B35" i="13"/>
  <c r="B45" i="13"/>
  <c r="B76" i="3"/>
  <c r="E52" i="13"/>
  <c r="E41" i="13"/>
  <c r="E51" i="13"/>
  <c r="E53" i="13"/>
  <c r="E57" i="13"/>
  <c r="E54" i="13"/>
  <c r="E58" i="13"/>
  <c r="E59" i="13"/>
  <c r="E56" i="13"/>
  <c r="E55" i="13"/>
  <c r="I36" i="13"/>
  <c r="I46" i="13"/>
  <c r="I56" i="13"/>
  <c r="R82" i="3"/>
  <c r="R237" i="3"/>
  <c r="S206" i="3"/>
  <c r="S227" i="3"/>
  <c r="B35" i="12"/>
  <c r="B45" i="12"/>
  <c r="B25" i="12"/>
  <c r="B75" i="12" s="1"/>
  <c r="B55" i="3"/>
  <c r="Q237" i="3"/>
  <c r="B54" i="3"/>
  <c r="B44" i="12"/>
  <c r="B34" i="12"/>
  <c r="B24" i="12"/>
  <c r="B74" i="12" s="1"/>
  <c r="B10" i="12"/>
  <c r="I101" i="11"/>
  <c r="S39" i="13"/>
  <c r="S85" i="3"/>
  <c r="S49" i="13"/>
  <c r="F58" i="11"/>
  <c r="F53" i="11" s="1"/>
  <c r="R36" i="13"/>
  <c r="R46" i="13"/>
  <c r="P195" i="3"/>
  <c r="I59" i="13"/>
  <c r="C19" i="13"/>
  <c r="C3" i="13"/>
  <c r="B197" i="3"/>
  <c r="B236" i="3"/>
  <c r="C46" i="13"/>
  <c r="C36" i="13"/>
  <c r="P225" i="3"/>
  <c r="R22" i="12"/>
  <c r="R72" i="12" s="1"/>
  <c r="R42" i="12"/>
  <c r="R32" i="12"/>
  <c r="D19" i="13"/>
  <c r="D3" i="13"/>
  <c r="D21" i="13" s="1"/>
  <c r="R19" i="13"/>
  <c r="R3" i="13"/>
  <c r="J204" i="3"/>
  <c r="K228" i="3"/>
  <c r="K73" i="3"/>
  <c r="C22" i="12"/>
  <c r="C72" i="12" s="1"/>
  <c r="C42" i="12"/>
  <c r="C32" i="12"/>
  <c r="C52" i="12"/>
  <c r="P56" i="13"/>
  <c r="P51" i="13"/>
  <c r="P41" i="13"/>
  <c r="P57" i="13"/>
  <c r="P53" i="13"/>
  <c r="P54" i="13"/>
  <c r="P58" i="13"/>
  <c r="P52" i="13"/>
  <c r="P55" i="13"/>
  <c r="P59" i="13"/>
  <c r="K5" i="13"/>
  <c r="Q236" i="3"/>
  <c r="Q82" i="3"/>
  <c r="K32" i="13"/>
  <c r="K42" i="13"/>
  <c r="S197" i="3"/>
  <c r="S5" i="13"/>
  <c r="D42" i="13"/>
  <c r="D32" i="13"/>
  <c r="K28" i="12"/>
  <c r="K18" i="12"/>
  <c r="K68" i="12" s="1"/>
  <c r="K38" i="12"/>
  <c r="K48" i="12"/>
  <c r="K24" i="14"/>
  <c r="B21" i="12"/>
  <c r="B71" i="12" s="1"/>
  <c r="B41" i="12"/>
  <c r="B31" i="12"/>
  <c r="B27" i="14"/>
  <c r="B46" i="3"/>
  <c r="B6" i="12"/>
  <c r="C237" i="3"/>
  <c r="E43" i="11"/>
  <c r="E95" i="11" s="1"/>
  <c r="E100" i="11"/>
  <c r="Q42" i="13"/>
  <c r="Q32" i="13"/>
  <c r="R228" i="3"/>
  <c r="C37" i="12"/>
  <c r="C47" i="12"/>
  <c r="C17" i="12"/>
  <c r="C67" i="12" s="1"/>
  <c r="C53" i="12"/>
  <c r="C49" i="12"/>
  <c r="C54" i="12"/>
  <c r="C50" i="12"/>
  <c r="G102" i="11"/>
  <c r="G48" i="11"/>
  <c r="B5" i="13"/>
  <c r="B6" i="13"/>
  <c r="B22" i="13" s="1"/>
  <c r="J3" i="12"/>
  <c r="J28" i="12"/>
  <c r="J38" i="12"/>
  <c r="J24" i="14"/>
  <c r="J18" i="12"/>
  <c r="J68" i="12" s="1"/>
  <c r="R28" i="12"/>
  <c r="R38" i="12"/>
  <c r="R18" i="12"/>
  <c r="R68" i="12" s="1"/>
  <c r="R24" i="14"/>
  <c r="S42" i="12"/>
  <c r="S22" i="12"/>
  <c r="S72" i="12" s="1"/>
  <c r="S32" i="12"/>
  <c r="D228" i="3"/>
  <c r="D73" i="3"/>
  <c r="I225" i="3"/>
  <c r="K52" i="3"/>
  <c r="E225" i="3"/>
  <c r="V56" i="13"/>
  <c r="V41" i="13"/>
  <c r="V51" i="13"/>
  <c r="V57" i="13"/>
  <c r="V53" i="13"/>
  <c r="V54" i="13"/>
  <c r="V55" i="13"/>
  <c r="V58" i="13"/>
  <c r="V52" i="13"/>
  <c r="V59" i="13"/>
  <c r="F102" i="11"/>
  <c r="F48" i="11"/>
  <c r="Q19" i="13"/>
  <c r="Q3" i="13"/>
  <c r="Q21" i="13" s="1"/>
  <c r="S236" i="3"/>
  <c r="J48" i="12" l="1"/>
  <c r="R52" i="12"/>
  <c r="C56" i="13"/>
  <c r="C21" i="13"/>
  <c r="R52" i="13"/>
  <c r="R21" i="13"/>
  <c r="S82" i="3"/>
  <c r="B73" i="3"/>
  <c r="B225" i="3" s="1"/>
  <c r="R225" i="3"/>
  <c r="S43" i="3"/>
  <c r="S195" i="3" s="1"/>
  <c r="S52" i="3"/>
  <c r="S204" i="3" s="1"/>
  <c r="K195" i="3"/>
  <c r="B3" i="12"/>
  <c r="B54" i="12" s="1"/>
  <c r="R56" i="13"/>
  <c r="B19" i="13"/>
  <c r="B3" i="13"/>
  <c r="B52" i="13" s="1"/>
  <c r="K204" i="3"/>
  <c r="B38" i="12"/>
  <c r="B28" i="12"/>
  <c r="B18" i="12"/>
  <c r="B68" i="12" s="1"/>
  <c r="B24" i="14"/>
  <c r="B207" i="3"/>
  <c r="J19" i="13"/>
  <c r="J3" i="13"/>
  <c r="S18" i="12"/>
  <c r="S68" i="12" s="1"/>
  <c r="S38" i="12"/>
  <c r="S28" i="12"/>
  <c r="S24" i="14"/>
  <c r="S32" i="13"/>
  <c r="S42" i="13"/>
  <c r="R195" i="3"/>
  <c r="B42" i="13"/>
  <c r="B32" i="13"/>
  <c r="S19" i="13"/>
  <c r="S3" i="13"/>
  <c r="K19" i="13"/>
  <c r="K3" i="13"/>
  <c r="K21" i="13" s="1"/>
  <c r="K225" i="3"/>
  <c r="D52" i="13"/>
  <c r="D41" i="13"/>
  <c r="D51" i="13"/>
  <c r="D53" i="13"/>
  <c r="D57" i="13"/>
  <c r="D54" i="13"/>
  <c r="D58" i="13"/>
  <c r="D59" i="13"/>
  <c r="D55" i="13"/>
  <c r="D56" i="13"/>
  <c r="J42" i="13"/>
  <c r="J32" i="13"/>
  <c r="H103" i="11"/>
  <c r="H102" i="11"/>
  <c r="Q234" i="3"/>
  <c r="B206" i="3"/>
  <c r="B52" i="3"/>
  <c r="K237" i="3"/>
  <c r="K82" i="3"/>
  <c r="S198" i="3"/>
  <c r="S228" i="3"/>
  <c r="Q59" i="13"/>
  <c r="Q51" i="13"/>
  <c r="Q41" i="13"/>
  <c r="Q57" i="13"/>
  <c r="Q53" i="13"/>
  <c r="Q54" i="13"/>
  <c r="Q55" i="13"/>
  <c r="Q58" i="13"/>
  <c r="J101" i="11"/>
  <c r="G58" i="11"/>
  <c r="G53" i="11" s="1"/>
  <c r="F43" i="11"/>
  <c r="F95" i="11" s="1"/>
  <c r="F100" i="11"/>
  <c r="S3" i="12"/>
  <c r="R48" i="12"/>
  <c r="R47" i="12"/>
  <c r="R17" i="12"/>
  <c r="R67" i="12" s="1"/>
  <c r="R37" i="12"/>
  <c r="R53" i="12"/>
  <c r="R49" i="12"/>
  <c r="R54" i="12"/>
  <c r="R50" i="12"/>
  <c r="R55" i="12"/>
  <c r="R51" i="12"/>
  <c r="C204" i="3"/>
  <c r="S207" i="3"/>
  <c r="Q56" i="13"/>
  <c r="D225" i="3"/>
  <c r="C52" i="13"/>
  <c r="C41" i="13"/>
  <c r="C51" i="13"/>
  <c r="C53" i="13"/>
  <c r="C57" i="13"/>
  <c r="C58" i="13"/>
  <c r="C54" i="13"/>
  <c r="C59" i="13"/>
  <c r="C55" i="13"/>
  <c r="Q225" i="3"/>
  <c r="J228" i="3"/>
  <c r="J73" i="3"/>
  <c r="J50" i="12"/>
  <c r="J47" i="12"/>
  <c r="J37" i="12"/>
  <c r="J17" i="12"/>
  <c r="J67" i="12" s="1"/>
  <c r="J53" i="12"/>
  <c r="J49" i="12"/>
  <c r="J55" i="12"/>
  <c r="J54" i="12"/>
  <c r="J52" i="12"/>
  <c r="J51" i="12"/>
  <c r="Q52" i="13"/>
  <c r="R55" i="13"/>
  <c r="R51" i="13"/>
  <c r="R41" i="13"/>
  <c r="R57" i="13"/>
  <c r="R53" i="13"/>
  <c r="R54" i="13"/>
  <c r="R58" i="13"/>
  <c r="R59" i="13"/>
  <c r="S237" i="3"/>
  <c r="C195" i="3"/>
  <c r="J234" i="3"/>
  <c r="S73" i="3"/>
  <c r="B39" i="13"/>
  <c r="B49" i="13"/>
  <c r="B85" i="3"/>
  <c r="B10" i="13"/>
  <c r="B26" i="13" s="1"/>
  <c r="B198" i="3"/>
  <c r="G43" i="11"/>
  <c r="G95" i="11" s="1"/>
  <c r="G100" i="11"/>
  <c r="B42" i="12"/>
  <c r="B32" i="12"/>
  <c r="B22" i="12"/>
  <c r="B72" i="12" s="1"/>
  <c r="R234" i="3"/>
  <c r="B228" i="3"/>
  <c r="K36" i="13"/>
  <c r="K46" i="13"/>
  <c r="C225" i="3"/>
  <c r="I234" i="3"/>
  <c r="J195" i="3"/>
  <c r="B43" i="3"/>
  <c r="B53" i="12" l="1"/>
  <c r="B17" i="12"/>
  <c r="B67" i="12" s="1"/>
  <c r="K56" i="13"/>
  <c r="B49" i="12"/>
  <c r="J52" i="13"/>
  <c r="J21" i="13"/>
  <c r="B51" i="12"/>
  <c r="B47" i="12"/>
  <c r="B37" i="12"/>
  <c r="B52" i="12"/>
  <c r="B48" i="12"/>
  <c r="S234" i="3"/>
  <c r="B59" i="13"/>
  <c r="B21" i="13"/>
  <c r="S52" i="13"/>
  <c r="S21" i="13"/>
  <c r="B50" i="12"/>
  <c r="B55" i="12"/>
  <c r="I103" i="11"/>
  <c r="B56" i="13"/>
  <c r="B51" i="13"/>
  <c r="B41" i="13"/>
  <c r="B53" i="13"/>
  <c r="B57" i="13"/>
  <c r="B58" i="13"/>
  <c r="B54" i="13"/>
  <c r="B55" i="13"/>
  <c r="B195" i="3"/>
  <c r="K51" i="13"/>
  <c r="K41" i="13"/>
  <c r="K57" i="13"/>
  <c r="K53" i="13"/>
  <c r="K54" i="13"/>
  <c r="K58" i="13"/>
  <c r="K55" i="13"/>
  <c r="K52" i="13"/>
  <c r="K59" i="13"/>
  <c r="I102" i="11"/>
  <c r="J225" i="3"/>
  <c r="S17" i="12"/>
  <c r="S67" i="12" s="1"/>
  <c r="S47" i="12"/>
  <c r="S37" i="12"/>
  <c r="S53" i="12"/>
  <c r="S49" i="12"/>
  <c r="S50" i="12"/>
  <c r="S54" i="12"/>
  <c r="S51" i="12"/>
  <c r="S52" i="12"/>
  <c r="S55" i="12"/>
  <c r="B204" i="3"/>
  <c r="H48" i="11"/>
  <c r="S51" i="13"/>
  <c r="S41" i="13"/>
  <c r="S57" i="13"/>
  <c r="S53" i="13"/>
  <c r="S54" i="13"/>
  <c r="S58" i="13"/>
  <c r="S55" i="13"/>
  <c r="S59" i="13"/>
  <c r="S56" i="13"/>
  <c r="J53" i="13"/>
  <c r="J51" i="13"/>
  <c r="J41" i="13"/>
  <c r="J57" i="13"/>
  <c r="J54" i="13"/>
  <c r="J58" i="13"/>
  <c r="J59" i="13"/>
  <c r="J56" i="13"/>
  <c r="J55" i="13"/>
  <c r="H58" i="11"/>
  <c r="H53" i="11" s="1"/>
  <c r="K101" i="11"/>
  <c r="B36" i="13"/>
  <c r="B46" i="13"/>
  <c r="S225" i="3"/>
  <c r="S48" i="12"/>
  <c r="B237" i="3"/>
  <c r="B82" i="3"/>
  <c r="K234" i="3"/>
  <c r="I48" i="11" l="1"/>
  <c r="I43" i="11" s="1"/>
  <c r="I95" i="11" s="1"/>
  <c r="L101" i="11"/>
  <c r="J103" i="11"/>
  <c r="B234" i="3"/>
  <c r="I58" i="11"/>
  <c r="I53" i="11" s="1"/>
  <c r="H43" i="11"/>
  <c r="H95" i="11" s="1"/>
  <c r="H100" i="11"/>
  <c r="J102" i="11"/>
  <c r="I100" i="11" l="1"/>
  <c r="J48" i="11"/>
  <c r="J100" i="11" s="1"/>
  <c r="K103" i="11"/>
  <c r="J58" i="11"/>
  <c r="J53" i="11" s="1"/>
  <c r="K102" i="11"/>
  <c r="K48" i="11"/>
  <c r="M101" i="11"/>
  <c r="J43" i="11" l="1"/>
  <c r="J95" i="11" s="1"/>
  <c r="L103" i="11"/>
  <c r="K43" i="11"/>
  <c r="K95" i="11" s="1"/>
  <c r="K100" i="11"/>
  <c r="K58" i="11"/>
  <c r="K53" i="11" s="1"/>
  <c r="L102" i="11"/>
  <c r="L48" i="11"/>
  <c r="N101" i="11"/>
  <c r="L58" i="11" l="1"/>
  <c r="L53" i="11" s="1"/>
  <c r="L100" i="11"/>
  <c r="L43" i="11"/>
  <c r="L95" i="11" s="1"/>
  <c r="O101" i="11"/>
  <c r="M102" i="11"/>
  <c r="M103" i="11"/>
  <c r="M48" i="11" l="1"/>
  <c r="M43" i="11" s="1"/>
  <c r="M95" i="11" s="1"/>
  <c r="N103" i="11"/>
  <c r="P101" i="11"/>
  <c r="N102" i="11"/>
  <c r="M58" i="11"/>
  <c r="M53" i="11" s="1"/>
  <c r="M100" i="11" l="1"/>
  <c r="Q101" i="11"/>
  <c r="O103" i="11"/>
  <c r="O102" i="11"/>
  <c r="O48" i="11"/>
  <c r="N48" i="11"/>
  <c r="P102" i="11" l="1"/>
  <c r="P103" i="11"/>
  <c r="O58" i="11"/>
  <c r="O53" i="11" s="1"/>
  <c r="N43" i="11"/>
  <c r="N95" i="11" s="1"/>
  <c r="N100" i="11"/>
  <c r="O43" i="11"/>
  <c r="O95" i="11" s="1"/>
  <c r="O100" i="11"/>
  <c r="R101" i="11"/>
  <c r="N58" i="11"/>
  <c r="N53" i="11" s="1"/>
  <c r="S101" i="11" l="1"/>
  <c r="Q102" i="11"/>
  <c r="P58" i="11"/>
  <c r="P53" i="11" s="1"/>
  <c r="Q103" i="11"/>
  <c r="P48" i="11"/>
  <c r="Q48" i="11" l="1"/>
  <c r="Q100" i="11" s="1"/>
  <c r="Q58" i="11"/>
  <c r="Q53" i="11" s="1"/>
  <c r="P43" i="11"/>
  <c r="P95" i="11" s="1"/>
  <c r="P100" i="11"/>
  <c r="R103" i="11"/>
  <c r="R102" i="11"/>
  <c r="T101" i="11"/>
  <c r="Q43" i="11" l="1"/>
  <c r="Q95" i="11" s="1"/>
  <c r="R48" i="11"/>
  <c r="U101" i="11"/>
  <c r="R58" i="11"/>
  <c r="R53" i="11" s="1"/>
  <c r="S103" i="11"/>
  <c r="R43" i="11"/>
  <c r="R95" i="11" s="1"/>
  <c r="R100" i="11"/>
  <c r="S102" i="11"/>
  <c r="S48" i="11"/>
  <c r="S43" i="11" l="1"/>
  <c r="S95" i="11" s="1"/>
  <c r="S100" i="11"/>
  <c r="V101" i="11"/>
  <c r="T102" i="11"/>
  <c r="S58" i="11"/>
  <c r="S53" i="11" s="1"/>
  <c r="T103" i="11"/>
  <c r="T48" i="11" l="1"/>
  <c r="T58" i="11"/>
  <c r="T53" i="11" s="1"/>
  <c r="T43" i="11"/>
  <c r="T95" i="11" s="1"/>
  <c r="T100" i="11"/>
  <c r="U102" i="11"/>
  <c r="U103" i="11"/>
  <c r="U48" i="11" l="1"/>
  <c r="V102" i="11"/>
  <c r="U58" i="11"/>
  <c r="U53" i="11" s="1"/>
  <c r="V103" i="11"/>
  <c r="U43" i="11"/>
  <c r="U95" i="11" s="1"/>
  <c r="U100" i="11"/>
  <c r="V58" i="11" l="1"/>
  <c r="V53" i="11" s="1"/>
  <c r="V48" i="11"/>
  <c r="V43" i="11" l="1"/>
  <c r="V95" i="11" s="1"/>
  <c r="V100" i="11"/>
  <c r="X10" i="5" l="1"/>
  <c r="X5" i="5"/>
  <c r="Y51" i="6"/>
  <c r="X51" i="6"/>
  <c r="X50" i="6"/>
  <c r="X5" i="6"/>
  <c r="Y5" i="6"/>
  <c r="Y5" i="5"/>
  <c r="X48" i="6"/>
  <c r="Y10" i="5"/>
  <c r="Y50" i="6"/>
  <c r="X10" i="6" l="1"/>
  <c r="Y10" i="6"/>
  <c r="Y4" i="6" s="1"/>
  <c r="X49" i="6"/>
  <c r="X4" i="6"/>
  <c r="Y49" i="6"/>
  <c r="Y48" i="6"/>
  <c r="W10" i="6" l="1"/>
  <c r="L10" i="6" l="1"/>
  <c r="M10" i="6"/>
  <c r="J10" i="6" l="1"/>
  <c r="N10" i="6"/>
  <c r="B10" i="6"/>
  <c r="K10" i="6"/>
  <c r="U10" i="6"/>
  <c r="C10" i="6"/>
  <c r="F10" i="6"/>
  <c r="I10" i="6"/>
  <c r="E10" i="6"/>
  <c r="H10" i="6"/>
  <c r="G10" i="6"/>
  <c r="Q10" i="6"/>
  <c r="T10" i="6"/>
  <c r="S10" i="6"/>
  <c r="R10" i="6"/>
  <c r="P10" i="6"/>
  <c r="O10" i="6"/>
  <c r="D10" i="6"/>
  <c r="V10" i="6"/>
  <c r="I49" i="6" l="1"/>
  <c r="I5" i="5"/>
  <c r="S49" i="6"/>
  <c r="I48" i="6"/>
  <c r="D49" i="6"/>
  <c r="L49" i="6"/>
  <c r="G51" i="6"/>
  <c r="O51" i="6"/>
  <c r="C10" i="5" l="1"/>
  <c r="D10" i="5"/>
  <c r="B10" i="5"/>
  <c r="I10" i="5"/>
  <c r="S10" i="5"/>
  <c r="S5" i="5"/>
  <c r="L5" i="5"/>
  <c r="D5" i="5"/>
  <c r="Q10" i="5"/>
  <c r="T5" i="5"/>
  <c r="N51" i="6"/>
  <c r="K10" i="5"/>
  <c r="J5" i="5"/>
  <c r="C5" i="5"/>
  <c r="O48" i="6"/>
  <c r="T10" i="5"/>
  <c r="L10" i="5"/>
  <c r="J49" i="6"/>
  <c r="W51" i="6"/>
  <c r="Q5" i="5"/>
  <c r="R10" i="5"/>
  <c r="B49" i="6"/>
  <c r="F51" i="6"/>
  <c r="J10" i="5"/>
  <c r="B5" i="5"/>
  <c r="K49" i="6"/>
  <c r="B48" i="6"/>
  <c r="U50" i="6"/>
  <c r="U5" i="6"/>
  <c r="D50" i="6"/>
  <c r="D5" i="6"/>
  <c r="J51" i="6"/>
  <c r="I5" i="6"/>
  <c r="I4" i="6" s="1"/>
  <c r="I50" i="6"/>
  <c r="I51" i="6"/>
  <c r="N10" i="5"/>
  <c r="F5" i="5"/>
  <c r="M49" i="6"/>
  <c r="W50" i="6"/>
  <c r="E10" i="5"/>
  <c r="Q48" i="6"/>
  <c r="C49" i="6"/>
  <c r="R49" i="6"/>
  <c r="G48" i="6"/>
  <c r="S5" i="6"/>
  <c r="S50" i="6"/>
  <c r="R50" i="6"/>
  <c r="S48" i="6"/>
  <c r="U51" i="6"/>
  <c r="B51" i="6"/>
  <c r="H5" i="5"/>
  <c r="T51" i="6"/>
  <c r="S51" i="6"/>
  <c r="H49" i="6"/>
  <c r="W49" i="6"/>
  <c r="L48" i="6"/>
  <c r="O10" i="5"/>
  <c r="V49" i="6"/>
  <c r="K48" i="6"/>
  <c r="H50" i="6"/>
  <c r="F10" i="5"/>
  <c r="P51" i="6"/>
  <c r="E49" i="6"/>
  <c r="U5" i="5"/>
  <c r="N5" i="6"/>
  <c r="N4" i="6" s="1"/>
  <c r="N50" i="6"/>
  <c r="T49" i="6"/>
  <c r="L51" i="6"/>
  <c r="V48" i="6"/>
  <c r="K51" i="6"/>
  <c r="U48" i="6"/>
  <c r="P10" i="5"/>
  <c r="G10" i="5"/>
  <c r="P48" i="6"/>
  <c r="M50" i="6"/>
  <c r="M5" i="6"/>
  <c r="W48" i="6"/>
  <c r="T50" i="6"/>
  <c r="K5" i="6"/>
  <c r="K50" i="6"/>
  <c r="O49" i="6"/>
  <c r="D48" i="6"/>
  <c r="N49" i="6"/>
  <c r="C48" i="6"/>
  <c r="H51" i="6"/>
  <c r="R48" i="6"/>
  <c r="U10" i="5"/>
  <c r="M5" i="5"/>
  <c r="E50" i="6"/>
  <c r="E5" i="6"/>
  <c r="K5" i="5"/>
  <c r="M51" i="6"/>
  <c r="L5" i="6"/>
  <c r="L50" i="6"/>
  <c r="D51" i="6"/>
  <c r="N48" i="6"/>
  <c r="C51" i="6"/>
  <c r="M48" i="6"/>
  <c r="H10" i="5"/>
  <c r="P5" i="5"/>
  <c r="Q50" i="6"/>
  <c r="W5" i="5"/>
  <c r="V5" i="5"/>
  <c r="O5" i="6"/>
  <c r="O4" i="6" s="1"/>
  <c r="O50" i="6"/>
  <c r="F5" i="6"/>
  <c r="F4" i="6" s="1"/>
  <c r="F50" i="6"/>
  <c r="V5" i="6"/>
  <c r="V50" i="6"/>
  <c r="H48" i="6"/>
  <c r="G5" i="5"/>
  <c r="E51" i="6"/>
  <c r="J5" i="6"/>
  <c r="J4" i="6" s="1"/>
  <c r="J50" i="6"/>
  <c r="R51" i="6"/>
  <c r="G49" i="6"/>
  <c r="V10" i="5"/>
  <c r="N5" i="5"/>
  <c r="U49" i="6"/>
  <c r="J48" i="6"/>
  <c r="M10" i="5"/>
  <c r="V51" i="6"/>
  <c r="R5" i="5"/>
  <c r="Q49" i="6"/>
  <c r="F48" i="6"/>
  <c r="C50" i="6"/>
  <c r="P49" i="6"/>
  <c r="E48" i="6"/>
  <c r="T48" i="6"/>
  <c r="W10" i="5"/>
  <c r="O5" i="5"/>
  <c r="Q51" i="6"/>
  <c r="F49" i="6"/>
  <c r="P50" i="6"/>
  <c r="G5" i="6"/>
  <c r="G4" i="6" s="1"/>
  <c r="G50" i="6"/>
  <c r="B5" i="6"/>
  <c r="B4" i="6" s="1"/>
  <c r="B50" i="6"/>
  <c r="E5" i="5"/>
  <c r="C5" i="6" l="1"/>
  <c r="C4" i="6" s="1"/>
  <c r="L4" i="6"/>
  <c r="T5" i="6"/>
  <c r="T4" i="6" s="1"/>
  <c r="E4" i="6"/>
  <c r="H5" i="6"/>
  <c r="H4" i="6" s="1"/>
  <c r="W5" i="6"/>
  <c r="W4" i="6" s="1"/>
  <c r="D4" i="6"/>
  <c r="P5" i="6"/>
  <c r="P4" i="6" s="1"/>
  <c r="R5" i="6"/>
  <c r="R4" i="6" s="1"/>
  <c r="U4" i="6"/>
  <c r="M4" i="6"/>
  <c r="V4" i="6"/>
  <c r="Q5" i="6"/>
  <c r="Q4" i="6" s="1"/>
  <c r="K4" i="6"/>
  <c r="S4" i="6"/>
  <c r="J11" i="7" l="1"/>
  <c r="K11" i="7" l="1"/>
  <c r="B38" i="7" l="1"/>
  <c r="H38" i="7" l="1"/>
  <c r="E38" i="7"/>
  <c r="D38" i="7"/>
  <c r="J38" i="7"/>
  <c r="F38" i="7"/>
  <c r="I38" i="7"/>
  <c r="C38" i="7"/>
  <c r="G38" i="7"/>
  <c r="I123" i="7" l="1"/>
  <c r="I204" i="7"/>
  <c r="I11" i="7"/>
  <c r="C123" i="7"/>
  <c r="C204" i="7"/>
  <c r="C11" i="7"/>
  <c r="G204" i="7"/>
  <c r="G123" i="7"/>
  <c r="G11" i="7"/>
  <c r="H123" i="7"/>
  <c r="H204" i="7"/>
  <c r="H11" i="7"/>
  <c r="B204" i="7"/>
  <c r="B11" i="7"/>
  <c r="B123" i="7"/>
  <c r="F11" i="7"/>
  <c r="F204" i="7"/>
  <c r="F123" i="7"/>
  <c r="D123" i="7"/>
  <c r="D204" i="7"/>
  <c r="D11" i="7"/>
  <c r="E204" i="7"/>
  <c r="E123" i="7"/>
  <c r="E11" i="7"/>
  <c r="K38" i="7"/>
  <c r="L11" i="7" l="1"/>
  <c r="L38" i="7"/>
  <c r="M11" i="7" l="1"/>
  <c r="N11" i="7" l="1"/>
  <c r="P32" i="7" l="1"/>
  <c r="M32" i="7"/>
  <c r="O32" i="7"/>
  <c r="Q32" i="7" l="1"/>
  <c r="N32" i="7"/>
  <c r="L32" i="7" l="1"/>
  <c r="R32" i="7"/>
  <c r="B32" i="7"/>
  <c r="S32" i="7"/>
  <c r="O5" i="7"/>
  <c r="K5" i="7" l="1"/>
  <c r="K32" i="7"/>
  <c r="M5" i="7"/>
  <c r="N5" i="7"/>
  <c r="P5" i="7"/>
  <c r="R5" i="7"/>
  <c r="L5" i="7"/>
  <c r="Q5" i="7"/>
  <c r="T32" i="7" l="1"/>
  <c r="T5" i="7" l="1"/>
  <c r="J5" i="7"/>
  <c r="S5" i="7"/>
  <c r="M38" i="7" l="1"/>
  <c r="N38" i="7" l="1"/>
  <c r="B44" i="7" l="1"/>
  <c r="B43" i="7"/>
  <c r="B51" i="7"/>
  <c r="B52" i="7"/>
  <c r="B45" i="7"/>
  <c r="B37" i="7"/>
  <c r="D32" i="7"/>
  <c r="B50" i="7"/>
  <c r="C32" i="7" l="1"/>
  <c r="F32" i="7"/>
  <c r="B41" i="7"/>
  <c r="E32" i="7"/>
  <c r="G32" i="7"/>
  <c r="H32" i="7"/>
  <c r="B36" i="7"/>
  <c r="B39" i="7"/>
  <c r="B49" i="7"/>
  <c r="B35" i="7"/>
  <c r="U32" i="7" l="1"/>
  <c r="B16" i="7"/>
  <c r="B18" i="7"/>
  <c r="B24" i="7"/>
  <c r="B114" i="4"/>
  <c r="B34" i="7"/>
  <c r="I32" i="7"/>
  <c r="B25" i="7"/>
  <c r="B23" i="7"/>
  <c r="B10" i="7"/>
  <c r="J32" i="7"/>
  <c r="V32" i="7"/>
  <c r="O38" i="7"/>
  <c r="O11" i="7" l="1"/>
  <c r="H5" i="7"/>
  <c r="C5" i="7"/>
  <c r="P11" i="7"/>
  <c r="B33" i="7"/>
  <c r="I5" i="7"/>
  <c r="B5" i="7"/>
  <c r="B124" i="7"/>
  <c r="B12" i="7"/>
  <c r="B8" i="7"/>
  <c r="F5" i="7"/>
  <c r="B128" i="4"/>
  <c r="B48" i="7"/>
  <c r="B14" i="7"/>
  <c r="D5" i="7"/>
  <c r="E5" i="7"/>
  <c r="U5" i="7"/>
  <c r="G5" i="7"/>
  <c r="C52" i="7"/>
  <c r="C39" i="7"/>
  <c r="C50" i="7"/>
  <c r="C37" i="7"/>
  <c r="C51" i="7"/>
  <c r="P38" i="7"/>
  <c r="C43" i="7"/>
  <c r="C45" i="7"/>
  <c r="C25" i="7" l="1"/>
  <c r="X32" i="7"/>
  <c r="C16" i="7"/>
  <c r="B42" i="7"/>
  <c r="B121" i="4"/>
  <c r="W32" i="7"/>
  <c r="C10" i="7"/>
  <c r="C41" i="7"/>
  <c r="C18" i="7"/>
  <c r="C23" i="7"/>
  <c r="B47" i="7"/>
  <c r="C24" i="7"/>
  <c r="V5" i="7"/>
  <c r="C124" i="7" l="1"/>
  <c r="C12" i="7"/>
  <c r="B40" i="7"/>
  <c r="B112" i="4"/>
  <c r="Y32" i="7"/>
  <c r="C14" i="7"/>
  <c r="X5" i="7"/>
  <c r="W5" i="7"/>
  <c r="D50" i="7"/>
  <c r="D39" i="7"/>
  <c r="D52" i="7"/>
  <c r="D37" i="7"/>
  <c r="D51" i="7"/>
  <c r="Q38" i="7"/>
  <c r="D43" i="7"/>
  <c r="D45" i="7"/>
  <c r="D23" i="7" l="1"/>
  <c r="D16" i="7"/>
  <c r="D18" i="7"/>
  <c r="Q11" i="7"/>
  <c r="D25" i="7"/>
  <c r="D10" i="7"/>
  <c r="B31" i="7"/>
  <c r="D24" i="7"/>
  <c r="D41" i="7"/>
  <c r="D12" i="7" l="1"/>
  <c r="D124" i="7"/>
  <c r="Y5" i="7"/>
  <c r="D14" i="7"/>
  <c r="E37" i="7"/>
  <c r="E39" i="7"/>
  <c r="E52" i="7"/>
  <c r="E51" i="7"/>
  <c r="E50" i="7"/>
  <c r="E45" i="7"/>
  <c r="E43" i="7"/>
  <c r="E12" i="7" l="1"/>
  <c r="E24" i="7"/>
  <c r="E18" i="7"/>
  <c r="E23" i="7"/>
  <c r="E16" i="7"/>
  <c r="E10" i="7"/>
  <c r="E25" i="7"/>
  <c r="R38" i="7"/>
  <c r="E41" i="7" l="1"/>
  <c r="R11" i="7"/>
  <c r="F37" i="7"/>
  <c r="F50" i="7"/>
  <c r="F51" i="7"/>
  <c r="F39" i="7"/>
  <c r="F52" i="7"/>
  <c r="F45" i="7"/>
  <c r="F43" i="7"/>
  <c r="F9" i="7" l="1"/>
  <c r="F18" i="7"/>
  <c r="F12" i="7"/>
  <c r="F23" i="7"/>
  <c r="F10" i="7"/>
  <c r="F24" i="7"/>
  <c r="E14" i="7"/>
  <c r="E9" i="7" l="1"/>
  <c r="F25" i="7"/>
  <c r="F41" i="7"/>
  <c r="F16" i="7"/>
  <c r="G39" i="7"/>
  <c r="G51" i="7"/>
  <c r="G37" i="7"/>
  <c r="G52" i="7"/>
  <c r="S38" i="7"/>
  <c r="G43" i="7"/>
  <c r="G45" i="7"/>
  <c r="D9" i="7" l="1"/>
  <c r="F8" i="7"/>
  <c r="F14" i="7"/>
  <c r="E8" i="7"/>
  <c r="G12" i="7"/>
  <c r="G24" i="7"/>
  <c r="G17" i="7"/>
  <c r="S11" i="7"/>
  <c r="G16" i="7"/>
  <c r="F17" i="7"/>
  <c r="G18" i="7"/>
  <c r="G10" i="7"/>
  <c r="G25" i="7"/>
  <c r="G50" i="7"/>
  <c r="G23" i="7" l="1"/>
  <c r="E17" i="7"/>
  <c r="E87" i="4"/>
  <c r="C9" i="7"/>
  <c r="G9" i="7"/>
  <c r="D8" i="7"/>
  <c r="H52" i="7"/>
  <c r="H37" i="7"/>
  <c r="H51" i="7"/>
  <c r="H39" i="7"/>
  <c r="H45" i="7"/>
  <c r="T38" i="7"/>
  <c r="C8" i="7" l="1"/>
  <c r="H12" i="7"/>
  <c r="G8" i="7"/>
  <c r="H18" i="7"/>
  <c r="H10" i="7"/>
  <c r="H25" i="7"/>
  <c r="F87" i="4"/>
  <c r="E60" i="4"/>
  <c r="E7" i="7"/>
  <c r="D87" i="4"/>
  <c r="F94" i="4"/>
  <c r="T11" i="7"/>
  <c r="B9" i="7"/>
  <c r="D17" i="7"/>
  <c r="G41" i="7"/>
  <c r="H17" i="7"/>
  <c r="H24" i="7"/>
  <c r="C36" i="7"/>
  <c r="H50" i="7"/>
  <c r="H43" i="7"/>
  <c r="C35" i="7"/>
  <c r="F85" i="4" l="1"/>
  <c r="J24" i="7"/>
  <c r="E6" i="7"/>
  <c r="E94" i="4"/>
  <c r="E85" i="4" s="1"/>
  <c r="F7" i="7"/>
  <c r="F60" i="4"/>
  <c r="B87" i="4"/>
  <c r="H9" i="7"/>
  <c r="J18" i="7"/>
  <c r="F15" i="7"/>
  <c r="F67" i="4"/>
  <c r="H23" i="7"/>
  <c r="G14" i="7"/>
  <c r="D7" i="7"/>
  <c r="D60" i="4"/>
  <c r="C87" i="4"/>
  <c r="C17" i="7"/>
  <c r="H16" i="7"/>
  <c r="I52" i="7"/>
  <c r="J51" i="7"/>
  <c r="I51" i="7"/>
  <c r="I39" i="7"/>
  <c r="D35" i="7"/>
  <c r="I45" i="7"/>
  <c r="H35" i="7"/>
  <c r="H8" i="7" l="1"/>
  <c r="D94" i="4"/>
  <c r="D85" i="4" s="1"/>
  <c r="B17" i="7"/>
  <c r="H41" i="7"/>
  <c r="I25" i="7"/>
  <c r="I12" i="7"/>
  <c r="B60" i="4"/>
  <c r="B7" i="7"/>
  <c r="G94" i="4"/>
  <c r="K18" i="7"/>
  <c r="I17" i="7"/>
  <c r="C7" i="7"/>
  <c r="C60" i="4"/>
  <c r="E15" i="7"/>
  <c r="E67" i="4"/>
  <c r="J16" i="7"/>
  <c r="F13" i="7"/>
  <c r="F6" i="7"/>
  <c r="F58" i="4"/>
  <c r="I24" i="7"/>
  <c r="C34" i="7"/>
  <c r="C114" i="4"/>
  <c r="G87" i="4"/>
  <c r="D6" i="7"/>
  <c r="C44" i="7"/>
  <c r="D36" i="7"/>
  <c r="I37" i="7"/>
  <c r="I50" i="7"/>
  <c r="J45" i="7"/>
  <c r="I43" i="7"/>
  <c r="C33" i="7" l="1"/>
  <c r="H94" i="4"/>
  <c r="H15" i="7"/>
  <c r="I18" i="7"/>
  <c r="C6" i="7"/>
  <c r="C94" i="4"/>
  <c r="C85" i="4" s="1"/>
  <c r="I23" i="7"/>
  <c r="B6" i="7"/>
  <c r="D15" i="7"/>
  <c r="D67" i="4"/>
  <c r="I16" i="7"/>
  <c r="F4" i="7"/>
  <c r="E13" i="7"/>
  <c r="E58" i="4"/>
  <c r="H87" i="4"/>
  <c r="G7" i="7"/>
  <c r="G60" i="4"/>
  <c r="H14" i="7"/>
  <c r="U11" i="7"/>
  <c r="I10" i="7"/>
  <c r="I9" i="7"/>
  <c r="K24" i="7"/>
  <c r="G85" i="4"/>
  <c r="G15" i="7"/>
  <c r="G67" i="4"/>
  <c r="D44" i="7"/>
  <c r="J39" i="7"/>
  <c r="K51" i="7"/>
  <c r="K45" i="7"/>
  <c r="J43" i="7"/>
  <c r="U38" i="7"/>
  <c r="L45" i="7"/>
  <c r="H67" i="4" l="1"/>
  <c r="E4" i="7"/>
  <c r="J17" i="7"/>
  <c r="I8" i="7"/>
  <c r="H13" i="7"/>
  <c r="D34" i="7"/>
  <c r="D114" i="4"/>
  <c r="D33" i="7" s="1"/>
  <c r="G6" i="7"/>
  <c r="G58" i="4"/>
  <c r="B94" i="4"/>
  <c r="B85" i="4" s="1"/>
  <c r="K16" i="7"/>
  <c r="J12" i="7"/>
  <c r="I41" i="7"/>
  <c r="G13" i="7"/>
  <c r="H85" i="4"/>
  <c r="M10" i="7"/>
  <c r="H7" i="7"/>
  <c r="H60" i="4"/>
  <c r="D13" i="7"/>
  <c r="D58" i="4"/>
  <c r="C15" i="7"/>
  <c r="C67" i="4"/>
  <c r="E36" i="7"/>
  <c r="J52" i="7"/>
  <c r="J37" i="7"/>
  <c r="M45" i="7"/>
  <c r="K43" i="7"/>
  <c r="V11" i="7" l="1"/>
  <c r="F22" i="7"/>
  <c r="B15" i="7"/>
  <c r="B67" i="4"/>
  <c r="C22" i="7"/>
  <c r="L18" i="7"/>
  <c r="H6" i="7"/>
  <c r="H58" i="4"/>
  <c r="G22" i="7"/>
  <c r="L24" i="7"/>
  <c r="G4" i="7"/>
  <c r="B22" i="7"/>
  <c r="H22" i="7"/>
  <c r="J10" i="7"/>
  <c r="E22" i="7"/>
  <c r="J9" i="7"/>
  <c r="C13" i="7"/>
  <c r="C58" i="4"/>
  <c r="D22" i="7"/>
  <c r="I14" i="7"/>
  <c r="C42" i="7"/>
  <c r="C121" i="4"/>
  <c r="I22" i="7"/>
  <c r="J25" i="7"/>
  <c r="D4" i="7"/>
  <c r="E44" i="7"/>
  <c r="K39" i="7"/>
  <c r="J50" i="7"/>
  <c r="V38" i="7"/>
  <c r="C49" i="7"/>
  <c r="E35" i="7"/>
  <c r="L43" i="7"/>
  <c r="L51" i="7"/>
  <c r="I87" i="4" l="1"/>
  <c r="M18" i="7"/>
  <c r="J23" i="7"/>
  <c r="G101" i="4"/>
  <c r="I94" i="4"/>
  <c r="K17" i="7"/>
  <c r="L16" i="7"/>
  <c r="C4" i="7"/>
  <c r="F101" i="4"/>
  <c r="J8" i="7"/>
  <c r="N10" i="7"/>
  <c r="C40" i="7"/>
  <c r="C112" i="4"/>
  <c r="B13" i="7"/>
  <c r="B58" i="4"/>
  <c r="C101" i="4"/>
  <c r="K12" i="7"/>
  <c r="H4" i="7"/>
  <c r="D101" i="4"/>
  <c r="B101" i="4"/>
  <c r="J41" i="7"/>
  <c r="E101" i="4"/>
  <c r="H101" i="4"/>
  <c r="I101" i="4"/>
  <c r="N45" i="7"/>
  <c r="F36" i="7"/>
  <c r="L39" i="7"/>
  <c r="K37" i="7"/>
  <c r="N51" i="7"/>
  <c r="M43" i="7"/>
  <c r="M51" i="7"/>
  <c r="O10" i="7" l="1"/>
  <c r="J14" i="7"/>
  <c r="C31" i="7"/>
  <c r="G21" i="7"/>
  <c r="G74" i="4"/>
  <c r="C48" i="7"/>
  <c r="C128" i="4"/>
  <c r="I21" i="7"/>
  <c r="I74" i="4"/>
  <c r="B74" i="4"/>
  <c r="B21" i="7"/>
  <c r="M16" i="7"/>
  <c r="R12" i="7"/>
  <c r="J22" i="7"/>
  <c r="O18" i="7"/>
  <c r="H21" i="7"/>
  <c r="H74" i="4"/>
  <c r="D74" i="4"/>
  <c r="D21" i="7"/>
  <c r="N24" i="7"/>
  <c r="C74" i="4"/>
  <c r="C21" i="7"/>
  <c r="D42" i="7"/>
  <c r="D121" i="4"/>
  <c r="M24" i="7"/>
  <c r="E74" i="4"/>
  <c r="E21" i="7"/>
  <c r="B4" i="7"/>
  <c r="I15" i="7"/>
  <c r="I67" i="4"/>
  <c r="I7" i="7"/>
  <c r="I60" i="4"/>
  <c r="I6" i="7" s="1"/>
  <c r="K10" i="7"/>
  <c r="L12" i="7"/>
  <c r="K9" i="7"/>
  <c r="F21" i="7"/>
  <c r="F74" i="4"/>
  <c r="I85" i="4"/>
  <c r="F44" i="7"/>
  <c r="L37" i="7"/>
  <c r="K50" i="7"/>
  <c r="K52" i="7"/>
  <c r="O51" i="7"/>
  <c r="O45" i="7"/>
  <c r="F35" i="7"/>
  <c r="D49" i="7"/>
  <c r="J87" i="4" l="1"/>
  <c r="O24" i="7"/>
  <c r="K8" i="7"/>
  <c r="K23" i="7"/>
  <c r="K41" i="7"/>
  <c r="I58" i="4"/>
  <c r="I13" i="7"/>
  <c r="B20" i="7"/>
  <c r="J94" i="4"/>
  <c r="J85" i="4" s="1"/>
  <c r="N18" i="7"/>
  <c r="D112" i="4"/>
  <c r="D40" i="7"/>
  <c r="I20" i="7"/>
  <c r="W11" i="7"/>
  <c r="L10" i="7"/>
  <c r="D20" i="7"/>
  <c r="J101" i="4"/>
  <c r="H20" i="7"/>
  <c r="C47" i="7"/>
  <c r="E34" i="7"/>
  <c r="E114" i="4"/>
  <c r="L17" i="7"/>
  <c r="C20" i="7"/>
  <c r="R10" i="7"/>
  <c r="F20" i="7"/>
  <c r="G20" i="7"/>
  <c r="K25" i="7"/>
  <c r="E20" i="7"/>
  <c r="M37" i="7"/>
  <c r="G36" i="7"/>
  <c r="P51" i="7"/>
  <c r="W38" i="7"/>
  <c r="K87" i="4" l="1"/>
  <c r="L8" i="7"/>
  <c r="N43" i="7"/>
  <c r="P10" i="7"/>
  <c r="E33" i="7"/>
  <c r="S12" i="7"/>
  <c r="D31" i="7"/>
  <c r="P24" i="7"/>
  <c r="K14" i="7"/>
  <c r="D48" i="7"/>
  <c r="D128" i="4"/>
  <c r="E42" i="7"/>
  <c r="E121" i="4"/>
  <c r="E40" i="7" s="1"/>
  <c r="M12" i="7"/>
  <c r="K22" i="7"/>
  <c r="I4" i="7"/>
  <c r="J74" i="4"/>
  <c r="J21" i="7"/>
  <c r="J15" i="7"/>
  <c r="J67" i="4"/>
  <c r="J60" i="4"/>
  <c r="J7" i="7"/>
  <c r="L9" i="7"/>
  <c r="G44" i="7"/>
  <c r="L52" i="7"/>
  <c r="L50" i="7"/>
  <c r="M39" i="7"/>
  <c r="E49" i="7"/>
  <c r="Q51" i="7"/>
  <c r="P45" i="7"/>
  <c r="G35" i="7"/>
  <c r="O43" i="7"/>
  <c r="Q24" i="7" l="1"/>
  <c r="X11" i="7"/>
  <c r="R25" i="7"/>
  <c r="L25" i="7"/>
  <c r="L41" i="7"/>
  <c r="L23" i="7"/>
  <c r="J20" i="7"/>
  <c r="D47" i="7"/>
  <c r="K94" i="4"/>
  <c r="K85" i="4" s="1"/>
  <c r="N16" i="7"/>
  <c r="S10" i="7"/>
  <c r="K101" i="4"/>
  <c r="M17" i="7"/>
  <c r="P18" i="7"/>
  <c r="T24" i="7"/>
  <c r="J6" i="7"/>
  <c r="J58" i="4"/>
  <c r="E112" i="4"/>
  <c r="K7" i="7"/>
  <c r="K60" i="4"/>
  <c r="F34" i="7"/>
  <c r="F114" i="4"/>
  <c r="Q25" i="7"/>
  <c r="J13" i="7"/>
  <c r="N37" i="7"/>
  <c r="H36" i="7"/>
  <c r="X38" i="7"/>
  <c r="Q10" i="7" l="1"/>
  <c r="T12" i="7"/>
  <c r="K6" i="7"/>
  <c r="L14" i="7"/>
  <c r="L94" i="4"/>
  <c r="L15" i="7"/>
  <c r="T10" i="7"/>
  <c r="E31" i="7"/>
  <c r="O16" i="7"/>
  <c r="J4" i="7"/>
  <c r="K15" i="7"/>
  <c r="K67" i="4"/>
  <c r="K13" i="7" s="1"/>
  <c r="L22" i="7"/>
  <c r="N12" i="7"/>
  <c r="K74" i="4"/>
  <c r="K21" i="7"/>
  <c r="F42" i="7"/>
  <c r="F121" i="4"/>
  <c r="F40" i="7" s="1"/>
  <c r="E48" i="7"/>
  <c r="E128" i="4"/>
  <c r="F33" i="7"/>
  <c r="H44" i="7"/>
  <c r="M50" i="7"/>
  <c r="O37" i="7"/>
  <c r="N39" i="7"/>
  <c r="F49" i="7"/>
  <c r="Q45" i="7"/>
  <c r="I35" i="7"/>
  <c r="K58" i="4" l="1"/>
  <c r="K4" i="7" s="1"/>
  <c r="F112" i="4"/>
  <c r="L67" i="4"/>
  <c r="L13" i="7" s="1"/>
  <c r="M9" i="7"/>
  <c r="F31" i="7"/>
  <c r="L101" i="4"/>
  <c r="G34" i="7"/>
  <c r="G114" i="4"/>
  <c r="E47" i="7"/>
  <c r="H114" i="4"/>
  <c r="H34" i="7"/>
  <c r="S25" i="7"/>
  <c r="L87" i="4"/>
  <c r="L85" i="4" s="1"/>
  <c r="U24" i="7"/>
  <c r="N17" i="7"/>
  <c r="Q18" i="7"/>
  <c r="R24" i="7"/>
  <c r="M23" i="7"/>
  <c r="K20" i="7"/>
  <c r="I36" i="7"/>
  <c r="M52" i="7"/>
  <c r="Y38" i="7"/>
  <c r="R51" i="7"/>
  <c r="P43" i="7"/>
  <c r="M8" i="7" l="1"/>
  <c r="R23" i="7"/>
  <c r="U12" i="7"/>
  <c r="F128" i="4"/>
  <c r="F48" i="7"/>
  <c r="Y11" i="7"/>
  <c r="U10" i="7"/>
  <c r="L74" i="4"/>
  <c r="L21" i="7"/>
  <c r="M25" i="7"/>
  <c r="H33" i="7"/>
  <c r="M41" i="7"/>
  <c r="T25" i="7"/>
  <c r="G42" i="7"/>
  <c r="G121" i="4"/>
  <c r="G40" i="7" s="1"/>
  <c r="O12" i="7"/>
  <c r="P16" i="7"/>
  <c r="L60" i="4"/>
  <c r="L7" i="7"/>
  <c r="G33" i="7"/>
  <c r="P37" i="7"/>
  <c r="N52" i="7"/>
  <c r="O39" i="7"/>
  <c r="I44" i="7"/>
  <c r="S51" i="7"/>
  <c r="J35" i="7"/>
  <c r="G49" i="7"/>
  <c r="T51" i="7"/>
  <c r="R45" i="7"/>
  <c r="G112" i="4" l="1"/>
  <c r="N25" i="7"/>
  <c r="V24" i="7"/>
  <c r="M87" i="4"/>
  <c r="O17" i="7"/>
  <c r="L6" i="7"/>
  <c r="L58" i="4"/>
  <c r="F47" i="7"/>
  <c r="N9" i="7"/>
  <c r="W12" i="7"/>
  <c r="N23" i="7"/>
  <c r="L20" i="7"/>
  <c r="I34" i="7"/>
  <c r="I114" i="4"/>
  <c r="R18" i="7"/>
  <c r="V25" i="7"/>
  <c r="M22" i="7"/>
  <c r="R22" i="7"/>
  <c r="G31" i="7"/>
  <c r="M94" i="4"/>
  <c r="M15" i="7"/>
  <c r="S24" i="7"/>
  <c r="M14" i="7"/>
  <c r="P39" i="7"/>
  <c r="N50" i="7"/>
  <c r="J36" i="7"/>
  <c r="U51" i="7"/>
  <c r="S45" i="7"/>
  <c r="M67" i="4" l="1"/>
  <c r="M13" i="7" s="1"/>
  <c r="H42" i="7"/>
  <c r="H121" i="4"/>
  <c r="R101" i="4"/>
  <c r="S18" i="7"/>
  <c r="W24" i="7"/>
  <c r="V12" i="7"/>
  <c r="S23" i="7"/>
  <c r="P12" i="7"/>
  <c r="I33" i="7"/>
  <c r="M85" i="4"/>
  <c r="N22" i="7"/>
  <c r="M7" i="7"/>
  <c r="M60" i="4"/>
  <c r="S22" i="7"/>
  <c r="M101" i="4"/>
  <c r="G128" i="4"/>
  <c r="G48" i="7"/>
  <c r="N8" i="7"/>
  <c r="U25" i="7"/>
  <c r="L4" i="7"/>
  <c r="W25" i="7"/>
  <c r="V10" i="7"/>
  <c r="J44" i="7"/>
  <c r="Q37" i="7"/>
  <c r="Q43" i="7"/>
  <c r="H49" i="7"/>
  <c r="K35" i="7"/>
  <c r="O9" i="7" l="1"/>
  <c r="O23" i="7"/>
  <c r="P17" i="7"/>
  <c r="J114" i="4"/>
  <c r="J34" i="7"/>
  <c r="Q16" i="7"/>
  <c r="N41" i="7"/>
  <c r="N87" i="4"/>
  <c r="M6" i="7"/>
  <c r="M58" i="4"/>
  <c r="R21" i="7"/>
  <c r="R74" i="4"/>
  <c r="N101" i="4"/>
  <c r="G47" i="7"/>
  <c r="H40" i="7"/>
  <c r="H112" i="4"/>
  <c r="M74" i="4"/>
  <c r="M21" i="7"/>
  <c r="V51" i="7"/>
  <c r="Q39" i="7"/>
  <c r="O52" i="7"/>
  <c r="K36" i="7"/>
  <c r="O50" i="7"/>
  <c r="T45" i="7"/>
  <c r="S101" i="4" l="1"/>
  <c r="M20" i="7"/>
  <c r="J33" i="7"/>
  <c r="U18" i="7"/>
  <c r="H31" i="7"/>
  <c r="X12" i="7"/>
  <c r="N15" i="7"/>
  <c r="N94" i="4"/>
  <c r="N85" i="4" s="1"/>
  <c r="O8" i="7"/>
  <c r="W10" i="7"/>
  <c r="X24" i="7"/>
  <c r="O25" i="7"/>
  <c r="R20" i="7"/>
  <c r="V18" i="7"/>
  <c r="M4" i="7"/>
  <c r="N14" i="7"/>
  <c r="H128" i="4"/>
  <c r="H48" i="7"/>
  <c r="T23" i="7"/>
  <c r="I42" i="7"/>
  <c r="I121" i="4"/>
  <c r="Q12" i="7"/>
  <c r="N74" i="4"/>
  <c r="N21" i="7"/>
  <c r="T18" i="7"/>
  <c r="N60" i="4"/>
  <c r="N7" i="7"/>
  <c r="R37" i="7"/>
  <c r="K44" i="7"/>
  <c r="R39" i="7"/>
  <c r="L35" i="7"/>
  <c r="I49" i="7"/>
  <c r="U45" i="7"/>
  <c r="N67" i="4" l="1"/>
  <c r="N13" i="7" s="1"/>
  <c r="T22" i="7"/>
  <c r="Q17" i="7"/>
  <c r="U23" i="7"/>
  <c r="K114" i="4"/>
  <c r="K34" i="7"/>
  <c r="O87" i="4"/>
  <c r="W18" i="7"/>
  <c r="Q176" i="4"/>
  <c r="N6" i="7"/>
  <c r="N58" i="4"/>
  <c r="I40" i="7"/>
  <c r="I112" i="4"/>
  <c r="O41" i="7"/>
  <c r="O22" i="7"/>
  <c r="P23" i="7"/>
  <c r="X25" i="7"/>
  <c r="Y12" i="7"/>
  <c r="N20" i="7"/>
  <c r="H47" i="7"/>
  <c r="S74" i="4"/>
  <c r="S21" i="7"/>
  <c r="P50" i="7"/>
  <c r="L36" i="7"/>
  <c r="R43" i="7"/>
  <c r="R16" i="7" l="1"/>
  <c r="K33" i="7"/>
  <c r="O14" i="7"/>
  <c r="X18" i="7"/>
  <c r="P25" i="7"/>
  <c r="T101" i="4"/>
  <c r="I31" i="7"/>
  <c r="I48" i="7"/>
  <c r="I128" i="4"/>
  <c r="S20" i="7"/>
  <c r="O101" i="4"/>
  <c r="N4" i="7"/>
  <c r="O7" i="7"/>
  <c r="O60" i="4"/>
  <c r="O6" i="7" s="1"/>
  <c r="J42" i="7"/>
  <c r="J121" i="4"/>
  <c r="Y24" i="7"/>
  <c r="S37" i="7"/>
  <c r="L44" i="7"/>
  <c r="W51" i="7"/>
  <c r="P52" i="7"/>
  <c r="Q52" i="7"/>
  <c r="S39" i="7"/>
  <c r="J49" i="7"/>
  <c r="M35" i="7"/>
  <c r="V45" i="7"/>
  <c r="R17" i="7" l="1"/>
  <c r="O21" i="7"/>
  <c r="O74" i="4"/>
  <c r="V23" i="7"/>
  <c r="X10" i="7"/>
  <c r="J40" i="7"/>
  <c r="J112" i="4"/>
  <c r="T74" i="4"/>
  <c r="T21" i="7"/>
  <c r="L34" i="7"/>
  <c r="L114" i="4"/>
  <c r="O94" i="4"/>
  <c r="O85" i="4" s="1"/>
  <c r="Y18" i="7"/>
  <c r="P22" i="7"/>
  <c r="I47" i="7"/>
  <c r="Y25" i="7"/>
  <c r="M36" i="7"/>
  <c r="T39" i="7"/>
  <c r="Q50" i="7"/>
  <c r="R52" i="7"/>
  <c r="O15" i="7" l="1"/>
  <c r="O67" i="4"/>
  <c r="L33" i="7"/>
  <c r="Q23" i="7"/>
  <c r="P41" i="7"/>
  <c r="P101" i="4"/>
  <c r="W23" i="7"/>
  <c r="T20" i="7"/>
  <c r="O20" i="7"/>
  <c r="Y10" i="7"/>
  <c r="J31" i="7"/>
  <c r="J128" i="4"/>
  <c r="J48" i="7"/>
  <c r="K42" i="7"/>
  <c r="K121" i="4"/>
  <c r="R50" i="7"/>
  <c r="S52" i="7"/>
  <c r="X51" i="7"/>
  <c r="M44" i="7"/>
  <c r="T37" i="7"/>
  <c r="N35" i="7"/>
  <c r="W45" i="7"/>
  <c r="K49" i="7"/>
  <c r="S43" i="7"/>
  <c r="J47" i="7" l="1"/>
  <c r="Q22" i="7"/>
  <c r="P14" i="7"/>
  <c r="S16" i="7"/>
  <c r="P21" i="7"/>
  <c r="P74" i="4"/>
  <c r="M114" i="4"/>
  <c r="M33" i="7" s="1"/>
  <c r="M34" i="7"/>
  <c r="K40" i="7"/>
  <c r="K112" i="4"/>
  <c r="O58" i="4"/>
  <c r="O13" i="7"/>
  <c r="S17" i="7"/>
  <c r="U39" i="7"/>
  <c r="N36" i="7"/>
  <c r="X45" i="7"/>
  <c r="K31" i="7" l="1"/>
  <c r="Q41" i="7"/>
  <c r="L42" i="7"/>
  <c r="L121" i="4"/>
  <c r="P20" i="7"/>
  <c r="P94" i="4"/>
  <c r="K48" i="7"/>
  <c r="K128" i="4"/>
  <c r="Q101" i="4"/>
  <c r="X23" i="7"/>
  <c r="O4" i="7"/>
  <c r="U37" i="7"/>
  <c r="T52" i="7"/>
  <c r="Y51" i="7"/>
  <c r="S50" i="7"/>
  <c r="N44" i="7"/>
  <c r="L49" i="7"/>
  <c r="T17" i="7" l="1"/>
  <c r="Q21" i="7"/>
  <c r="Q74" i="4"/>
  <c r="L40" i="7"/>
  <c r="L112" i="4"/>
  <c r="K47" i="7"/>
  <c r="N34" i="7"/>
  <c r="N114" i="4"/>
  <c r="Q14" i="7"/>
  <c r="P15" i="7"/>
  <c r="P67" i="4"/>
  <c r="U52" i="7"/>
  <c r="O36" i="7"/>
  <c r="V39" i="7"/>
  <c r="T43" i="7"/>
  <c r="Y45" i="7"/>
  <c r="L48" i="7" l="1"/>
  <c r="L128" i="4"/>
  <c r="Y23" i="7"/>
  <c r="P13" i="7"/>
  <c r="L31" i="7"/>
  <c r="M42" i="7"/>
  <c r="M121" i="4"/>
  <c r="T16" i="7"/>
  <c r="Q20" i="7"/>
  <c r="U17" i="7"/>
  <c r="N33" i="7"/>
  <c r="R41" i="7"/>
  <c r="Q94" i="4"/>
  <c r="T50" i="7"/>
  <c r="O44" i="7"/>
  <c r="V37" i="7"/>
  <c r="M49" i="7"/>
  <c r="R14" i="7" l="1"/>
  <c r="X22" i="7"/>
  <c r="M112" i="4"/>
  <c r="M40" i="7"/>
  <c r="Q15" i="7"/>
  <c r="Q67" i="4"/>
  <c r="Q13" i="7" s="1"/>
  <c r="L47" i="7"/>
  <c r="V52" i="7"/>
  <c r="U50" i="7"/>
  <c r="W39" i="7"/>
  <c r="W37" i="7"/>
  <c r="U43" i="7"/>
  <c r="M48" i="7" l="1"/>
  <c r="M128" i="4"/>
  <c r="M31" i="7"/>
  <c r="R94" i="4"/>
  <c r="V17" i="7"/>
  <c r="U16" i="7"/>
  <c r="S41" i="7"/>
  <c r="X101" i="4"/>
  <c r="N42" i="7"/>
  <c r="N121" i="4"/>
  <c r="W52" i="7"/>
  <c r="P36" i="7"/>
  <c r="P44" i="7"/>
  <c r="N49" i="7"/>
  <c r="P9" i="7" l="1"/>
  <c r="Y22" i="7"/>
  <c r="N40" i="7"/>
  <c r="N112" i="4"/>
  <c r="S14" i="7"/>
  <c r="X74" i="4"/>
  <c r="X21" i="7"/>
  <c r="R15" i="7"/>
  <c r="R67" i="4"/>
  <c r="M47" i="7"/>
  <c r="Y101" i="4"/>
  <c r="X39" i="7"/>
  <c r="V50" i="7"/>
  <c r="X37" i="7"/>
  <c r="P35" i="7"/>
  <c r="W17" i="7" l="1"/>
  <c r="N48" i="7"/>
  <c r="N128" i="4"/>
  <c r="T41" i="7"/>
  <c r="R13" i="7"/>
  <c r="N31" i="7"/>
  <c r="S94" i="4"/>
  <c r="P8" i="7"/>
  <c r="Y21" i="7"/>
  <c r="Y74" i="4"/>
  <c r="X20" i="7"/>
  <c r="O42" i="7"/>
  <c r="O121" i="4"/>
  <c r="Q44" i="7"/>
  <c r="X52" i="7"/>
  <c r="O49" i="7"/>
  <c r="V43" i="7"/>
  <c r="O35" i="7"/>
  <c r="T14" i="7" l="1"/>
  <c r="O40" i="7"/>
  <c r="S15" i="7"/>
  <c r="S67" i="4"/>
  <c r="N47" i="7"/>
  <c r="U9" i="7"/>
  <c r="V16" i="7"/>
  <c r="Y20" i="7"/>
  <c r="P87" i="4"/>
  <c r="P85" i="4" s="1"/>
  <c r="Y39" i="7"/>
  <c r="Y37" i="7"/>
  <c r="R44" i="7"/>
  <c r="W50" i="7"/>
  <c r="U8" i="7" l="1"/>
  <c r="S13" i="7"/>
  <c r="U22" i="7"/>
  <c r="Q9" i="7"/>
  <c r="T94" i="4"/>
  <c r="P42" i="7"/>
  <c r="P121" i="4"/>
  <c r="P40" i="7" s="1"/>
  <c r="P34" i="7"/>
  <c r="P114" i="4"/>
  <c r="O48" i="7"/>
  <c r="O128" i="4"/>
  <c r="P7" i="7"/>
  <c r="P60" i="4"/>
  <c r="Y52" i="7"/>
  <c r="Q36" i="7"/>
  <c r="X50" i="7"/>
  <c r="P49" i="7"/>
  <c r="W43" i="7"/>
  <c r="O114" i="4" l="1"/>
  <c r="O34" i="7"/>
  <c r="U41" i="7"/>
  <c r="W16" i="7"/>
  <c r="P33" i="7"/>
  <c r="P112" i="4"/>
  <c r="U101" i="4"/>
  <c r="U87" i="4"/>
  <c r="X17" i="7"/>
  <c r="P6" i="7"/>
  <c r="P58" i="4"/>
  <c r="Q8" i="7"/>
  <c r="V9" i="7"/>
  <c r="T15" i="7"/>
  <c r="T67" i="4"/>
  <c r="O47" i="7"/>
  <c r="S44" i="7"/>
  <c r="Q35" i="7"/>
  <c r="T13" i="7" l="1"/>
  <c r="P4" i="7"/>
  <c r="P31" i="7"/>
  <c r="P128" i="4"/>
  <c r="P48" i="7"/>
  <c r="U14" i="7"/>
  <c r="U94" i="4"/>
  <c r="U85" i="4" s="1"/>
  <c r="U15" i="7"/>
  <c r="U7" i="7"/>
  <c r="U60" i="4"/>
  <c r="R9" i="7"/>
  <c r="Q42" i="7"/>
  <c r="Q121" i="4"/>
  <c r="Q40" i="7" s="1"/>
  <c r="V22" i="7"/>
  <c r="U21" i="7"/>
  <c r="U74" i="4"/>
  <c r="Q87" i="4"/>
  <c r="Q85" i="4" s="1"/>
  <c r="V8" i="7"/>
  <c r="O33" i="7"/>
  <c r="O112" i="4"/>
  <c r="Y50" i="7"/>
  <c r="R36" i="7"/>
  <c r="Q49" i="7"/>
  <c r="U20" i="7" l="1"/>
  <c r="O31" i="7"/>
  <c r="U6" i="7"/>
  <c r="P47" i="7"/>
  <c r="V87" i="4"/>
  <c r="W9" i="7"/>
  <c r="Q34" i="7"/>
  <c r="Q114" i="4"/>
  <c r="U67" i="4"/>
  <c r="U58" i="4" s="1"/>
  <c r="R8" i="7"/>
  <c r="Q7" i="7"/>
  <c r="Q60" i="4"/>
  <c r="T44" i="7"/>
  <c r="S36" i="7"/>
  <c r="R35" i="7"/>
  <c r="X43" i="7"/>
  <c r="Q128" i="4" l="1"/>
  <c r="Q48" i="7"/>
  <c r="W22" i="7"/>
  <c r="R42" i="7"/>
  <c r="R121" i="4"/>
  <c r="R40" i="7" s="1"/>
  <c r="X16" i="7"/>
  <c r="Q33" i="7"/>
  <c r="Q112" i="4"/>
  <c r="U4" i="7"/>
  <c r="W8" i="7"/>
  <c r="V101" i="4"/>
  <c r="Q6" i="7"/>
  <c r="Q58" i="4"/>
  <c r="R87" i="4"/>
  <c r="R85" i="4" s="1"/>
  <c r="S9" i="7"/>
  <c r="V60" i="4"/>
  <c r="V7" i="7"/>
  <c r="V41" i="7"/>
  <c r="Y17" i="7"/>
  <c r="U13" i="7"/>
  <c r="R49" i="7"/>
  <c r="S35" i="7"/>
  <c r="W87" i="4" l="1"/>
  <c r="V14" i="7"/>
  <c r="V21" i="7"/>
  <c r="V74" i="4"/>
  <c r="X9" i="7"/>
  <c r="S8" i="7"/>
  <c r="R7" i="7"/>
  <c r="R60" i="4"/>
  <c r="Q4" i="7"/>
  <c r="W101" i="4"/>
  <c r="V6" i="7"/>
  <c r="Q31" i="7"/>
  <c r="Q47" i="7"/>
  <c r="U44" i="7"/>
  <c r="S42" i="7" l="1"/>
  <c r="S121" i="4"/>
  <c r="S40" i="7" s="1"/>
  <c r="R128" i="4"/>
  <c r="R48" i="7"/>
  <c r="R6" i="7"/>
  <c r="R58" i="4"/>
  <c r="V20" i="7"/>
  <c r="V94" i="4"/>
  <c r="V85" i="4" s="1"/>
  <c r="W41" i="7"/>
  <c r="R114" i="4"/>
  <c r="R34" i="7"/>
  <c r="W21" i="7"/>
  <c r="W74" i="4"/>
  <c r="S87" i="4"/>
  <c r="S85" i="4" s="1"/>
  <c r="W7" i="7"/>
  <c r="W60" i="4"/>
  <c r="S49" i="7"/>
  <c r="Y43" i="7"/>
  <c r="R4" i="7" l="1"/>
  <c r="Y9" i="7"/>
  <c r="W14" i="7"/>
  <c r="R33" i="7"/>
  <c r="R112" i="4"/>
  <c r="X8" i="7"/>
  <c r="S7" i="7"/>
  <c r="S60" i="4"/>
  <c r="X87" i="4"/>
  <c r="V15" i="7"/>
  <c r="V67" i="4"/>
  <c r="R47" i="7"/>
  <c r="Y16" i="7"/>
  <c r="W20" i="7"/>
  <c r="T9" i="7"/>
  <c r="W6" i="7"/>
  <c r="V44" i="7"/>
  <c r="T36" i="7"/>
  <c r="R31" i="7" l="1"/>
  <c r="X7" i="7"/>
  <c r="X60" i="4"/>
  <c r="X6" i="7" s="1"/>
  <c r="T42" i="7"/>
  <c r="T121" i="4"/>
  <c r="T40" i="7" s="1"/>
  <c r="S6" i="7"/>
  <c r="S58" i="4"/>
  <c r="S128" i="4"/>
  <c r="S48" i="7"/>
  <c r="Y8" i="7"/>
  <c r="T8" i="7"/>
  <c r="S114" i="4"/>
  <c r="S34" i="7"/>
  <c r="V13" i="7"/>
  <c r="V58" i="4"/>
  <c r="W94" i="4"/>
  <c r="W85" i="4" s="1"/>
  <c r="U36" i="7"/>
  <c r="T35" i="7"/>
  <c r="T49" i="7"/>
  <c r="S33" i="7" l="1"/>
  <c r="S112" i="4"/>
  <c r="W15" i="7"/>
  <c r="W67" i="4"/>
  <c r="Y87" i="4"/>
  <c r="T34" i="7"/>
  <c r="T114" i="4"/>
  <c r="V4" i="7"/>
  <c r="T87" i="4"/>
  <c r="T85" i="4" s="1"/>
  <c r="X41" i="7"/>
  <c r="S47" i="7"/>
  <c r="S4" i="7"/>
  <c r="W44" i="7"/>
  <c r="U35" i="7"/>
  <c r="T33" i="7" l="1"/>
  <c r="T112" i="4"/>
  <c r="T60" i="4"/>
  <c r="T7" i="7"/>
  <c r="U42" i="7"/>
  <c r="U121" i="4"/>
  <c r="U40" i="7" s="1"/>
  <c r="Y60" i="4"/>
  <c r="Y7" i="7"/>
  <c r="T48" i="7"/>
  <c r="T128" i="4"/>
  <c r="W13" i="7"/>
  <c r="W58" i="4"/>
  <c r="X94" i="4"/>
  <c r="X85" i="4" s="1"/>
  <c r="X15" i="7"/>
  <c r="X14" i="7"/>
  <c r="S31" i="7"/>
  <c r="Y41" i="7"/>
  <c r="V36" i="7"/>
  <c r="U49" i="7"/>
  <c r="X67" i="4" l="1"/>
  <c r="W4" i="7"/>
  <c r="T47" i="7"/>
  <c r="X58" i="4"/>
  <c r="X13" i="7"/>
  <c r="T6" i="7"/>
  <c r="T58" i="4"/>
  <c r="U34" i="7"/>
  <c r="U114" i="4"/>
  <c r="T31" i="7"/>
  <c r="Y6" i="7"/>
  <c r="W36" i="7"/>
  <c r="X44" i="7"/>
  <c r="V35" i="7"/>
  <c r="V42" i="7" l="1"/>
  <c r="V121" i="4"/>
  <c r="X4" i="7"/>
  <c r="U33" i="7"/>
  <c r="U112" i="4"/>
  <c r="Y94" i="4"/>
  <c r="Y85" i="4" s="1"/>
  <c r="T4" i="7"/>
  <c r="U128" i="4"/>
  <c r="U48" i="7"/>
  <c r="X36" i="7"/>
  <c r="V49" i="7"/>
  <c r="V34" i="7" l="1"/>
  <c r="V114" i="4"/>
  <c r="V33" i="7" s="1"/>
  <c r="U31" i="7"/>
  <c r="U47" i="7"/>
  <c r="V112" i="4"/>
  <c r="V40" i="7"/>
  <c r="Y14" i="7"/>
  <c r="Y67" i="4"/>
  <c r="Y15" i="7"/>
  <c r="Y44" i="7"/>
  <c r="W35" i="7"/>
  <c r="V31" i="7" l="1"/>
  <c r="W42" i="7"/>
  <c r="W121" i="4"/>
  <c r="W40" i="7" s="1"/>
  <c r="Y13" i="7"/>
  <c r="Y58" i="4"/>
  <c r="V128" i="4"/>
  <c r="V48" i="7"/>
  <c r="Y36" i="7"/>
  <c r="W49" i="7"/>
  <c r="V47" i="7" l="1"/>
  <c r="Y4" i="7"/>
  <c r="W114" i="4"/>
  <c r="W34" i="7"/>
  <c r="X35" i="7"/>
  <c r="X42" i="7" l="1"/>
  <c r="X121" i="4"/>
  <c r="X40" i="7" s="1"/>
  <c r="W48" i="7"/>
  <c r="W128" i="4"/>
  <c r="W33" i="7"/>
  <c r="W112" i="4"/>
  <c r="X49" i="7"/>
  <c r="W31" i="7" l="1"/>
  <c r="W47" i="7"/>
  <c r="X34" i="7"/>
  <c r="X114" i="4"/>
  <c r="Y35" i="7"/>
  <c r="X33" i="7" l="1"/>
  <c r="X112" i="4"/>
  <c r="X128" i="4"/>
  <c r="X48" i="7"/>
  <c r="Y121" i="4"/>
  <c r="Y40" i="7" s="1"/>
  <c r="Y42" i="7"/>
  <c r="Y49" i="7"/>
  <c r="Y114" i="4" l="1"/>
  <c r="Y34" i="7"/>
  <c r="Y69" i="7"/>
  <c r="X47" i="7"/>
  <c r="X31" i="7"/>
  <c r="Y48" i="7" l="1"/>
  <c r="Y128" i="4"/>
  <c r="Y62" i="7"/>
  <c r="Y60" i="7" s="1"/>
  <c r="Y33" i="7"/>
  <c r="Y112" i="4"/>
  <c r="Y76" i="7" l="1"/>
  <c r="Y31" i="7"/>
  <c r="Y47" i="7"/>
  <c r="B169" i="4" l="1"/>
  <c r="E169" i="4"/>
  <c r="L169" i="4"/>
  <c r="J169" i="4"/>
  <c r="M169" i="4"/>
  <c r="N169" i="4"/>
  <c r="F169" i="4"/>
  <c r="I169" i="4"/>
  <c r="C169" i="4"/>
  <c r="D169" i="4"/>
  <c r="Q169" i="4"/>
  <c r="O169" i="4"/>
  <c r="G169" i="4"/>
  <c r="H169" i="4"/>
  <c r="K169" i="4"/>
  <c r="P169" i="4"/>
  <c r="R169" i="4" l="1"/>
  <c r="S169" i="4" l="1"/>
  <c r="T169" i="4" l="1"/>
  <c r="U169" i="4" l="1"/>
  <c r="W169" i="4" l="1"/>
  <c r="V169" i="4"/>
  <c r="X169" i="4" l="1"/>
  <c r="Q178" i="4" l="1"/>
  <c r="P178" i="4" l="1"/>
  <c r="P182" i="4"/>
  <c r="Q182" i="4"/>
  <c r="O178" i="4" l="1"/>
  <c r="V27" i="4" l="1"/>
  <c r="W27" i="4"/>
  <c r="R182" i="4" l="1"/>
  <c r="X27" i="4"/>
  <c r="S182" i="4" l="1"/>
  <c r="Y27" i="4"/>
  <c r="W53" i="4" l="1"/>
  <c r="V53" i="4"/>
  <c r="W28" i="4"/>
  <c r="V28" i="4"/>
  <c r="W26" i="4" l="1"/>
  <c r="V26" i="4"/>
  <c r="X53" i="4"/>
  <c r="Y53" i="4"/>
  <c r="Q14" i="4"/>
  <c r="X28" i="4"/>
  <c r="Y28" i="4"/>
  <c r="X26" i="4" l="1"/>
  <c r="Y26" i="4"/>
  <c r="W163" i="4"/>
  <c r="W20" i="3"/>
  <c r="Q205" i="4"/>
  <c r="V163" i="4"/>
  <c r="V20" i="3"/>
  <c r="Q18" i="4"/>
  <c r="Q209" i="4" l="1"/>
  <c r="X163" i="4"/>
  <c r="X20" i="3"/>
  <c r="Y163" i="4"/>
  <c r="Y20" i="3"/>
  <c r="V28" i="7"/>
  <c r="V192" i="4"/>
  <c r="V219" i="4"/>
  <c r="W28" i="7" l="1"/>
  <c r="W192" i="4"/>
  <c r="W219" i="4"/>
  <c r="Y28" i="7" l="1"/>
  <c r="Y192" i="4"/>
  <c r="Y219" i="4"/>
  <c r="X28" i="7"/>
  <c r="X192" i="4"/>
  <c r="X219" i="4"/>
  <c r="P129" i="5" l="1"/>
  <c r="P75" i="5"/>
  <c r="P130" i="7" s="1"/>
  <c r="N178" i="4" l="1"/>
  <c r="P123" i="6"/>
  <c r="P150" i="6"/>
  <c r="P69" i="6"/>
  <c r="M178" i="4" l="1"/>
  <c r="L178" i="4" l="1"/>
  <c r="M27" i="4"/>
  <c r="Q27" i="4"/>
  <c r="N27" i="4"/>
  <c r="L27" i="4"/>
  <c r="P27" i="4"/>
  <c r="O27" i="4"/>
  <c r="K27" i="4" l="1"/>
  <c r="O53" i="4" l="1"/>
  <c r="N53" i="4"/>
  <c r="M28" i="4"/>
  <c r="M53" i="4"/>
  <c r="Q53" i="4"/>
  <c r="P53" i="4"/>
  <c r="Q28" i="4"/>
  <c r="J27" i="4"/>
  <c r="P28" i="4"/>
  <c r="N28" i="4"/>
  <c r="O28" i="4"/>
  <c r="N26" i="4" l="1"/>
  <c r="P26" i="4"/>
  <c r="Q26" i="4"/>
  <c r="O26" i="4"/>
  <c r="M26" i="4"/>
  <c r="L53" i="4"/>
  <c r="L28" i="4"/>
  <c r="I27" i="4"/>
  <c r="L26" i="4" l="1"/>
  <c r="Q163" i="4"/>
  <c r="Q20" i="3"/>
  <c r="P176" i="4"/>
  <c r="N163" i="4"/>
  <c r="N20" i="3"/>
  <c r="O163" i="4"/>
  <c r="O20" i="3"/>
  <c r="K53" i="4"/>
  <c r="P163" i="4"/>
  <c r="P20" i="3"/>
  <c r="K178" i="4"/>
  <c r="M163" i="4"/>
  <c r="M20" i="3"/>
  <c r="K28" i="4"/>
  <c r="H27" i="4"/>
  <c r="K26" i="4" l="1"/>
  <c r="J178" i="4"/>
  <c r="L163" i="4"/>
  <c r="L20" i="3"/>
  <c r="J53" i="4"/>
  <c r="O176" i="4"/>
  <c r="J28" i="4"/>
  <c r="G27" i="4"/>
  <c r="J26" i="4" l="1"/>
  <c r="M28" i="7"/>
  <c r="M192" i="4"/>
  <c r="M219" i="4"/>
  <c r="I178" i="4"/>
  <c r="O28" i="7"/>
  <c r="O192" i="4"/>
  <c r="O219" i="4"/>
  <c r="Q28" i="7"/>
  <c r="Q192" i="4"/>
  <c r="Q219" i="4"/>
  <c r="I53" i="4"/>
  <c r="N28" i="7"/>
  <c r="N192" i="4"/>
  <c r="N219" i="4"/>
  <c r="K163" i="4"/>
  <c r="K20" i="3"/>
  <c r="P28" i="7"/>
  <c r="P192" i="4"/>
  <c r="P219" i="4"/>
  <c r="N176" i="4"/>
  <c r="Q180" i="4"/>
  <c r="I28" i="4"/>
  <c r="I26" i="4" l="1"/>
  <c r="Q175" i="4"/>
  <c r="H178" i="4"/>
  <c r="J163" i="4"/>
  <c r="J20" i="3"/>
  <c r="H53" i="4"/>
  <c r="M176" i="4"/>
  <c r="L28" i="7"/>
  <c r="L192" i="4"/>
  <c r="L219" i="4"/>
  <c r="Q16" i="4"/>
  <c r="H28" i="4"/>
  <c r="H26" i="4" l="1"/>
  <c r="K28" i="7"/>
  <c r="K192" i="4"/>
  <c r="K219" i="4"/>
  <c r="G53" i="4"/>
  <c r="I163" i="4"/>
  <c r="I20" i="3"/>
  <c r="G178" i="4"/>
  <c r="L176" i="4"/>
  <c r="Q207" i="4"/>
  <c r="G28" i="4"/>
  <c r="G26" i="4" l="1"/>
  <c r="J28" i="7"/>
  <c r="J192" i="4"/>
  <c r="J219" i="4"/>
  <c r="K176" i="4"/>
  <c r="F178" i="4"/>
  <c r="H163" i="4"/>
  <c r="H20" i="3"/>
  <c r="I28" i="7" l="1"/>
  <c r="I192" i="4"/>
  <c r="I219" i="4"/>
  <c r="G163" i="4"/>
  <c r="G20" i="3"/>
  <c r="E178" i="4"/>
  <c r="T182" i="4"/>
  <c r="J176" i="4"/>
  <c r="Y182" i="4" l="1"/>
  <c r="D178" i="4"/>
  <c r="U182" i="4"/>
  <c r="H28" i="7"/>
  <c r="H192" i="4"/>
  <c r="H219" i="4"/>
  <c r="X182" i="4"/>
  <c r="I176" i="4"/>
  <c r="W182" i="4"/>
  <c r="V182" i="4"/>
  <c r="G28" i="7" l="1"/>
  <c r="G192" i="4"/>
  <c r="G219" i="4"/>
  <c r="H176" i="4"/>
  <c r="B178" i="4"/>
  <c r="C178" i="4"/>
  <c r="Q69" i="5" l="1"/>
  <c r="Q124" i="7" s="1"/>
  <c r="Q123" i="5"/>
  <c r="G176" i="4"/>
  <c r="Q117" i="6" l="1"/>
  <c r="Q144" i="6"/>
  <c r="Q63" i="6"/>
  <c r="P123" i="5"/>
  <c r="P69" i="5"/>
  <c r="P124" i="7" s="1"/>
  <c r="F176" i="4"/>
  <c r="P117" i="6" l="1"/>
  <c r="P144" i="6"/>
  <c r="P63" i="6"/>
  <c r="Q75" i="5"/>
  <c r="Q130" i="7" s="1"/>
  <c r="Q129" i="5"/>
  <c r="Q102" i="5"/>
  <c r="E176" i="4"/>
  <c r="N181" i="4"/>
  <c r="Q123" i="6" l="1"/>
  <c r="Q150" i="6"/>
  <c r="Q69" i="6"/>
  <c r="Q96" i="6"/>
  <c r="D12" i="4"/>
  <c r="D63" i="6"/>
  <c r="D257" i="4"/>
  <c r="D176" i="4"/>
  <c r="P175" i="4"/>
  <c r="G69" i="5"/>
  <c r="G124" i="7" s="1"/>
  <c r="G123" i="5"/>
  <c r="C12" i="4" l="1"/>
  <c r="C257" i="4"/>
  <c r="C176" i="4"/>
  <c r="C63" i="6"/>
  <c r="D90" i="6"/>
  <c r="D96" i="5"/>
  <c r="D230" i="4"/>
  <c r="D203" i="4"/>
  <c r="B257" i="4"/>
  <c r="B12" i="4"/>
  <c r="B176" i="4"/>
  <c r="B63" i="6"/>
  <c r="F123" i="5"/>
  <c r="F69" i="5"/>
  <c r="F124" i="7" s="1"/>
  <c r="G117" i="6"/>
  <c r="G144" i="6"/>
  <c r="G63" i="6"/>
  <c r="E69" i="5" l="1"/>
  <c r="E124" i="7" s="1"/>
  <c r="E123" i="5"/>
  <c r="B203" i="4"/>
  <c r="B90" i="6"/>
  <c r="B96" i="5"/>
  <c r="B230" i="4"/>
  <c r="F117" i="6"/>
  <c r="F144" i="6"/>
  <c r="F63" i="6"/>
  <c r="C90" i="6"/>
  <c r="C96" i="5"/>
  <c r="C230" i="4"/>
  <c r="C203" i="4"/>
  <c r="D123" i="5" l="1"/>
  <c r="D69" i="5"/>
  <c r="D150" i="5"/>
  <c r="Q189" i="4"/>
  <c r="E117" i="6"/>
  <c r="E144" i="6"/>
  <c r="E63" i="6"/>
  <c r="Q185" i="4"/>
  <c r="P189" i="4" l="1"/>
  <c r="Q186" i="4"/>
  <c r="D117" i="6"/>
  <c r="D144" i="6"/>
  <c r="O181" i="4"/>
  <c r="C123" i="5"/>
  <c r="C150" i="5"/>
  <c r="C69" i="5"/>
  <c r="Q174" i="4"/>
  <c r="P185" i="4"/>
  <c r="B150" i="5"/>
  <c r="B123" i="5"/>
  <c r="B69" i="5"/>
  <c r="Q21" i="4"/>
  <c r="Q25" i="4"/>
  <c r="B117" i="6" l="1"/>
  <c r="B144" i="6"/>
  <c r="O189" i="4"/>
  <c r="O185" i="4"/>
  <c r="Q216" i="4"/>
  <c r="C117" i="6"/>
  <c r="C144" i="6"/>
  <c r="P186" i="4"/>
  <c r="Q212" i="4"/>
  <c r="P21" i="4"/>
  <c r="Q22" i="4"/>
  <c r="P25" i="4"/>
  <c r="N189" i="4" l="1"/>
  <c r="P174" i="4"/>
  <c r="O186" i="4"/>
  <c r="N185" i="4"/>
  <c r="Q181" i="4"/>
  <c r="P216" i="4"/>
  <c r="Q213" i="4"/>
  <c r="P212" i="4"/>
  <c r="O21" i="4"/>
  <c r="P22" i="4"/>
  <c r="O25" i="4"/>
  <c r="Q179" i="4" l="1"/>
  <c r="Q40" i="4"/>
  <c r="P213" i="4"/>
  <c r="O212" i="4"/>
  <c r="M185" i="4"/>
  <c r="O174" i="4"/>
  <c r="O216" i="4"/>
  <c r="O22" i="4"/>
  <c r="Q4" i="5"/>
  <c r="Q47" i="6" s="1"/>
  <c r="N25" i="4"/>
  <c r="N21" i="4"/>
  <c r="Q17" i="4"/>
  <c r="Q73" i="5" l="1"/>
  <c r="Q128" i="7" s="1"/>
  <c r="Q127" i="5"/>
  <c r="Q100" i="5"/>
  <c r="L174" i="4"/>
  <c r="L185" i="4"/>
  <c r="N216" i="4"/>
  <c r="Q177" i="4"/>
  <c r="N212" i="4"/>
  <c r="O213" i="4"/>
  <c r="N174" i="4"/>
  <c r="Q136" i="5"/>
  <c r="Q82" i="5"/>
  <c r="Q137" i="7" s="1"/>
  <c r="Q109" i="5"/>
  <c r="Q208" i="4"/>
  <c r="M21" i="4"/>
  <c r="Q15" i="4"/>
  <c r="Q206" i="4" l="1"/>
  <c r="Q13" i="4"/>
  <c r="M212" i="4"/>
  <c r="K185" i="4"/>
  <c r="Q130" i="6"/>
  <c r="Q157" i="6"/>
  <c r="Q76" i="6"/>
  <c r="Q103" i="6"/>
  <c r="M174" i="4"/>
  <c r="P181" i="4"/>
  <c r="P4" i="5"/>
  <c r="P47" i="6" s="1"/>
  <c r="P136" i="5"/>
  <c r="P82" i="5"/>
  <c r="P137" i="7" s="1"/>
  <c r="P109" i="5"/>
  <c r="Q121" i="6"/>
  <c r="Q67" i="6"/>
  <c r="Q209" i="7" s="1"/>
  <c r="Q94" i="6"/>
  <c r="L21" i="4"/>
  <c r="J185" i="4" l="1"/>
  <c r="O82" i="5"/>
  <c r="O137" i="7" s="1"/>
  <c r="O136" i="5"/>
  <c r="O109" i="5"/>
  <c r="L212" i="4"/>
  <c r="Q204" i="4"/>
  <c r="Q150" i="4"/>
  <c r="Q8" i="3"/>
  <c r="P130" i="6"/>
  <c r="P157" i="6"/>
  <c r="P76" i="6"/>
  <c r="P103" i="6"/>
  <c r="K21" i="4"/>
  <c r="G12" i="4"/>
  <c r="G203" i="4" l="1"/>
  <c r="G90" i="6"/>
  <c r="G96" i="5"/>
  <c r="I185" i="4"/>
  <c r="N82" i="5"/>
  <c r="N137" i="7" s="1"/>
  <c r="N136" i="5"/>
  <c r="N109" i="5"/>
  <c r="H123" i="5"/>
  <c r="H69" i="5"/>
  <c r="H124" i="7" s="1"/>
  <c r="O157" i="6"/>
  <c r="O130" i="6"/>
  <c r="O76" i="6"/>
  <c r="O103" i="6"/>
  <c r="K212" i="4"/>
  <c r="I123" i="5"/>
  <c r="I69" i="5"/>
  <c r="I124" i="7" s="1"/>
  <c r="J21" i="4"/>
  <c r="F12" i="4"/>
  <c r="J212" i="4" l="1"/>
  <c r="N130" i="6"/>
  <c r="N157" i="6"/>
  <c r="N76" i="6"/>
  <c r="N103" i="6"/>
  <c r="H117" i="6"/>
  <c r="H144" i="6"/>
  <c r="H63" i="6"/>
  <c r="I117" i="6"/>
  <c r="I144" i="6"/>
  <c r="I63" i="6"/>
  <c r="H185" i="4"/>
  <c r="F203" i="4"/>
  <c r="F90" i="6"/>
  <c r="F96" i="5"/>
  <c r="I21" i="4"/>
  <c r="E12" i="4"/>
  <c r="I212" i="4" l="1"/>
  <c r="G185" i="4"/>
  <c r="E96" i="5"/>
  <c r="E90" i="6"/>
  <c r="E203" i="4"/>
  <c r="H21" i="4"/>
  <c r="F185" i="4" l="1"/>
  <c r="H212" i="4"/>
  <c r="G21" i="4"/>
  <c r="E185" i="4" l="1"/>
  <c r="G212" i="4"/>
  <c r="F21" i="4"/>
  <c r="D185" i="4" l="1"/>
  <c r="F212" i="4"/>
  <c r="E21" i="4"/>
  <c r="E212" i="4" l="1"/>
  <c r="R178" i="4"/>
  <c r="B185" i="4"/>
  <c r="C185" i="4"/>
  <c r="D21" i="4"/>
  <c r="R180" i="4" l="1"/>
  <c r="D212" i="4"/>
  <c r="R14" i="4"/>
  <c r="R205" i="4" l="1"/>
  <c r="R75" i="5"/>
  <c r="R130" i="7" s="1"/>
  <c r="R129" i="5"/>
  <c r="C21" i="4"/>
  <c r="B21" i="4"/>
  <c r="R18" i="4"/>
  <c r="R16" i="4"/>
  <c r="R207" i="4" l="1"/>
  <c r="B212" i="4"/>
  <c r="R123" i="6"/>
  <c r="R150" i="6"/>
  <c r="R69" i="6"/>
  <c r="R102" i="5"/>
  <c r="R96" i="6"/>
  <c r="R209" i="4"/>
  <c r="C212" i="4"/>
  <c r="I12" i="4" l="1"/>
  <c r="H12" i="4"/>
  <c r="I203" i="4" l="1"/>
  <c r="I96" i="5"/>
  <c r="I90" i="6"/>
  <c r="H203" i="4"/>
  <c r="H90" i="6"/>
  <c r="H96" i="5"/>
  <c r="R174" i="4" l="1"/>
  <c r="R176" i="4" l="1"/>
  <c r="R175" i="4" l="1"/>
  <c r="M5" i="4" l="1"/>
  <c r="K5" i="4"/>
  <c r="L5" i="4"/>
  <c r="M196" i="4" l="1"/>
  <c r="M6" i="3"/>
  <c r="K196" i="4"/>
  <c r="K6" i="3"/>
  <c r="L196" i="4"/>
  <c r="L6" i="3"/>
  <c r="N5" i="4"/>
  <c r="J5" i="4"/>
  <c r="J196" i="4" l="1"/>
  <c r="J6" i="3"/>
  <c r="N196" i="4"/>
  <c r="N6" i="3"/>
  <c r="I5" i="4"/>
  <c r="O5" i="4"/>
  <c r="I196" i="4" l="1"/>
  <c r="I6" i="3"/>
  <c r="O196" i="4"/>
  <c r="O6" i="3"/>
  <c r="P5" i="4"/>
  <c r="H5" i="4"/>
  <c r="R123" i="5" l="1"/>
  <c r="R69" i="5"/>
  <c r="R124" i="7" s="1"/>
  <c r="P196" i="4"/>
  <c r="P6" i="3"/>
  <c r="H196" i="4"/>
  <c r="H6" i="3"/>
  <c r="Q5" i="4"/>
  <c r="G5" i="4"/>
  <c r="G196" i="4" l="1"/>
  <c r="G6" i="3"/>
  <c r="Q196" i="4"/>
  <c r="Q6" i="3"/>
  <c r="R117" i="6"/>
  <c r="R144" i="6"/>
  <c r="R63" i="6"/>
  <c r="F5" i="4"/>
  <c r="F196" i="4" l="1"/>
  <c r="F6" i="3"/>
  <c r="E5" i="4"/>
  <c r="E196" i="4" l="1"/>
  <c r="E6" i="3"/>
  <c r="D5" i="4"/>
  <c r="D196" i="4" l="1"/>
  <c r="D6" i="3"/>
  <c r="C5" i="4"/>
  <c r="C196" i="4" l="1"/>
  <c r="C6" i="3"/>
  <c r="B5" i="4"/>
  <c r="B196" i="4" l="1"/>
  <c r="B6" i="3"/>
  <c r="S129" i="5"/>
  <c r="S75" i="5"/>
  <c r="S130" i="7" s="1"/>
  <c r="S180" i="4" l="1"/>
  <c r="S123" i="6"/>
  <c r="S150" i="6"/>
  <c r="S69" i="6"/>
  <c r="R5" i="4"/>
  <c r="S5" i="4"/>
  <c r="W5" i="4"/>
  <c r="X5" i="4"/>
  <c r="R196" i="4" l="1"/>
  <c r="R6" i="3"/>
  <c r="S178" i="4"/>
  <c r="W6" i="3"/>
  <c r="W196" i="4"/>
  <c r="S196" i="4"/>
  <c r="S6" i="3"/>
  <c r="X6" i="3"/>
  <c r="X196" i="4"/>
  <c r="S16" i="4"/>
  <c r="S207" i="4" l="1"/>
  <c r="S14" i="4"/>
  <c r="S205" i="4" l="1"/>
  <c r="S18" i="4"/>
  <c r="R27" i="4"/>
  <c r="U27" i="4"/>
  <c r="T27" i="4"/>
  <c r="S209" i="4" l="1"/>
  <c r="S102" i="5"/>
  <c r="S96" i="6"/>
  <c r="T53" i="4" l="1"/>
  <c r="R53" i="4"/>
  <c r="U53" i="4"/>
  <c r="R28" i="4"/>
  <c r="T28" i="4"/>
  <c r="U28" i="4"/>
  <c r="R26" i="4" l="1"/>
  <c r="U26" i="4"/>
  <c r="T26" i="4"/>
  <c r="T163" i="4" l="1"/>
  <c r="T20" i="3"/>
  <c r="S174" i="4"/>
  <c r="R163" i="4"/>
  <c r="R20" i="3"/>
  <c r="U163" i="4"/>
  <c r="U20" i="3"/>
  <c r="T28" i="7" l="1"/>
  <c r="T192" i="4"/>
  <c r="T219" i="4"/>
  <c r="U28" i="7"/>
  <c r="U192" i="4"/>
  <c r="U219" i="4"/>
  <c r="S176" i="4"/>
  <c r="R28" i="7" l="1"/>
  <c r="R192" i="4"/>
  <c r="R219" i="4"/>
  <c r="S175" i="4" l="1"/>
  <c r="T129" i="5" l="1"/>
  <c r="T75" i="5"/>
  <c r="T130" i="7" s="1"/>
  <c r="T180" i="4" l="1"/>
  <c r="T123" i="6"/>
  <c r="T150" i="6"/>
  <c r="T69" i="6"/>
  <c r="T178" i="4"/>
  <c r="T14" i="4" l="1"/>
  <c r="T16" i="4"/>
  <c r="T205" i="4" l="1"/>
  <c r="T207" i="4"/>
  <c r="T18" i="4"/>
  <c r="S69" i="5" l="1"/>
  <c r="S124" i="7" s="1"/>
  <c r="S123" i="5"/>
  <c r="T174" i="4"/>
  <c r="T209" i="4"/>
  <c r="T96" i="6"/>
  <c r="T102" i="5"/>
  <c r="S117" i="6" l="1"/>
  <c r="S144" i="6"/>
  <c r="S63" i="6"/>
  <c r="T176" i="4" l="1"/>
  <c r="P180" i="4" l="1"/>
  <c r="P179" i="4" l="1"/>
  <c r="P40" i="4"/>
  <c r="P14" i="4"/>
  <c r="P16" i="4"/>
  <c r="P177" i="4" l="1"/>
  <c r="P207" i="4"/>
  <c r="P205" i="4"/>
  <c r="P18" i="4"/>
  <c r="P17" i="4"/>
  <c r="P15" i="4"/>
  <c r="P13" i="4" l="1"/>
  <c r="P204" i="4"/>
  <c r="P150" i="4"/>
  <c r="P8" i="3"/>
  <c r="O180" i="4"/>
  <c r="P208" i="4"/>
  <c r="P206" i="4"/>
  <c r="P102" i="5"/>
  <c r="P209" i="4"/>
  <c r="P96" i="6"/>
  <c r="O179" i="4" l="1"/>
  <c r="O40" i="4"/>
  <c r="N180" i="4"/>
  <c r="O182" i="4"/>
  <c r="P127" i="5"/>
  <c r="P73" i="5"/>
  <c r="P128" i="7" s="1"/>
  <c r="P100" i="5"/>
  <c r="O14" i="4"/>
  <c r="O16" i="4"/>
  <c r="M180" i="4" l="1"/>
  <c r="O205" i="4"/>
  <c r="P121" i="6"/>
  <c r="P67" i="6"/>
  <c r="P209" i="7" s="1"/>
  <c r="P94" i="6"/>
  <c r="O177" i="4"/>
  <c r="M181" i="4"/>
  <c r="N182" i="4"/>
  <c r="O207" i="4"/>
  <c r="N16" i="4"/>
  <c r="N14" i="4"/>
  <c r="O15" i="4"/>
  <c r="O17" i="4"/>
  <c r="O18" i="4"/>
  <c r="O206" i="4" l="1"/>
  <c r="L180" i="4"/>
  <c r="O209" i="4"/>
  <c r="M182" i="4"/>
  <c r="L181" i="4"/>
  <c r="O208" i="4"/>
  <c r="O13" i="4"/>
  <c r="N179" i="4"/>
  <c r="N40" i="4"/>
  <c r="M179" i="4"/>
  <c r="M40" i="4"/>
  <c r="M177" i="4" s="1"/>
  <c r="N205" i="4"/>
  <c r="N207" i="4"/>
  <c r="M17" i="4"/>
  <c r="M14" i="4"/>
  <c r="N17" i="4"/>
  <c r="M16" i="4"/>
  <c r="N18" i="4"/>
  <c r="N15" i="4"/>
  <c r="N206" i="4" l="1"/>
  <c r="N13" i="4"/>
  <c r="N177" i="4"/>
  <c r="N208" i="4"/>
  <c r="M207" i="4"/>
  <c r="M205" i="4"/>
  <c r="N209" i="4"/>
  <c r="L182" i="4"/>
  <c r="M208" i="4"/>
  <c r="K181" i="4"/>
  <c r="L179" i="4"/>
  <c r="L40" i="4"/>
  <c r="K180" i="4"/>
  <c r="O127" i="5"/>
  <c r="O73" i="5"/>
  <c r="O128" i="7" s="1"/>
  <c r="O100" i="5"/>
  <c r="O204" i="4"/>
  <c r="O150" i="4"/>
  <c r="O8" i="3"/>
  <c r="L17" i="4"/>
  <c r="L14" i="4"/>
  <c r="M15" i="4"/>
  <c r="M18" i="4"/>
  <c r="L16" i="4"/>
  <c r="M13" i="4" l="1"/>
  <c r="O121" i="6"/>
  <c r="O67" i="6"/>
  <c r="O209" i="7" s="1"/>
  <c r="O94" i="6"/>
  <c r="M206" i="4"/>
  <c r="L205" i="4"/>
  <c r="J180" i="4"/>
  <c r="L177" i="4"/>
  <c r="M204" i="4"/>
  <c r="M150" i="4"/>
  <c r="M8" i="3"/>
  <c r="J181" i="4"/>
  <c r="N204" i="4"/>
  <c r="N150" i="4"/>
  <c r="N8" i="3"/>
  <c r="K182" i="4"/>
  <c r="L207" i="4"/>
  <c r="L208" i="4"/>
  <c r="M209" i="4"/>
  <c r="K17" i="4"/>
  <c r="L18" i="4"/>
  <c r="L15" i="4"/>
  <c r="L13" i="4" s="1"/>
  <c r="K16" i="4"/>
  <c r="K14" i="4"/>
  <c r="L150" i="4" l="1"/>
  <c r="L204" i="4"/>
  <c r="L8" i="3"/>
  <c r="K205" i="4"/>
  <c r="I181" i="4"/>
  <c r="L209" i="4"/>
  <c r="J179" i="4"/>
  <c r="J40" i="4"/>
  <c r="K179" i="4"/>
  <c r="K40" i="4"/>
  <c r="J182" i="4"/>
  <c r="K207" i="4"/>
  <c r="K208" i="4"/>
  <c r="O129" i="5"/>
  <c r="O75" i="5"/>
  <c r="O130" i="7" s="1"/>
  <c r="O102" i="5"/>
  <c r="L206" i="4"/>
  <c r="I180" i="4"/>
  <c r="K15" i="4"/>
  <c r="T5" i="4"/>
  <c r="J16" i="4"/>
  <c r="J14" i="4"/>
  <c r="J17" i="4"/>
  <c r="K18" i="4"/>
  <c r="K206" i="4" l="1"/>
  <c r="K13" i="4"/>
  <c r="J205" i="4"/>
  <c r="H181" i="4"/>
  <c r="O123" i="6"/>
  <c r="O150" i="6"/>
  <c r="O69" i="6"/>
  <c r="O96" i="6"/>
  <c r="T175" i="4"/>
  <c r="J207" i="4"/>
  <c r="K177" i="4"/>
  <c r="N129" i="5"/>
  <c r="N75" i="5"/>
  <c r="N130" i="7" s="1"/>
  <c r="N102" i="5"/>
  <c r="I182" i="4"/>
  <c r="I179" i="4"/>
  <c r="I40" i="4"/>
  <c r="J208" i="4"/>
  <c r="H180" i="4"/>
  <c r="J177" i="4"/>
  <c r="K209" i="4"/>
  <c r="T196" i="4"/>
  <c r="T6" i="3"/>
  <c r="I17" i="4"/>
  <c r="I16" i="4"/>
  <c r="U5" i="4"/>
  <c r="I14" i="4"/>
  <c r="J18" i="4"/>
  <c r="G181" i="4" l="1"/>
  <c r="U178" i="4"/>
  <c r="I208" i="4"/>
  <c r="I205" i="4"/>
  <c r="J209" i="4"/>
  <c r="H182" i="4"/>
  <c r="I177" i="4"/>
  <c r="U180" i="4"/>
  <c r="K204" i="4"/>
  <c r="K150" i="4"/>
  <c r="K8" i="3"/>
  <c r="G180" i="4"/>
  <c r="N123" i="6"/>
  <c r="N150" i="6"/>
  <c r="N69" i="6"/>
  <c r="N96" i="6"/>
  <c r="U196" i="4"/>
  <c r="U6" i="3"/>
  <c r="I207" i="4"/>
  <c r="M75" i="5"/>
  <c r="M130" i="7" s="1"/>
  <c r="M129" i="5"/>
  <c r="M102" i="5"/>
  <c r="U129" i="5"/>
  <c r="U75" i="5"/>
  <c r="U130" i="7" s="1"/>
  <c r="H179" i="4"/>
  <c r="H40" i="4"/>
  <c r="I18" i="4"/>
  <c r="H17" i="4"/>
  <c r="H16" i="4"/>
  <c r="I15" i="4"/>
  <c r="J15" i="4"/>
  <c r="V5" i="4"/>
  <c r="H14" i="4"/>
  <c r="I13" i="4" l="1"/>
  <c r="I150" i="4"/>
  <c r="I204" i="4"/>
  <c r="I8" i="3"/>
  <c r="G182" i="4"/>
  <c r="U150" i="6"/>
  <c r="U123" i="6"/>
  <c r="U69" i="6"/>
  <c r="H205" i="4"/>
  <c r="V196" i="4"/>
  <c r="V6" i="3"/>
  <c r="F180" i="4"/>
  <c r="I206" i="4"/>
  <c r="H208" i="4"/>
  <c r="H207" i="4"/>
  <c r="H177" i="4"/>
  <c r="M123" i="6"/>
  <c r="M150" i="6"/>
  <c r="M69" i="6"/>
  <c r="M96" i="6"/>
  <c r="F181" i="4"/>
  <c r="J206" i="4"/>
  <c r="J13" i="4"/>
  <c r="I209" i="4"/>
  <c r="L129" i="5"/>
  <c r="L75" i="5"/>
  <c r="L130" i="7" s="1"/>
  <c r="L102" i="5"/>
  <c r="G17" i="4"/>
  <c r="G16" i="4"/>
  <c r="G14" i="4"/>
  <c r="H18" i="4"/>
  <c r="G208" i="4" l="1"/>
  <c r="L150" i="6"/>
  <c r="L123" i="6"/>
  <c r="L69" i="6"/>
  <c r="L96" i="6"/>
  <c r="K75" i="5"/>
  <c r="K130" i="7" s="1"/>
  <c r="K129" i="5"/>
  <c r="K102" i="5"/>
  <c r="G205" i="4"/>
  <c r="F182" i="4"/>
  <c r="J150" i="4"/>
  <c r="J204" i="4"/>
  <c r="J8" i="3"/>
  <c r="E181" i="4"/>
  <c r="G207" i="4"/>
  <c r="E180" i="4"/>
  <c r="G179" i="4"/>
  <c r="G40" i="4"/>
  <c r="H209" i="4"/>
  <c r="F179" i="4"/>
  <c r="F40" i="4"/>
  <c r="H15" i="4"/>
  <c r="U18" i="4"/>
  <c r="F17" i="4"/>
  <c r="F16" i="4"/>
  <c r="G18" i="4"/>
  <c r="U14" i="4"/>
  <c r="F14" i="4"/>
  <c r="K150" i="6" l="1"/>
  <c r="K123" i="6"/>
  <c r="K69" i="6"/>
  <c r="K96" i="6"/>
  <c r="E182" i="4"/>
  <c r="F207" i="4"/>
  <c r="U209" i="4"/>
  <c r="U96" i="6"/>
  <c r="U102" i="5"/>
  <c r="F177" i="4"/>
  <c r="J75" i="5"/>
  <c r="J130" i="7" s="1"/>
  <c r="J129" i="5"/>
  <c r="J102" i="5"/>
  <c r="F205" i="4"/>
  <c r="G209" i="4"/>
  <c r="G177" i="4"/>
  <c r="U205" i="4"/>
  <c r="F208" i="4"/>
  <c r="D181" i="4"/>
  <c r="D180" i="4"/>
  <c r="H206" i="4"/>
  <c r="H13" i="4"/>
  <c r="E14" i="4"/>
  <c r="E17" i="4"/>
  <c r="F15" i="4"/>
  <c r="F18" i="4"/>
  <c r="G15" i="4"/>
  <c r="E16" i="4"/>
  <c r="U16" i="4"/>
  <c r="U207" i="4" l="1"/>
  <c r="C181" i="4"/>
  <c r="F209" i="4"/>
  <c r="H204" i="4"/>
  <c r="H150" i="4"/>
  <c r="H8" i="3"/>
  <c r="F206" i="4"/>
  <c r="F13" i="4"/>
  <c r="I75" i="5"/>
  <c r="I130" i="7" s="1"/>
  <c r="I129" i="5"/>
  <c r="I102" i="5"/>
  <c r="D182" i="4"/>
  <c r="G206" i="4"/>
  <c r="G13" i="4"/>
  <c r="D179" i="4"/>
  <c r="D40" i="4"/>
  <c r="E179" i="4"/>
  <c r="E40" i="4"/>
  <c r="J150" i="6"/>
  <c r="J123" i="6"/>
  <c r="J69" i="6"/>
  <c r="J96" i="6"/>
  <c r="E205" i="4"/>
  <c r="E207" i="4"/>
  <c r="E208" i="4"/>
  <c r="C180" i="4"/>
  <c r="D16" i="4"/>
  <c r="D17" i="4"/>
  <c r="D14" i="4"/>
  <c r="E18" i="4"/>
  <c r="B180" i="4" l="1"/>
  <c r="E177" i="4"/>
  <c r="C182" i="4"/>
  <c r="H129" i="5"/>
  <c r="H75" i="5"/>
  <c r="H130" i="7" s="1"/>
  <c r="H102" i="5"/>
  <c r="D207" i="4"/>
  <c r="G150" i="4"/>
  <c r="G204" i="4"/>
  <c r="G8" i="3"/>
  <c r="I123" i="6"/>
  <c r="I150" i="6"/>
  <c r="I69" i="6"/>
  <c r="I96" i="6"/>
  <c r="D177" i="4"/>
  <c r="T123" i="5"/>
  <c r="T69" i="5"/>
  <c r="T124" i="7" s="1"/>
  <c r="D205" i="4"/>
  <c r="D208" i="4"/>
  <c r="E209" i="4"/>
  <c r="B182" i="4"/>
  <c r="F204" i="4"/>
  <c r="F150" i="4"/>
  <c r="F8" i="3"/>
  <c r="D15" i="4"/>
  <c r="C17" i="4"/>
  <c r="C14" i="4"/>
  <c r="E15" i="4"/>
  <c r="C16" i="4"/>
  <c r="D18" i="4"/>
  <c r="C179" i="4" l="1"/>
  <c r="C40" i="4"/>
  <c r="T144" i="6"/>
  <c r="T117" i="6"/>
  <c r="T63" i="6"/>
  <c r="D206" i="4"/>
  <c r="D13" i="4"/>
  <c r="C208" i="4"/>
  <c r="C207" i="4"/>
  <c r="G129" i="5"/>
  <c r="G75" i="5"/>
  <c r="G130" i="7" s="1"/>
  <c r="G102" i="5"/>
  <c r="E206" i="4"/>
  <c r="E13" i="4"/>
  <c r="D209" i="4"/>
  <c r="C205" i="4"/>
  <c r="H123" i="6"/>
  <c r="H150" i="6"/>
  <c r="H69" i="6"/>
  <c r="H96" i="6"/>
  <c r="Q187" i="4"/>
  <c r="C18" i="4"/>
  <c r="B18" i="4"/>
  <c r="B16" i="4"/>
  <c r="B14" i="4"/>
  <c r="C15" i="4"/>
  <c r="C206" i="4" l="1"/>
  <c r="C13" i="4"/>
  <c r="R186" i="4"/>
  <c r="D150" i="4"/>
  <c r="D204" i="4"/>
  <c r="D8" i="3"/>
  <c r="C177" i="4"/>
  <c r="P187" i="4"/>
  <c r="C209" i="4"/>
  <c r="B207" i="4"/>
  <c r="E150" i="4"/>
  <c r="E204" i="4"/>
  <c r="E8" i="3"/>
  <c r="F75" i="5"/>
  <c r="F130" i="7" s="1"/>
  <c r="F129" i="5"/>
  <c r="F102" i="5"/>
  <c r="B205" i="4"/>
  <c r="B209" i="4"/>
  <c r="G150" i="6"/>
  <c r="G123" i="6"/>
  <c r="G69" i="6"/>
  <c r="G96" i="6"/>
  <c r="S27" i="4"/>
  <c r="Q23" i="4"/>
  <c r="S187" i="4" l="1"/>
  <c r="F123" i="6"/>
  <c r="F150" i="6"/>
  <c r="F69" i="6"/>
  <c r="F96" i="6"/>
  <c r="S186" i="4"/>
  <c r="E129" i="5"/>
  <c r="E75" i="5"/>
  <c r="E130" i="7" s="1"/>
  <c r="E102" i="5"/>
  <c r="O187" i="4"/>
  <c r="R185" i="4"/>
  <c r="C150" i="4"/>
  <c r="C204" i="4"/>
  <c r="C8" i="3"/>
  <c r="Q214" i="4"/>
  <c r="S185" i="4"/>
  <c r="R187" i="4"/>
  <c r="R21" i="4"/>
  <c r="R22" i="4"/>
  <c r="R23" i="4"/>
  <c r="P23" i="4"/>
  <c r="R212" i="4" l="1"/>
  <c r="B73" i="5"/>
  <c r="B128" i="7" s="1"/>
  <c r="B127" i="5"/>
  <c r="B100" i="5"/>
  <c r="Q188" i="4"/>
  <c r="Q47" i="4"/>
  <c r="R214" i="4"/>
  <c r="E150" i="6"/>
  <c r="E123" i="6"/>
  <c r="E69" i="6"/>
  <c r="E96" i="6"/>
  <c r="D75" i="5"/>
  <c r="D130" i="7" s="1"/>
  <c r="D129" i="5"/>
  <c r="D102" i="5"/>
  <c r="R189" i="4"/>
  <c r="P214" i="4"/>
  <c r="R213" i="4"/>
  <c r="S21" i="4"/>
  <c r="S23" i="4"/>
  <c r="S22" i="4"/>
  <c r="O23" i="4"/>
  <c r="Q173" i="4" l="1"/>
  <c r="S212" i="4"/>
  <c r="D123" i="6"/>
  <c r="D150" i="6"/>
  <c r="D69" i="6"/>
  <c r="D96" i="6"/>
  <c r="R188" i="4"/>
  <c r="R47" i="4"/>
  <c r="S189" i="4"/>
  <c r="S213" i="4"/>
  <c r="T187" i="4"/>
  <c r="O214" i="4"/>
  <c r="C75" i="5"/>
  <c r="C130" i="7" s="1"/>
  <c r="C129" i="5"/>
  <c r="C102" i="5"/>
  <c r="T186" i="4"/>
  <c r="Q134" i="5"/>
  <c r="Q80" i="5"/>
  <c r="Q135" i="7" s="1"/>
  <c r="Q107" i="5"/>
  <c r="S214" i="4"/>
  <c r="Q46" i="4"/>
  <c r="Q184" i="4"/>
  <c r="S53" i="4"/>
  <c r="B129" i="5"/>
  <c r="B75" i="5"/>
  <c r="B130" i="7" s="1"/>
  <c r="B102" i="5"/>
  <c r="P188" i="4"/>
  <c r="P47" i="4"/>
  <c r="T185" i="4"/>
  <c r="B121" i="6"/>
  <c r="B67" i="6"/>
  <c r="B209" i="7" s="1"/>
  <c r="B94" i="6"/>
  <c r="S28" i="4"/>
  <c r="Q24" i="4"/>
  <c r="R25" i="4"/>
  <c r="S26" i="4" l="1"/>
  <c r="U187" i="4"/>
  <c r="C123" i="6"/>
  <c r="C150" i="6"/>
  <c r="C69" i="6"/>
  <c r="C96" i="6"/>
  <c r="B123" i="6"/>
  <c r="B150" i="6"/>
  <c r="B69" i="6"/>
  <c r="B96" i="6"/>
  <c r="R216" i="4"/>
  <c r="O188" i="4"/>
  <c r="O47" i="4"/>
  <c r="Q128" i="6"/>
  <c r="Q74" i="6"/>
  <c r="Q216" i="7" s="1"/>
  <c r="Q101" i="6"/>
  <c r="N188" i="4"/>
  <c r="Q171" i="4"/>
  <c r="P80" i="5"/>
  <c r="P135" i="7" s="1"/>
  <c r="P134" i="5"/>
  <c r="P107" i="5"/>
  <c r="R46" i="4"/>
  <c r="R265" i="4" s="1"/>
  <c r="R184" i="4"/>
  <c r="T189" i="4"/>
  <c r="U186" i="4"/>
  <c r="P184" i="4"/>
  <c r="P46" i="4"/>
  <c r="Q215" i="4"/>
  <c r="Q20" i="4"/>
  <c r="Q265" i="4"/>
  <c r="Q264" i="4"/>
  <c r="Q272" i="4"/>
  <c r="Q273" i="4"/>
  <c r="Q271" i="4"/>
  <c r="Q270" i="4"/>
  <c r="Q266" i="4"/>
  <c r="Q267" i="4"/>
  <c r="Q268" i="4"/>
  <c r="Q269" i="4"/>
  <c r="U185" i="4"/>
  <c r="M189" i="4"/>
  <c r="R24" i="4"/>
  <c r="T23" i="4"/>
  <c r="S25" i="4"/>
  <c r="T22" i="4"/>
  <c r="Q33" i="4"/>
  <c r="T21" i="4"/>
  <c r="P24" i="4"/>
  <c r="Q170" i="4" l="1"/>
  <c r="Q31" i="4"/>
  <c r="P215" i="4"/>
  <c r="P20" i="4"/>
  <c r="N187" i="4"/>
  <c r="U189" i="4"/>
  <c r="M187" i="4"/>
  <c r="N186" i="4"/>
  <c r="N47" i="4"/>
  <c r="T214" i="4"/>
  <c r="P173" i="4"/>
  <c r="Q172" i="4"/>
  <c r="Q253" i="4"/>
  <c r="R215" i="4"/>
  <c r="R20" i="4"/>
  <c r="P128" i="6"/>
  <c r="P74" i="6"/>
  <c r="P216" i="7" s="1"/>
  <c r="P101" i="6"/>
  <c r="P265" i="4"/>
  <c r="P264" i="4"/>
  <c r="P272" i="4"/>
  <c r="P273" i="4"/>
  <c r="P271" i="4"/>
  <c r="P270" i="4"/>
  <c r="P266" i="4"/>
  <c r="P267" i="4"/>
  <c r="P268" i="4"/>
  <c r="P269" i="4"/>
  <c r="T212" i="4"/>
  <c r="S163" i="4"/>
  <c r="S20" i="3"/>
  <c r="S188" i="4"/>
  <c r="S47" i="4"/>
  <c r="T213" i="4"/>
  <c r="Q211" i="4"/>
  <c r="Q157" i="4"/>
  <c r="Q19" i="4"/>
  <c r="Q238" i="4"/>
  <c r="Q19" i="3"/>
  <c r="O46" i="4"/>
  <c r="O184" i="4"/>
  <c r="S216" i="4"/>
  <c r="R264" i="4"/>
  <c r="R272" i="4"/>
  <c r="R273" i="4"/>
  <c r="R271" i="4"/>
  <c r="R267" i="4"/>
  <c r="R266" i="4"/>
  <c r="R268" i="4"/>
  <c r="R270" i="4"/>
  <c r="R269" i="4"/>
  <c r="O134" i="5"/>
  <c r="O80" i="5"/>
  <c r="O135" i="7" s="1"/>
  <c r="O107" i="5"/>
  <c r="U22" i="4"/>
  <c r="U23" i="4"/>
  <c r="M25" i="4"/>
  <c r="T25" i="4"/>
  <c r="N24" i="4"/>
  <c r="U21" i="4"/>
  <c r="O24" i="4"/>
  <c r="R181" i="4" l="1"/>
  <c r="O215" i="4"/>
  <c r="O20" i="4"/>
  <c r="U213" i="4"/>
  <c r="R19" i="4"/>
  <c r="R157" i="4"/>
  <c r="R211" i="4"/>
  <c r="R19" i="3"/>
  <c r="M188" i="4"/>
  <c r="T188" i="4"/>
  <c r="T47" i="4"/>
  <c r="T216" i="4"/>
  <c r="O265" i="4"/>
  <c r="O264" i="4"/>
  <c r="O272" i="4"/>
  <c r="O273" i="4"/>
  <c r="O271" i="4"/>
  <c r="O270" i="4"/>
  <c r="O266" i="4"/>
  <c r="O267" i="4"/>
  <c r="O268" i="4"/>
  <c r="O269" i="4"/>
  <c r="O128" i="6"/>
  <c r="O74" i="6"/>
  <c r="O216" i="7" s="1"/>
  <c r="O101" i="6"/>
  <c r="Q18" i="3"/>
  <c r="Q258" i="4"/>
  <c r="Q249" i="4"/>
  <c r="Q30" i="4"/>
  <c r="Q257" i="4"/>
  <c r="Q168" i="4"/>
  <c r="Q250" i="4"/>
  <c r="Q259" i="4"/>
  <c r="Q263" i="4"/>
  <c r="Q261" i="4"/>
  <c r="Q256" i="4"/>
  <c r="Q255" i="4"/>
  <c r="Q262" i="4"/>
  <c r="Q260" i="4"/>
  <c r="Q254" i="4"/>
  <c r="Q252" i="4"/>
  <c r="P171" i="4"/>
  <c r="Q120" i="5"/>
  <c r="Q66" i="5"/>
  <c r="Q121" i="7" s="1"/>
  <c r="N46" i="4"/>
  <c r="N265" i="4"/>
  <c r="N184" i="4"/>
  <c r="Q251" i="4"/>
  <c r="U212" i="4"/>
  <c r="L186" i="4"/>
  <c r="N215" i="4"/>
  <c r="M216" i="4"/>
  <c r="Q244" i="4"/>
  <c r="Q237" i="4"/>
  <c r="Q156" i="4"/>
  <c r="Q245" i="4"/>
  <c r="Q246" i="4"/>
  <c r="Q243" i="4"/>
  <c r="Q239" i="4"/>
  <c r="Q240" i="4"/>
  <c r="Q241" i="4"/>
  <c r="Q242" i="4"/>
  <c r="L188" i="4"/>
  <c r="M186" i="4"/>
  <c r="M47" i="4"/>
  <c r="U214" i="4"/>
  <c r="S46" i="4"/>
  <c r="S265" i="4" s="1"/>
  <c r="S184" i="4"/>
  <c r="P157" i="4"/>
  <c r="P19" i="4"/>
  <c r="P238" i="4" s="1"/>
  <c r="P211" i="4"/>
  <c r="P19" i="3"/>
  <c r="N23" i="4"/>
  <c r="U25" i="4"/>
  <c r="M24" i="4"/>
  <c r="N22" i="4"/>
  <c r="S24" i="4"/>
  <c r="R4" i="5"/>
  <c r="R47" i="6" s="1"/>
  <c r="M215" i="4" l="1"/>
  <c r="L187" i="4"/>
  <c r="M184" i="4"/>
  <c r="M46" i="4"/>
  <c r="M265" i="4"/>
  <c r="P18" i="3"/>
  <c r="R244" i="4"/>
  <c r="R237" i="4"/>
  <c r="R156" i="4"/>
  <c r="R245" i="4"/>
  <c r="R246" i="4"/>
  <c r="R239" i="4"/>
  <c r="R241" i="4"/>
  <c r="R240" i="4"/>
  <c r="R243" i="4"/>
  <c r="R242" i="4"/>
  <c r="R173" i="4"/>
  <c r="O173" i="4"/>
  <c r="S173" i="4"/>
  <c r="U216" i="4"/>
  <c r="S28" i="7"/>
  <c r="S192" i="4"/>
  <c r="S219" i="4"/>
  <c r="R136" i="5"/>
  <c r="R82" i="5"/>
  <c r="R137" i="7" s="1"/>
  <c r="R109" i="5"/>
  <c r="S215" i="4"/>
  <c r="S20" i="4"/>
  <c r="N213" i="4"/>
  <c r="N20" i="4"/>
  <c r="S264" i="4"/>
  <c r="S272" i="4"/>
  <c r="S267" i="4"/>
  <c r="S268" i="4"/>
  <c r="S266" i="4"/>
  <c r="S273" i="4"/>
  <c r="S270" i="4"/>
  <c r="S271" i="4"/>
  <c r="S269" i="4"/>
  <c r="R18" i="3"/>
  <c r="R171" i="4"/>
  <c r="N214" i="4"/>
  <c r="P81" i="5"/>
  <c r="P136" i="7" s="1"/>
  <c r="P135" i="5"/>
  <c r="P108" i="5"/>
  <c r="Q81" i="5"/>
  <c r="Q136" i="7" s="1"/>
  <c r="Q135" i="5"/>
  <c r="Q108" i="5"/>
  <c r="R238" i="4"/>
  <c r="P242" i="4"/>
  <c r="P156" i="4"/>
  <c r="P237" i="4"/>
  <c r="P245" i="4"/>
  <c r="P246" i="4"/>
  <c r="P244" i="4"/>
  <c r="P243" i="4"/>
  <c r="P239" i="4"/>
  <c r="P240" i="4"/>
  <c r="P241" i="4"/>
  <c r="O175" i="4"/>
  <c r="T184" i="4"/>
  <c r="T46" i="4"/>
  <c r="T265" i="4" s="1"/>
  <c r="O211" i="4"/>
  <c r="O19" i="4"/>
  <c r="O238" i="4" s="1"/>
  <c r="O157" i="4"/>
  <c r="O19" i="3"/>
  <c r="N264" i="4"/>
  <c r="N272" i="4"/>
  <c r="N273" i="4"/>
  <c r="N271" i="4"/>
  <c r="N266" i="4"/>
  <c r="N270" i="4"/>
  <c r="N269" i="4"/>
  <c r="N267" i="4"/>
  <c r="N268" i="4"/>
  <c r="Q17" i="3"/>
  <c r="Q114" i="6"/>
  <c r="Q60" i="6"/>
  <c r="Q202" i="7" s="1"/>
  <c r="M23" i="4"/>
  <c r="Q10" i="4"/>
  <c r="L24" i="4"/>
  <c r="Q12" i="4"/>
  <c r="Q11" i="4"/>
  <c r="Q9" i="4"/>
  <c r="T24" i="4"/>
  <c r="M22" i="4"/>
  <c r="S4" i="5"/>
  <c r="S47" i="6" s="1"/>
  <c r="N173" i="4" l="1"/>
  <c r="M213" i="4"/>
  <c r="M20" i="4"/>
  <c r="K186" i="4"/>
  <c r="Q201" i="4"/>
  <c r="Q119" i="3"/>
  <c r="Q120" i="3"/>
  <c r="Q109" i="3"/>
  <c r="Q115" i="3"/>
  <c r="Q114" i="3"/>
  <c r="Q113" i="3"/>
  <c r="Q117" i="3"/>
  <c r="Q116" i="3"/>
  <c r="Q118" i="3"/>
  <c r="Q112" i="3"/>
  <c r="Q111" i="3"/>
  <c r="O18" i="3"/>
  <c r="P129" i="6"/>
  <c r="P75" i="6"/>
  <c r="P217" i="7" s="1"/>
  <c r="P102" i="6"/>
  <c r="S19" i="4"/>
  <c r="S157" i="4"/>
  <c r="S211" i="4"/>
  <c r="S19" i="3"/>
  <c r="P17" i="3"/>
  <c r="P110" i="3" s="1"/>
  <c r="Q202" i="4"/>
  <c r="N211" i="4"/>
  <c r="N19" i="4"/>
  <c r="N238" i="4" s="1"/>
  <c r="N157" i="4"/>
  <c r="N19" i="3"/>
  <c r="P66" i="5"/>
  <c r="P121" i="7" s="1"/>
  <c r="P120" i="5"/>
  <c r="J188" i="4"/>
  <c r="T215" i="4"/>
  <c r="T20" i="4"/>
  <c r="N175" i="4"/>
  <c r="K187" i="4"/>
  <c r="O171" i="4"/>
  <c r="M214" i="4"/>
  <c r="O237" i="4"/>
  <c r="O156" i="4"/>
  <c r="O245" i="4"/>
  <c r="O246" i="4"/>
  <c r="O244" i="4"/>
  <c r="O239" i="4"/>
  <c r="O243" i="4"/>
  <c r="O240" i="4"/>
  <c r="O241" i="4"/>
  <c r="O242" i="4"/>
  <c r="S171" i="4"/>
  <c r="Q96" i="5"/>
  <c r="Q203" i="4"/>
  <c r="Q90" i="6"/>
  <c r="R130" i="6"/>
  <c r="R157" i="6"/>
  <c r="R76" i="6"/>
  <c r="R103" i="6"/>
  <c r="R17" i="3"/>
  <c r="R110" i="3" s="1"/>
  <c r="L189" i="4"/>
  <c r="L215" i="4"/>
  <c r="K188" i="4"/>
  <c r="R179" i="4"/>
  <c r="R40" i="4"/>
  <c r="Q129" i="6"/>
  <c r="Q75" i="6"/>
  <c r="Q217" i="7" s="1"/>
  <c r="Q102" i="6"/>
  <c r="L47" i="4"/>
  <c r="P172" i="4"/>
  <c r="P33" i="4"/>
  <c r="M271" i="4"/>
  <c r="M264" i="4"/>
  <c r="M272" i="4"/>
  <c r="M273" i="4"/>
  <c r="M266" i="4"/>
  <c r="M270" i="4"/>
  <c r="M268" i="4"/>
  <c r="M269" i="4"/>
  <c r="M267" i="4"/>
  <c r="Q200" i="4"/>
  <c r="Q93" i="5"/>
  <c r="Q87" i="6"/>
  <c r="Q110" i="3"/>
  <c r="T264" i="4"/>
  <c r="T272" i="4"/>
  <c r="T273" i="4"/>
  <c r="T271" i="4"/>
  <c r="T268" i="4"/>
  <c r="T267" i="4"/>
  <c r="T266" i="4"/>
  <c r="T270" i="4"/>
  <c r="T269" i="4"/>
  <c r="O81" i="5"/>
  <c r="O136" i="7" s="1"/>
  <c r="O135" i="5"/>
  <c r="O108" i="5"/>
  <c r="S82" i="5"/>
  <c r="S137" i="7" s="1"/>
  <c r="S136" i="5"/>
  <c r="S109" i="5"/>
  <c r="O11" i="4"/>
  <c r="R17" i="4"/>
  <c r="L23" i="4"/>
  <c r="L22" i="4"/>
  <c r="K24" i="4"/>
  <c r="T4" i="5"/>
  <c r="T47" i="6" s="1"/>
  <c r="Q7" i="4"/>
  <c r="K47" i="4"/>
  <c r="K215" i="4" l="1"/>
  <c r="K184" i="4"/>
  <c r="K46" i="4"/>
  <c r="K265" i="4" s="1"/>
  <c r="J187" i="4"/>
  <c r="M175" i="4"/>
  <c r="O202" i="4"/>
  <c r="L46" i="4"/>
  <c r="L265" i="4" s="1"/>
  <c r="L184" i="4"/>
  <c r="N18" i="3"/>
  <c r="O17" i="3"/>
  <c r="O110" i="3" s="1"/>
  <c r="Q198" i="4"/>
  <c r="J186" i="4"/>
  <c r="S246" i="4"/>
  <c r="S237" i="4"/>
  <c r="S156" i="4"/>
  <c r="S245" i="4"/>
  <c r="S241" i="4"/>
  <c r="S239" i="4"/>
  <c r="S240" i="4"/>
  <c r="S244" i="4"/>
  <c r="S243" i="4"/>
  <c r="S242" i="4"/>
  <c r="S130" i="6"/>
  <c r="S157" i="6"/>
  <c r="S76" i="6"/>
  <c r="S103" i="6"/>
  <c r="N80" i="5"/>
  <c r="N135" i="7" s="1"/>
  <c r="N134" i="5"/>
  <c r="N107" i="5"/>
  <c r="Q74" i="5"/>
  <c r="Q129" i="7" s="1"/>
  <c r="Q128" i="5"/>
  <c r="Q101" i="5"/>
  <c r="P113" i="3"/>
  <c r="P119" i="3"/>
  <c r="P114" i="3"/>
  <c r="P120" i="3"/>
  <c r="P115" i="3"/>
  <c r="P116" i="3"/>
  <c r="P109" i="3"/>
  <c r="P118" i="3"/>
  <c r="P117" i="3"/>
  <c r="P112" i="3"/>
  <c r="P111" i="3"/>
  <c r="S172" i="4"/>
  <c r="L213" i="4"/>
  <c r="M136" i="5"/>
  <c r="M82" i="5"/>
  <c r="M137" i="7" s="1"/>
  <c r="M109" i="5"/>
  <c r="P170" i="4"/>
  <c r="P31" i="4"/>
  <c r="N244" i="4"/>
  <c r="N156" i="4"/>
  <c r="N237" i="4"/>
  <c r="N245" i="4"/>
  <c r="N246" i="4"/>
  <c r="N243" i="4"/>
  <c r="N239" i="4"/>
  <c r="N242" i="4"/>
  <c r="N240" i="4"/>
  <c r="N241" i="4"/>
  <c r="S18" i="3"/>
  <c r="N171" i="4"/>
  <c r="M173" i="4"/>
  <c r="L214" i="4"/>
  <c r="S33" i="4"/>
  <c r="O121" i="5"/>
  <c r="O67" i="5"/>
  <c r="O122" i="7" s="1"/>
  <c r="S238" i="4"/>
  <c r="I188" i="4"/>
  <c r="R208" i="4"/>
  <c r="R115" i="3"/>
  <c r="R114" i="3"/>
  <c r="R113" i="3"/>
  <c r="R120" i="3"/>
  <c r="R116" i="3"/>
  <c r="R117" i="3"/>
  <c r="R118" i="3"/>
  <c r="R119" i="3"/>
  <c r="R109" i="3"/>
  <c r="R112" i="3"/>
  <c r="R111" i="3"/>
  <c r="R172" i="4"/>
  <c r="R33" i="4"/>
  <c r="R177" i="4"/>
  <c r="P114" i="6"/>
  <c r="P60" i="6"/>
  <c r="P202" i="7" s="1"/>
  <c r="T136" i="5"/>
  <c r="T82" i="5"/>
  <c r="T137" i="7" s="1"/>
  <c r="T109" i="5"/>
  <c r="M211" i="4"/>
  <c r="M157" i="4"/>
  <c r="M19" i="4"/>
  <c r="M238" i="4" s="1"/>
  <c r="M19" i="3"/>
  <c r="K189" i="4"/>
  <c r="O129" i="6"/>
  <c r="O75" i="6"/>
  <c r="O217" i="7" s="1"/>
  <c r="O102" i="6"/>
  <c r="T19" i="4"/>
  <c r="T157" i="4"/>
  <c r="T211" i="4"/>
  <c r="T19" i="3"/>
  <c r="Q8" i="4"/>
  <c r="N11" i="4"/>
  <c r="J24" i="4"/>
  <c r="N33" i="4"/>
  <c r="R15" i="4"/>
  <c r="L25" i="4"/>
  <c r="L20" i="4" s="1"/>
  <c r="K22" i="4"/>
  <c r="N31" i="4" l="1"/>
  <c r="N170" i="4"/>
  <c r="N251" i="4"/>
  <c r="T238" i="4"/>
  <c r="T237" i="4"/>
  <c r="T156" i="4"/>
  <c r="T245" i="4"/>
  <c r="T246" i="4"/>
  <c r="T244" i="4"/>
  <c r="T239" i="4"/>
  <c r="T240" i="4"/>
  <c r="T241" i="4"/>
  <c r="T243" i="4"/>
  <c r="T242" i="4"/>
  <c r="Q67" i="5"/>
  <c r="Q122" i="7" s="1"/>
  <c r="Q121" i="5"/>
  <c r="Q94" i="5"/>
  <c r="O172" i="4"/>
  <c r="O33" i="4"/>
  <c r="T130" i="6"/>
  <c r="T157" i="6"/>
  <c r="T76" i="6"/>
  <c r="T103" i="6"/>
  <c r="N128" i="6"/>
  <c r="N74" i="6"/>
  <c r="N216" i="7" s="1"/>
  <c r="N101" i="6"/>
  <c r="H188" i="4"/>
  <c r="P30" i="4"/>
  <c r="P249" i="4"/>
  <c r="P168" i="4"/>
  <c r="P250" i="4"/>
  <c r="P263" i="4"/>
  <c r="P259" i="4"/>
  <c r="P257" i="4"/>
  <c r="P256" i="4"/>
  <c r="P255" i="4"/>
  <c r="P262" i="4"/>
  <c r="P261" i="4"/>
  <c r="P260" i="4"/>
  <c r="P258" i="4"/>
  <c r="P254" i="4"/>
  <c r="P252" i="4"/>
  <c r="P253" i="4"/>
  <c r="L211" i="4"/>
  <c r="L19" i="4"/>
  <c r="L157" i="4"/>
  <c r="L19" i="3"/>
  <c r="P128" i="5"/>
  <c r="P74" i="5"/>
  <c r="P129" i="7" s="1"/>
  <c r="P101" i="5"/>
  <c r="P251" i="4"/>
  <c r="K271" i="4"/>
  <c r="K264" i="4"/>
  <c r="K272" i="4"/>
  <c r="K273" i="4"/>
  <c r="K266" i="4"/>
  <c r="K268" i="4"/>
  <c r="K267" i="4"/>
  <c r="K269" i="4"/>
  <c r="L175" i="4"/>
  <c r="N172" i="4"/>
  <c r="N253" i="4"/>
  <c r="T173" i="4"/>
  <c r="R206" i="4"/>
  <c r="R13" i="4"/>
  <c r="M18" i="3"/>
  <c r="Q199" i="4"/>
  <c r="S170" i="4"/>
  <c r="P121" i="5"/>
  <c r="P67" i="5"/>
  <c r="P122" i="7" s="1"/>
  <c r="O120" i="3"/>
  <c r="O115" i="3"/>
  <c r="O119" i="3"/>
  <c r="O116" i="3"/>
  <c r="O117" i="3"/>
  <c r="O113" i="3"/>
  <c r="O114" i="3"/>
  <c r="O109" i="3"/>
  <c r="O118" i="3"/>
  <c r="O112" i="3"/>
  <c r="O111" i="3"/>
  <c r="L173" i="4"/>
  <c r="J215" i="4"/>
  <c r="T18" i="3"/>
  <c r="O115" i="6"/>
  <c r="O61" i="6"/>
  <c r="O203" i="7" s="1"/>
  <c r="R170" i="4"/>
  <c r="R31" i="4"/>
  <c r="R251" i="4" s="1"/>
  <c r="M128" i="6"/>
  <c r="M74" i="6"/>
  <c r="M216" i="7" s="1"/>
  <c r="M101" i="6"/>
  <c r="M171" i="4"/>
  <c r="M244" i="4"/>
  <c r="M156" i="4"/>
  <c r="M237" i="4"/>
  <c r="M245" i="4"/>
  <c r="M246" i="4"/>
  <c r="M239" i="4"/>
  <c r="M243" i="4"/>
  <c r="M242" i="4"/>
  <c r="M240" i="4"/>
  <c r="M241" i="4"/>
  <c r="O66" i="5"/>
  <c r="O121" i="7" s="1"/>
  <c r="O120" i="5"/>
  <c r="Q6" i="4"/>
  <c r="J189" i="4"/>
  <c r="K213" i="4"/>
  <c r="K270" i="4"/>
  <c r="N135" i="5"/>
  <c r="N81" i="5"/>
  <c r="N136" i="7" s="1"/>
  <c r="N108" i="5"/>
  <c r="Q122" i="6"/>
  <c r="Q68" i="6"/>
  <c r="Q210" i="7" s="1"/>
  <c r="Q95" i="6"/>
  <c r="S17" i="3"/>
  <c r="J47" i="4"/>
  <c r="I186" i="4"/>
  <c r="L216" i="4"/>
  <c r="L243" i="4"/>
  <c r="I187" i="4"/>
  <c r="N202" i="4"/>
  <c r="M157" i="6"/>
  <c r="M130" i="6"/>
  <c r="M76" i="6"/>
  <c r="M103" i="6"/>
  <c r="O74" i="5"/>
  <c r="O129" i="7" s="1"/>
  <c r="O128" i="5"/>
  <c r="O101" i="5"/>
  <c r="U136" i="5"/>
  <c r="U82" i="5"/>
  <c r="U137" i="7" s="1"/>
  <c r="U109" i="5"/>
  <c r="N17" i="3"/>
  <c r="N110" i="3" s="1"/>
  <c r="L264" i="4"/>
  <c r="L272" i="4"/>
  <c r="L273" i="4"/>
  <c r="L271" i="4"/>
  <c r="L266" i="4"/>
  <c r="L267" i="4"/>
  <c r="L269" i="4"/>
  <c r="L268" i="4"/>
  <c r="L270" i="4"/>
  <c r="M80" i="5"/>
  <c r="M135" i="7" s="1"/>
  <c r="M134" i="5"/>
  <c r="M107" i="5"/>
  <c r="R11" i="4"/>
  <c r="P9" i="4"/>
  <c r="K23" i="4"/>
  <c r="R9" i="4"/>
  <c r="P12" i="4"/>
  <c r="P11" i="4"/>
  <c r="I24" i="4"/>
  <c r="R12" i="4"/>
  <c r="P10" i="4"/>
  <c r="R10" i="4"/>
  <c r="K25" i="4"/>
  <c r="M11" i="4"/>
  <c r="J22" i="4"/>
  <c r="I47" i="4"/>
  <c r="I46" i="4" l="1"/>
  <c r="I184" i="4"/>
  <c r="I265" i="4"/>
  <c r="M172" i="4"/>
  <c r="T171" i="4"/>
  <c r="K174" i="4"/>
  <c r="P203" i="4"/>
  <c r="P90" i="6"/>
  <c r="P96" i="5"/>
  <c r="S118" i="3"/>
  <c r="S114" i="3"/>
  <c r="S109" i="3"/>
  <c r="S120" i="3"/>
  <c r="S113" i="3"/>
  <c r="S115" i="3"/>
  <c r="S116" i="3"/>
  <c r="S117" i="3"/>
  <c r="S119" i="3"/>
  <c r="S112" i="3"/>
  <c r="S111" i="3"/>
  <c r="M33" i="4"/>
  <c r="M17" i="3"/>
  <c r="M110" i="3" s="1"/>
  <c r="L81" i="5"/>
  <c r="L136" i="7" s="1"/>
  <c r="L135" i="5"/>
  <c r="L108" i="5"/>
  <c r="I215" i="4"/>
  <c r="U130" i="6"/>
  <c r="U157" i="6"/>
  <c r="U76" i="6"/>
  <c r="U103" i="6"/>
  <c r="L156" i="4"/>
  <c r="L237" i="4"/>
  <c r="L245" i="4"/>
  <c r="L246" i="4"/>
  <c r="L244" i="4"/>
  <c r="L239" i="4"/>
  <c r="L242" i="4"/>
  <c r="L241" i="4"/>
  <c r="L240" i="4"/>
  <c r="S181" i="4"/>
  <c r="H187" i="4"/>
  <c r="R203" i="4"/>
  <c r="R90" i="6"/>
  <c r="R96" i="5"/>
  <c r="N114" i="3"/>
  <c r="N117" i="3"/>
  <c r="N109" i="3"/>
  <c r="N120" i="3"/>
  <c r="N119" i="3"/>
  <c r="N116" i="3"/>
  <c r="N118" i="3"/>
  <c r="N115" i="3"/>
  <c r="N113" i="3"/>
  <c r="N112" i="3"/>
  <c r="N111" i="3"/>
  <c r="U188" i="4"/>
  <c r="U47" i="4"/>
  <c r="L171" i="4"/>
  <c r="P202" i="4"/>
  <c r="P115" i="6"/>
  <c r="P61" i="6"/>
  <c r="P203" i="7" s="1"/>
  <c r="O122" i="6"/>
  <c r="O68" i="6"/>
  <c r="O210" i="7" s="1"/>
  <c r="O95" i="6"/>
  <c r="M135" i="5"/>
  <c r="M81" i="5"/>
  <c r="M136" i="7" s="1"/>
  <c r="M108" i="5"/>
  <c r="H186" i="4"/>
  <c r="K107" i="5"/>
  <c r="M202" i="4"/>
  <c r="R200" i="4"/>
  <c r="Q115" i="6"/>
  <c r="Q61" i="6"/>
  <c r="Q203" i="7" s="1"/>
  <c r="Q88" i="6"/>
  <c r="L134" i="5"/>
  <c r="L80" i="5"/>
  <c r="L135" i="7" s="1"/>
  <c r="L107" i="5"/>
  <c r="N129" i="6"/>
  <c r="N75" i="6"/>
  <c r="N217" i="7" s="1"/>
  <c r="N102" i="6"/>
  <c r="N121" i="5"/>
  <c r="N67" i="5"/>
  <c r="N122" i="7" s="1"/>
  <c r="K216" i="4"/>
  <c r="K214" i="4"/>
  <c r="O114" i="6"/>
  <c r="O60" i="6"/>
  <c r="O202" i="7" s="1"/>
  <c r="R150" i="4"/>
  <c r="R204" i="4"/>
  <c r="R8" i="3"/>
  <c r="O170" i="4"/>
  <c r="O31" i="4"/>
  <c r="O251" i="4" s="1"/>
  <c r="I189" i="4"/>
  <c r="I270" i="4"/>
  <c r="K173" i="4"/>
  <c r="K175" i="4"/>
  <c r="R201" i="4"/>
  <c r="P200" i="4"/>
  <c r="P87" i="6"/>
  <c r="P93" i="5"/>
  <c r="J184" i="4"/>
  <c r="J46" i="4"/>
  <c r="J265" i="4" s="1"/>
  <c r="R73" i="5"/>
  <c r="R128" i="7" s="1"/>
  <c r="R127" i="5"/>
  <c r="R100" i="5"/>
  <c r="L18" i="3"/>
  <c r="J213" i="4"/>
  <c r="P201" i="4"/>
  <c r="P88" i="6"/>
  <c r="P94" i="5"/>
  <c r="R202" i="4"/>
  <c r="S110" i="3"/>
  <c r="K20" i="4"/>
  <c r="Q143" i="4"/>
  <c r="Q197" i="4"/>
  <c r="Q7" i="3"/>
  <c r="Q4" i="4"/>
  <c r="P122" i="6"/>
  <c r="P68" i="6"/>
  <c r="P210" i="7" s="1"/>
  <c r="P95" i="6"/>
  <c r="R249" i="4"/>
  <c r="R30" i="4"/>
  <c r="R168" i="4"/>
  <c r="R250" i="4"/>
  <c r="R263" i="4"/>
  <c r="R259" i="4"/>
  <c r="R261" i="4"/>
  <c r="R255" i="4"/>
  <c r="R257" i="4"/>
  <c r="R256" i="4"/>
  <c r="R262" i="4"/>
  <c r="R252" i="4"/>
  <c r="R254" i="4"/>
  <c r="R260" i="4"/>
  <c r="R253" i="4"/>
  <c r="R258" i="4"/>
  <c r="T17" i="3"/>
  <c r="T110" i="3" s="1"/>
  <c r="L238" i="4"/>
  <c r="N252" i="4"/>
  <c r="N30" i="4"/>
  <c r="N249" i="4"/>
  <c r="N168" i="4"/>
  <c r="N250" i="4"/>
  <c r="N259" i="4"/>
  <c r="N257" i="4"/>
  <c r="N262" i="4"/>
  <c r="N255" i="4"/>
  <c r="N261" i="4"/>
  <c r="N263" i="4"/>
  <c r="N260" i="4"/>
  <c r="N258" i="4"/>
  <c r="N256" i="4"/>
  <c r="N254" i="4"/>
  <c r="J25" i="4"/>
  <c r="J23" i="4"/>
  <c r="J20" i="4" s="1"/>
  <c r="P7" i="4"/>
  <c r="H24" i="4"/>
  <c r="L11" i="4"/>
  <c r="I22" i="4"/>
  <c r="H47" i="4"/>
  <c r="L33" i="4"/>
  <c r="J19" i="4" l="1"/>
  <c r="J157" i="4"/>
  <c r="J211" i="4"/>
  <c r="J238" i="4"/>
  <c r="J19" i="3"/>
  <c r="L170" i="4"/>
  <c r="L31" i="4"/>
  <c r="L253" i="4" s="1"/>
  <c r="H184" i="4"/>
  <c r="H46" i="4"/>
  <c r="H265" i="4" s="1"/>
  <c r="K171" i="4"/>
  <c r="G186" i="4"/>
  <c r="G187" i="4"/>
  <c r="R121" i="6"/>
  <c r="R67" i="6"/>
  <c r="R209" i="7" s="1"/>
  <c r="R94" i="6"/>
  <c r="L128" i="6"/>
  <c r="L74" i="6"/>
  <c r="L216" i="7" s="1"/>
  <c r="L101" i="6"/>
  <c r="L202" i="4"/>
  <c r="H189" i="4"/>
  <c r="H270" i="4"/>
  <c r="T181" i="4"/>
  <c r="L17" i="3"/>
  <c r="L110" i="3" s="1"/>
  <c r="O30" i="4"/>
  <c r="O168" i="4"/>
  <c r="O249" i="4"/>
  <c r="O250" i="4"/>
  <c r="O259" i="4"/>
  <c r="O257" i="4"/>
  <c r="O262" i="4"/>
  <c r="O255" i="4"/>
  <c r="O261" i="4"/>
  <c r="O260" i="4"/>
  <c r="O263" i="4"/>
  <c r="O258" i="4"/>
  <c r="O254" i="4"/>
  <c r="O256" i="4"/>
  <c r="O252" i="4"/>
  <c r="O253" i="4"/>
  <c r="M129" i="6"/>
  <c r="M75" i="6"/>
  <c r="M217" i="7" s="1"/>
  <c r="M102" i="6"/>
  <c r="I213" i="4"/>
  <c r="S179" i="4"/>
  <c r="S40" i="4"/>
  <c r="U184" i="4"/>
  <c r="U46" i="4"/>
  <c r="M121" i="5"/>
  <c r="M67" i="5"/>
  <c r="M122" i="7" s="1"/>
  <c r="M114" i="3"/>
  <c r="M120" i="3"/>
  <c r="M117" i="3"/>
  <c r="M119" i="3"/>
  <c r="M118" i="3"/>
  <c r="M113" i="3"/>
  <c r="M109" i="3"/>
  <c r="M115" i="3"/>
  <c r="M116" i="3"/>
  <c r="M112" i="3"/>
  <c r="M111" i="3"/>
  <c r="Q110" i="6"/>
  <c r="Q66" i="3"/>
  <c r="Q56" i="6"/>
  <c r="Q198" i="7" s="1"/>
  <c r="Q83" i="6"/>
  <c r="H215" i="4"/>
  <c r="K157" i="4"/>
  <c r="K211" i="4"/>
  <c r="K19" i="4"/>
  <c r="K19" i="3"/>
  <c r="J81" i="5"/>
  <c r="J136" i="7" s="1"/>
  <c r="J135" i="5"/>
  <c r="J108" i="5"/>
  <c r="Q62" i="5"/>
  <c r="Q117" i="7" s="1"/>
  <c r="Q116" i="5"/>
  <c r="Q36" i="3"/>
  <c r="Q89" i="5"/>
  <c r="P198" i="4"/>
  <c r="Q141" i="4"/>
  <c r="Q195" i="4"/>
  <c r="Q222" i="4"/>
  <c r="Q232" i="4"/>
  <c r="Q236" i="4"/>
  <c r="Q234" i="4"/>
  <c r="Q235" i="4"/>
  <c r="Q233" i="4"/>
  <c r="Q231" i="4"/>
  <c r="Q223" i="4"/>
  <c r="Q229" i="4"/>
  <c r="Q228" i="4"/>
  <c r="Q230" i="4"/>
  <c r="Q227" i="4"/>
  <c r="Q225" i="4"/>
  <c r="Q226" i="4"/>
  <c r="K134" i="5"/>
  <c r="K80" i="5"/>
  <c r="K135" i="7" s="1"/>
  <c r="N127" i="5"/>
  <c r="N73" i="5"/>
  <c r="N128" i="7" s="1"/>
  <c r="N100" i="5"/>
  <c r="M170" i="4"/>
  <c r="M31" i="4"/>
  <c r="M251" i="4" s="1"/>
  <c r="T116" i="3"/>
  <c r="T114" i="3"/>
  <c r="T113" i="3"/>
  <c r="T117" i="3"/>
  <c r="T118" i="3"/>
  <c r="T119" i="3"/>
  <c r="T109" i="3"/>
  <c r="T115" i="3"/>
  <c r="T120" i="3"/>
  <c r="T112" i="3"/>
  <c r="T111" i="3"/>
  <c r="Q5" i="3"/>
  <c r="L129" i="6"/>
  <c r="L75" i="6"/>
  <c r="L217" i="7" s="1"/>
  <c r="L102" i="6"/>
  <c r="N115" i="6"/>
  <c r="N61" i="6"/>
  <c r="N203" i="7" s="1"/>
  <c r="N128" i="5"/>
  <c r="N74" i="5"/>
  <c r="N129" i="7" s="1"/>
  <c r="N101" i="5"/>
  <c r="L172" i="4"/>
  <c r="G188" i="4"/>
  <c r="J214" i="4"/>
  <c r="J107" i="5"/>
  <c r="J241" i="4"/>
  <c r="J216" i="4"/>
  <c r="J243" i="4"/>
  <c r="Q224" i="4"/>
  <c r="L121" i="5"/>
  <c r="L67" i="5"/>
  <c r="L122" i="7" s="1"/>
  <c r="Q125" i="5"/>
  <c r="Q71" i="5"/>
  <c r="Q126" i="7" s="1"/>
  <c r="Q98" i="5"/>
  <c r="J264" i="4"/>
  <c r="J272" i="4"/>
  <c r="J273" i="4"/>
  <c r="J271" i="4"/>
  <c r="J266" i="4"/>
  <c r="J269" i="4"/>
  <c r="J267" i="4"/>
  <c r="J268" i="4"/>
  <c r="J270" i="4"/>
  <c r="Q132" i="5"/>
  <c r="Q78" i="5"/>
  <c r="Q133" i="7" s="1"/>
  <c r="Q105" i="5"/>
  <c r="S127" i="5"/>
  <c r="S73" i="5"/>
  <c r="S128" i="7" s="1"/>
  <c r="S100" i="5"/>
  <c r="I264" i="4"/>
  <c r="I272" i="4"/>
  <c r="I273" i="4"/>
  <c r="I271" i="4"/>
  <c r="I266" i="4"/>
  <c r="I269" i="4"/>
  <c r="I267" i="4"/>
  <c r="I268" i="4"/>
  <c r="O12" i="4"/>
  <c r="I23" i="4"/>
  <c r="S17" i="4"/>
  <c r="S9" i="4"/>
  <c r="N9" i="4"/>
  <c r="K10" i="4"/>
  <c r="O10" i="4"/>
  <c r="G24" i="4"/>
  <c r="I25" i="4"/>
  <c r="O9" i="4"/>
  <c r="K11" i="4"/>
  <c r="S12" i="4"/>
  <c r="N12" i="4"/>
  <c r="S10" i="4"/>
  <c r="N10" i="4"/>
  <c r="S11" i="4"/>
  <c r="R8" i="4"/>
  <c r="R7" i="4"/>
  <c r="U24" i="4"/>
  <c r="P8" i="4"/>
  <c r="H22" i="4"/>
  <c r="O4" i="5"/>
  <c r="O47" i="6" s="1"/>
  <c r="G215" i="4" l="1"/>
  <c r="H213" i="4"/>
  <c r="R198" i="4"/>
  <c r="R6" i="4"/>
  <c r="K202" i="4"/>
  <c r="S208" i="4"/>
  <c r="T172" i="4"/>
  <c r="T33" i="4"/>
  <c r="M128" i="5"/>
  <c r="M74" i="5"/>
  <c r="M129" i="7" s="1"/>
  <c r="M101" i="5"/>
  <c r="K243" i="4"/>
  <c r="K156" i="4"/>
  <c r="K237" i="4"/>
  <c r="K245" i="4"/>
  <c r="K246" i="4"/>
  <c r="K244" i="4"/>
  <c r="K239" i="4"/>
  <c r="K242" i="4"/>
  <c r="K240" i="4"/>
  <c r="K241" i="4"/>
  <c r="N120" i="5"/>
  <c r="N66" i="5"/>
  <c r="N121" i="7" s="1"/>
  <c r="S121" i="6"/>
  <c r="S67" i="6"/>
  <c r="S209" i="7" s="1"/>
  <c r="S94" i="6"/>
  <c r="K128" i="6"/>
  <c r="K74" i="6"/>
  <c r="K216" i="7" s="1"/>
  <c r="K101" i="6"/>
  <c r="F188" i="4"/>
  <c r="U215" i="4"/>
  <c r="U20" i="4"/>
  <c r="O200" i="4"/>
  <c r="O87" i="6"/>
  <c r="O93" i="5"/>
  <c r="O201" i="4"/>
  <c r="O88" i="6"/>
  <c r="O94" i="5"/>
  <c r="I214" i="4"/>
  <c r="N122" i="6"/>
  <c r="N68" i="6"/>
  <c r="N210" i="7" s="1"/>
  <c r="N95" i="6"/>
  <c r="P71" i="5"/>
  <c r="P126" i="7" s="1"/>
  <c r="P125" i="5"/>
  <c r="P98" i="5"/>
  <c r="H271" i="4"/>
  <c r="H264" i="4"/>
  <c r="H272" i="4"/>
  <c r="H273" i="4"/>
  <c r="H266" i="4"/>
  <c r="H269" i="4"/>
  <c r="H268" i="4"/>
  <c r="H267" i="4"/>
  <c r="G189" i="4"/>
  <c r="J173" i="4"/>
  <c r="F186" i="4"/>
  <c r="N87" i="6"/>
  <c r="T179" i="4"/>
  <c r="T40" i="4"/>
  <c r="R199" i="4"/>
  <c r="K201" i="4"/>
  <c r="O203" i="4"/>
  <c r="O96" i="5"/>
  <c r="K81" i="5"/>
  <c r="K136" i="7" s="1"/>
  <c r="K135" i="5"/>
  <c r="K108" i="5"/>
  <c r="S80" i="5"/>
  <c r="S135" i="7" s="1"/>
  <c r="S134" i="5"/>
  <c r="S107" i="5"/>
  <c r="I20" i="4"/>
  <c r="G47" i="4"/>
  <c r="J174" i="4"/>
  <c r="F187" i="4"/>
  <c r="N94" i="5"/>
  <c r="N201" i="4"/>
  <c r="N88" i="6"/>
  <c r="N93" i="5"/>
  <c r="N200" i="4"/>
  <c r="Q188" i="3"/>
  <c r="Q218" i="3"/>
  <c r="L136" i="5"/>
  <c r="L82" i="5"/>
  <c r="L137" i="7" s="1"/>
  <c r="L109" i="5"/>
  <c r="L249" i="4"/>
  <c r="L168" i="4"/>
  <c r="L250" i="4"/>
  <c r="L259" i="4"/>
  <c r="L257" i="4"/>
  <c r="L255" i="4"/>
  <c r="L262" i="4"/>
  <c r="L261" i="4"/>
  <c r="L260" i="4"/>
  <c r="L263" i="4"/>
  <c r="L258" i="4"/>
  <c r="L254" i="4"/>
  <c r="L256" i="4"/>
  <c r="L30" i="4"/>
  <c r="L252" i="4"/>
  <c r="R80" i="5"/>
  <c r="R135" i="7" s="1"/>
  <c r="R134" i="5"/>
  <c r="R107" i="5"/>
  <c r="J80" i="5"/>
  <c r="J135" i="7" s="1"/>
  <c r="J134" i="5"/>
  <c r="K18" i="3"/>
  <c r="O69" i="5"/>
  <c r="O124" i="7" s="1"/>
  <c r="O123" i="5"/>
  <c r="L251" i="4"/>
  <c r="P199" i="4"/>
  <c r="J175" i="4"/>
  <c r="S202" i="4"/>
  <c r="S201" i="4"/>
  <c r="I216" i="4"/>
  <c r="Q4" i="3"/>
  <c r="Q97" i="3" s="1"/>
  <c r="M258" i="4"/>
  <c r="M30" i="4"/>
  <c r="M168" i="4"/>
  <c r="M249" i="4"/>
  <c r="M250" i="4"/>
  <c r="M259" i="4"/>
  <c r="M257" i="4"/>
  <c r="M255" i="4"/>
  <c r="M262" i="4"/>
  <c r="M261" i="4"/>
  <c r="M260" i="4"/>
  <c r="M263" i="4"/>
  <c r="M256" i="4"/>
  <c r="M254" i="4"/>
  <c r="M252" i="4"/>
  <c r="M253" i="4"/>
  <c r="P6" i="4"/>
  <c r="K238" i="4"/>
  <c r="S177" i="4"/>
  <c r="S31" i="4"/>
  <c r="S258" i="4" s="1"/>
  <c r="L74" i="5"/>
  <c r="L129" i="7" s="1"/>
  <c r="L128" i="5"/>
  <c r="L101" i="5"/>
  <c r="J244" i="4"/>
  <c r="J156" i="4"/>
  <c r="J237" i="4"/>
  <c r="J245" i="4"/>
  <c r="J246" i="4"/>
  <c r="J239" i="4"/>
  <c r="J242" i="4"/>
  <c r="J240" i="4"/>
  <c r="I107" i="5"/>
  <c r="S93" i="5"/>
  <c r="N203" i="4"/>
  <c r="S200" i="4"/>
  <c r="N121" i="6"/>
  <c r="N67" i="6"/>
  <c r="N209" i="7" s="1"/>
  <c r="N94" i="6"/>
  <c r="I135" i="5"/>
  <c r="I81" i="5"/>
  <c r="I136" i="7" s="1"/>
  <c r="I108" i="5"/>
  <c r="M73" i="5"/>
  <c r="M128" i="7" s="1"/>
  <c r="M127" i="5"/>
  <c r="M100" i="5"/>
  <c r="P62" i="5"/>
  <c r="P117" i="7" s="1"/>
  <c r="P116" i="5"/>
  <c r="P36" i="3"/>
  <c r="P89" i="5"/>
  <c r="U265" i="4"/>
  <c r="U264" i="4"/>
  <c r="U272" i="4"/>
  <c r="U273" i="4"/>
  <c r="U271" i="4"/>
  <c r="U267" i="4"/>
  <c r="U268" i="4"/>
  <c r="U266" i="4"/>
  <c r="U270" i="4"/>
  <c r="U269" i="4"/>
  <c r="P78" i="5"/>
  <c r="P133" i="7" s="1"/>
  <c r="P132" i="5"/>
  <c r="P105" i="5"/>
  <c r="L120" i="3"/>
  <c r="L114" i="3"/>
  <c r="L118" i="3"/>
  <c r="L115" i="3"/>
  <c r="L116" i="3"/>
  <c r="L113" i="3"/>
  <c r="L117" i="3"/>
  <c r="L119" i="3"/>
  <c r="L109" i="3"/>
  <c r="L112" i="3"/>
  <c r="L111" i="3"/>
  <c r="L115" i="6"/>
  <c r="L61" i="6"/>
  <c r="L203" i="7" s="1"/>
  <c r="S96" i="5"/>
  <c r="S90" i="6"/>
  <c r="S203" i="4"/>
  <c r="M115" i="6"/>
  <c r="M61" i="6"/>
  <c r="M203" i="7" s="1"/>
  <c r="O68" i="5"/>
  <c r="O123" i="7" s="1"/>
  <c r="O122" i="5"/>
  <c r="O95" i="5"/>
  <c r="N122" i="5"/>
  <c r="N68" i="5"/>
  <c r="N123" i="7" s="1"/>
  <c r="N95" i="5"/>
  <c r="J18" i="3"/>
  <c r="H23" i="4"/>
  <c r="T17" i="4"/>
  <c r="H25" i="4"/>
  <c r="G22" i="4"/>
  <c r="N7" i="4"/>
  <c r="O7" i="4"/>
  <c r="S7" i="4"/>
  <c r="F47" i="4"/>
  <c r="N4" i="5"/>
  <c r="N47" i="6" s="1"/>
  <c r="S15" i="4"/>
  <c r="F24" i="4"/>
  <c r="F215" i="4" l="1"/>
  <c r="F184" i="4"/>
  <c r="S206" i="4"/>
  <c r="S13" i="4"/>
  <c r="T208" i="4"/>
  <c r="S198" i="4"/>
  <c r="E188" i="4"/>
  <c r="O198" i="4"/>
  <c r="E187" i="4"/>
  <c r="H214" i="4"/>
  <c r="M66" i="5"/>
  <c r="M121" i="7" s="1"/>
  <c r="M120" i="5"/>
  <c r="P188" i="3"/>
  <c r="Q105" i="3"/>
  <c r="Q102" i="3"/>
  <c r="Q101" i="3"/>
  <c r="Q103" i="3"/>
  <c r="Q104" i="3"/>
  <c r="Q96" i="3"/>
  <c r="Q108" i="3"/>
  <c r="Q106" i="3"/>
  <c r="Q107" i="3"/>
  <c r="Q100" i="3"/>
  <c r="Q98" i="3"/>
  <c r="Q99" i="3"/>
  <c r="J128" i="6"/>
  <c r="J74" i="6"/>
  <c r="J216" i="7" s="1"/>
  <c r="J101" i="6"/>
  <c r="O117" i="6"/>
  <c r="O144" i="6"/>
  <c r="O63" i="6"/>
  <c r="L127" i="5"/>
  <c r="L73" i="5"/>
  <c r="L128" i="7" s="1"/>
  <c r="L100" i="5"/>
  <c r="T170" i="4"/>
  <c r="T31" i="4"/>
  <c r="T258" i="4" s="1"/>
  <c r="S128" i="6"/>
  <c r="S74" i="6"/>
  <c r="S216" i="7" s="1"/>
  <c r="S101" i="6"/>
  <c r="I175" i="4"/>
  <c r="I11" i="4"/>
  <c r="I62" i="6"/>
  <c r="I256" i="4"/>
  <c r="I173" i="4"/>
  <c r="E186" i="4"/>
  <c r="I174" i="4"/>
  <c r="G213" i="4"/>
  <c r="N69" i="5"/>
  <c r="N124" i="7" s="1"/>
  <c r="N123" i="5"/>
  <c r="O116" i="6"/>
  <c r="O62" i="6"/>
  <c r="O204" i="7" s="1"/>
  <c r="O89" i="6"/>
  <c r="T177" i="4"/>
  <c r="R128" i="6"/>
  <c r="R74" i="6"/>
  <c r="R216" i="7" s="1"/>
  <c r="R101" i="6"/>
  <c r="J129" i="6"/>
  <c r="J75" i="6"/>
  <c r="J217" i="7" s="1"/>
  <c r="J102" i="6"/>
  <c r="Q126" i="6"/>
  <c r="Q72" i="6"/>
  <c r="Q214" i="7" s="1"/>
  <c r="Q99" i="6"/>
  <c r="P110" i="6"/>
  <c r="P66" i="3"/>
  <c r="P56" i="6"/>
  <c r="P198" i="7" s="1"/>
  <c r="P83" i="6"/>
  <c r="N116" i="6"/>
  <c r="N62" i="6"/>
  <c r="N204" i="7" s="1"/>
  <c r="N89" i="6"/>
  <c r="S120" i="5"/>
  <c r="S66" i="5"/>
  <c r="S121" i="7" s="1"/>
  <c r="K129" i="6"/>
  <c r="K75" i="6"/>
  <c r="K217" i="7" s="1"/>
  <c r="K102" i="6"/>
  <c r="M122" i="5"/>
  <c r="M68" i="5"/>
  <c r="M123" i="7" s="1"/>
  <c r="M95" i="5"/>
  <c r="G184" i="4"/>
  <c r="G46" i="4"/>
  <c r="M122" i="6"/>
  <c r="M68" i="6"/>
  <c r="M210" i="7" s="1"/>
  <c r="M95" i="6"/>
  <c r="R120" i="5"/>
  <c r="R66" i="5"/>
  <c r="R121" i="7" s="1"/>
  <c r="R93" i="5"/>
  <c r="N198" i="4"/>
  <c r="H216" i="4"/>
  <c r="L130" i="6"/>
  <c r="L157" i="6"/>
  <c r="L76" i="6"/>
  <c r="L103" i="6"/>
  <c r="I211" i="4"/>
  <c r="I157" i="4"/>
  <c r="I19" i="4"/>
  <c r="I19" i="3"/>
  <c r="H20" i="4"/>
  <c r="F189" i="4"/>
  <c r="J171" i="4"/>
  <c r="K82" i="5"/>
  <c r="K137" i="7" s="1"/>
  <c r="K136" i="5"/>
  <c r="K109" i="5"/>
  <c r="I134" i="5"/>
  <c r="I80" i="5"/>
  <c r="I135" i="7" s="1"/>
  <c r="K17" i="3"/>
  <c r="K110" i="3" s="1"/>
  <c r="U211" i="4"/>
  <c r="U157" i="4"/>
  <c r="U19" i="4"/>
  <c r="U19" i="3"/>
  <c r="J17" i="3"/>
  <c r="J110" i="3" s="1"/>
  <c r="M121" i="6"/>
  <c r="M67" i="6"/>
  <c r="M209" i="7" s="1"/>
  <c r="M94" i="6"/>
  <c r="L122" i="6"/>
  <c r="L68" i="6"/>
  <c r="L210" i="7" s="1"/>
  <c r="L95" i="6"/>
  <c r="P143" i="4"/>
  <c r="P197" i="4"/>
  <c r="P7" i="3"/>
  <c r="P4" i="4"/>
  <c r="N96" i="5"/>
  <c r="S249" i="4"/>
  <c r="S168" i="4"/>
  <c r="S30" i="4"/>
  <c r="S250" i="4"/>
  <c r="S263" i="4"/>
  <c r="S261" i="4"/>
  <c r="S259" i="4"/>
  <c r="S255" i="4"/>
  <c r="S257" i="4"/>
  <c r="S256" i="4"/>
  <c r="S254" i="4"/>
  <c r="S252" i="4"/>
  <c r="S253" i="4"/>
  <c r="S251" i="4"/>
  <c r="S262" i="4"/>
  <c r="S260" i="4"/>
  <c r="K172" i="4"/>
  <c r="K33" i="4"/>
  <c r="O90" i="6"/>
  <c r="N114" i="6"/>
  <c r="N60" i="6"/>
  <c r="N202" i="7" s="1"/>
  <c r="R197" i="4"/>
  <c r="R143" i="4"/>
  <c r="R7" i="3"/>
  <c r="R4" i="4"/>
  <c r="M9" i="4"/>
  <c r="O8" i="4"/>
  <c r="O6" i="4" s="1"/>
  <c r="M10" i="4"/>
  <c r="E24" i="4"/>
  <c r="J10" i="4"/>
  <c r="J11" i="4"/>
  <c r="N8" i="4"/>
  <c r="N6" i="4" s="1"/>
  <c r="G23" i="4"/>
  <c r="M12" i="4"/>
  <c r="S8" i="4"/>
  <c r="S6" i="4" s="1"/>
  <c r="G25" i="4"/>
  <c r="T15" i="4"/>
  <c r="M4" i="5"/>
  <c r="M47" i="6" s="1"/>
  <c r="F22" i="4"/>
  <c r="E47" i="4"/>
  <c r="J33" i="4"/>
  <c r="G20" i="4" l="1"/>
  <c r="S4" i="4"/>
  <c r="S143" i="4"/>
  <c r="S224" i="4"/>
  <c r="S197" i="4"/>
  <c r="S7" i="3"/>
  <c r="O143" i="4"/>
  <c r="O197" i="4"/>
  <c r="O7" i="3"/>
  <c r="O4" i="4"/>
  <c r="E184" i="4"/>
  <c r="J170" i="4"/>
  <c r="J31" i="4"/>
  <c r="G211" i="4"/>
  <c r="G19" i="4"/>
  <c r="G241" i="4" s="1"/>
  <c r="G157" i="4"/>
  <c r="G19" i="3"/>
  <c r="N143" i="4"/>
  <c r="N197" i="4"/>
  <c r="N7" i="3"/>
  <c r="N4" i="4"/>
  <c r="N226" i="4" s="1"/>
  <c r="E215" i="4"/>
  <c r="C188" i="4"/>
  <c r="M123" i="5"/>
  <c r="M69" i="5"/>
  <c r="M124" i="7" s="1"/>
  <c r="U244" i="4"/>
  <c r="U156" i="4"/>
  <c r="U237" i="4"/>
  <c r="U245" i="4"/>
  <c r="U246" i="4"/>
  <c r="U241" i="4"/>
  <c r="U240" i="4"/>
  <c r="U239" i="4"/>
  <c r="U243" i="4"/>
  <c r="U242" i="4"/>
  <c r="I244" i="4"/>
  <c r="I237" i="4"/>
  <c r="I156" i="4"/>
  <c r="I245" i="4"/>
  <c r="I246" i="4"/>
  <c r="I239" i="4"/>
  <c r="I242" i="4"/>
  <c r="I240" i="4"/>
  <c r="I243" i="4"/>
  <c r="I241" i="4"/>
  <c r="L121" i="6"/>
  <c r="L67" i="6"/>
  <c r="L209" i="7" s="1"/>
  <c r="L94" i="6"/>
  <c r="P122" i="5"/>
  <c r="P68" i="5"/>
  <c r="P123" i="7" s="1"/>
  <c r="P95" i="5"/>
  <c r="R71" i="5"/>
  <c r="R126" i="7" s="1"/>
  <c r="R125" i="5"/>
  <c r="R98" i="5"/>
  <c r="K157" i="6"/>
  <c r="K130" i="6"/>
  <c r="K76" i="6"/>
  <c r="K103" i="6"/>
  <c r="L120" i="5"/>
  <c r="L66" i="5"/>
  <c r="L121" i="7" s="1"/>
  <c r="M203" i="4"/>
  <c r="M96" i="5"/>
  <c r="J201" i="4"/>
  <c r="M87" i="6"/>
  <c r="M200" i="4"/>
  <c r="M93" i="5"/>
  <c r="I128" i="6"/>
  <c r="I74" i="6"/>
  <c r="I216" i="7" s="1"/>
  <c r="I101" i="6"/>
  <c r="M114" i="6"/>
  <c r="M60" i="6"/>
  <c r="M202" i="7" s="1"/>
  <c r="I129" i="6"/>
  <c r="I75" i="6"/>
  <c r="I217" i="7" s="1"/>
  <c r="I102" i="6"/>
  <c r="S110" i="6"/>
  <c r="S66" i="3"/>
  <c r="S56" i="6"/>
  <c r="S198" i="7" s="1"/>
  <c r="S83" i="6"/>
  <c r="P141" i="4"/>
  <c r="P195" i="4"/>
  <c r="P222" i="4"/>
  <c r="P223" i="4"/>
  <c r="P232" i="4"/>
  <c r="P234" i="4"/>
  <c r="P233" i="4"/>
  <c r="P231" i="4"/>
  <c r="P235" i="4"/>
  <c r="P236" i="4"/>
  <c r="P230" i="4"/>
  <c r="P229" i="4"/>
  <c r="P227" i="4"/>
  <c r="P228" i="4"/>
  <c r="P225" i="4"/>
  <c r="P226" i="4"/>
  <c r="J119" i="3"/>
  <c r="J113" i="3"/>
  <c r="J116" i="3"/>
  <c r="J117" i="3"/>
  <c r="J118" i="3"/>
  <c r="J120" i="3"/>
  <c r="J114" i="3"/>
  <c r="J109" i="3"/>
  <c r="J115" i="3"/>
  <c r="J112" i="3"/>
  <c r="J111" i="3"/>
  <c r="N144" i="6"/>
  <c r="N117" i="6"/>
  <c r="N63" i="6"/>
  <c r="N90" i="6"/>
  <c r="G271" i="4"/>
  <c r="G264" i="4"/>
  <c r="G272" i="4"/>
  <c r="G273" i="4"/>
  <c r="G266" i="4"/>
  <c r="G269" i="4"/>
  <c r="G268" i="4"/>
  <c r="G267" i="4"/>
  <c r="G270" i="4"/>
  <c r="R132" i="5"/>
  <c r="R78" i="5"/>
  <c r="R133" i="7" s="1"/>
  <c r="R105" i="5"/>
  <c r="G214" i="4"/>
  <c r="R222" i="4"/>
  <c r="R141" i="4"/>
  <c r="R195" i="4"/>
  <c r="R232" i="4"/>
  <c r="R234" i="4"/>
  <c r="R236" i="4"/>
  <c r="R223" i="4"/>
  <c r="R235" i="4"/>
  <c r="R233" i="4"/>
  <c r="R230" i="4"/>
  <c r="R228" i="4"/>
  <c r="R229" i="4"/>
  <c r="R227" i="4"/>
  <c r="R231" i="4"/>
  <c r="R225" i="4"/>
  <c r="R226" i="4"/>
  <c r="P5" i="3"/>
  <c r="J82" i="5"/>
  <c r="J137" i="7" s="1"/>
  <c r="J136" i="5"/>
  <c r="J109" i="5"/>
  <c r="S204" i="4"/>
  <c r="S150" i="4"/>
  <c r="S231" i="4"/>
  <c r="S8" i="3"/>
  <c r="Q119" i="6"/>
  <c r="Q65" i="6"/>
  <c r="Q207" i="7" s="1"/>
  <c r="Q92" i="6"/>
  <c r="D186" i="4"/>
  <c r="P126" i="6"/>
  <c r="P72" i="6"/>
  <c r="P214" i="7" s="1"/>
  <c r="P99" i="6"/>
  <c r="N199" i="4"/>
  <c r="R5" i="3"/>
  <c r="P224" i="4"/>
  <c r="H135" i="5"/>
  <c r="H81" i="5"/>
  <c r="H136" i="7" s="1"/>
  <c r="H108" i="5"/>
  <c r="M116" i="6"/>
  <c r="M62" i="6"/>
  <c r="M204" i="7" s="1"/>
  <c r="M89" i="6"/>
  <c r="G265" i="4"/>
  <c r="R116" i="5"/>
  <c r="R62" i="5"/>
  <c r="R117" i="7" s="1"/>
  <c r="R36" i="3"/>
  <c r="R89" i="5"/>
  <c r="K127" i="5"/>
  <c r="K73" i="5"/>
  <c r="K128" i="7" s="1"/>
  <c r="K100" i="5"/>
  <c r="H256" i="4"/>
  <c r="H11" i="4"/>
  <c r="H175" i="4"/>
  <c r="H62" i="6"/>
  <c r="D187" i="4"/>
  <c r="F213" i="4"/>
  <c r="I171" i="4"/>
  <c r="M94" i="5"/>
  <c r="M88" i="6"/>
  <c r="M201" i="4"/>
  <c r="R224" i="4"/>
  <c r="H157" i="4"/>
  <c r="H19" i="4"/>
  <c r="H238" i="4" s="1"/>
  <c r="H211" i="4"/>
  <c r="H19" i="3"/>
  <c r="L122" i="5"/>
  <c r="L68" i="5"/>
  <c r="L123" i="7" s="1"/>
  <c r="L95" i="5"/>
  <c r="J172" i="4"/>
  <c r="J253" i="4"/>
  <c r="E189" i="4"/>
  <c r="H174" i="4"/>
  <c r="T206" i="4"/>
  <c r="T13" i="4"/>
  <c r="G216" i="4"/>
  <c r="G243" i="4"/>
  <c r="J202" i="4"/>
  <c r="K170" i="4"/>
  <c r="K31" i="4"/>
  <c r="S78" i="5"/>
  <c r="S133" i="7" s="1"/>
  <c r="S132" i="5"/>
  <c r="S105" i="5"/>
  <c r="S62" i="5"/>
  <c r="S117" i="7" s="1"/>
  <c r="S116" i="5"/>
  <c r="S36" i="3"/>
  <c r="S89" i="5"/>
  <c r="K121" i="5"/>
  <c r="K67" i="5"/>
  <c r="K122" i="7" s="1"/>
  <c r="K94" i="5"/>
  <c r="S125" i="5"/>
  <c r="S71" i="5"/>
  <c r="S126" i="7" s="1"/>
  <c r="S98" i="5"/>
  <c r="U18" i="3"/>
  <c r="S114" i="6"/>
  <c r="S60" i="6"/>
  <c r="S202" i="7" s="1"/>
  <c r="S87" i="6"/>
  <c r="H134" i="5"/>
  <c r="H80" i="5"/>
  <c r="H135" i="7" s="1"/>
  <c r="I18" i="3"/>
  <c r="I229" i="4"/>
  <c r="I89" i="6"/>
  <c r="I95" i="5"/>
  <c r="I202" i="4"/>
  <c r="T251" i="4"/>
  <c r="T249" i="4"/>
  <c r="T30" i="4"/>
  <c r="T168" i="4"/>
  <c r="T250" i="4"/>
  <c r="T263" i="4"/>
  <c r="T261" i="4"/>
  <c r="T259" i="4"/>
  <c r="T255" i="4"/>
  <c r="T257" i="4"/>
  <c r="T256" i="4"/>
  <c r="T254" i="4"/>
  <c r="T252" i="4"/>
  <c r="T262" i="4"/>
  <c r="T260" i="4"/>
  <c r="T253" i="4"/>
  <c r="H107" i="5"/>
  <c r="D188" i="4"/>
  <c r="H173" i="4"/>
  <c r="S199" i="4"/>
  <c r="S226" i="4"/>
  <c r="O199" i="4"/>
  <c r="O226" i="4"/>
  <c r="U238" i="4"/>
  <c r="K120" i="3"/>
  <c r="K115" i="3"/>
  <c r="K114" i="3"/>
  <c r="K119" i="3"/>
  <c r="K116" i="3"/>
  <c r="K113" i="3"/>
  <c r="K117" i="3"/>
  <c r="K109" i="3"/>
  <c r="K118" i="3"/>
  <c r="K112" i="3"/>
  <c r="K111" i="3"/>
  <c r="I238" i="4"/>
  <c r="R81" i="5"/>
  <c r="R136" i="7" s="1"/>
  <c r="R135" i="5"/>
  <c r="R108" i="5"/>
  <c r="P218" i="3"/>
  <c r="R114" i="6"/>
  <c r="R60" i="6"/>
  <c r="R202" i="7" s="1"/>
  <c r="R87" i="6"/>
  <c r="F25" i="4"/>
  <c r="L9" i="4"/>
  <c r="T10" i="4"/>
  <c r="L12" i="4"/>
  <c r="T12" i="4"/>
  <c r="T9" i="4"/>
  <c r="L10" i="4"/>
  <c r="I10" i="4"/>
  <c r="T11" i="4"/>
  <c r="F23" i="4"/>
  <c r="D24" i="4"/>
  <c r="E22" i="4"/>
  <c r="M7" i="4"/>
  <c r="F20" i="4" l="1"/>
  <c r="F157" i="4" s="1"/>
  <c r="F211" i="4"/>
  <c r="F19" i="3"/>
  <c r="D215" i="4"/>
  <c r="I172" i="4"/>
  <c r="T202" i="4"/>
  <c r="S188" i="3"/>
  <c r="H129" i="6"/>
  <c r="H75" i="6"/>
  <c r="H217" i="7" s="1"/>
  <c r="H102" i="6"/>
  <c r="I136" i="5"/>
  <c r="I82" i="5"/>
  <c r="I137" i="7" s="1"/>
  <c r="I109" i="5"/>
  <c r="Q122" i="5"/>
  <c r="Q68" i="5"/>
  <c r="Q123" i="7" s="1"/>
  <c r="Q95" i="5"/>
  <c r="K115" i="6"/>
  <c r="K61" i="6"/>
  <c r="K203" i="7" s="1"/>
  <c r="K88" i="6"/>
  <c r="S5" i="3"/>
  <c r="P119" i="6"/>
  <c r="P65" i="6"/>
  <c r="P207" i="7" s="1"/>
  <c r="P92" i="6"/>
  <c r="R110" i="6"/>
  <c r="R66" i="3"/>
  <c r="R56" i="6"/>
  <c r="R198" i="7" s="1"/>
  <c r="R83" i="6"/>
  <c r="G174" i="4"/>
  <c r="T96" i="5"/>
  <c r="T203" i="4"/>
  <c r="T90" i="6"/>
  <c r="L69" i="5"/>
  <c r="L124" i="7" s="1"/>
  <c r="L123" i="5"/>
  <c r="R67" i="5"/>
  <c r="R122" i="7" s="1"/>
  <c r="R121" i="5"/>
  <c r="R94" i="5"/>
  <c r="J262" i="4"/>
  <c r="J168" i="4"/>
  <c r="J249" i="4"/>
  <c r="J30" i="4"/>
  <c r="J250" i="4"/>
  <c r="J259" i="4"/>
  <c r="J257" i="4"/>
  <c r="J261" i="4"/>
  <c r="J260" i="4"/>
  <c r="J263" i="4"/>
  <c r="J258" i="4"/>
  <c r="J255" i="4"/>
  <c r="J254" i="4"/>
  <c r="J256" i="4"/>
  <c r="J252" i="4"/>
  <c r="O232" i="4"/>
  <c r="O141" i="4"/>
  <c r="O195" i="4"/>
  <c r="O222" i="4"/>
  <c r="O223" i="4"/>
  <c r="O234" i="4"/>
  <c r="O233" i="4"/>
  <c r="O236" i="4"/>
  <c r="O235" i="4"/>
  <c r="O231" i="4"/>
  <c r="O229" i="4"/>
  <c r="O230" i="4"/>
  <c r="O228" i="4"/>
  <c r="O227" i="4"/>
  <c r="O225" i="4"/>
  <c r="D189" i="4"/>
  <c r="I201" i="4"/>
  <c r="L200" i="4"/>
  <c r="L93" i="5"/>
  <c r="L87" i="6"/>
  <c r="K251" i="4"/>
  <c r="K249" i="4"/>
  <c r="K30" i="4"/>
  <c r="K168" i="4"/>
  <c r="K250" i="4"/>
  <c r="K259" i="4"/>
  <c r="K257" i="4"/>
  <c r="K261" i="4"/>
  <c r="K262" i="4"/>
  <c r="K263" i="4"/>
  <c r="K260" i="4"/>
  <c r="K258" i="4"/>
  <c r="K256" i="4"/>
  <c r="K255" i="4"/>
  <c r="K254" i="4"/>
  <c r="K252" i="4"/>
  <c r="K253" i="4"/>
  <c r="H18" i="3"/>
  <c r="V129" i="5"/>
  <c r="V75" i="5"/>
  <c r="V130" i="7" s="1"/>
  <c r="J73" i="5"/>
  <c r="J128" i="7" s="1"/>
  <c r="J127" i="5"/>
  <c r="J100" i="5"/>
  <c r="M117" i="6"/>
  <c r="M144" i="6"/>
  <c r="M63" i="6"/>
  <c r="S218" i="3"/>
  <c r="G18" i="3"/>
  <c r="O5" i="3"/>
  <c r="C186" i="4"/>
  <c r="E213" i="4"/>
  <c r="L201" i="4"/>
  <c r="L94" i="5"/>
  <c r="L88" i="6"/>
  <c r="I17" i="3"/>
  <c r="I110" i="3" s="1"/>
  <c r="G80" i="5"/>
  <c r="G135" i="7" s="1"/>
  <c r="G134" i="5"/>
  <c r="K68" i="5"/>
  <c r="K123" i="7" s="1"/>
  <c r="K122" i="5"/>
  <c r="K95" i="5"/>
  <c r="K74" i="5"/>
  <c r="K129" i="7" s="1"/>
  <c r="K128" i="5"/>
  <c r="K101" i="5"/>
  <c r="J130" i="6"/>
  <c r="J157" i="6"/>
  <c r="J76" i="6"/>
  <c r="J103" i="6"/>
  <c r="N141" i="4"/>
  <c r="N195" i="4"/>
  <c r="N222" i="4"/>
  <c r="N223" i="4"/>
  <c r="N232" i="4"/>
  <c r="N234" i="4"/>
  <c r="N235" i="4"/>
  <c r="N233" i="4"/>
  <c r="N236" i="4"/>
  <c r="N231" i="4"/>
  <c r="N229" i="4"/>
  <c r="N227" i="4"/>
  <c r="N230" i="4"/>
  <c r="N228" i="4"/>
  <c r="N225" i="4"/>
  <c r="J251" i="4"/>
  <c r="O224" i="4"/>
  <c r="B186" i="4"/>
  <c r="G173" i="4"/>
  <c r="T200" i="4"/>
  <c r="G107" i="5"/>
  <c r="O116" i="5"/>
  <c r="O62" i="5"/>
  <c r="O117" i="7" s="1"/>
  <c r="O36" i="3"/>
  <c r="O89" i="5"/>
  <c r="N5" i="3"/>
  <c r="G240" i="4"/>
  <c r="G156" i="4"/>
  <c r="G237" i="4"/>
  <c r="G245" i="4"/>
  <c r="G246" i="4"/>
  <c r="G244" i="4"/>
  <c r="G239" i="4"/>
  <c r="G242" i="4"/>
  <c r="M198" i="4"/>
  <c r="G11" i="4"/>
  <c r="G175" i="4"/>
  <c r="G256" i="4"/>
  <c r="G62" i="6"/>
  <c r="L4" i="5"/>
  <c r="L47" i="6" s="1"/>
  <c r="L203" i="4"/>
  <c r="L96" i="5"/>
  <c r="R129" i="6"/>
  <c r="R75" i="6"/>
  <c r="R217" i="7" s="1"/>
  <c r="R102" i="6"/>
  <c r="U17" i="3"/>
  <c r="U110" i="3" s="1"/>
  <c r="T150" i="4"/>
  <c r="T204" i="4"/>
  <c r="T8" i="3"/>
  <c r="H242" i="4"/>
  <c r="H237" i="4"/>
  <c r="H156" i="4"/>
  <c r="H245" i="4"/>
  <c r="H246" i="4"/>
  <c r="H244" i="4"/>
  <c r="H239" i="4"/>
  <c r="H240" i="4"/>
  <c r="H241" i="4"/>
  <c r="H243" i="4"/>
  <c r="H89" i="6"/>
  <c r="H95" i="5"/>
  <c r="H229" i="4"/>
  <c r="H202" i="4"/>
  <c r="R188" i="3"/>
  <c r="K120" i="5"/>
  <c r="K66" i="5"/>
  <c r="K121" i="7" s="1"/>
  <c r="P4" i="3"/>
  <c r="P97" i="3" s="1"/>
  <c r="P116" i="6"/>
  <c r="P62" i="6"/>
  <c r="P204" i="7" s="1"/>
  <c r="P89" i="6"/>
  <c r="L114" i="6"/>
  <c r="L60" i="6"/>
  <c r="L202" i="7" s="1"/>
  <c r="C187" i="4"/>
  <c r="H171" i="4"/>
  <c r="F216" i="4"/>
  <c r="L116" i="6"/>
  <c r="L62" i="6"/>
  <c r="L204" i="7" s="1"/>
  <c r="L89" i="6"/>
  <c r="K121" i="6"/>
  <c r="K67" i="6"/>
  <c r="K209" i="7" s="1"/>
  <c r="K94" i="6"/>
  <c r="I33" i="4"/>
  <c r="R4" i="3"/>
  <c r="R97" i="3" s="1"/>
  <c r="D47" i="4"/>
  <c r="O132" i="5"/>
  <c r="O78" i="5"/>
  <c r="O133" i="7" s="1"/>
  <c r="O105" i="5"/>
  <c r="O125" i="5"/>
  <c r="O71" i="5"/>
  <c r="O126" i="7" s="1"/>
  <c r="O98" i="5"/>
  <c r="N224" i="4"/>
  <c r="G238" i="4"/>
  <c r="S141" i="4"/>
  <c r="S195" i="4"/>
  <c r="S222" i="4"/>
  <c r="S223" i="4"/>
  <c r="S234" i="4"/>
  <c r="S232" i="4"/>
  <c r="S236" i="4"/>
  <c r="S235" i="4"/>
  <c r="S229" i="4"/>
  <c r="S230" i="4"/>
  <c r="S227" i="4"/>
  <c r="S228" i="4"/>
  <c r="S225" i="4"/>
  <c r="S233" i="4"/>
  <c r="F214" i="4"/>
  <c r="F107" i="5"/>
  <c r="T201" i="4"/>
  <c r="H128" i="6"/>
  <c r="H74" i="6"/>
  <c r="H216" i="7" s="1"/>
  <c r="H101" i="6"/>
  <c r="M90" i="6"/>
  <c r="T7" i="4"/>
  <c r="C24" i="4"/>
  <c r="L7" i="4"/>
  <c r="E25" i="4"/>
  <c r="K9" i="4"/>
  <c r="K12" i="4"/>
  <c r="E23" i="4"/>
  <c r="H10" i="4"/>
  <c r="M8" i="4"/>
  <c r="M6" i="4" s="1"/>
  <c r="K4" i="5"/>
  <c r="K47" i="6" s="1"/>
  <c r="D22" i="4"/>
  <c r="M4" i="4" l="1"/>
  <c r="M143" i="4"/>
  <c r="M197" i="4"/>
  <c r="M224" i="4"/>
  <c r="M7" i="3"/>
  <c r="B188" i="4"/>
  <c r="L198" i="4"/>
  <c r="G128" i="6"/>
  <c r="G74" i="6"/>
  <c r="G216" i="7" s="1"/>
  <c r="G101" i="6"/>
  <c r="T80" i="5"/>
  <c r="T135" i="7" s="1"/>
  <c r="T134" i="5"/>
  <c r="T107" i="5"/>
  <c r="J121" i="6"/>
  <c r="J67" i="6"/>
  <c r="J209" i="7" s="1"/>
  <c r="J94" i="6"/>
  <c r="O4" i="3"/>
  <c r="O97" i="3" s="1"/>
  <c r="M62" i="5"/>
  <c r="M117" i="7" s="1"/>
  <c r="M116" i="5"/>
  <c r="M36" i="3"/>
  <c r="M89" i="5"/>
  <c r="S4" i="3"/>
  <c r="S97" i="3" s="1"/>
  <c r="F174" i="4"/>
  <c r="H201" i="4"/>
  <c r="K96" i="5"/>
  <c r="K203" i="4"/>
  <c r="N125" i="5"/>
  <c r="N71" i="5"/>
  <c r="N126" i="7" s="1"/>
  <c r="N98" i="5"/>
  <c r="M78" i="5"/>
  <c r="M133" i="7" s="1"/>
  <c r="M132" i="5"/>
  <c r="M105" i="5"/>
  <c r="K123" i="5"/>
  <c r="K69" i="5"/>
  <c r="K124" i="7" s="1"/>
  <c r="F134" i="5"/>
  <c r="F80" i="5"/>
  <c r="F135" i="7" s="1"/>
  <c r="C189" i="4"/>
  <c r="F173" i="4"/>
  <c r="K93" i="5"/>
  <c r="K200" i="4"/>
  <c r="K87" i="6"/>
  <c r="O188" i="3"/>
  <c r="Q116" i="6"/>
  <c r="Q62" i="6"/>
  <c r="Q204" i="7" s="1"/>
  <c r="Q89" i="6"/>
  <c r="K122" i="6"/>
  <c r="K68" i="6"/>
  <c r="K210" i="7" s="1"/>
  <c r="K95" i="6"/>
  <c r="E216" i="4"/>
  <c r="D184" i="4"/>
  <c r="T127" i="5"/>
  <c r="T73" i="5"/>
  <c r="T128" i="7" s="1"/>
  <c r="T100" i="5"/>
  <c r="I66" i="5"/>
  <c r="I121" i="7" s="1"/>
  <c r="I120" i="5"/>
  <c r="C47" i="4"/>
  <c r="D213" i="4"/>
  <c r="S126" i="6"/>
  <c r="S72" i="6"/>
  <c r="S214" i="7" s="1"/>
  <c r="S99" i="6"/>
  <c r="R126" i="6"/>
  <c r="R72" i="6"/>
  <c r="R214" i="7" s="1"/>
  <c r="R99" i="6"/>
  <c r="H136" i="5"/>
  <c r="H82" i="5"/>
  <c r="H137" i="7" s="1"/>
  <c r="H109" i="5"/>
  <c r="G202" i="4"/>
  <c r="G89" i="6"/>
  <c r="G95" i="5"/>
  <c r="G229" i="4"/>
  <c r="M125" i="5"/>
  <c r="M71" i="5"/>
  <c r="M126" i="7" s="1"/>
  <c r="M98" i="5"/>
  <c r="N62" i="5"/>
  <c r="N117" i="7" s="1"/>
  <c r="N116" i="5"/>
  <c r="N36" i="3"/>
  <c r="N89" i="5"/>
  <c r="I130" i="6"/>
  <c r="I157" i="6"/>
  <c r="I76" i="6"/>
  <c r="I103" i="6"/>
  <c r="L117" i="6"/>
  <c r="L144" i="6"/>
  <c r="L63" i="6"/>
  <c r="I73" i="5"/>
  <c r="I128" i="7" s="1"/>
  <c r="I127" i="5"/>
  <c r="I100" i="5"/>
  <c r="H17" i="3"/>
  <c r="H110" i="3" s="1"/>
  <c r="N132" i="5"/>
  <c r="N78" i="5"/>
  <c r="N133" i="7" s="1"/>
  <c r="N105" i="5"/>
  <c r="B187" i="4"/>
  <c r="F11" i="4"/>
  <c r="F175" i="4"/>
  <c r="F256" i="4"/>
  <c r="F62" i="6"/>
  <c r="M199" i="4"/>
  <c r="M226" i="4"/>
  <c r="E107" i="5"/>
  <c r="E214" i="4"/>
  <c r="C215" i="4"/>
  <c r="K116" i="6"/>
  <c r="K62" i="6"/>
  <c r="K204" i="7" s="1"/>
  <c r="K89" i="6"/>
  <c r="R103" i="3"/>
  <c r="R101" i="3"/>
  <c r="R96" i="3"/>
  <c r="R104" i="3"/>
  <c r="R106" i="3"/>
  <c r="R107" i="3"/>
  <c r="R105" i="3"/>
  <c r="R102" i="3"/>
  <c r="R108" i="3"/>
  <c r="R98" i="3"/>
  <c r="R100" i="3"/>
  <c r="R99" i="3"/>
  <c r="K114" i="6"/>
  <c r="K60" i="6"/>
  <c r="K202" i="7" s="1"/>
  <c r="G135" i="5"/>
  <c r="G81" i="5"/>
  <c r="G136" i="7" s="1"/>
  <c r="G108" i="5"/>
  <c r="G17" i="3"/>
  <c r="G110" i="3" s="1"/>
  <c r="O110" i="6"/>
  <c r="O66" i="3"/>
  <c r="O56" i="6"/>
  <c r="O198" i="7" s="1"/>
  <c r="O83" i="6"/>
  <c r="V180" i="4"/>
  <c r="P105" i="3"/>
  <c r="P104" i="3"/>
  <c r="P101" i="3"/>
  <c r="P106" i="3"/>
  <c r="P96" i="3"/>
  <c r="P107" i="3"/>
  <c r="P103" i="3"/>
  <c r="P102" i="3"/>
  <c r="P108" i="3"/>
  <c r="P98" i="3"/>
  <c r="P100" i="3"/>
  <c r="P99" i="3"/>
  <c r="U109" i="3"/>
  <c r="U117" i="3"/>
  <c r="U120" i="3"/>
  <c r="U115" i="3"/>
  <c r="U119" i="3"/>
  <c r="U114" i="3"/>
  <c r="U118" i="3"/>
  <c r="U113" i="3"/>
  <c r="U116" i="3"/>
  <c r="U112" i="3"/>
  <c r="U111" i="3"/>
  <c r="L90" i="6"/>
  <c r="N4" i="3"/>
  <c r="N97" i="3" s="1"/>
  <c r="B47" i="4"/>
  <c r="I114" i="3"/>
  <c r="I119" i="3"/>
  <c r="I115" i="3"/>
  <c r="I109" i="3"/>
  <c r="I118" i="3"/>
  <c r="I116" i="3"/>
  <c r="I113" i="3"/>
  <c r="I120" i="3"/>
  <c r="I117" i="3"/>
  <c r="I112" i="3"/>
  <c r="I111" i="3"/>
  <c r="E20" i="4"/>
  <c r="B189" i="4"/>
  <c r="R119" i="6"/>
  <c r="R65" i="6"/>
  <c r="R207" i="7" s="1"/>
  <c r="R92" i="6"/>
  <c r="G171" i="4"/>
  <c r="T198" i="4"/>
  <c r="R115" i="6"/>
  <c r="R61" i="6"/>
  <c r="R203" i="7" s="1"/>
  <c r="R88" i="6"/>
  <c r="I170" i="4"/>
  <c r="I31" i="4"/>
  <c r="I251" i="4" s="1"/>
  <c r="V123" i="6"/>
  <c r="V150" i="6"/>
  <c r="V69" i="6"/>
  <c r="J120" i="5"/>
  <c r="J66" i="5"/>
  <c r="J121" i="7" s="1"/>
  <c r="J121" i="5"/>
  <c r="J67" i="5"/>
  <c r="J122" i="7" s="1"/>
  <c r="J94" i="5"/>
  <c r="R218" i="3"/>
  <c r="D23" i="4"/>
  <c r="D25" i="4"/>
  <c r="G10" i="4"/>
  <c r="K7" i="4"/>
  <c r="I4" i="5"/>
  <c r="I47" i="6" s="1"/>
  <c r="B22" i="4"/>
  <c r="L8" i="4"/>
  <c r="T8" i="4"/>
  <c r="C22" i="4"/>
  <c r="N110" i="6" l="1"/>
  <c r="N66" i="3"/>
  <c r="N56" i="6"/>
  <c r="N198" i="7" s="1"/>
  <c r="N83" i="6"/>
  <c r="O119" i="6"/>
  <c r="O65" i="6"/>
  <c r="O207" i="7" s="1"/>
  <c r="O92" i="6"/>
  <c r="E174" i="4"/>
  <c r="U174" i="4"/>
  <c r="T199" i="4"/>
  <c r="L199" i="4"/>
  <c r="R68" i="5"/>
  <c r="R123" i="7" s="1"/>
  <c r="R122" i="5"/>
  <c r="R95" i="5"/>
  <c r="F202" i="4"/>
  <c r="F89" i="6"/>
  <c r="F229" i="4"/>
  <c r="F95" i="5"/>
  <c r="S128" i="5"/>
  <c r="S74" i="5"/>
  <c r="S129" i="7" s="1"/>
  <c r="S101" i="5"/>
  <c r="S135" i="5"/>
  <c r="S81" i="5"/>
  <c r="S136" i="7" s="1"/>
  <c r="S108" i="5"/>
  <c r="P64" i="5"/>
  <c r="P119" i="7" s="1"/>
  <c r="P118" i="5"/>
  <c r="P91" i="5"/>
  <c r="G129" i="6"/>
  <c r="G75" i="6"/>
  <c r="G217" i="7" s="1"/>
  <c r="G102" i="6"/>
  <c r="S119" i="6"/>
  <c r="S65" i="6"/>
  <c r="S207" i="7" s="1"/>
  <c r="S92" i="6"/>
  <c r="U173" i="4"/>
  <c r="E11" i="4"/>
  <c r="E175" i="4"/>
  <c r="E62" i="6"/>
  <c r="E256" i="4"/>
  <c r="D214" i="4"/>
  <c r="B184" i="4"/>
  <c r="G109" i="3"/>
  <c r="G117" i="3"/>
  <c r="G118" i="3"/>
  <c r="G115" i="3"/>
  <c r="G114" i="3"/>
  <c r="G113" i="3"/>
  <c r="G116" i="3"/>
  <c r="G119" i="3"/>
  <c r="G120" i="3"/>
  <c r="G112" i="3"/>
  <c r="G111" i="3"/>
  <c r="H172" i="4"/>
  <c r="H33" i="4"/>
  <c r="N188" i="3"/>
  <c r="J122" i="5"/>
  <c r="J68" i="5"/>
  <c r="J123" i="7" s="1"/>
  <c r="J95" i="5"/>
  <c r="M5" i="3"/>
  <c r="E173" i="4"/>
  <c r="F171" i="4"/>
  <c r="J128" i="5"/>
  <c r="J74" i="5"/>
  <c r="J129" i="7" s="1"/>
  <c r="J101" i="5"/>
  <c r="D20" i="4"/>
  <c r="O105" i="3"/>
  <c r="O108" i="3"/>
  <c r="O107" i="3"/>
  <c r="O104" i="3"/>
  <c r="O106" i="3"/>
  <c r="O96" i="3"/>
  <c r="O101" i="3"/>
  <c r="O103" i="3"/>
  <c r="O102" i="3"/>
  <c r="O98" i="3"/>
  <c r="O100" i="3"/>
  <c r="O99" i="3"/>
  <c r="C213" i="4"/>
  <c r="P112" i="6"/>
  <c r="P58" i="6"/>
  <c r="P200" i="7" s="1"/>
  <c r="P85" i="6"/>
  <c r="G172" i="4"/>
  <c r="I168" i="4"/>
  <c r="I30" i="4"/>
  <c r="I249" i="4"/>
  <c r="I250" i="4"/>
  <c r="I259" i="4"/>
  <c r="I257" i="4"/>
  <c r="I261" i="4"/>
  <c r="I262" i="4"/>
  <c r="I260" i="4"/>
  <c r="I263" i="4"/>
  <c r="I258" i="4"/>
  <c r="I255" i="4"/>
  <c r="I254" i="4"/>
  <c r="I252" i="4"/>
  <c r="I253" i="4"/>
  <c r="K117" i="6"/>
  <c r="K144" i="6"/>
  <c r="K63" i="6"/>
  <c r="H118" i="3"/>
  <c r="H114" i="3"/>
  <c r="H115" i="3"/>
  <c r="H120" i="3"/>
  <c r="H109" i="3"/>
  <c r="H119" i="3"/>
  <c r="H117" i="3"/>
  <c r="H116" i="3"/>
  <c r="H113" i="3"/>
  <c r="H112" i="3"/>
  <c r="H111" i="3"/>
  <c r="J115" i="6"/>
  <c r="J61" i="6"/>
  <c r="J203" i="7" s="1"/>
  <c r="J88" i="6"/>
  <c r="T121" i="6"/>
  <c r="T67" i="6"/>
  <c r="T209" i="7" s="1"/>
  <c r="T94" i="6"/>
  <c r="T128" i="6"/>
  <c r="T74" i="6"/>
  <c r="T216" i="7" s="1"/>
  <c r="T101" i="6"/>
  <c r="O126" i="6"/>
  <c r="O72" i="6"/>
  <c r="O214" i="7" s="1"/>
  <c r="O99" i="6"/>
  <c r="M110" i="6"/>
  <c r="M66" i="3"/>
  <c r="M56" i="6"/>
  <c r="M198" i="7" s="1"/>
  <c r="M83" i="6"/>
  <c r="B213" i="4"/>
  <c r="E211" i="4"/>
  <c r="E157" i="4"/>
  <c r="E19" i="3"/>
  <c r="T120" i="5"/>
  <c r="T66" i="5"/>
  <c r="T121" i="7" s="1"/>
  <c r="T93" i="5"/>
  <c r="I67" i="5"/>
  <c r="I122" i="7" s="1"/>
  <c r="I121" i="5"/>
  <c r="I94" i="5"/>
  <c r="C184" i="4"/>
  <c r="R128" i="5"/>
  <c r="R74" i="5"/>
  <c r="R129" i="7" s="1"/>
  <c r="R101" i="5"/>
  <c r="I121" i="6"/>
  <c r="I67" i="6"/>
  <c r="I209" i="7" s="1"/>
  <c r="I94" i="6"/>
  <c r="Q112" i="6"/>
  <c r="Q58" i="6"/>
  <c r="Q200" i="7" s="1"/>
  <c r="Q85" i="6"/>
  <c r="U175" i="4"/>
  <c r="G33" i="4"/>
  <c r="N105" i="3"/>
  <c r="N103" i="3"/>
  <c r="N108" i="3"/>
  <c r="N104" i="3"/>
  <c r="N106" i="3"/>
  <c r="N96" i="3"/>
  <c r="N107" i="3"/>
  <c r="N102" i="3"/>
  <c r="N101" i="3"/>
  <c r="N98" i="3"/>
  <c r="N100" i="3"/>
  <c r="N99" i="3"/>
  <c r="J114" i="6"/>
  <c r="J60" i="6"/>
  <c r="J202" i="7" s="1"/>
  <c r="K90" i="6"/>
  <c r="F81" i="5"/>
  <c r="F136" i="7" s="1"/>
  <c r="F135" i="5"/>
  <c r="F108" i="5"/>
  <c r="D216" i="4"/>
  <c r="T6" i="4"/>
  <c r="G82" i="5"/>
  <c r="G137" i="7" s="1"/>
  <c r="G136" i="5"/>
  <c r="G109" i="5"/>
  <c r="M188" i="3"/>
  <c r="L6" i="4"/>
  <c r="H157" i="6"/>
  <c r="H130" i="6"/>
  <c r="H76" i="6"/>
  <c r="H103" i="6"/>
  <c r="K198" i="4"/>
  <c r="G201" i="4"/>
  <c r="Q64" i="5"/>
  <c r="Q119" i="7" s="1"/>
  <c r="Q118" i="5"/>
  <c r="Q91" i="5"/>
  <c r="O218" i="3"/>
  <c r="F128" i="6"/>
  <c r="F74" i="6"/>
  <c r="F216" i="7" s="1"/>
  <c r="F101" i="6"/>
  <c r="E80" i="5"/>
  <c r="E135" i="7" s="1"/>
  <c r="E134" i="5"/>
  <c r="S103" i="3"/>
  <c r="S105" i="3"/>
  <c r="S101" i="3"/>
  <c r="S108" i="3"/>
  <c r="S107" i="3"/>
  <c r="S96" i="3"/>
  <c r="S102" i="3"/>
  <c r="S106" i="3"/>
  <c r="S104" i="3"/>
  <c r="S98" i="3"/>
  <c r="S100" i="3"/>
  <c r="S99" i="3"/>
  <c r="M231" i="4"/>
  <c r="M195" i="4"/>
  <c r="M222" i="4"/>
  <c r="M141" i="4"/>
  <c r="M223" i="4"/>
  <c r="M235" i="4"/>
  <c r="M234" i="4"/>
  <c r="M232" i="4"/>
  <c r="M236" i="4"/>
  <c r="M233" i="4"/>
  <c r="M229" i="4"/>
  <c r="M228" i="4"/>
  <c r="M230" i="4"/>
  <c r="M227" i="4"/>
  <c r="M225" i="4"/>
  <c r="J12" i="4"/>
  <c r="C23" i="4"/>
  <c r="B23" i="4"/>
  <c r="J9" i="4"/>
  <c r="B25" i="4"/>
  <c r="B24" i="4"/>
  <c r="F10" i="4"/>
  <c r="H9" i="4"/>
  <c r="C25" i="4"/>
  <c r="I9" i="4"/>
  <c r="J4" i="5"/>
  <c r="J47" i="6" s="1"/>
  <c r="F33" i="4"/>
  <c r="K8" i="4"/>
  <c r="H4" i="5"/>
  <c r="H47" i="6" s="1"/>
  <c r="B20" i="4" l="1"/>
  <c r="F170" i="4"/>
  <c r="F31" i="4"/>
  <c r="B211" i="4"/>
  <c r="B157" i="4"/>
  <c r="B19" i="3"/>
  <c r="K199" i="4"/>
  <c r="V174" i="4"/>
  <c r="L110" i="6"/>
  <c r="L66" i="3"/>
  <c r="L56" i="6"/>
  <c r="L198" i="7" s="1"/>
  <c r="L83" i="6"/>
  <c r="I200" i="4"/>
  <c r="I93" i="5"/>
  <c r="I87" i="6"/>
  <c r="B216" i="4"/>
  <c r="K6" i="4"/>
  <c r="G130" i="6"/>
  <c r="G157" i="6"/>
  <c r="G76" i="6"/>
  <c r="G103" i="6"/>
  <c r="T143" i="4"/>
  <c r="T197" i="4"/>
  <c r="T7" i="3"/>
  <c r="T4" i="4"/>
  <c r="J116" i="6"/>
  <c r="J62" i="6"/>
  <c r="J204" i="7" s="1"/>
  <c r="J89" i="6"/>
  <c r="R116" i="6"/>
  <c r="R62" i="6"/>
  <c r="R204" i="7" s="1"/>
  <c r="R89" i="6"/>
  <c r="H170" i="4"/>
  <c r="H31" i="4"/>
  <c r="H251" i="4" s="1"/>
  <c r="L78" i="5"/>
  <c r="L133" i="7" s="1"/>
  <c r="L132" i="5"/>
  <c r="L105" i="5"/>
  <c r="U171" i="4"/>
  <c r="M119" i="6"/>
  <c r="M65" i="6"/>
  <c r="M207" i="7" s="1"/>
  <c r="M92" i="6"/>
  <c r="J90" i="6"/>
  <c r="C216" i="4"/>
  <c r="J93" i="5"/>
  <c r="J200" i="4"/>
  <c r="J87" i="6"/>
  <c r="I115" i="6"/>
  <c r="I61" i="6"/>
  <c r="I203" i="7" s="1"/>
  <c r="I88" i="6"/>
  <c r="L116" i="5"/>
  <c r="L62" i="5"/>
  <c r="L117" i="7" s="1"/>
  <c r="L36" i="3"/>
  <c r="L89" i="5"/>
  <c r="M126" i="6"/>
  <c r="M72" i="6"/>
  <c r="M214" i="7" s="1"/>
  <c r="M99" i="6"/>
  <c r="D11" i="4"/>
  <c r="D175" i="4"/>
  <c r="D62" i="6"/>
  <c r="D256" i="4"/>
  <c r="H200" i="4"/>
  <c r="E128" i="6"/>
  <c r="E74" i="6"/>
  <c r="E216" i="7" s="1"/>
  <c r="E101" i="6"/>
  <c r="D80" i="5"/>
  <c r="D135" i="7" s="1"/>
  <c r="D134" i="5"/>
  <c r="S122" i="6"/>
  <c r="S68" i="6"/>
  <c r="S210" i="7" s="1"/>
  <c r="S95" i="6"/>
  <c r="D173" i="4"/>
  <c r="C214" i="4"/>
  <c r="L125" i="5"/>
  <c r="L71" i="5"/>
  <c r="L126" i="7" s="1"/>
  <c r="L98" i="5"/>
  <c r="T125" i="5"/>
  <c r="T71" i="5"/>
  <c r="T126" i="7" s="1"/>
  <c r="T98" i="5"/>
  <c r="E81" i="5"/>
  <c r="E136" i="7" s="1"/>
  <c r="E135" i="5"/>
  <c r="E108" i="5"/>
  <c r="R122" i="6"/>
  <c r="R68" i="6"/>
  <c r="R210" i="7" s="1"/>
  <c r="R95" i="6"/>
  <c r="F129" i="6"/>
  <c r="F75" i="6"/>
  <c r="F217" i="7" s="1"/>
  <c r="F102" i="6"/>
  <c r="D174" i="4"/>
  <c r="N126" i="6"/>
  <c r="N72" i="6"/>
  <c r="N214" i="7" s="1"/>
  <c r="N99" i="6"/>
  <c r="F201" i="4"/>
  <c r="I114" i="6"/>
  <c r="I60" i="6"/>
  <c r="I202" i="7" s="1"/>
  <c r="T116" i="5"/>
  <c r="T62" i="5"/>
  <c r="T117" i="7" s="1"/>
  <c r="T36" i="3"/>
  <c r="T89" i="5"/>
  <c r="H67" i="5"/>
  <c r="H122" i="7" s="1"/>
  <c r="H121" i="5"/>
  <c r="H94" i="5"/>
  <c r="M4" i="3"/>
  <c r="M97" i="3" s="1"/>
  <c r="U176" i="4"/>
  <c r="B215" i="4"/>
  <c r="B214" i="4"/>
  <c r="F82" i="5"/>
  <c r="F137" i="7" s="1"/>
  <c r="F136" i="5"/>
  <c r="F109" i="5"/>
  <c r="J122" i="6"/>
  <c r="J68" i="6"/>
  <c r="J210" i="7" s="1"/>
  <c r="J95" i="6"/>
  <c r="C20" i="4"/>
  <c r="T129" i="6"/>
  <c r="T75" i="6"/>
  <c r="T217" i="7" s="1"/>
  <c r="T102" i="6"/>
  <c r="F172" i="4"/>
  <c r="F253" i="4"/>
  <c r="B181" i="4"/>
  <c r="L143" i="4"/>
  <c r="L197" i="4"/>
  <c r="L7" i="3"/>
  <c r="L4" i="4"/>
  <c r="S129" i="6"/>
  <c r="S75" i="6"/>
  <c r="S217" i="7" s="1"/>
  <c r="S102" i="6"/>
  <c r="M218" i="3"/>
  <c r="D107" i="5"/>
  <c r="E95" i="5"/>
  <c r="E229" i="4"/>
  <c r="E89" i="6"/>
  <c r="E202" i="4"/>
  <c r="E171" i="4"/>
  <c r="N119" i="6"/>
  <c r="N65" i="6"/>
  <c r="N207" i="7" s="1"/>
  <c r="N92" i="6"/>
  <c r="J96" i="5"/>
  <c r="J203" i="4"/>
  <c r="T81" i="5"/>
  <c r="T136" i="7" s="1"/>
  <c r="T135" i="5"/>
  <c r="T108" i="5"/>
  <c r="T78" i="5"/>
  <c r="T133" i="7" s="1"/>
  <c r="T132" i="5"/>
  <c r="T105" i="5"/>
  <c r="J69" i="5"/>
  <c r="J124" i="7" s="1"/>
  <c r="J123" i="5"/>
  <c r="I128" i="5"/>
  <c r="I74" i="5"/>
  <c r="I129" i="7" s="1"/>
  <c r="I101" i="5"/>
  <c r="G170" i="4"/>
  <c r="G31" i="4"/>
  <c r="S122" i="5"/>
  <c r="S68" i="5"/>
  <c r="S123" i="7" s="1"/>
  <c r="S95" i="5"/>
  <c r="T114" i="6"/>
  <c r="T60" i="6"/>
  <c r="T202" i="7" s="1"/>
  <c r="T87" i="6"/>
  <c r="D135" i="5"/>
  <c r="D81" i="5"/>
  <c r="D136" i="7" s="1"/>
  <c r="D108" i="5"/>
  <c r="D211" i="4"/>
  <c r="D157" i="4"/>
  <c r="D19" i="3"/>
  <c r="N218" i="3"/>
  <c r="E10" i="4"/>
  <c r="G9" i="4"/>
  <c r="E33" i="4"/>
  <c r="J7" i="4"/>
  <c r="G4" i="5"/>
  <c r="G47" i="6" s="1"/>
  <c r="H7" i="4"/>
  <c r="I7" i="4"/>
  <c r="E31" i="4" l="1"/>
  <c r="E251" i="4" s="1"/>
  <c r="E170" i="4"/>
  <c r="G200" i="4"/>
  <c r="R118" i="5"/>
  <c r="R64" i="5"/>
  <c r="R119" i="7" s="1"/>
  <c r="R91" i="5"/>
  <c r="T188" i="3"/>
  <c r="D128" i="6"/>
  <c r="D74" i="6"/>
  <c r="D216" i="7" s="1"/>
  <c r="D101" i="6"/>
  <c r="B179" i="4"/>
  <c r="B40" i="4"/>
  <c r="K78" i="5"/>
  <c r="K133" i="7" s="1"/>
  <c r="K132" i="5"/>
  <c r="K105" i="5"/>
  <c r="M105" i="3"/>
  <c r="M102" i="3"/>
  <c r="M107" i="3"/>
  <c r="M104" i="3"/>
  <c r="M108" i="3"/>
  <c r="M101" i="3"/>
  <c r="M96" i="3"/>
  <c r="M103" i="3"/>
  <c r="M106" i="3"/>
  <c r="M98" i="3"/>
  <c r="M100" i="3"/>
  <c r="M99" i="3"/>
  <c r="L188" i="3"/>
  <c r="H74" i="5"/>
  <c r="H129" i="7" s="1"/>
  <c r="H128" i="5"/>
  <c r="H101" i="5"/>
  <c r="E129" i="6"/>
  <c r="E75" i="6"/>
  <c r="E217" i="7" s="1"/>
  <c r="E102" i="6"/>
  <c r="H122" i="5"/>
  <c r="H68" i="5"/>
  <c r="H149" i="5"/>
  <c r="T224" i="4"/>
  <c r="T141" i="4"/>
  <c r="T195" i="4"/>
  <c r="T222" i="4"/>
  <c r="T232" i="4"/>
  <c r="T234" i="4"/>
  <c r="T236" i="4"/>
  <c r="T223" i="4"/>
  <c r="T235" i="4"/>
  <c r="T233" i="4"/>
  <c r="T229" i="4"/>
  <c r="T230" i="4"/>
  <c r="T228" i="4"/>
  <c r="T227" i="4"/>
  <c r="T231" i="4"/>
  <c r="T225" i="4"/>
  <c r="T226" i="4"/>
  <c r="U172" i="4"/>
  <c r="J198" i="4"/>
  <c r="C211" i="4"/>
  <c r="C157" i="4"/>
  <c r="C19" i="3"/>
  <c r="T5" i="3"/>
  <c r="L218" i="3"/>
  <c r="F249" i="4"/>
  <c r="F168" i="4"/>
  <c r="F250" i="4"/>
  <c r="F259" i="4"/>
  <c r="F257" i="4"/>
  <c r="F261" i="4"/>
  <c r="F262" i="4"/>
  <c r="F263" i="4"/>
  <c r="F260" i="4"/>
  <c r="F258" i="4"/>
  <c r="F254" i="4"/>
  <c r="F255" i="4"/>
  <c r="F252" i="4"/>
  <c r="H198" i="4"/>
  <c r="R112" i="6"/>
  <c r="R58" i="6"/>
  <c r="R200" i="7" s="1"/>
  <c r="R85" i="6"/>
  <c r="E201" i="4"/>
  <c r="C80" i="5"/>
  <c r="C135" i="7" s="1"/>
  <c r="C134" i="5"/>
  <c r="C107" i="5"/>
  <c r="H115" i="6"/>
  <c r="H61" i="6"/>
  <c r="H203" i="7" s="1"/>
  <c r="H88" i="6"/>
  <c r="C173" i="4"/>
  <c r="I198" i="4"/>
  <c r="C174" i="4"/>
  <c r="D171" i="4"/>
  <c r="T110" i="6"/>
  <c r="T66" i="3"/>
  <c r="T56" i="6"/>
  <c r="T198" i="7" s="1"/>
  <c r="T83" i="6"/>
  <c r="L195" i="4"/>
  <c r="L141" i="4"/>
  <c r="L222" i="4"/>
  <c r="L223" i="4"/>
  <c r="L235" i="4"/>
  <c r="L232" i="4"/>
  <c r="L234" i="4"/>
  <c r="L231" i="4"/>
  <c r="L233" i="4"/>
  <c r="L236" i="4"/>
  <c r="L229" i="4"/>
  <c r="L230" i="4"/>
  <c r="L227" i="4"/>
  <c r="L228" i="4"/>
  <c r="L225" i="4"/>
  <c r="L226" i="4"/>
  <c r="K125" i="5"/>
  <c r="K71" i="5"/>
  <c r="K126" i="7" s="1"/>
  <c r="K98" i="5"/>
  <c r="C81" i="5"/>
  <c r="C136" i="7" s="1"/>
  <c r="C135" i="5"/>
  <c r="C108" i="5"/>
  <c r="K116" i="5"/>
  <c r="K62" i="5"/>
  <c r="K117" i="7" s="1"/>
  <c r="K36" i="3"/>
  <c r="K89" i="5"/>
  <c r="D202" i="4"/>
  <c r="D89" i="6"/>
  <c r="D95" i="5"/>
  <c r="D229" i="4"/>
  <c r="I122" i="6"/>
  <c r="I68" i="6"/>
  <c r="I210" i="7" s="1"/>
  <c r="I95" i="6"/>
  <c r="G67" i="5"/>
  <c r="G122" i="7" s="1"/>
  <c r="G121" i="5"/>
  <c r="G94" i="5"/>
  <c r="C62" i="6"/>
  <c r="C11" i="4"/>
  <c r="C175" i="4"/>
  <c r="C256" i="4"/>
  <c r="G251" i="4"/>
  <c r="G30" i="4"/>
  <c r="G249" i="4"/>
  <c r="G168" i="4"/>
  <c r="G250" i="4"/>
  <c r="G259" i="4"/>
  <c r="G257" i="4"/>
  <c r="G261" i="4"/>
  <c r="G262" i="4"/>
  <c r="G263" i="4"/>
  <c r="G260" i="4"/>
  <c r="G258" i="4"/>
  <c r="G255" i="4"/>
  <c r="G254" i="4"/>
  <c r="G252" i="4"/>
  <c r="G253" i="4"/>
  <c r="L5" i="3"/>
  <c r="F130" i="6"/>
  <c r="F157" i="6"/>
  <c r="F76" i="6"/>
  <c r="F103" i="6"/>
  <c r="I122" i="5"/>
  <c r="I149" i="5"/>
  <c r="I68" i="5"/>
  <c r="J144" i="6"/>
  <c r="J117" i="6"/>
  <c r="J63" i="6"/>
  <c r="K197" i="4"/>
  <c r="K143" i="4"/>
  <c r="K7" i="3"/>
  <c r="K4" i="4"/>
  <c r="K224" i="4" s="1"/>
  <c r="F251" i="4"/>
  <c r="E172" i="4"/>
  <c r="E253" i="4"/>
  <c r="L224" i="4"/>
  <c r="D129" i="6"/>
  <c r="D75" i="6"/>
  <c r="D217" i="7" s="1"/>
  <c r="D102" i="6"/>
  <c r="E136" i="5"/>
  <c r="E82" i="5"/>
  <c r="E137" i="7" s="1"/>
  <c r="E109" i="5"/>
  <c r="U33" i="4"/>
  <c r="S116" i="6"/>
  <c r="S62" i="6"/>
  <c r="S204" i="7" s="1"/>
  <c r="S89" i="6"/>
  <c r="H258" i="4"/>
  <c r="H168" i="4"/>
  <c r="H249" i="4"/>
  <c r="H30" i="4"/>
  <c r="H250" i="4"/>
  <c r="H259" i="4"/>
  <c r="H257" i="4"/>
  <c r="H262" i="4"/>
  <c r="H261" i="4"/>
  <c r="H263" i="4"/>
  <c r="H260" i="4"/>
  <c r="H255" i="4"/>
  <c r="H254" i="4"/>
  <c r="H252" i="4"/>
  <c r="H253" i="4"/>
  <c r="H8" i="4"/>
  <c r="H6" i="4" s="1"/>
  <c r="J8" i="4"/>
  <c r="J6" i="4" s="1"/>
  <c r="B17" i="4"/>
  <c r="G7" i="4"/>
  <c r="F9" i="4"/>
  <c r="I8" i="4"/>
  <c r="D10" i="4"/>
  <c r="F4" i="5"/>
  <c r="F47" i="6" s="1"/>
  <c r="H143" i="4" l="1"/>
  <c r="H197" i="4"/>
  <c r="H7" i="3"/>
  <c r="H4" i="4"/>
  <c r="J197" i="4"/>
  <c r="J143" i="4"/>
  <c r="J7" i="3"/>
  <c r="J4" i="4"/>
  <c r="J226" i="4" s="1"/>
  <c r="C171" i="4"/>
  <c r="I199" i="4"/>
  <c r="U170" i="4"/>
  <c r="K5" i="3"/>
  <c r="L4" i="3"/>
  <c r="G115" i="6"/>
  <c r="G61" i="6"/>
  <c r="G203" i="7" s="1"/>
  <c r="G88" i="6"/>
  <c r="T67" i="5"/>
  <c r="T122" i="7" s="1"/>
  <c r="T121" i="5"/>
  <c r="T94" i="5"/>
  <c r="O118" i="5"/>
  <c r="O64" i="5"/>
  <c r="O119" i="7" s="1"/>
  <c r="O91" i="5"/>
  <c r="O112" i="6"/>
  <c r="O58" i="6"/>
  <c r="O200" i="7" s="1"/>
  <c r="O85" i="6"/>
  <c r="V178" i="4"/>
  <c r="I6" i="4"/>
  <c r="B135" i="5"/>
  <c r="B81" i="5"/>
  <c r="B136" i="7" s="1"/>
  <c r="B108" i="5"/>
  <c r="H122" i="6"/>
  <c r="H68" i="6"/>
  <c r="H210" i="7" s="1"/>
  <c r="H95" i="6"/>
  <c r="T126" i="6"/>
  <c r="T72" i="6"/>
  <c r="T214" i="7" s="1"/>
  <c r="T99" i="6"/>
  <c r="L126" i="6"/>
  <c r="L72" i="6"/>
  <c r="L214" i="7" s="1"/>
  <c r="L99" i="6"/>
  <c r="D172" i="4"/>
  <c r="F200" i="4"/>
  <c r="H199" i="4"/>
  <c r="H226" i="4"/>
  <c r="V185" i="4"/>
  <c r="C128" i="6"/>
  <c r="C74" i="6"/>
  <c r="C216" i="7" s="1"/>
  <c r="C101" i="6"/>
  <c r="S112" i="6"/>
  <c r="S58" i="6"/>
  <c r="S200" i="7" s="1"/>
  <c r="S85" i="6"/>
  <c r="B11" i="4"/>
  <c r="B175" i="4"/>
  <c r="B62" i="6"/>
  <c r="B256" i="4"/>
  <c r="J125" i="5"/>
  <c r="J71" i="5"/>
  <c r="J126" i="7" s="1"/>
  <c r="J98" i="5"/>
  <c r="J62" i="5"/>
  <c r="J117" i="7" s="1"/>
  <c r="J116" i="5"/>
  <c r="J36" i="3"/>
  <c r="J89" i="5"/>
  <c r="T218" i="3"/>
  <c r="D33" i="4"/>
  <c r="I116" i="6"/>
  <c r="I143" i="6"/>
  <c r="D136" i="5"/>
  <c r="D82" i="5"/>
  <c r="D137" i="7" s="1"/>
  <c r="D109" i="5"/>
  <c r="B173" i="4"/>
  <c r="G198" i="4"/>
  <c r="B208" i="4"/>
  <c r="V189" i="4"/>
  <c r="C229" i="4"/>
  <c r="C202" i="4"/>
  <c r="C89" i="6"/>
  <c r="C95" i="5"/>
  <c r="G122" i="5"/>
  <c r="G68" i="5"/>
  <c r="G149" i="5"/>
  <c r="E130" i="6"/>
  <c r="E157" i="6"/>
  <c r="E76" i="6"/>
  <c r="E103" i="6"/>
  <c r="B177" i="4"/>
  <c r="V187" i="4"/>
  <c r="H127" i="5"/>
  <c r="H73" i="5"/>
  <c r="H128" i="7" s="1"/>
  <c r="H100" i="5"/>
  <c r="K188" i="3"/>
  <c r="S118" i="5"/>
  <c r="S64" i="5"/>
  <c r="S119" i="7" s="1"/>
  <c r="S91" i="5"/>
  <c r="S121" i="5"/>
  <c r="S67" i="5"/>
  <c r="S122" i="7" s="1"/>
  <c r="S94" i="5"/>
  <c r="K110" i="6"/>
  <c r="K66" i="3"/>
  <c r="K56" i="6"/>
  <c r="K198" i="7" s="1"/>
  <c r="K83" i="6"/>
  <c r="H143" i="6"/>
  <c r="H116" i="6"/>
  <c r="C129" i="6"/>
  <c r="C75" i="6"/>
  <c r="C217" i="7" s="1"/>
  <c r="C102" i="6"/>
  <c r="B80" i="5"/>
  <c r="B135" i="7" s="1"/>
  <c r="B134" i="5"/>
  <c r="B107" i="5"/>
  <c r="B129" i="6"/>
  <c r="B75" i="6"/>
  <c r="B217" i="7" s="1"/>
  <c r="B102" i="6"/>
  <c r="B174" i="4"/>
  <c r="D201" i="4"/>
  <c r="J199" i="4"/>
  <c r="K223" i="4"/>
  <c r="K141" i="4"/>
  <c r="K195" i="4"/>
  <c r="K222" i="4"/>
  <c r="K234" i="4"/>
  <c r="K235" i="4"/>
  <c r="K232" i="4"/>
  <c r="K233" i="4"/>
  <c r="K236" i="4"/>
  <c r="K231" i="4"/>
  <c r="K229" i="4"/>
  <c r="K228" i="4"/>
  <c r="K227" i="4"/>
  <c r="K230" i="4"/>
  <c r="K225" i="4"/>
  <c r="K226" i="4"/>
  <c r="T74" i="5"/>
  <c r="T129" i="7" s="1"/>
  <c r="T128" i="5"/>
  <c r="T101" i="5"/>
  <c r="J78" i="5"/>
  <c r="J133" i="7" s="1"/>
  <c r="J132" i="5"/>
  <c r="J105" i="5"/>
  <c r="T4" i="3"/>
  <c r="T97" i="3" s="1"/>
  <c r="G128" i="5"/>
  <c r="G74" i="5"/>
  <c r="G129" i="7" s="1"/>
  <c r="G101" i="5"/>
  <c r="E254" i="4"/>
  <c r="E249" i="4"/>
  <c r="E168" i="4"/>
  <c r="E250" i="4"/>
  <c r="E259" i="4"/>
  <c r="E257" i="4"/>
  <c r="E261" i="4"/>
  <c r="E262" i="4"/>
  <c r="E263" i="4"/>
  <c r="E260" i="4"/>
  <c r="E258" i="4"/>
  <c r="E255" i="4"/>
  <c r="E252" i="4"/>
  <c r="C10" i="4"/>
  <c r="G8" i="4"/>
  <c r="B15" i="4"/>
  <c r="E4" i="5"/>
  <c r="E47" i="6" s="1"/>
  <c r="F7" i="4"/>
  <c r="K119" i="6" l="1"/>
  <c r="K65" i="6"/>
  <c r="K207" i="7" s="1"/>
  <c r="K92" i="6"/>
  <c r="N112" i="6"/>
  <c r="N58" i="6"/>
  <c r="N200" i="7" s="1"/>
  <c r="N85" i="6"/>
  <c r="E121" i="5"/>
  <c r="E67" i="5"/>
  <c r="E122" i="7" s="1"/>
  <c r="E94" i="5"/>
  <c r="H120" i="5"/>
  <c r="H66" i="5"/>
  <c r="H121" i="7" s="1"/>
  <c r="H93" i="5"/>
  <c r="L101" i="3"/>
  <c r="L107" i="3"/>
  <c r="L105" i="3"/>
  <c r="L106" i="3"/>
  <c r="L102" i="3"/>
  <c r="L108" i="3"/>
  <c r="L104" i="3"/>
  <c r="L96" i="3"/>
  <c r="L103" i="3"/>
  <c r="L98" i="3"/>
  <c r="L100" i="3"/>
  <c r="L99" i="3"/>
  <c r="I116" i="5"/>
  <c r="I62" i="5"/>
  <c r="I117" i="7" s="1"/>
  <c r="I36" i="3"/>
  <c r="I89" i="5"/>
  <c r="M112" i="6"/>
  <c r="M58" i="6"/>
  <c r="M200" i="7" s="1"/>
  <c r="M85" i="6"/>
  <c r="I119" i="6"/>
  <c r="I65" i="6"/>
  <c r="I207" i="7" s="1"/>
  <c r="I92" i="6"/>
  <c r="B128" i="6"/>
  <c r="B74" i="6"/>
  <c r="B216" i="7" s="1"/>
  <c r="B101" i="6"/>
  <c r="I143" i="4"/>
  <c r="I197" i="4"/>
  <c r="I7" i="3"/>
  <c r="I4" i="4"/>
  <c r="J231" i="4"/>
  <c r="J141" i="4"/>
  <c r="J195" i="4"/>
  <c r="J222" i="4"/>
  <c r="J223" i="4"/>
  <c r="J232" i="4"/>
  <c r="J234" i="4"/>
  <c r="J235" i="4"/>
  <c r="J236" i="4"/>
  <c r="J233" i="4"/>
  <c r="J229" i="4"/>
  <c r="J228" i="4"/>
  <c r="J227" i="4"/>
  <c r="J230" i="4"/>
  <c r="J225" i="4"/>
  <c r="J110" i="6"/>
  <c r="J66" i="3"/>
  <c r="J56" i="6"/>
  <c r="J198" i="7" s="1"/>
  <c r="J83" i="6"/>
  <c r="L119" i="6"/>
  <c r="L65" i="6"/>
  <c r="L207" i="7" s="1"/>
  <c r="L92" i="6"/>
  <c r="C201" i="4"/>
  <c r="K218" i="3"/>
  <c r="D170" i="4"/>
  <c r="D31" i="4"/>
  <c r="B229" i="4"/>
  <c r="B202" i="4"/>
  <c r="B89" i="6"/>
  <c r="B95" i="5"/>
  <c r="K4" i="3"/>
  <c r="K97" i="3" s="1"/>
  <c r="N64" i="5"/>
  <c r="N119" i="7" s="1"/>
  <c r="N118" i="5"/>
  <c r="N91" i="5"/>
  <c r="J5" i="3"/>
  <c r="H224" i="4"/>
  <c r="H141" i="4"/>
  <c r="H195" i="4"/>
  <c r="H222" i="4"/>
  <c r="H230" i="4"/>
  <c r="H223" i="4"/>
  <c r="H232" i="4"/>
  <c r="H234" i="4"/>
  <c r="H235" i="4"/>
  <c r="H236" i="4"/>
  <c r="H233" i="4"/>
  <c r="H231" i="4"/>
  <c r="H228" i="4"/>
  <c r="H227" i="4"/>
  <c r="H225" i="4"/>
  <c r="B171" i="4"/>
  <c r="I126" i="6"/>
  <c r="I72" i="6"/>
  <c r="I214" i="7" s="1"/>
  <c r="I99" i="6"/>
  <c r="I71" i="5"/>
  <c r="I126" i="7" s="1"/>
  <c r="I125" i="5"/>
  <c r="I98" i="5"/>
  <c r="G127" i="5"/>
  <c r="G73" i="5"/>
  <c r="G128" i="7" s="1"/>
  <c r="G100" i="5"/>
  <c r="F121" i="5"/>
  <c r="F67" i="5"/>
  <c r="F122" i="7" s="1"/>
  <c r="F94" i="5"/>
  <c r="J224" i="4"/>
  <c r="H5" i="3"/>
  <c r="U181" i="4"/>
  <c r="T122" i="6"/>
  <c r="T68" i="6"/>
  <c r="T210" i="7" s="1"/>
  <c r="T95" i="6"/>
  <c r="C136" i="5"/>
  <c r="C82" i="5"/>
  <c r="C137" i="7" s="1"/>
  <c r="C109" i="5"/>
  <c r="F149" i="5"/>
  <c r="F68" i="5"/>
  <c r="F122" i="5"/>
  <c r="K126" i="6"/>
  <c r="K72" i="6"/>
  <c r="K214" i="7" s="1"/>
  <c r="K99" i="6"/>
  <c r="B82" i="5"/>
  <c r="B137" i="7" s="1"/>
  <c r="B136" i="5"/>
  <c r="B109" i="5"/>
  <c r="T115" i="6"/>
  <c r="T61" i="6"/>
  <c r="T203" i="7" s="1"/>
  <c r="T88" i="6"/>
  <c r="G116" i="6"/>
  <c r="G143" i="6"/>
  <c r="M64" i="5"/>
  <c r="M119" i="7" s="1"/>
  <c r="M118" i="5"/>
  <c r="M91" i="5"/>
  <c r="B206" i="4"/>
  <c r="B13" i="4"/>
  <c r="G199" i="4"/>
  <c r="T119" i="6"/>
  <c r="T65" i="6"/>
  <c r="T207" i="7" s="1"/>
  <c r="T92" i="6"/>
  <c r="S115" i="6"/>
  <c r="S61" i="6"/>
  <c r="S203" i="7" s="1"/>
  <c r="S88" i="6"/>
  <c r="D130" i="6"/>
  <c r="D157" i="6"/>
  <c r="D76" i="6"/>
  <c r="D103" i="6"/>
  <c r="H121" i="6"/>
  <c r="H67" i="6"/>
  <c r="H209" i="7" s="1"/>
  <c r="H94" i="6"/>
  <c r="F198" i="4"/>
  <c r="V186" i="4"/>
  <c r="T105" i="3"/>
  <c r="T102" i="3"/>
  <c r="T107" i="3"/>
  <c r="T103" i="3"/>
  <c r="T101" i="3"/>
  <c r="T96" i="3"/>
  <c r="T104" i="3"/>
  <c r="T106" i="3"/>
  <c r="T108" i="3"/>
  <c r="T98" i="3"/>
  <c r="T100" i="3"/>
  <c r="T99" i="3"/>
  <c r="I132" i="5"/>
  <c r="I78" i="5"/>
  <c r="I133" i="7" s="1"/>
  <c r="I105" i="5"/>
  <c r="G6" i="4"/>
  <c r="J188" i="3"/>
  <c r="L97" i="3"/>
  <c r="G122" i="6"/>
  <c r="G68" i="6"/>
  <c r="G210" i="7" s="1"/>
  <c r="G95" i="6"/>
  <c r="V14" i="4"/>
  <c r="V23" i="4"/>
  <c r="V25" i="4"/>
  <c r="V21" i="4"/>
  <c r="E9" i="4"/>
  <c r="B10" i="4"/>
  <c r="F8" i="4"/>
  <c r="F6" i="4" s="1"/>
  <c r="D4" i="5"/>
  <c r="D47" i="6" s="1"/>
  <c r="B33" i="4"/>
  <c r="B170" i="4" l="1"/>
  <c r="B31" i="4"/>
  <c r="B253" i="4" s="1"/>
  <c r="F4" i="4"/>
  <c r="F143" i="4"/>
  <c r="F197" i="4"/>
  <c r="F7" i="3"/>
  <c r="V173" i="4"/>
  <c r="I231" i="4"/>
  <c r="I141" i="4"/>
  <c r="I195" i="4"/>
  <c r="I222" i="4"/>
  <c r="I230" i="4"/>
  <c r="I223" i="4"/>
  <c r="I232" i="4"/>
  <c r="I235" i="4"/>
  <c r="I234" i="4"/>
  <c r="I233" i="4"/>
  <c r="I236" i="4"/>
  <c r="I228" i="4"/>
  <c r="I227" i="4"/>
  <c r="I225" i="4"/>
  <c r="I226" i="4"/>
  <c r="F199" i="4"/>
  <c r="F226" i="4"/>
  <c r="E149" i="5"/>
  <c r="E68" i="5"/>
  <c r="E122" i="5"/>
  <c r="J218" i="3"/>
  <c r="I5" i="3"/>
  <c r="U179" i="4"/>
  <c r="U40" i="4"/>
  <c r="C172" i="4"/>
  <c r="C33" i="4"/>
  <c r="B130" i="6"/>
  <c r="B157" i="6"/>
  <c r="B76" i="6"/>
  <c r="B103" i="6"/>
  <c r="G120" i="5"/>
  <c r="G66" i="5"/>
  <c r="G121" i="7" s="1"/>
  <c r="G93" i="5"/>
  <c r="V212" i="4"/>
  <c r="E115" i="6"/>
  <c r="E61" i="6"/>
  <c r="E203" i="7" s="1"/>
  <c r="E88" i="6"/>
  <c r="I224" i="4"/>
  <c r="B201" i="4"/>
  <c r="V216" i="4"/>
  <c r="V214" i="4"/>
  <c r="H114" i="6"/>
  <c r="H60" i="6"/>
  <c r="H202" i="7" s="1"/>
  <c r="H87" i="6"/>
  <c r="T68" i="5"/>
  <c r="T123" i="7" s="1"/>
  <c r="T122" i="5"/>
  <c r="T95" i="5"/>
  <c r="K105" i="3"/>
  <c r="K101" i="3"/>
  <c r="K107" i="3"/>
  <c r="K108" i="3"/>
  <c r="K103" i="3"/>
  <c r="K102" i="3"/>
  <c r="K96" i="3"/>
  <c r="K106" i="3"/>
  <c r="K104" i="3"/>
  <c r="K98" i="3"/>
  <c r="K100" i="3"/>
  <c r="K99" i="3"/>
  <c r="F127" i="5"/>
  <c r="F73" i="5"/>
  <c r="F128" i="7" s="1"/>
  <c r="F100" i="5"/>
  <c r="I188" i="3"/>
  <c r="B172" i="4"/>
  <c r="J119" i="6"/>
  <c r="J65" i="6"/>
  <c r="J207" i="7" s="1"/>
  <c r="J92" i="6"/>
  <c r="V205" i="4"/>
  <c r="H4" i="3"/>
  <c r="D258" i="4"/>
  <c r="D249" i="4"/>
  <c r="D168" i="4"/>
  <c r="D250" i="4"/>
  <c r="D259" i="4"/>
  <c r="D261" i="4"/>
  <c r="D262" i="4"/>
  <c r="D260" i="4"/>
  <c r="D263" i="4"/>
  <c r="D254" i="4"/>
  <c r="D255" i="4"/>
  <c r="D252" i="4"/>
  <c r="D253" i="4"/>
  <c r="C130" i="6"/>
  <c r="C157" i="6"/>
  <c r="C76" i="6"/>
  <c r="C103" i="6"/>
  <c r="I110" i="6"/>
  <c r="I66" i="3"/>
  <c r="I56" i="6"/>
  <c r="I198" i="7" s="1"/>
  <c r="I83" i="6"/>
  <c r="G143" i="4"/>
  <c r="G197" i="4"/>
  <c r="G7" i="3"/>
  <c r="G4" i="4"/>
  <c r="G224" i="4" s="1"/>
  <c r="F128" i="5"/>
  <c r="F74" i="5"/>
  <c r="F129" i="7" s="1"/>
  <c r="F101" i="5"/>
  <c r="J4" i="3"/>
  <c r="J97" i="3"/>
  <c r="D251" i="4"/>
  <c r="F116" i="6"/>
  <c r="F143" i="6"/>
  <c r="J126" i="6"/>
  <c r="J72" i="6"/>
  <c r="J214" i="7" s="1"/>
  <c r="J99" i="6"/>
  <c r="E200" i="4"/>
  <c r="G121" i="6"/>
  <c r="G67" i="6"/>
  <c r="G209" i="7" s="1"/>
  <c r="G94" i="6"/>
  <c r="F115" i="6"/>
  <c r="F61" i="6"/>
  <c r="F203" i="7" s="1"/>
  <c r="F88" i="6"/>
  <c r="B204" i="4"/>
  <c r="B150" i="4"/>
  <c r="B8" i="3"/>
  <c r="E74" i="5"/>
  <c r="E129" i="7" s="1"/>
  <c r="E128" i="5"/>
  <c r="E101" i="5"/>
  <c r="E27" i="4"/>
  <c r="B27" i="4"/>
  <c r="V18" i="4"/>
  <c r="C27" i="4"/>
  <c r="V16" i="4"/>
  <c r="D27" i="4"/>
  <c r="V22" i="4"/>
  <c r="F27" i="4"/>
  <c r="U10" i="4"/>
  <c r="U17" i="4"/>
  <c r="D9" i="4"/>
  <c r="U11" i="4"/>
  <c r="U9" i="4"/>
  <c r="U12" i="4"/>
  <c r="C9" i="4"/>
  <c r="C4" i="5"/>
  <c r="C47" i="6" s="1"/>
  <c r="E7" i="4"/>
  <c r="U4" i="5"/>
  <c r="U47" i="6" s="1"/>
  <c r="E198" i="4" l="1"/>
  <c r="G110" i="6"/>
  <c r="G66" i="3"/>
  <c r="G56" i="6"/>
  <c r="G198" i="7" s="1"/>
  <c r="G83" i="6"/>
  <c r="G78" i="5"/>
  <c r="G133" i="7" s="1"/>
  <c r="G132" i="5"/>
  <c r="G105" i="5"/>
  <c r="H105" i="3"/>
  <c r="H104" i="3"/>
  <c r="H106" i="3"/>
  <c r="H103" i="3"/>
  <c r="H101" i="3"/>
  <c r="H96" i="3"/>
  <c r="H107" i="3"/>
  <c r="H108" i="3"/>
  <c r="H102" i="3"/>
  <c r="H98" i="3"/>
  <c r="H100" i="3"/>
  <c r="H99" i="3"/>
  <c r="G114" i="6"/>
  <c r="G60" i="6"/>
  <c r="G202" i="7" s="1"/>
  <c r="G87" i="6"/>
  <c r="F121" i="6"/>
  <c r="F67" i="6"/>
  <c r="F209" i="7" s="1"/>
  <c r="F94" i="6"/>
  <c r="T116" i="6"/>
  <c r="T62" i="6"/>
  <c r="T204" i="7" s="1"/>
  <c r="T89" i="6"/>
  <c r="U177" i="4"/>
  <c r="U31" i="4"/>
  <c r="G62" i="5"/>
  <c r="G117" i="7" s="1"/>
  <c r="G116" i="5"/>
  <c r="G36" i="3"/>
  <c r="G89" i="5"/>
  <c r="G126" i="6"/>
  <c r="G72" i="6"/>
  <c r="G214" i="7" s="1"/>
  <c r="G99" i="6"/>
  <c r="H126" i="6"/>
  <c r="H72" i="6"/>
  <c r="H214" i="7" s="1"/>
  <c r="H99" i="6"/>
  <c r="U123" i="5"/>
  <c r="U69" i="5"/>
  <c r="U124" i="7" s="1"/>
  <c r="G5" i="3"/>
  <c r="D68" i="5"/>
  <c r="D149" i="5"/>
  <c r="D122" i="5"/>
  <c r="D121" i="5"/>
  <c r="D67" i="5"/>
  <c r="D122" i="7" s="1"/>
  <c r="D94" i="5"/>
  <c r="F122" i="6"/>
  <c r="F68" i="6"/>
  <c r="F210" i="7" s="1"/>
  <c r="F95" i="6"/>
  <c r="U202" i="4"/>
  <c r="G125" i="5"/>
  <c r="G71" i="5"/>
  <c r="G126" i="7" s="1"/>
  <c r="G98" i="5"/>
  <c r="G119" i="6"/>
  <c r="G65" i="6"/>
  <c r="G207" i="7" s="1"/>
  <c r="G92" i="6"/>
  <c r="H119" i="6"/>
  <c r="H65" i="6"/>
  <c r="H207" i="7" s="1"/>
  <c r="H92" i="6"/>
  <c r="D200" i="4"/>
  <c r="E122" i="6"/>
  <c r="E68" i="6"/>
  <c r="E210" i="7" s="1"/>
  <c r="E95" i="6"/>
  <c r="H78" i="5"/>
  <c r="H133" i="7" s="1"/>
  <c r="H132" i="5"/>
  <c r="H105" i="5"/>
  <c r="F120" i="5"/>
  <c r="F66" i="5"/>
  <c r="F121" i="7" s="1"/>
  <c r="F93" i="5"/>
  <c r="H116" i="5"/>
  <c r="H62" i="5"/>
  <c r="H117" i="7" s="1"/>
  <c r="H36" i="3"/>
  <c r="H89" i="5"/>
  <c r="F231" i="4"/>
  <c r="F141" i="4"/>
  <c r="F195" i="4"/>
  <c r="F222" i="4"/>
  <c r="F230" i="4"/>
  <c r="F223" i="4"/>
  <c r="F234" i="4"/>
  <c r="F232" i="4"/>
  <c r="F235" i="4"/>
  <c r="F236" i="4"/>
  <c r="F233" i="4"/>
  <c r="F228" i="4"/>
  <c r="F227" i="4"/>
  <c r="F225" i="4"/>
  <c r="V207" i="4"/>
  <c r="G236" i="4"/>
  <c r="G222" i="4"/>
  <c r="G195" i="4"/>
  <c r="G141" i="4"/>
  <c r="G230" i="4"/>
  <c r="G223" i="4"/>
  <c r="G234" i="4"/>
  <c r="G235" i="4"/>
  <c r="G232" i="4"/>
  <c r="G233" i="4"/>
  <c r="G231" i="4"/>
  <c r="G228" i="4"/>
  <c r="G227" i="4"/>
  <c r="G225" i="4"/>
  <c r="G226" i="4"/>
  <c r="C200" i="4"/>
  <c r="V96" i="6"/>
  <c r="V102" i="5"/>
  <c r="V209" i="4"/>
  <c r="H125" i="5"/>
  <c r="H71" i="5"/>
  <c r="H126" i="7" s="1"/>
  <c r="H98" i="5"/>
  <c r="E116" i="6"/>
  <c r="E143" i="6"/>
  <c r="B258" i="4"/>
  <c r="B168" i="4"/>
  <c r="B249" i="4"/>
  <c r="B250" i="4"/>
  <c r="B259" i="4"/>
  <c r="B263" i="4"/>
  <c r="B261" i="4"/>
  <c r="B262" i="4"/>
  <c r="B260" i="4"/>
  <c r="B254" i="4"/>
  <c r="B255" i="4"/>
  <c r="B252" i="4"/>
  <c r="I4" i="3"/>
  <c r="I97" i="3" s="1"/>
  <c r="H110" i="6"/>
  <c r="H66" i="3"/>
  <c r="H56" i="6"/>
  <c r="H198" i="7" s="1"/>
  <c r="H83" i="6"/>
  <c r="U208" i="4"/>
  <c r="B120" i="5"/>
  <c r="B66" i="5"/>
  <c r="B121" i="7" s="1"/>
  <c r="F5" i="3"/>
  <c r="B251" i="4"/>
  <c r="U201" i="4"/>
  <c r="U90" i="6"/>
  <c r="U203" i="4"/>
  <c r="U96" i="5"/>
  <c r="J105" i="3"/>
  <c r="J101" i="3"/>
  <c r="J108" i="3"/>
  <c r="J104" i="3"/>
  <c r="J107" i="3"/>
  <c r="J96" i="3"/>
  <c r="J102" i="3"/>
  <c r="J103" i="3"/>
  <c r="J106" i="3"/>
  <c r="J98" i="3"/>
  <c r="J100" i="3"/>
  <c r="J99" i="3"/>
  <c r="C170" i="4"/>
  <c r="C31" i="4"/>
  <c r="F224" i="4"/>
  <c r="U200" i="4"/>
  <c r="V213" i="4"/>
  <c r="I218" i="3"/>
  <c r="H97" i="3"/>
  <c r="E127" i="5"/>
  <c r="E73" i="5"/>
  <c r="E128" i="7" s="1"/>
  <c r="E100" i="5"/>
  <c r="E8" i="4"/>
  <c r="B9" i="4"/>
  <c r="D7" i="4"/>
  <c r="U15" i="4"/>
  <c r="B4" i="5"/>
  <c r="B47" i="6" s="1"/>
  <c r="U7" i="4"/>
  <c r="C7" i="4"/>
  <c r="E121" i="6" l="1"/>
  <c r="E67" i="6"/>
  <c r="E209" i="7" s="1"/>
  <c r="E94" i="6"/>
  <c r="C251" i="4"/>
  <c r="C168" i="4"/>
  <c r="C249" i="4"/>
  <c r="C250" i="4"/>
  <c r="C259" i="4"/>
  <c r="C261" i="4"/>
  <c r="C262" i="4"/>
  <c r="C263" i="4"/>
  <c r="C260" i="4"/>
  <c r="C258" i="4"/>
  <c r="C254" i="4"/>
  <c r="C255" i="4"/>
  <c r="C252" i="4"/>
  <c r="C253" i="4"/>
  <c r="D74" i="5"/>
  <c r="D129" i="7" s="1"/>
  <c r="D128" i="5"/>
  <c r="D101" i="5"/>
  <c r="I105" i="3"/>
  <c r="I103" i="3"/>
  <c r="I106" i="3"/>
  <c r="I101" i="3"/>
  <c r="I108" i="3"/>
  <c r="I96" i="3"/>
  <c r="I102" i="3"/>
  <c r="I104" i="3"/>
  <c r="I107" i="3"/>
  <c r="I98" i="3"/>
  <c r="I100" i="3"/>
  <c r="I99" i="3"/>
  <c r="D116" i="6"/>
  <c r="D143" i="6"/>
  <c r="G4" i="3"/>
  <c r="G97" i="3" s="1"/>
  <c r="F119" i="6"/>
  <c r="F65" i="6"/>
  <c r="F207" i="7" s="1"/>
  <c r="F92" i="6"/>
  <c r="D198" i="4"/>
  <c r="B121" i="5"/>
  <c r="B67" i="5"/>
  <c r="B122" i="7" s="1"/>
  <c r="B94" i="5"/>
  <c r="U261" i="4"/>
  <c r="U249" i="4"/>
  <c r="U30" i="4"/>
  <c r="U168" i="4"/>
  <c r="U250" i="4"/>
  <c r="U263" i="4"/>
  <c r="U259" i="4"/>
  <c r="U254" i="4"/>
  <c r="U255" i="4"/>
  <c r="U256" i="4"/>
  <c r="U252" i="4"/>
  <c r="U257" i="4"/>
  <c r="U253" i="4"/>
  <c r="U251" i="4"/>
  <c r="U262" i="4"/>
  <c r="U260" i="4"/>
  <c r="G218" i="3"/>
  <c r="E66" i="5"/>
  <c r="E121" i="7" s="1"/>
  <c r="E120" i="5"/>
  <c r="E93" i="5"/>
  <c r="U198" i="4"/>
  <c r="U134" i="5"/>
  <c r="U80" i="5"/>
  <c r="U135" i="7" s="1"/>
  <c r="U107" i="5"/>
  <c r="C198" i="4"/>
  <c r="K112" i="6"/>
  <c r="K58" i="6"/>
  <c r="K200" i="7" s="1"/>
  <c r="K85" i="6"/>
  <c r="E199" i="4"/>
  <c r="T118" i="5"/>
  <c r="T64" i="5"/>
  <c r="T119" i="7" s="1"/>
  <c r="T91" i="5"/>
  <c r="F132" i="5"/>
  <c r="F78" i="5"/>
  <c r="F133" i="7" s="1"/>
  <c r="F105" i="5"/>
  <c r="U258" i="4"/>
  <c r="K118" i="5"/>
  <c r="K64" i="5"/>
  <c r="K119" i="7" s="1"/>
  <c r="K91" i="5"/>
  <c r="T112" i="6"/>
  <c r="T58" i="6"/>
  <c r="T200" i="7" s="1"/>
  <c r="T85" i="6"/>
  <c r="D115" i="6"/>
  <c r="D61" i="6"/>
  <c r="D203" i="7" s="1"/>
  <c r="D88" i="6"/>
  <c r="B200" i="4"/>
  <c r="B87" i="6"/>
  <c r="B93" i="5"/>
  <c r="F114" i="6"/>
  <c r="F60" i="6"/>
  <c r="F202" i="7" s="1"/>
  <c r="F87" i="6"/>
  <c r="F125" i="5"/>
  <c r="F71" i="5"/>
  <c r="F126" i="7" s="1"/>
  <c r="F98" i="5"/>
  <c r="F4" i="3"/>
  <c r="F97" i="3" s="1"/>
  <c r="G188" i="3"/>
  <c r="F126" i="6"/>
  <c r="F72" i="6"/>
  <c r="F214" i="7" s="1"/>
  <c r="F99" i="6"/>
  <c r="J112" i="6"/>
  <c r="J58" i="6"/>
  <c r="J200" i="7" s="1"/>
  <c r="J85" i="6"/>
  <c r="U206" i="4"/>
  <c r="U13" i="4"/>
  <c r="L112" i="6"/>
  <c r="L58" i="6"/>
  <c r="L200" i="7" s="1"/>
  <c r="L85" i="6"/>
  <c r="U117" i="6"/>
  <c r="U144" i="6"/>
  <c r="U63" i="6"/>
  <c r="D73" i="5"/>
  <c r="D128" i="7" s="1"/>
  <c r="D127" i="5"/>
  <c r="D100" i="5"/>
  <c r="F62" i="5"/>
  <c r="F117" i="7" s="1"/>
  <c r="F116" i="5"/>
  <c r="F36" i="3"/>
  <c r="F89" i="5"/>
  <c r="C122" i="5"/>
  <c r="C149" i="5"/>
  <c r="C68" i="5"/>
  <c r="B114" i="6"/>
  <c r="B60" i="6"/>
  <c r="B202" i="7" s="1"/>
  <c r="C121" i="5"/>
  <c r="C67" i="5"/>
  <c r="C122" i="7" s="1"/>
  <c r="C94" i="5"/>
  <c r="H218" i="3"/>
  <c r="L118" i="5"/>
  <c r="L64" i="5"/>
  <c r="L119" i="7" s="1"/>
  <c r="L91" i="5"/>
  <c r="J64" i="5"/>
  <c r="J119" i="7" s="1"/>
  <c r="J118" i="5"/>
  <c r="J91" i="5"/>
  <c r="H188" i="3"/>
  <c r="E6" i="4"/>
  <c r="U73" i="5"/>
  <c r="U128" i="7" s="1"/>
  <c r="U127" i="5"/>
  <c r="U100" i="5"/>
  <c r="D8" i="4"/>
  <c r="U8" i="4"/>
  <c r="U6" i="4" s="1"/>
  <c r="C8" i="4"/>
  <c r="C6" i="4" s="1"/>
  <c r="B7" i="4"/>
  <c r="C143" i="4" l="1"/>
  <c r="C197" i="4"/>
  <c r="C7" i="3"/>
  <c r="C4" i="4"/>
  <c r="C224" i="4" s="1"/>
  <c r="U197" i="4"/>
  <c r="U143" i="4"/>
  <c r="U7" i="3"/>
  <c r="U4" i="4"/>
  <c r="U224" i="4" s="1"/>
  <c r="D199" i="4"/>
  <c r="B115" i="6"/>
  <c r="B61" i="6"/>
  <c r="B203" i="7" s="1"/>
  <c r="B88" i="6"/>
  <c r="E78" i="5"/>
  <c r="E133" i="7" s="1"/>
  <c r="E132" i="5"/>
  <c r="E105" i="5"/>
  <c r="B122" i="5"/>
  <c r="B149" i="5"/>
  <c r="B68" i="5"/>
  <c r="D6" i="4"/>
  <c r="D122" i="6"/>
  <c r="D68" i="6"/>
  <c r="D210" i="7" s="1"/>
  <c r="D95" i="6"/>
  <c r="E62" i="5"/>
  <c r="E117" i="7" s="1"/>
  <c r="E116" i="5"/>
  <c r="E36" i="3"/>
  <c r="E89" i="5"/>
  <c r="B198" i="4"/>
  <c r="C115" i="6"/>
  <c r="C61" i="6"/>
  <c r="C203" i="7" s="1"/>
  <c r="C88" i="6"/>
  <c r="C53" i="4"/>
  <c r="B53" i="4"/>
  <c r="E53" i="4"/>
  <c r="B74" i="5"/>
  <c r="B129" i="7" s="1"/>
  <c r="B128" i="5"/>
  <c r="B101" i="5"/>
  <c r="E71" i="5"/>
  <c r="E126" i="7" s="1"/>
  <c r="E125" i="5"/>
  <c r="E98" i="5"/>
  <c r="E114" i="6"/>
  <c r="E60" i="6"/>
  <c r="E202" i="7" s="1"/>
  <c r="E87" i="6"/>
  <c r="U150" i="4"/>
  <c r="U204" i="4"/>
  <c r="U231" i="4"/>
  <c r="U8" i="3"/>
  <c r="U66" i="5"/>
  <c r="U121" i="7" s="1"/>
  <c r="U120" i="5"/>
  <c r="U93" i="5"/>
  <c r="V136" i="5"/>
  <c r="V82" i="5"/>
  <c r="V137" i="7" s="1"/>
  <c r="V109" i="5"/>
  <c r="F188" i="3"/>
  <c r="C116" i="6"/>
  <c r="C143" i="6"/>
  <c r="F104" i="3"/>
  <c r="F103" i="3"/>
  <c r="F105" i="3"/>
  <c r="F102" i="3"/>
  <c r="F106" i="3"/>
  <c r="F96" i="3"/>
  <c r="F107" i="3"/>
  <c r="F108" i="3"/>
  <c r="F101" i="3"/>
  <c r="F98" i="3"/>
  <c r="F100" i="3"/>
  <c r="F99" i="3"/>
  <c r="I118" i="5"/>
  <c r="I64" i="5"/>
  <c r="I119" i="7" s="1"/>
  <c r="I91" i="5"/>
  <c r="G105" i="3"/>
  <c r="G103" i="3"/>
  <c r="G106" i="3"/>
  <c r="G102" i="3"/>
  <c r="G108" i="3"/>
  <c r="G104" i="3"/>
  <c r="G96" i="3"/>
  <c r="G101" i="3"/>
  <c r="G107" i="3"/>
  <c r="G98" i="3"/>
  <c r="G100" i="3"/>
  <c r="G99" i="3"/>
  <c r="F53" i="4"/>
  <c r="D53" i="4"/>
  <c r="E126" i="6"/>
  <c r="E72" i="6"/>
  <c r="E214" i="7" s="1"/>
  <c r="E99" i="6"/>
  <c r="F110" i="6"/>
  <c r="F66" i="3"/>
  <c r="F56" i="6"/>
  <c r="F198" i="7" s="1"/>
  <c r="F83" i="6"/>
  <c r="V181" i="4"/>
  <c r="D66" i="5"/>
  <c r="D121" i="7" s="1"/>
  <c r="D120" i="5"/>
  <c r="D93" i="5"/>
  <c r="C74" i="5"/>
  <c r="C129" i="7" s="1"/>
  <c r="C128" i="5"/>
  <c r="C101" i="5"/>
  <c r="D121" i="6"/>
  <c r="D67" i="6"/>
  <c r="D209" i="7" s="1"/>
  <c r="D94" i="6"/>
  <c r="E143" i="4"/>
  <c r="E197" i="4"/>
  <c r="E7" i="3"/>
  <c r="E4" i="4"/>
  <c r="E119" i="6"/>
  <c r="E65" i="6"/>
  <c r="E207" i="7" s="1"/>
  <c r="E92" i="6"/>
  <c r="I112" i="6"/>
  <c r="I58" i="6"/>
  <c r="I200" i="7" s="1"/>
  <c r="I85" i="6"/>
  <c r="C199" i="4"/>
  <c r="U199" i="4"/>
  <c r="C127" i="5"/>
  <c r="C73" i="5"/>
  <c r="C128" i="7" s="1"/>
  <c r="C100" i="5"/>
  <c r="U128" i="6"/>
  <c r="U74" i="6"/>
  <c r="U216" i="7" s="1"/>
  <c r="U101" i="6"/>
  <c r="U121" i="6"/>
  <c r="U67" i="6"/>
  <c r="U209" i="7" s="1"/>
  <c r="U94" i="6"/>
  <c r="B8" i="4"/>
  <c r="B6" i="4" s="1"/>
  <c r="B28" i="4"/>
  <c r="E28" i="4"/>
  <c r="F28" i="4"/>
  <c r="D28" i="4"/>
  <c r="C28" i="4"/>
  <c r="U226" i="4" l="1"/>
  <c r="C226" i="4"/>
  <c r="C26" i="4"/>
  <c r="B197" i="4"/>
  <c r="B143" i="4"/>
  <c r="B7" i="3"/>
  <c r="B4" i="4"/>
  <c r="B226" i="4" s="1"/>
  <c r="F26" i="4"/>
  <c r="E26" i="4"/>
  <c r="B26" i="4"/>
  <c r="E141" i="4"/>
  <c r="E195" i="4"/>
  <c r="E222" i="4"/>
  <c r="E230" i="4"/>
  <c r="E223" i="4"/>
  <c r="E234" i="4"/>
  <c r="E232" i="4"/>
  <c r="E235" i="4"/>
  <c r="E236" i="4"/>
  <c r="E233" i="4"/>
  <c r="E231" i="4"/>
  <c r="E228" i="4"/>
  <c r="E227" i="4"/>
  <c r="E225" i="4"/>
  <c r="E226" i="4"/>
  <c r="C122" i="6"/>
  <c r="C68" i="6"/>
  <c r="C210" i="7" s="1"/>
  <c r="C95" i="6"/>
  <c r="D114" i="6"/>
  <c r="D60" i="6"/>
  <c r="D202" i="7" s="1"/>
  <c r="D87" i="6"/>
  <c r="D125" i="5"/>
  <c r="D71" i="5"/>
  <c r="D126" i="7" s="1"/>
  <c r="D98" i="5"/>
  <c r="U195" i="4"/>
  <c r="U222" i="4"/>
  <c r="U141" i="4"/>
  <c r="U223" i="4"/>
  <c r="U236" i="4"/>
  <c r="U232" i="4"/>
  <c r="U234" i="4"/>
  <c r="U228" i="4"/>
  <c r="U230" i="4"/>
  <c r="U227" i="4"/>
  <c r="U229" i="4"/>
  <c r="U235" i="4"/>
  <c r="U233" i="4"/>
  <c r="U225" i="4"/>
  <c r="C5" i="3"/>
  <c r="B46" i="4"/>
  <c r="E110" i="6"/>
  <c r="E66" i="3"/>
  <c r="E56" i="6"/>
  <c r="E198" i="7" s="1"/>
  <c r="E83" i="6"/>
  <c r="F46" i="4"/>
  <c r="C121" i="6"/>
  <c r="C67" i="6"/>
  <c r="C209" i="7" s="1"/>
  <c r="C94" i="6"/>
  <c r="V130" i="6"/>
  <c r="V157" i="6"/>
  <c r="V76" i="6"/>
  <c r="V103" i="6"/>
  <c r="E188" i="3"/>
  <c r="G118" i="5"/>
  <c r="G64" i="5"/>
  <c r="G119" i="7" s="1"/>
  <c r="G91" i="5"/>
  <c r="U5" i="3"/>
  <c r="U116" i="5"/>
  <c r="U62" i="5"/>
  <c r="U117" i="7" s="1"/>
  <c r="U36" i="3"/>
  <c r="U89" i="5"/>
  <c r="D126" i="6"/>
  <c r="D72" i="6"/>
  <c r="D214" i="7" s="1"/>
  <c r="D99" i="6"/>
  <c r="D119" i="6"/>
  <c r="D65" i="6"/>
  <c r="D207" i="7" s="1"/>
  <c r="D92" i="6"/>
  <c r="G112" i="6"/>
  <c r="G58" i="6"/>
  <c r="G200" i="7" s="1"/>
  <c r="G85" i="6"/>
  <c r="U114" i="6"/>
  <c r="U60" i="6"/>
  <c r="U202" i="7" s="1"/>
  <c r="U87" i="6"/>
  <c r="E224" i="4"/>
  <c r="F218" i="3"/>
  <c r="B116" i="6"/>
  <c r="B143" i="6"/>
  <c r="E46" i="4"/>
  <c r="E271" i="4" s="1"/>
  <c r="D110" i="6"/>
  <c r="D66" i="3"/>
  <c r="D56" i="6"/>
  <c r="D198" i="7" s="1"/>
  <c r="D83" i="6"/>
  <c r="V179" i="4"/>
  <c r="V40" i="4"/>
  <c r="D46" i="4"/>
  <c r="D26" i="4"/>
  <c r="B122" i="6"/>
  <c r="B68" i="6"/>
  <c r="B210" i="7" s="1"/>
  <c r="B95" i="6"/>
  <c r="D78" i="5"/>
  <c r="D133" i="7" s="1"/>
  <c r="D132" i="5"/>
  <c r="D105" i="5"/>
  <c r="C46" i="4"/>
  <c r="D143" i="4"/>
  <c r="D197" i="4"/>
  <c r="D7" i="3"/>
  <c r="D4" i="4"/>
  <c r="D224" i="4" s="1"/>
  <c r="E5" i="3"/>
  <c r="B199" i="4"/>
  <c r="C120" i="5"/>
  <c r="C66" i="5"/>
  <c r="C121" i="7" s="1"/>
  <c r="C93" i="5"/>
  <c r="U78" i="5"/>
  <c r="U133" i="7" s="1"/>
  <c r="U132" i="5"/>
  <c r="U105" i="5"/>
  <c r="U125" i="5"/>
  <c r="U71" i="5"/>
  <c r="U126" i="7" s="1"/>
  <c r="U98" i="5"/>
  <c r="D62" i="5"/>
  <c r="D117" i="7" s="1"/>
  <c r="D116" i="5"/>
  <c r="D36" i="3"/>
  <c r="D89" i="5"/>
  <c r="C231" i="4"/>
  <c r="C195" i="4"/>
  <c r="C222" i="4"/>
  <c r="C141" i="4"/>
  <c r="C223" i="4"/>
  <c r="C235" i="4"/>
  <c r="C232" i="4"/>
  <c r="C234" i="4"/>
  <c r="C233" i="4"/>
  <c r="C236" i="4"/>
  <c r="C228" i="4"/>
  <c r="C227" i="4"/>
  <c r="C225" i="4"/>
  <c r="V17" i="4"/>
  <c r="B264" i="4" l="1"/>
  <c r="B266" i="4"/>
  <c r="B267" i="4"/>
  <c r="B270" i="4"/>
  <c r="B268" i="4"/>
  <c r="B269" i="4"/>
  <c r="B265" i="4"/>
  <c r="B272" i="4"/>
  <c r="B30" i="4"/>
  <c r="B273" i="4"/>
  <c r="E4" i="3"/>
  <c r="E97" i="3"/>
  <c r="D264" i="4"/>
  <c r="D266" i="4"/>
  <c r="D267" i="4"/>
  <c r="D268" i="4"/>
  <c r="D269" i="4"/>
  <c r="D270" i="4"/>
  <c r="D265" i="4"/>
  <c r="D272" i="4"/>
  <c r="D30" i="4"/>
  <c r="D273" i="4"/>
  <c r="B271" i="4"/>
  <c r="D271" i="4"/>
  <c r="C114" i="6"/>
  <c r="C60" i="6"/>
  <c r="C202" i="7" s="1"/>
  <c r="C87" i="6"/>
  <c r="E265" i="4"/>
  <c r="E264" i="4"/>
  <c r="E266" i="4"/>
  <c r="E267" i="4"/>
  <c r="E269" i="4"/>
  <c r="E268" i="4"/>
  <c r="E270" i="4"/>
  <c r="E272" i="4"/>
  <c r="E30" i="4"/>
  <c r="E273" i="4"/>
  <c r="H64" i="5"/>
  <c r="H119" i="7" s="1"/>
  <c r="H118" i="5"/>
  <c r="H91" i="5"/>
  <c r="B231" i="4"/>
  <c r="B222" i="4"/>
  <c r="B141" i="4"/>
  <c r="B195" i="4"/>
  <c r="B223" i="4"/>
  <c r="B234" i="4"/>
  <c r="B236" i="4"/>
  <c r="B232" i="4"/>
  <c r="B235" i="4"/>
  <c r="B233" i="4"/>
  <c r="B228" i="4"/>
  <c r="B227" i="4"/>
  <c r="B225" i="4"/>
  <c r="C163" i="4"/>
  <c r="C20" i="3"/>
  <c r="C19" i="4"/>
  <c r="U110" i="6"/>
  <c r="U66" i="3"/>
  <c r="U56" i="6"/>
  <c r="U198" i="7" s="1"/>
  <c r="U83" i="6"/>
  <c r="D188" i="3"/>
  <c r="U4" i="3"/>
  <c r="B163" i="4"/>
  <c r="B20" i="3"/>
  <c r="B19" i="4"/>
  <c r="B244" i="4" s="1"/>
  <c r="B5" i="3"/>
  <c r="E218" i="3"/>
  <c r="B224" i="4"/>
  <c r="C271" i="4"/>
  <c r="C264" i="4"/>
  <c r="C266" i="4"/>
  <c r="C269" i="4"/>
  <c r="C268" i="4"/>
  <c r="C267" i="4"/>
  <c r="C270" i="4"/>
  <c r="C265" i="4"/>
  <c r="C272" i="4"/>
  <c r="C30" i="4"/>
  <c r="C273" i="4"/>
  <c r="E163" i="4"/>
  <c r="E20" i="3"/>
  <c r="E19" i="4"/>
  <c r="E244" i="4" s="1"/>
  <c r="C4" i="3"/>
  <c r="C97" i="3" s="1"/>
  <c r="F163" i="4"/>
  <c r="F20" i="3"/>
  <c r="F19" i="4"/>
  <c r="F244" i="4" s="1"/>
  <c r="U188" i="3"/>
  <c r="H112" i="6"/>
  <c r="H58" i="6"/>
  <c r="H200" i="7" s="1"/>
  <c r="H85" i="6"/>
  <c r="V208" i="4"/>
  <c r="D225" i="4"/>
  <c r="D222" i="4"/>
  <c r="D141" i="4"/>
  <c r="D195" i="4"/>
  <c r="D223" i="4"/>
  <c r="D235" i="4"/>
  <c r="D234" i="4"/>
  <c r="D232" i="4"/>
  <c r="D233" i="4"/>
  <c r="D236" i="4"/>
  <c r="D231" i="4"/>
  <c r="D228" i="4"/>
  <c r="D227" i="4"/>
  <c r="D226" i="4"/>
  <c r="D163" i="4"/>
  <c r="D20" i="3"/>
  <c r="D19" i="4"/>
  <c r="D218" i="3"/>
  <c r="F264" i="4"/>
  <c r="F266" i="4"/>
  <c r="F268" i="4"/>
  <c r="F269" i="4"/>
  <c r="F267" i="4"/>
  <c r="F270" i="4"/>
  <c r="F265" i="4"/>
  <c r="F30" i="4"/>
  <c r="F272" i="4"/>
  <c r="F273" i="4"/>
  <c r="D5" i="3"/>
  <c r="V177" i="4"/>
  <c r="F271" i="4"/>
  <c r="V15" i="4"/>
  <c r="B55" i="7"/>
  <c r="E118" i="5" l="1"/>
  <c r="E64" i="5"/>
  <c r="E119" i="7" s="1"/>
  <c r="E91" i="5"/>
  <c r="C132" i="5"/>
  <c r="C78" i="5"/>
  <c r="C133" i="7" s="1"/>
  <c r="C105" i="5"/>
  <c r="C241" i="4"/>
  <c r="C156" i="4"/>
  <c r="C237" i="4"/>
  <c r="C239" i="4"/>
  <c r="C242" i="4"/>
  <c r="C240" i="4"/>
  <c r="C243" i="4"/>
  <c r="C238" i="4"/>
  <c r="C245" i="4"/>
  <c r="C246" i="4"/>
  <c r="D243" i="4"/>
  <c r="D237" i="4"/>
  <c r="D156" i="4"/>
  <c r="D239" i="4"/>
  <c r="D242" i="4"/>
  <c r="D240" i="4"/>
  <c r="D241" i="4"/>
  <c r="D238" i="4"/>
  <c r="D245" i="4"/>
  <c r="D246" i="4"/>
  <c r="F64" i="5"/>
  <c r="F119" i="7" s="1"/>
  <c r="F118" i="5"/>
  <c r="F91" i="5"/>
  <c r="B4" i="3"/>
  <c r="B97" i="3" s="1"/>
  <c r="C18" i="3"/>
  <c r="E112" i="6"/>
  <c r="E58" i="6"/>
  <c r="E200" i="7" s="1"/>
  <c r="E85" i="6"/>
  <c r="F112" i="6"/>
  <c r="F58" i="6"/>
  <c r="F200" i="7" s="1"/>
  <c r="F85" i="6"/>
  <c r="V206" i="4"/>
  <c r="V13" i="4"/>
  <c r="C126" i="6"/>
  <c r="C72" i="6"/>
  <c r="C214" i="7" s="1"/>
  <c r="C99" i="6"/>
  <c r="U126" i="6"/>
  <c r="U72" i="6"/>
  <c r="U214" i="7" s="1"/>
  <c r="U99" i="6"/>
  <c r="D18" i="3"/>
  <c r="C244" i="4"/>
  <c r="E105" i="3"/>
  <c r="E101" i="3"/>
  <c r="E102" i="3"/>
  <c r="E96" i="3"/>
  <c r="E108" i="3"/>
  <c r="E104" i="3"/>
  <c r="E106" i="3"/>
  <c r="E107" i="3"/>
  <c r="E103" i="3"/>
  <c r="E98" i="3"/>
  <c r="E100" i="3"/>
  <c r="E99" i="3"/>
  <c r="V172" i="4"/>
  <c r="D4" i="3"/>
  <c r="D244" i="4"/>
  <c r="C116" i="5"/>
  <c r="C62" i="5"/>
  <c r="C117" i="7" s="1"/>
  <c r="C36" i="3"/>
  <c r="C89" i="5"/>
  <c r="C71" i="5"/>
  <c r="C126" i="7" s="1"/>
  <c r="C125" i="5"/>
  <c r="C98" i="5"/>
  <c r="U108" i="3"/>
  <c r="U107" i="3"/>
  <c r="U103" i="3"/>
  <c r="U106" i="3"/>
  <c r="U105" i="3"/>
  <c r="U104" i="3"/>
  <c r="U102" i="3"/>
  <c r="U101" i="3"/>
  <c r="U96" i="3"/>
  <c r="U98" i="3"/>
  <c r="U99" i="3"/>
  <c r="U100" i="3"/>
  <c r="C119" i="6"/>
  <c r="C65" i="6"/>
  <c r="C207" i="7" s="1"/>
  <c r="C92" i="6"/>
  <c r="F238" i="4"/>
  <c r="F237" i="4"/>
  <c r="F156" i="4"/>
  <c r="F239" i="4"/>
  <c r="F242" i="4"/>
  <c r="F240" i="4"/>
  <c r="F243" i="4"/>
  <c r="F241" i="4"/>
  <c r="F245" i="4"/>
  <c r="F246" i="4"/>
  <c r="C105" i="3"/>
  <c r="C96" i="3"/>
  <c r="C106" i="3"/>
  <c r="C107" i="3"/>
  <c r="C108" i="3"/>
  <c r="C102" i="3"/>
  <c r="C103" i="3"/>
  <c r="C104" i="3"/>
  <c r="C101" i="3"/>
  <c r="C98" i="3"/>
  <c r="C100" i="3"/>
  <c r="C99" i="3"/>
  <c r="E238" i="4"/>
  <c r="E156" i="4"/>
  <c r="E237" i="4"/>
  <c r="E239" i="4"/>
  <c r="E242" i="4"/>
  <c r="E240" i="4"/>
  <c r="E243" i="4"/>
  <c r="E241" i="4"/>
  <c r="E245" i="4"/>
  <c r="E246" i="4"/>
  <c r="B156" i="4"/>
  <c r="B237" i="4"/>
  <c r="B239" i="4"/>
  <c r="B240" i="4"/>
  <c r="B241" i="4"/>
  <c r="B238" i="4"/>
  <c r="B242" i="4"/>
  <c r="B243" i="4"/>
  <c r="B245" i="4"/>
  <c r="B246" i="4"/>
  <c r="U218" i="3"/>
  <c r="F18" i="3"/>
  <c r="E18" i="3"/>
  <c r="B18" i="3"/>
  <c r="U97" i="3"/>
  <c r="D105" i="3" l="1"/>
  <c r="D102" i="3"/>
  <c r="D106" i="3"/>
  <c r="D104" i="3"/>
  <c r="D107" i="3"/>
  <c r="D96" i="3"/>
  <c r="D108" i="3"/>
  <c r="D103" i="3"/>
  <c r="D101" i="3"/>
  <c r="D98" i="3"/>
  <c r="D100" i="3"/>
  <c r="D99" i="3"/>
  <c r="V80" i="5"/>
  <c r="V135" i="7" s="1"/>
  <c r="V134" i="5"/>
  <c r="V107" i="5"/>
  <c r="C17" i="3"/>
  <c r="C110" i="3" s="1"/>
  <c r="D112" i="6"/>
  <c r="D58" i="6"/>
  <c r="D200" i="7" s="1"/>
  <c r="D85" i="6"/>
  <c r="D64" i="5"/>
  <c r="D119" i="7" s="1"/>
  <c r="D118" i="5"/>
  <c r="D91" i="5"/>
  <c r="B28" i="7"/>
  <c r="B192" i="4"/>
  <c r="B219" i="4"/>
  <c r="C28" i="7"/>
  <c r="C192" i="4"/>
  <c r="C219" i="4"/>
  <c r="F28" i="7"/>
  <c r="F192" i="4"/>
  <c r="F219" i="4"/>
  <c r="B62" i="5"/>
  <c r="B117" i="7" s="1"/>
  <c r="B116" i="5"/>
  <c r="B36" i="3"/>
  <c r="B89" i="5"/>
  <c r="V127" i="5"/>
  <c r="V73" i="5"/>
  <c r="V128" i="7" s="1"/>
  <c r="V100" i="5"/>
  <c r="B126" i="6"/>
  <c r="B72" i="6"/>
  <c r="B214" i="7" s="1"/>
  <c r="B99" i="6"/>
  <c r="B132" i="5"/>
  <c r="B78" i="5"/>
  <c r="B133" i="7" s="1"/>
  <c r="B105" i="5"/>
  <c r="E17" i="3"/>
  <c r="B17" i="3"/>
  <c r="B110" i="3" s="1"/>
  <c r="F17" i="3"/>
  <c r="F110" i="3" s="1"/>
  <c r="C188" i="3"/>
  <c r="C110" i="6"/>
  <c r="C66" i="3"/>
  <c r="C56" i="6"/>
  <c r="C198" i="7" s="1"/>
  <c r="C83" i="6"/>
  <c r="D28" i="7"/>
  <c r="D192" i="4"/>
  <c r="D219" i="4"/>
  <c r="E28" i="7"/>
  <c r="E192" i="4"/>
  <c r="E219" i="4"/>
  <c r="V150" i="4"/>
  <c r="V204" i="4"/>
  <c r="V8" i="3"/>
  <c r="B105" i="3"/>
  <c r="B107" i="3"/>
  <c r="B108" i="3"/>
  <c r="B103" i="3"/>
  <c r="B102" i="3"/>
  <c r="B106" i="3"/>
  <c r="B104" i="3"/>
  <c r="B96" i="3"/>
  <c r="B101" i="3"/>
  <c r="B98" i="3"/>
  <c r="B100" i="3"/>
  <c r="B99" i="3"/>
  <c r="U135" i="5"/>
  <c r="U81" i="5"/>
  <c r="U136" i="7" s="1"/>
  <c r="U108" i="5"/>
  <c r="B125" i="5"/>
  <c r="B71" i="5"/>
  <c r="B126" i="7" s="1"/>
  <c r="B98" i="5"/>
  <c r="U119" i="6"/>
  <c r="U65" i="6"/>
  <c r="U207" i="7" s="1"/>
  <c r="U92" i="6"/>
  <c r="D97" i="3"/>
  <c r="D17" i="3"/>
  <c r="D110" i="3" s="1"/>
  <c r="E118" i="3" l="1"/>
  <c r="E117" i="3"/>
  <c r="E109" i="3"/>
  <c r="E114" i="3"/>
  <c r="E113" i="3"/>
  <c r="E120" i="3"/>
  <c r="E115" i="3"/>
  <c r="E116" i="3"/>
  <c r="E119" i="3"/>
  <c r="E111" i="3"/>
  <c r="E112" i="3"/>
  <c r="V121" i="6"/>
  <c r="V67" i="6"/>
  <c r="V209" i="7" s="1"/>
  <c r="V94" i="6"/>
  <c r="C218" i="3"/>
  <c r="B117" i="3"/>
  <c r="B119" i="3"/>
  <c r="B109" i="3"/>
  <c r="B114" i="3"/>
  <c r="B118" i="3"/>
  <c r="B115" i="3"/>
  <c r="B113" i="3"/>
  <c r="B120" i="3"/>
  <c r="B116" i="3"/>
  <c r="B111" i="3"/>
  <c r="B112" i="3"/>
  <c r="B188" i="3"/>
  <c r="D114" i="3"/>
  <c r="D115" i="3"/>
  <c r="D119" i="3"/>
  <c r="D118" i="3"/>
  <c r="D120" i="3"/>
  <c r="D116" i="3"/>
  <c r="D117" i="3"/>
  <c r="D109" i="3"/>
  <c r="D113" i="3"/>
  <c r="D111" i="3"/>
  <c r="D112" i="3"/>
  <c r="V128" i="6"/>
  <c r="V74" i="6"/>
  <c r="V216" i="7" s="1"/>
  <c r="V101" i="6"/>
  <c r="B110" i="6"/>
  <c r="B66" i="3"/>
  <c r="B56" i="6"/>
  <c r="B198" i="7" s="1"/>
  <c r="B83" i="6"/>
  <c r="B119" i="6"/>
  <c r="B65" i="6"/>
  <c r="B207" i="7" s="1"/>
  <c r="B92" i="6"/>
  <c r="C113" i="3"/>
  <c r="C117" i="3"/>
  <c r="C114" i="3"/>
  <c r="C109" i="3"/>
  <c r="C119" i="3"/>
  <c r="C115" i="3"/>
  <c r="C120" i="3"/>
  <c r="C118" i="3"/>
  <c r="C116" i="3"/>
  <c r="C111" i="3"/>
  <c r="C112" i="3"/>
  <c r="V120" i="5"/>
  <c r="V66" i="5"/>
  <c r="V121" i="7" s="1"/>
  <c r="F117" i="3"/>
  <c r="F116" i="3"/>
  <c r="F109" i="3"/>
  <c r="F113" i="3"/>
  <c r="F115" i="3"/>
  <c r="F119" i="3"/>
  <c r="F114" i="3"/>
  <c r="F120" i="3"/>
  <c r="F118" i="3"/>
  <c r="F111" i="3"/>
  <c r="F112" i="3"/>
  <c r="E110" i="3"/>
  <c r="U122" i="5"/>
  <c r="U68" i="5"/>
  <c r="U123" i="7" s="1"/>
  <c r="U95" i="5"/>
  <c r="U116" i="6" l="1"/>
  <c r="U62" i="6"/>
  <c r="U204" i="7" s="1"/>
  <c r="U89" i="6"/>
  <c r="U64" i="5"/>
  <c r="U119" i="7" s="1"/>
  <c r="U118" i="5"/>
  <c r="U91" i="5"/>
  <c r="C112" i="6"/>
  <c r="C58" i="6"/>
  <c r="C200" i="7" s="1"/>
  <c r="C85" i="6"/>
  <c r="V114" i="6"/>
  <c r="V60" i="6"/>
  <c r="V202" i="7" s="1"/>
  <c r="U129" i="6"/>
  <c r="U75" i="6"/>
  <c r="U217" i="7" s="1"/>
  <c r="U102" i="6"/>
  <c r="U112" i="6"/>
  <c r="U58" i="6"/>
  <c r="U200" i="7" s="1"/>
  <c r="U85" i="6"/>
  <c r="B218" i="3"/>
  <c r="C118" i="5"/>
  <c r="C64" i="5"/>
  <c r="C119" i="7" s="1"/>
  <c r="C91" i="5"/>
  <c r="C55" i="7" l="1"/>
  <c r="B79" i="5" l="1"/>
  <c r="B134" i="7" s="1"/>
  <c r="B133" i="5"/>
  <c r="B106" i="5"/>
  <c r="B43" i="5"/>
  <c r="B127" i="6"/>
  <c r="B73" i="6"/>
  <c r="B215" i="7" s="1"/>
  <c r="B100" i="6"/>
  <c r="B34" i="6"/>
  <c r="U67" i="5"/>
  <c r="U122" i="7" s="1"/>
  <c r="U121" i="5"/>
  <c r="U94" i="5"/>
  <c r="B112" i="6"/>
  <c r="B58" i="6"/>
  <c r="B200" i="7" s="1"/>
  <c r="B85" i="6"/>
  <c r="B118" i="5"/>
  <c r="B64" i="5"/>
  <c r="B119" i="7" s="1"/>
  <c r="B91" i="5"/>
  <c r="B72" i="5"/>
  <c r="B127" i="7" s="1"/>
  <c r="B126" i="5"/>
  <c r="B99" i="5"/>
  <c r="B33" i="5"/>
  <c r="B71" i="6" l="1"/>
  <c r="B213" i="7" s="1"/>
  <c r="B125" i="6"/>
  <c r="B79" i="3"/>
  <c r="B98" i="6"/>
  <c r="B77" i="5"/>
  <c r="B132" i="7" s="1"/>
  <c r="B131" i="5"/>
  <c r="B49" i="3"/>
  <c r="B104" i="5"/>
  <c r="U128" i="5"/>
  <c r="U74" i="5"/>
  <c r="U129" i="7" s="1"/>
  <c r="U101" i="5"/>
  <c r="B124" i="5"/>
  <c r="B70" i="5"/>
  <c r="B125" i="7" s="1"/>
  <c r="B38" i="3"/>
  <c r="B97" i="5"/>
  <c r="U115" i="6"/>
  <c r="U61" i="6"/>
  <c r="U203" i="7" s="1"/>
  <c r="U88" i="6"/>
  <c r="B201" i="3" l="1"/>
  <c r="B65" i="5"/>
  <c r="B120" i="7" s="1"/>
  <c r="B119" i="5"/>
  <c r="B92" i="5"/>
  <c r="B21" i="5"/>
  <c r="B113" i="6"/>
  <c r="B59" i="6"/>
  <c r="B201" i="7" s="1"/>
  <c r="B86" i="6"/>
  <c r="B20" i="6"/>
  <c r="B190" i="3"/>
  <c r="U122" i="6"/>
  <c r="U68" i="6"/>
  <c r="U210" i="7" s="1"/>
  <c r="U95" i="6"/>
  <c r="V188" i="4"/>
  <c r="V47" i="4"/>
  <c r="B139" i="5"/>
  <c r="B85" i="5"/>
  <c r="B140" i="7" s="1"/>
  <c r="B112" i="5"/>
  <c r="B120" i="6"/>
  <c r="B66" i="6"/>
  <c r="B208" i="7" s="1"/>
  <c r="B93" i="6"/>
  <c r="B27" i="6"/>
  <c r="B231" i="3"/>
  <c r="V10" i="4"/>
  <c r="V184" i="4" l="1"/>
  <c r="V46" i="4"/>
  <c r="V265" i="4"/>
  <c r="B63" i="5"/>
  <c r="B118" i="7" s="1"/>
  <c r="B117" i="5"/>
  <c r="B37" i="3"/>
  <c r="B90" i="5"/>
  <c r="B18" i="5"/>
  <c r="V201" i="4"/>
  <c r="B18" i="6"/>
  <c r="B111" i="6"/>
  <c r="B67" i="3"/>
  <c r="B57" i="6"/>
  <c r="B199" i="7" s="1"/>
  <c r="B84" i="6"/>
  <c r="B118" i="6"/>
  <c r="B68" i="3"/>
  <c r="B64" i="6"/>
  <c r="B206" i="7" s="1"/>
  <c r="B91" i="6"/>
  <c r="W75" i="5"/>
  <c r="W130" i="7" s="1"/>
  <c r="W129" i="5"/>
  <c r="V24" i="4"/>
  <c r="V176" i="4" l="1"/>
  <c r="V215" i="4"/>
  <c r="V20" i="4"/>
  <c r="B61" i="5"/>
  <c r="B88" i="5"/>
  <c r="V264" i="4"/>
  <c r="V272" i="4"/>
  <c r="V273" i="4"/>
  <c r="V271" i="4"/>
  <c r="V266" i="4"/>
  <c r="V270" i="4"/>
  <c r="V268" i="4"/>
  <c r="V267" i="4"/>
  <c r="V269" i="4"/>
  <c r="B220" i="3"/>
  <c r="B55" i="6"/>
  <c r="B82" i="6"/>
  <c r="B219" i="3"/>
  <c r="B65" i="3"/>
  <c r="B189" i="3"/>
  <c r="B35" i="3"/>
  <c r="W123" i="6"/>
  <c r="W150" i="6"/>
  <c r="W69" i="6"/>
  <c r="V175" i="4" l="1"/>
  <c r="B187" i="3"/>
  <c r="B34" i="3"/>
  <c r="B127" i="3" s="1"/>
  <c r="B64" i="3"/>
  <c r="B217" i="3"/>
  <c r="B133" i="6"/>
  <c r="B79" i="6"/>
  <c r="B221" i="7" s="1"/>
  <c r="B106" i="6"/>
  <c r="V211" i="4"/>
  <c r="V157" i="4"/>
  <c r="V19" i="4"/>
  <c r="V238" i="4" s="1"/>
  <c r="V19" i="3"/>
  <c r="D55" i="7"/>
  <c r="B157" i="3" l="1"/>
  <c r="V33" i="4"/>
  <c r="V171" i="4"/>
  <c r="B168" i="3"/>
  <c r="B163" i="3"/>
  <c r="B161" i="3"/>
  <c r="B166" i="3"/>
  <c r="B165" i="3"/>
  <c r="B156" i="3"/>
  <c r="B167" i="3"/>
  <c r="B216" i="3"/>
  <c r="B158" i="3"/>
  <c r="B160" i="3"/>
  <c r="B159" i="3"/>
  <c r="V18" i="3"/>
  <c r="B137" i="3"/>
  <c r="B138" i="3"/>
  <c r="B135" i="3"/>
  <c r="B126" i="3"/>
  <c r="B132" i="3"/>
  <c r="B133" i="3"/>
  <c r="B131" i="3"/>
  <c r="B134" i="3"/>
  <c r="B136" i="3"/>
  <c r="B186" i="3"/>
  <c r="B128" i="3"/>
  <c r="B130" i="3"/>
  <c r="B129" i="3"/>
  <c r="V237" i="4"/>
  <c r="V156" i="4"/>
  <c r="V245" i="4"/>
  <c r="V246" i="4"/>
  <c r="V244" i="4"/>
  <c r="V243" i="4"/>
  <c r="V239" i="4"/>
  <c r="V241" i="4"/>
  <c r="V240" i="4"/>
  <c r="V242" i="4"/>
  <c r="V135" i="5"/>
  <c r="V81" i="5"/>
  <c r="V136" i="7" s="1"/>
  <c r="V108" i="5"/>
  <c r="W185" i="4" l="1"/>
  <c r="W189" i="4"/>
  <c r="W187" i="4"/>
  <c r="V17" i="3"/>
  <c r="V110" i="3"/>
  <c r="V121" i="5"/>
  <c r="V67" i="5"/>
  <c r="V122" i="7" s="1"/>
  <c r="V94" i="5"/>
  <c r="B52" i="5"/>
  <c r="B84" i="5"/>
  <c r="B111" i="5"/>
  <c r="B40" i="6"/>
  <c r="B78" i="6"/>
  <c r="B105" i="6"/>
  <c r="V129" i="6"/>
  <c r="V75" i="6"/>
  <c r="V217" i="7" s="1"/>
  <c r="V102" i="6"/>
  <c r="W178" i="4"/>
  <c r="W180" i="4"/>
  <c r="V170" i="4"/>
  <c r="V31" i="4"/>
  <c r="B83" i="5" l="1"/>
  <c r="B50" i="3"/>
  <c r="B110" i="5"/>
  <c r="B42" i="5"/>
  <c r="V260" i="4"/>
  <c r="V30" i="4"/>
  <c r="V249" i="4"/>
  <c r="V168" i="4"/>
  <c r="V250" i="4"/>
  <c r="V263" i="4"/>
  <c r="V261" i="4"/>
  <c r="V255" i="4"/>
  <c r="V259" i="4"/>
  <c r="V254" i="4"/>
  <c r="V262" i="4"/>
  <c r="V258" i="4"/>
  <c r="V253" i="4"/>
  <c r="V257" i="4"/>
  <c r="V256" i="4"/>
  <c r="V252" i="4"/>
  <c r="V74" i="5"/>
  <c r="V129" i="7" s="1"/>
  <c r="V128" i="5"/>
  <c r="V101" i="5"/>
  <c r="V117" i="3"/>
  <c r="V119" i="3"/>
  <c r="V115" i="3"/>
  <c r="V120" i="3"/>
  <c r="V118" i="3"/>
  <c r="V109" i="3"/>
  <c r="V114" i="3"/>
  <c r="V116" i="3"/>
  <c r="V113" i="3"/>
  <c r="V112" i="3"/>
  <c r="V111" i="3"/>
  <c r="V115" i="6"/>
  <c r="V61" i="6"/>
  <c r="V203" i="7" s="1"/>
  <c r="V88" i="6"/>
  <c r="V251" i="4"/>
  <c r="B80" i="3"/>
  <c r="B77" i="6"/>
  <c r="B104" i="6"/>
  <c r="B33" i="6"/>
  <c r="W186" i="4"/>
  <c r="W25" i="4"/>
  <c r="W14" i="4"/>
  <c r="W23" i="4"/>
  <c r="W21" i="4"/>
  <c r="W214" i="4" l="1"/>
  <c r="W205" i="4"/>
  <c r="W216" i="4"/>
  <c r="B76" i="5"/>
  <c r="B103" i="5"/>
  <c r="B17" i="5"/>
  <c r="B232" i="3"/>
  <c r="B78" i="3"/>
  <c r="W212" i="4"/>
  <c r="B17" i="6"/>
  <c r="B151" i="6" s="1"/>
  <c r="B70" i="6"/>
  <c r="B97" i="6"/>
  <c r="V122" i="6"/>
  <c r="V68" i="6"/>
  <c r="V210" i="7" s="1"/>
  <c r="V95" i="6"/>
  <c r="B202" i="3"/>
  <c r="B48" i="3"/>
  <c r="W22" i="4"/>
  <c r="W18" i="4"/>
  <c r="V11" i="4"/>
  <c r="V12" i="4"/>
  <c r="V9" i="4"/>
  <c r="V96" i="5" l="1"/>
  <c r="V203" i="4"/>
  <c r="B144" i="5"/>
  <c r="B141" i="5"/>
  <c r="B60" i="5"/>
  <c r="B154" i="5"/>
  <c r="B156" i="5"/>
  <c r="B161" i="5"/>
  <c r="B162" i="5"/>
  <c r="B163" i="5"/>
  <c r="B147" i="5"/>
  <c r="B148" i="5"/>
  <c r="B155" i="5"/>
  <c r="B152" i="5"/>
  <c r="B159" i="5"/>
  <c r="B143" i="5"/>
  <c r="B153" i="5"/>
  <c r="B160" i="5"/>
  <c r="B145" i="5"/>
  <c r="B151" i="5"/>
  <c r="B158" i="5"/>
  <c r="B146" i="5"/>
  <c r="B166" i="5"/>
  <c r="B142" i="5"/>
  <c r="B165" i="5"/>
  <c r="B164" i="5"/>
  <c r="V202" i="4"/>
  <c r="W213" i="4"/>
  <c r="V87" i="6"/>
  <c r="V200" i="4"/>
  <c r="V93" i="5"/>
  <c r="W96" i="6"/>
  <c r="W209" i="4"/>
  <c r="W102" i="5"/>
  <c r="B157" i="5"/>
  <c r="B200" i="3"/>
  <c r="B47" i="3"/>
  <c r="B140" i="3" s="1"/>
  <c r="B135" i="6"/>
  <c r="B148" i="6"/>
  <c r="B156" i="6"/>
  <c r="B155" i="6"/>
  <c r="B141" i="6"/>
  <c r="B142" i="6"/>
  <c r="B149" i="6"/>
  <c r="B54" i="6"/>
  <c r="B153" i="6"/>
  <c r="B137" i="6"/>
  <c r="B146" i="6"/>
  <c r="B154" i="6"/>
  <c r="B139" i="6"/>
  <c r="B152" i="6"/>
  <c r="B140" i="6"/>
  <c r="B147" i="6"/>
  <c r="B145" i="6"/>
  <c r="B138" i="6"/>
  <c r="B136" i="6"/>
  <c r="B160" i="6"/>
  <c r="B159" i="6"/>
  <c r="B158" i="6"/>
  <c r="B77" i="3"/>
  <c r="B230" i="3"/>
  <c r="W16" i="4"/>
  <c r="V4" i="5"/>
  <c r="V47" i="6" s="1"/>
  <c r="V7" i="4"/>
  <c r="B169" i="3" l="1"/>
  <c r="B175" i="3"/>
  <c r="B173" i="3"/>
  <c r="B176" i="3"/>
  <c r="B177" i="3"/>
  <c r="B174" i="3"/>
  <c r="B180" i="3"/>
  <c r="B179" i="3"/>
  <c r="B178" i="3"/>
  <c r="B229" i="3"/>
  <c r="B171" i="3"/>
  <c r="B172" i="3"/>
  <c r="B144" i="3"/>
  <c r="B149" i="3"/>
  <c r="B143" i="3"/>
  <c r="B199" i="3"/>
  <c r="B150" i="3"/>
  <c r="B148" i="3"/>
  <c r="B139" i="3"/>
  <c r="B145" i="3"/>
  <c r="B147" i="3"/>
  <c r="B146" i="3"/>
  <c r="B141" i="3"/>
  <c r="B142" i="3"/>
  <c r="V198" i="4"/>
  <c r="W207" i="4"/>
  <c r="V123" i="5"/>
  <c r="V69" i="5"/>
  <c r="V124" i="7" s="1"/>
  <c r="B170" i="3"/>
  <c r="V8" i="4"/>
  <c r="V6" i="4" s="1"/>
  <c r="V143" i="4" l="1"/>
  <c r="V197" i="4"/>
  <c r="V7" i="3"/>
  <c r="V4" i="4"/>
  <c r="V199" i="4"/>
  <c r="V117" i="6"/>
  <c r="V144" i="6"/>
  <c r="V63" i="6"/>
  <c r="V90" i="6"/>
  <c r="W136" i="5"/>
  <c r="W82" i="5"/>
  <c r="W137" i="7" s="1"/>
  <c r="W109" i="5"/>
  <c r="V231" i="4" l="1"/>
  <c r="V141" i="4"/>
  <c r="V195" i="4"/>
  <c r="V222" i="4"/>
  <c r="V223" i="4"/>
  <c r="V232" i="4"/>
  <c r="V236" i="4"/>
  <c r="V234" i="4"/>
  <c r="V235" i="4"/>
  <c r="V233" i="4"/>
  <c r="V228" i="4"/>
  <c r="V229" i="4"/>
  <c r="V227" i="4"/>
  <c r="V230" i="4"/>
  <c r="V225" i="4"/>
  <c r="V5" i="3"/>
  <c r="V226" i="4"/>
  <c r="V224" i="4"/>
  <c r="W157" i="6"/>
  <c r="W130" i="6"/>
  <c r="W76" i="6"/>
  <c r="W103" i="6"/>
  <c r="E55" i="7"/>
  <c r="V119" i="6" l="1"/>
  <c r="V65" i="6"/>
  <c r="V207" i="7" s="1"/>
  <c r="V92" i="6"/>
  <c r="V110" i="6"/>
  <c r="V66" i="3"/>
  <c r="V56" i="6"/>
  <c r="V198" i="7" s="1"/>
  <c r="V83" i="6"/>
  <c r="V125" i="5"/>
  <c r="V71" i="5"/>
  <c r="V126" i="7" s="1"/>
  <c r="V98" i="5"/>
  <c r="V4" i="3"/>
  <c r="V97" i="3" s="1"/>
  <c r="V78" i="5"/>
  <c r="V133" i="7" s="1"/>
  <c r="V132" i="5"/>
  <c r="V105" i="5"/>
  <c r="V126" i="6"/>
  <c r="V72" i="6"/>
  <c r="V214" i="7" s="1"/>
  <c r="V99" i="6"/>
  <c r="V62" i="5"/>
  <c r="V117" i="7" s="1"/>
  <c r="V116" i="5"/>
  <c r="V36" i="3"/>
  <c r="V89" i="5"/>
  <c r="V102" i="3" l="1"/>
  <c r="V105" i="3"/>
  <c r="V106" i="3"/>
  <c r="V108" i="3"/>
  <c r="V104" i="3"/>
  <c r="V107" i="3"/>
  <c r="V96" i="3"/>
  <c r="V103" i="3"/>
  <c r="V101" i="3"/>
  <c r="V98" i="3"/>
  <c r="V100" i="3"/>
  <c r="V99" i="3"/>
  <c r="V188" i="3"/>
  <c r="V218" i="3"/>
  <c r="V122" i="5" l="1"/>
  <c r="V68" i="5"/>
  <c r="V123" i="7" s="1"/>
  <c r="V95" i="5"/>
  <c r="V116" i="6" l="1"/>
  <c r="V62" i="6"/>
  <c r="V204" i="7" s="1"/>
  <c r="V89" i="6"/>
  <c r="V112" i="6" l="1"/>
  <c r="V58" i="6"/>
  <c r="V200" i="7" s="1"/>
  <c r="V85" i="6"/>
  <c r="W173" i="4"/>
  <c r="V118" i="5"/>
  <c r="V64" i="5"/>
  <c r="V119" i="7" s="1"/>
  <c r="V91" i="5"/>
  <c r="W172" i="4"/>
  <c r="W174" i="4"/>
  <c r="F55" i="7" l="1"/>
  <c r="W181" i="4" l="1"/>
  <c r="W179" i="4" l="1"/>
  <c r="W40" i="4"/>
  <c r="W17" i="4"/>
  <c r="W208" i="4" l="1"/>
  <c r="W177" i="4"/>
  <c r="W10" i="4"/>
  <c r="W15" i="4"/>
  <c r="W206" i="4" l="1"/>
  <c r="W13" i="4"/>
  <c r="W201" i="4"/>
  <c r="W73" i="5"/>
  <c r="W128" i="7" s="1"/>
  <c r="W127" i="5"/>
  <c r="W100" i="5"/>
  <c r="W80" i="5"/>
  <c r="W135" i="7" s="1"/>
  <c r="W134" i="5"/>
  <c r="W107" i="5"/>
  <c r="W120" i="5" l="1"/>
  <c r="W66" i="5"/>
  <c r="W121" i="7" s="1"/>
  <c r="W204" i="4"/>
  <c r="W150" i="4"/>
  <c r="W8" i="3"/>
  <c r="W121" i="6"/>
  <c r="W67" i="6"/>
  <c r="W209" i="7" s="1"/>
  <c r="W94" i="6"/>
  <c r="W128" i="6"/>
  <c r="W74" i="6"/>
  <c r="W216" i="7" s="1"/>
  <c r="W101" i="6"/>
  <c r="W114" i="6" l="1"/>
  <c r="W60" i="6"/>
  <c r="W202" i="7" s="1"/>
  <c r="W188" i="4"/>
  <c r="W47" i="4"/>
  <c r="W184" i="4" l="1"/>
  <c r="W46" i="4"/>
  <c r="W265" i="4" s="1"/>
  <c r="W24" i="4"/>
  <c r="W215" i="4" l="1"/>
  <c r="W20" i="4"/>
  <c r="W264" i="4"/>
  <c r="W272" i="4"/>
  <c r="W273" i="4"/>
  <c r="W271" i="4"/>
  <c r="W266" i="4"/>
  <c r="W268" i="4"/>
  <c r="W270" i="4"/>
  <c r="W267" i="4"/>
  <c r="W269" i="4"/>
  <c r="W176" i="4"/>
  <c r="W19" i="4" l="1"/>
  <c r="W211" i="4"/>
  <c r="W157" i="4"/>
  <c r="W19" i="3"/>
  <c r="C107" i="4"/>
  <c r="C100" i="4" s="1"/>
  <c r="C84" i="4" s="1"/>
  <c r="D54" i="7"/>
  <c r="D134" i="4"/>
  <c r="W175" i="4"/>
  <c r="D107" i="4"/>
  <c r="D100" i="4" s="1"/>
  <c r="D84" i="4" s="1"/>
  <c r="X129" i="5"/>
  <c r="X75" i="5"/>
  <c r="X130" i="7" s="1"/>
  <c r="G55" i="7"/>
  <c r="W33" i="4" l="1"/>
  <c r="W171" i="4"/>
  <c r="C80" i="4"/>
  <c r="C27" i="7"/>
  <c r="C191" i="4"/>
  <c r="C218" i="4"/>
  <c r="W18" i="3"/>
  <c r="C54" i="7"/>
  <c r="C134" i="4"/>
  <c r="B134" i="4"/>
  <c r="B54" i="7"/>
  <c r="B107" i="4"/>
  <c r="B100" i="4" s="1"/>
  <c r="B84" i="4" s="1"/>
  <c r="X69" i="6"/>
  <c r="X123" i="6"/>
  <c r="X150" i="6"/>
  <c r="D53" i="7"/>
  <c r="D127" i="4"/>
  <c r="D80" i="4"/>
  <c r="D27" i="7"/>
  <c r="D191" i="4"/>
  <c r="D218" i="4"/>
  <c r="W238" i="4"/>
  <c r="W237" i="4"/>
  <c r="W156" i="4"/>
  <c r="W245" i="4"/>
  <c r="W246" i="4"/>
  <c r="W244" i="4"/>
  <c r="W239" i="4"/>
  <c r="W241" i="4"/>
  <c r="W243" i="4"/>
  <c r="W240" i="4"/>
  <c r="W242" i="4"/>
  <c r="C26" i="7" l="1"/>
  <c r="C73" i="4"/>
  <c r="C190" i="4"/>
  <c r="C217" i="4"/>
  <c r="B27" i="7"/>
  <c r="B80" i="4"/>
  <c r="B191" i="4"/>
  <c r="B218" i="4"/>
  <c r="B132" i="6"/>
  <c r="B138" i="5"/>
  <c r="D26" i="7"/>
  <c r="D73" i="4"/>
  <c r="D190" i="4"/>
  <c r="D217" i="4"/>
  <c r="D46" i="7"/>
  <c r="D111" i="4"/>
  <c r="D30" i="7" s="1"/>
  <c r="B53" i="7"/>
  <c r="B127" i="4"/>
  <c r="C53" i="7"/>
  <c r="C127" i="4"/>
  <c r="W170" i="4"/>
  <c r="W31" i="4"/>
  <c r="W251" i="4" s="1"/>
  <c r="W17" i="3"/>
  <c r="W110" i="3" s="1"/>
  <c r="W81" i="5"/>
  <c r="W136" i="7" s="1"/>
  <c r="W135" i="5"/>
  <c r="W108" i="5"/>
  <c r="W30" i="4" l="1"/>
  <c r="W249" i="4"/>
  <c r="W168" i="4"/>
  <c r="W250" i="4"/>
  <c r="W263" i="4"/>
  <c r="W259" i="4"/>
  <c r="W261" i="4"/>
  <c r="W254" i="4"/>
  <c r="W255" i="4"/>
  <c r="W253" i="4"/>
  <c r="W262" i="4"/>
  <c r="W260" i="4"/>
  <c r="W258" i="4"/>
  <c r="W257" i="4"/>
  <c r="W256" i="4"/>
  <c r="W252" i="4"/>
  <c r="C46" i="7"/>
  <c r="C111" i="4"/>
  <c r="C30" i="7" s="1"/>
  <c r="W109" i="3"/>
  <c r="W113" i="3"/>
  <c r="W118" i="3"/>
  <c r="W116" i="3"/>
  <c r="W114" i="3"/>
  <c r="W119" i="3"/>
  <c r="W117" i="3"/>
  <c r="W115" i="3"/>
  <c r="W120" i="3"/>
  <c r="W112" i="3"/>
  <c r="W111" i="3"/>
  <c r="W129" i="6"/>
  <c r="W75" i="6"/>
  <c r="W217" i="7" s="1"/>
  <c r="W102" i="6"/>
  <c r="D19" i="7"/>
  <c r="D57" i="4"/>
  <c r="D183" i="4"/>
  <c r="D210" i="4"/>
  <c r="C19" i="7"/>
  <c r="C57" i="4"/>
  <c r="C183" i="4"/>
  <c r="C210" i="4"/>
  <c r="B46" i="7"/>
  <c r="B111" i="4"/>
  <c r="B30" i="7" s="1"/>
  <c r="B26" i="7"/>
  <c r="B73" i="4"/>
  <c r="B190" i="4"/>
  <c r="B217" i="4"/>
  <c r="B137" i="5"/>
  <c r="B131" i="6"/>
  <c r="X180" i="4" l="1"/>
  <c r="B19" i="7"/>
  <c r="B57" i="4"/>
  <c r="B183" i="4"/>
  <c r="B210" i="4"/>
  <c r="D3" i="7"/>
  <c r="D167" i="4"/>
  <c r="W67" i="5"/>
  <c r="W122" i="7" s="1"/>
  <c r="W121" i="5"/>
  <c r="W94" i="5"/>
  <c r="E107" i="4"/>
  <c r="E100" i="4" s="1"/>
  <c r="E84" i="4" s="1"/>
  <c r="E54" i="7"/>
  <c r="E134" i="4"/>
  <c r="C3" i="7"/>
  <c r="C167" i="4"/>
  <c r="W9" i="4"/>
  <c r="W11" i="4"/>
  <c r="W12" i="4"/>
  <c r="B3" i="7" l="1"/>
  <c r="B167" i="4"/>
  <c r="W96" i="5"/>
  <c r="W203" i="4"/>
  <c r="W128" i="5"/>
  <c r="W74" i="5"/>
  <c r="W129" i="7" s="1"/>
  <c r="W101" i="5"/>
  <c r="W202" i="4"/>
  <c r="W87" i="6"/>
  <c r="W200" i="4"/>
  <c r="W93" i="5"/>
  <c r="E53" i="7"/>
  <c r="E127" i="4"/>
  <c r="W115" i="6"/>
  <c r="W61" i="6"/>
  <c r="W203" i="7" s="1"/>
  <c r="W88" i="6"/>
  <c r="E27" i="7"/>
  <c r="E80" i="4"/>
  <c r="E191" i="4"/>
  <c r="E218" i="4"/>
  <c r="W7" i="4"/>
  <c r="W4" i="5" l="1"/>
  <c r="W47" i="6" s="1"/>
  <c r="W123" i="5"/>
  <c r="W69" i="5"/>
  <c r="W124" i="7" s="1"/>
  <c r="W198" i="4"/>
  <c r="W122" i="6"/>
  <c r="W68" i="6"/>
  <c r="W210" i="7" s="1"/>
  <c r="W95" i="6"/>
  <c r="E26" i="7"/>
  <c r="E73" i="4"/>
  <c r="E190" i="4"/>
  <c r="E217" i="4"/>
  <c r="E46" i="7"/>
  <c r="E111" i="4"/>
  <c r="E30" i="7" s="1"/>
  <c r="F54" i="7"/>
  <c r="F134" i="4"/>
  <c r="F107" i="4"/>
  <c r="F100" i="4" s="1"/>
  <c r="F84" i="4" s="1"/>
  <c r="B139" i="7"/>
  <c r="B220" i="7"/>
  <c r="W8" i="4"/>
  <c r="W117" i="6" l="1"/>
  <c r="W144" i="6"/>
  <c r="W63" i="6"/>
  <c r="W90" i="6"/>
  <c r="W199" i="4"/>
  <c r="F80" i="4"/>
  <c r="F27" i="7"/>
  <c r="F191" i="4"/>
  <c r="F218" i="4"/>
  <c r="E19" i="7"/>
  <c r="E57" i="4"/>
  <c r="E183" i="4"/>
  <c r="E210" i="4"/>
  <c r="W6" i="4"/>
  <c r="F53" i="7"/>
  <c r="F127" i="4"/>
  <c r="B138" i="7"/>
  <c r="B219" i="7"/>
  <c r="E3" i="7" l="1"/>
  <c r="E167" i="4"/>
  <c r="F46" i="7"/>
  <c r="F111" i="4"/>
  <c r="F30" i="7" s="1"/>
  <c r="W197" i="4"/>
  <c r="W7" i="3"/>
  <c r="W143" i="4"/>
  <c r="W4" i="4"/>
  <c r="F26" i="7"/>
  <c r="F73" i="4"/>
  <c r="F190" i="4"/>
  <c r="F217" i="4"/>
  <c r="W119" i="6" l="1"/>
  <c r="W65" i="6"/>
  <c r="W207" i="7" s="1"/>
  <c r="W92" i="6"/>
  <c r="G107" i="4"/>
  <c r="G100" i="4" s="1"/>
  <c r="G84" i="4" s="1"/>
  <c r="W5" i="3"/>
  <c r="W126" i="6"/>
  <c r="W72" i="6"/>
  <c r="W214" i="7" s="1"/>
  <c r="W99" i="6"/>
  <c r="F19" i="7"/>
  <c r="F57" i="4"/>
  <c r="F183" i="4"/>
  <c r="F210" i="4"/>
  <c r="G54" i="7"/>
  <c r="G134" i="4"/>
  <c r="W125" i="5"/>
  <c r="W71" i="5"/>
  <c r="W126" i="7" s="1"/>
  <c r="W98" i="5"/>
  <c r="W224" i="4"/>
  <c r="W222" i="4"/>
  <c r="W195" i="4"/>
  <c r="W141" i="4"/>
  <c r="W223" i="4"/>
  <c r="W232" i="4"/>
  <c r="W236" i="4"/>
  <c r="W234" i="4"/>
  <c r="W235" i="4"/>
  <c r="W228" i="4"/>
  <c r="W233" i="4"/>
  <c r="W231" i="4"/>
  <c r="W230" i="4"/>
  <c r="W229" i="4"/>
  <c r="W227" i="4"/>
  <c r="W225" i="4"/>
  <c r="W226" i="4"/>
  <c r="W36" i="3"/>
  <c r="W116" i="5"/>
  <c r="W62" i="5"/>
  <c r="W117" i="7" s="1"/>
  <c r="W89" i="5"/>
  <c r="W132" i="5"/>
  <c r="W78" i="5"/>
  <c r="W133" i="7" s="1"/>
  <c r="W105" i="5"/>
  <c r="G53" i="7" l="1"/>
  <c r="G127" i="4"/>
  <c r="W188" i="3"/>
  <c r="W4" i="3"/>
  <c r="W97" i="3" s="1"/>
  <c r="W110" i="6"/>
  <c r="W66" i="3"/>
  <c r="W56" i="6"/>
  <c r="W198" i="7" s="1"/>
  <c r="W83" i="6"/>
  <c r="G27" i="7"/>
  <c r="G80" i="4"/>
  <c r="G191" i="4"/>
  <c r="G218" i="4"/>
  <c r="F3" i="7"/>
  <c r="F167" i="4"/>
  <c r="H55" i="7"/>
  <c r="W218" i="3" l="1"/>
  <c r="W122" i="5"/>
  <c r="W68" i="5"/>
  <c r="W123" i="7" s="1"/>
  <c r="W95" i="5"/>
  <c r="G46" i="7"/>
  <c r="G111" i="4"/>
  <c r="G30" i="7" s="1"/>
  <c r="G26" i="7"/>
  <c r="G73" i="4"/>
  <c r="G190" i="4"/>
  <c r="G217" i="4"/>
  <c r="W107" i="3"/>
  <c r="W102" i="3"/>
  <c r="W103" i="3"/>
  <c r="W105" i="3"/>
  <c r="W104" i="3"/>
  <c r="W108" i="3"/>
  <c r="W101" i="3"/>
  <c r="W106" i="3"/>
  <c r="W96" i="3"/>
  <c r="W98" i="3"/>
  <c r="W100" i="3"/>
  <c r="W99" i="3"/>
  <c r="H107" i="4" l="1"/>
  <c r="H100" i="4" s="1"/>
  <c r="H84" i="4" s="1"/>
  <c r="H134" i="4"/>
  <c r="H54" i="7"/>
  <c r="W112" i="6"/>
  <c r="W58" i="6"/>
  <c r="W200" i="7" s="1"/>
  <c r="W85" i="6"/>
  <c r="G19" i="7"/>
  <c r="G57" i="4"/>
  <c r="G183" i="4"/>
  <c r="G210" i="4"/>
  <c r="W116" i="6"/>
  <c r="W62" i="6"/>
  <c r="W204" i="7" s="1"/>
  <c r="W89" i="6"/>
  <c r="W64" i="5"/>
  <c r="W119" i="7" s="1"/>
  <c r="W118" i="5"/>
  <c r="W91" i="5"/>
  <c r="G3" i="7" l="1"/>
  <c r="G167" i="4"/>
  <c r="H27" i="7"/>
  <c r="H80" i="4"/>
  <c r="H191" i="4"/>
  <c r="H218" i="4"/>
  <c r="H53" i="7"/>
  <c r="H127" i="4"/>
  <c r="H26" i="7" l="1"/>
  <c r="H73" i="4"/>
  <c r="H190" i="4"/>
  <c r="H217" i="4"/>
  <c r="H46" i="7"/>
  <c r="H111" i="4"/>
  <c r="H30" i="7" s="1"/>
  <c r="H19" i="7" l="1"/>
  <c r="H57" i="4"/>
  <c r="H183" i="4"/>
  <c r="H210" i="4"/>
  <c r="I54" i="7"/>
  <c r="I107" i="4"/>
  <c r="I100" i="4" s="1"/>
  <c r="I84" i="4" s="1"/>
  <c r="C62" i="7"/>
  <c r="B62" i="7"/>
  <c r="X178" i="4"/>
  <c r="I27" i="7" l="1"/>
  <c r="I80" i="4"/>
  <c r="I191" i="4"/>
  <c r="I218" i="4"/>
  <c r="H3" i="7"/>
  <c r="H167" i="4"/>
  <c r="X14" i="4"/>
  <c r="C127" i="6" l="1"/>
  <c r="C73" i="6"/>
  <c r="C215" i="7" s="1"/>
  <c r="C100" i="6"/>
  <c r="C34" i="6"/>
  <c r="D62" i="7"/>
  <c r="I26" i="7"/>
  <c r="I73" i="4"/>
  <c r="I190" i="4"/>
  <c r="I217" i="4"/>
  <c r="X205" i="4"/>
  <c r="C126" i="5"/>
  <c r="C72" i="5"/>
  <c r="C127" i="7" s="1"/>
  <c r="C99" i="5"/>
  <c r="C33" i="5"/>
  <c r="C79" i="5"/>
  <c r="C134" i="7" s="1"/>
  <c r="C133" i="5"/>
  <c r="C106" i="5"/>
  <c r="C43" i="5"/>
  <c r="C120" i="6"/>
  <c r="C66" i="6"/>
  <c r="C208" i="7" s="1"/>
  <c r="C93" i="6"/>
  <c r="C27" i="6"/>
  <c r="B69" i="7"/>
  <c r="B60" i="7" s="1"/>
  <c r="X16" i="4"/>
  <c r="X18" i="4"/>
  <c r="C131" i="5" l="1"/>
  <c r="C77" i="5"/>
  <c r="C132" i="7" s="1"/>
  <c r="C49" i="3"/>
  <c r="C104" i="5"/>
  <c r="X207" i="4"/>
  <c r="C118" i="6"/>
  <c r="C68" i="3"/>
  <c r="C64" i="6"/>
  <c r="C206" i="7" s="1"/>
  <c r="C91" i="6"/>
  <c r="C125" i="6"/>
  <c r="C79" i="3"/>
  <c r="C71" i="6"/>
  <c r="C213" i="7" s="1"/>
  <c r="C98" i="6"/>
  <c r="X209" i="4"/>
  <c r="X102" i="5"/>
  <c r="X96" i="6"/>
  <c r="C124" i="5"/>
  <c r="C70" i="5"/>
  <c r="C125" i="7" s="1"/>
  <c r="C38" i="3"/>
  <c r="C97" i="5"/>
  <c r="I183" i="4"/>
  <c r="I19" i="7"/>
  <c r="I57" i="4"/>
  <c r="I210" i="4"/>
  <c r="E62" i="7"/>
  <c r="C69" i="7" l="1"/>
  <c r="C60" i="7" s="1"/>
  <c r="I3" i="7"/>
  <c r="I167" i="4"/>
  <c r="C85" i="5"/>
  <c r="C140" i="7" s="1"/>
  <c r="C139" i="5"/>
  <c r="C112" i="5"/>
  <c r="C119" i="5"/>
  <c r="C65" i="5"/>
  <c r="C120" i="7" s="1"/>
  <c r="C92" i="5"/>
  <c r="C21" i="5"/>
  <c r="C231" i="3"/>
  <c r="J107" i="4"/>
  <c r="J100" i="4" s="1"/>
  <c r="J84" i="4" s="1"/>
  <c r="J54" i="7"/>
  <c r="C113" i="6"/>
  <c r="C59" i="6"/>
  <c r="C201" i="7" s="1"/>
  <c r="C86" i="6"/>
  <c r="C20" i="6"/>
  <c r="C190" i="3"/>
  <c r="F62" i="7"/>
  <c r="C201" i="3"/>
  <c r="C220" i="3"/>
  <c r="C76" i="7"/>
  <c r="G62" i="7"/>
  <c r="B76" i="7"/>
  <c r="I62" i="7" l="1"/>
  <c r="E69" i="7"/>
  <c r="E60" i="7" s="1"/>
  <c r="X189" i="4"/>
  <c r="E76" i="7"/>
  <c r="C117" i="5"/>
  <c r="C63" i="5"/>
  <c r="C118" i="7" s="1"/>
  <c r="C37" i="3"/>
  <c r="C90" i="5"/>
  <c r="C18" i="5"/>
  <c r="X188" i="4"/>
  <c r="D69" i="7"/>
  <c r="D60" i="7" s="1"/>
  <c r="D76" i="7"/>
  <c r="C111" i="6"/>
  <c r="C67" i="3"/>
  <c r="C57" i="6"/>
  <c r="C199" i="7" s="1"/>
  <c r="C84" i="6"/>
  <c r="C18" i="6"/>
  <c r="J80" i="4"/>
  <c r="J27" i="7"/>
  <c r="J191" i="4"/>
  <c r="J218" i="4"/>
  <c r="X185" i="4"/>
  <c r="H62" i="7"/>
  <c r="X47" i="4" l="1"/>
  <c r="X46" i="4" s="1"/>
  <c r="X184" i="4"/>
  <c r="X187" i="4"/>
  <c r="F76" i="7"/>
  <c r="C55" i="6"/>
  <c r="C82" i="6"/>
  <c r="C61" i="5"/>
  <c r="C88" i="5"/>
  <c r="D120" i="6"/>
  <c r="D66" i="6"/>
  <c r="D208" i="7" s="1"/>
  <c r="D93" i="6"/>
  <c r="D27" i="6"/>
  <c r="D126" i="5"/>
  <c r="D72" i="5"/>
  <c r="D127" i="7" s="1"/>
  <c r="D99" i="5"/>
  <c r="D33" i="5"/>
  <c r="J62" i="7"/>
  <c r="X186" i="4"/>
  <c r="D127" i="6"/>
  <c r="D73" i="6"/>
  <c r="D215" i="7" s="1"/>
  <c r="D100" i="6"/>
  <c r="D34" i="6"/>
  <c r="C189" i="3"/>
  <c r="C35" i="3"/>
  <c r="F69" i="7"/>
  <c r="F60" i="7" s="1"/>
  <c r="J26" i="7"/>
  <c r="J73" i="4"/>
  <c r="J190" i="4"/>
  <c r="J217" i="4"/>
  <c r="C219" i="3"/>
  <c r="C65" i="3"/>
  <c r="G69" i="7"/>
  <c r="G60" i="7" s="1"/>
  <c r="D79" i="5"/>
  <c r="D134" i="7" s="1"/>
  <c r="D133" i="5"/>
  <c r="D106" i="5"/>
  <c r="D43" i="5"/>
  <c r="C133" i="6"/>
  <c r="C79" i="6"/>
  <c r="C221" i="7" s="1"/>
  <c r="C106" i="6"/>
  <c r="X25" i="4"/>
  <c r="X24" i="4"/>
  <c r="X21" i="4"/>
  <c r="X265" i="4" l="1"/>
  <c r="X268" i="4"/>
  <c r="D131" i="5"/>
  <c r="D77" i="5"/>
  <c r="D132" i="7" s="1"/>
  <c r="D49" i="3"/>
  <c r="D104" i="5"/>
  <c r="C187" i="3"/>
  <c r="C34" i="3"/>
  <c r="C127" i="3"/>
  <c r="D124" i="5"/>
  <c r="D70" i="5"/>
  <c r="D125" i="7" s="1"/>
  <c r="D38" i="3"/>
  <c r="D97" i="5"/>
  <c r="K54" i="7"/>
  <c r="X215" i="4"/>
  <c r="C64" i="3"/>
  <c r="C157" i="3" s="1"/>
  <c r="C217" i="3"/>
  <c r="X216" i="4"/>
  <c r="K62" i="7"/>
  <c r="K107" i="4"/>
  <c r="K100" i="4" s="1"/>
  <c r="K84" i="4" s="1"/>
  <c r="H69" i="7"/>
  <c r="H60" i="7" s="1"/>
  <c r="J19" i="7"/>
  <c r="J57" i="4"/>
  <c r="J183" i="4"/>
  <c r="J210" i="4"/>
  <c r="D125" i="6"/>
  <c r="D79" i="3"/>
  <c r="D71" i="6"/>
  <c r="D213" i="7" s="1"/>
  <c r="D98" i="6"/>
  <c r="D118" i="6"/>
  <c r="D68" i="3"/>
  <c r="D64" i="6"/>
  <c r="D206" i="7" s="1"/>
  <c r="D91" i="6"/>
  <c r="X212" i="4"/>
  <c r="X267" i="4"/>
  <c r="X264" i="4"/>
  <c r="X272" i="4"/>
  <c r="X273" i="4"/>
  <c r="X271" i="4"/>
  <c r="X266" i="4"/>
  <c r="X269" i="4"/>
  <c r="X270" i="4"/>
  <c r="X22" i="4"/>
  <c r="X23" i="4"/>
  <c r="G76" i="7"/>
  <c r="X20" i="4" l="1"/>
  <c r="X157" i="4"/>
  <c r="X19" i="3"/>
  <c r="X211" i="4"/>
  <c r="X19" i="4"/>
  <c r="X240" i="4" s="1"/>
  <c r="C84" i="5"/>
  <c r="C139" i="7" s="1"/>
  <c r="C52" i="5"/>
  <c r="C138" i="5"/>
  <c r="C111" i="5"/>
  <c r="C132" i="6"/>
  <c r="C40" i="6"/>
  <c r="C78" i="6"/>
  <c r="C220" i="7" s="1"/>
  <c r="C105" i="6"/>
  <c r="D220" i="3"/>
  <c r="C165" i="3"/>
  <c r="C163" i="3"/>
  <c r="C167" i="3"/>
  <c r="C161" i="3"/>
  <c r="C166" i="3"/>
  <c r="C156" i="3"/>
  <c r="C168" i="3"/>
  <c r="C216" i="3"/>
  <c r="C158" i="3"/>
  <c r="C160" i="3"/>
  <c r="C159" i="3"/>
  <c r="D190" i="3"/>
  <c r="D201" i="3"/>
  <c r="D113" i="6"/>
  <c r="D59" i="6"/>
  <c r="D201" i="7" s="1"/>
  <c r="D86" i="6"/>
  <c r="D20" i="6"/>
  <c r="X213" i="4"/>
  <c r="K80" i="4"/>
  <c r="K27" i="7"/>
  <c r="K191" i="4"/>
  <c r="K218" i="4"/>
  <c r="L62" i="7"/>
  <c r="D119" i="5"/>
  <c r="D65" i="5"/>
  <c r="D120" i="7" s="1"/>
  <c r="D92" i="5"/>
  <c r="D21" i="5"/>
  <c r="X174" i="4"/>
  <c r="J3" i="7"/>
  <c r="J167" i="4"/>
  <c r="H76" i="7"/>
  <c r="X172" i="4"/>
  <c r="D139" i="5"/>
  <c r="D85" i="5"/>
  <c r="D140" i="7" s="1"/>
  <c r="D112" i="5"/>
  <c r="D231" i="3"/>
  <c r="C133" i="3"/>
  <c r="C137" i="3"/>
  <c r="C134" i="3"/>
  <c r="C135" i="3"/>
  <c r="C186" i="3"/>
  <c r="C126" i="3"/>
  <c r="C131" i="3"/>
  <c r="C136" i="3"/>
  <c r="C132" i="3"/>
  <c r="C138" i="3"/>
  <c r="C128" i="3"/>
  <c r="C130" i="3"/>
  <c r="C129" i="3"/>
  <c r="I76" i="7"/>
  <c r="X214" i="4"/>
  <c r="I69" i="7"/>
  <c r="I60" i="7" s="1"/>
  <c r="X241" i="4" l="1"/>
  <c r="X238" i="4"/>
  <c r="J69" i="7"/>
  <c r="J60" i="7" s="1"/>
  <c r="C131" i="6"/>
  <c r="C80" i="3"/>
  <c r="C77" i="6"/>
  <c r="C219" i="7" s="1"/>
  <c r="C104" i="6"/>
  <c r="C33" i="6"/>
  <c r="X173" i="4"/>
  <c r="J76" i="7"/>
  <c r="D63" i="5"/>
  <c r="D118" i="7" s="1"/>
  <c r="D117" i="5"/>
  <c r="D37" i="3"/>
  <c r="D18" i="5"/>
  <c r="D90" i="5"/>
  <c r="I55" i="7"/>
  <c r="I134" i="4"/>
  <c r="X244" i="4"/>
  <c r="X237" i="4"/>
  <c r="X156" i="4"/>
  <c r="X245" i="4"/>
  <c r="X246" i="4"/>
  <c r="X243" i="4"/>
  <c r="X242" i="4"/>
  <c r="X239" i="4"/>
  <c r="M62" i="7"/>
  <c r="L107" i="4"/>
  <c r="L100" i="4" s="1"/>
  <c r="L84" i="4" s="1"/>
  <c r="L54" i="7"/>
  <c r="D111" i="6"/>
  <c r="D67" i="3"/>
  <c r="D57" i="6"/>
  <c r="D199" i="7" s="1"/>
  <c r="D84" i="6"/>
  <c r="D18" i="6"/>
  <c r="X18" i="3"/>
  <c r="X136" i="5"/>
  <c r="X82" i="5"/>
  <c r="X137" i="7" s="1"/>
  <c r="X109" i="5"/>
  <c r="K26" i="7"/>
  <c r="K73" i="4"/>
  <c r="K190" i="4"/>
  <c r="K217" i="4"/>
  <c r="C137" i="5"/>
  <c r="C83" i="5"/>
  <c r="C138" i="7" s="1"/>
  <c r="C50" i="3"/>
  <c r="C110" i="5"/>
  <c r="C42" i="5"/>
  <c r="N62" i="7" l="1"/>
  <c r="D219" i="3"/>
  <c r="D65" i="3"/>
  <c r="C232" i="3"/>
  <c r="C78" i="3"/>
  <c r="D61" i="5"/>
  <c r="D88" i="5"/>
  <c r="X17" i="3"/>
  <c r="X110" i="3" s="1"/>
  <c r="D189" i="3"/>
  <c r="D35" i="3"/>
  <c r="X157" i="6"/>
  <c r="X130" i="6"/>
  <c r="X76" i="6"/>
  <c r="X103" i="6"/>
  <c r="C76" i="5"/>
  <c r="C103" i="5"/>
  <c r="C17" i="5"/>
  <c r="K57" i="4"/>
  <c r="K19" i="7"/>
  <c r="K183" i="4"/>
  <c r="K210" i="4"/>
  <c r="D133" i="6"/>
  <c r="D79" i="6"/>
  <c r="D221" i="7" s="1"/>
  <c r="D106" i="6"/>
  <c r="D55" i="6"/>
  <c r="D82" i="6"/>
  <c r="L80" i="4"/>
  <c r="L27" i="7"/>
  <c r="L191" i="4"/>
  <c r="L218" i="4"/>
  <c r="C70" i="6"/>
  <c r="C97" i="6"/>
  <c r="C17" i="6"/>
  <c r="I53" i="7"/>
  <c r="I127" i="4"/>
  <c r="K76" i="7"/>
  <c r="K69" i="7"/>
  <c r="K60" i="7" s="1"/>
  <c r="C202" i="3"/>
  <c r="C48" i="3"/>
  <c r="C151" i="6" l="1"/>
  <c r="C135" i="6"/>
  <c r="C156" i="6"/>
  <c r="C155" i="6"/>
  <c r="C142" i="6"/>
  <c r="C149" i="6"/>
  <c r="C148" i="6"/>
  <c r="C141" i="6"/>
  <c r="C146" i="6"/>
  <c r="C54" i="6"/>
  <c r="C153" i="6"/>
  <c r="C137" i="6"/>
  <c r="C139" i="6"/>
  <c r="C154" i="6"/>
  <c r="C147" i="6"/>
  <c r="C152" i="6"/>
  <c r="C145" i="6"/>
  <c r="C140" i="6"/>
  <c r="C138" i="6"/>
  <c r="C160" i="6"/>
  <c r="C136" i="6"/>
  <c r="C159" i="6"/>
  <c r="C158" i="6"/>
  <c r="X120" i="3"/>
  <c r="X115" i="3"/>
  <c r="X118" i="3"/>
  <c r="X116" i="3"/>
  <c r="X114" i="3"/>
  <c r="X109" i="3"/>
  <c r="X119" i="3"/>
  <c r="X113" i="3"/>
  <c r="X117" i="3"/>
  <c r="X112" i="3"/>
  <c r="X111" i="3"/>
  <c r="D64" i="3"/>
  <c r="D217" i="3"/>
  <c r="O62" i="7"/>
  <c r="L76" i="7"/>
  <c r="L69" i="7"/>
  <c r="L60" i="7" s="1"/>
  <c r="C200" i="3"/>
  <c r="C47" i="3"/>
  <c r="C140" i="3" s="1"/>
  <c r="K3" i="7"/>
  <c r="K167" i="4"/>
  <c r="D187" i="3"/>
  <c r="D34" i="3"/>
  <c r="C77" i="3"/>
  <c r="C230" i="3"/>
  <c r="I46" i="7"/>
  <c r="I111" i="4"/>
  <c r="I30" i="7" s="1"/>
  <c r="C157" i="5"/>
  <c r="C141" i="5"/>
  <c r="C60" i="5"/>
  <c r="C156" i="5"/>
  <c r="C161" i="5"/>
  <c r="C162" i="5"/>
  <c r="C163" i="5"/>
  <c r="C148" i="5"/>
  <c r="C154" i="5"/>
  <c r="C155" i="5"/>
  <c r="C147" i="5"/>
  <c r="C143" i="5"/>
  <c r="C159" i="5"/>
  <c r="C152" i="5"/>
  <c r="C145" i="5"/>
  <c r="C160" i="5"/>
  <c r="C153" i="5"/>
  <c r="C158" i="5"/>
  <c r="C151" i="5"/>
  <c r="C146" i="5"/>
  <c r="C166" i="5"/>
  <c r="C144" i="5"/>
  <c r="C142" i="5"/>
  <c r="C165" i="5"/>
  <c r="C164" i="5"/>
  <c r="L190" i="4"/>
  <c r="L26" i="7"/>
  <c r="L73" i="4"/>
  <c r="L217" i="4"/>
  <c r="C170" i="3" l="1"/>
  <c r="D157" i="3"/>
  <c r="D132" i="3"/>
  <c r="D186" i="3"/>
  <c r="D134" i="3"/>
  <c r="D136" i="3"/>
  <c r="D135" i="3"/>
  <c r="D131" i="3"/>
  <c r="D137" i="3"/>
  <c r="D126" i="3"/>
  <c r="D138" i="3"/>
  <c r="D133" i="3"/>
  <c r="D128" i="3"/>
  <c r="D130" i="3"/>
  <c r="D129" i="3"/>
  <c r="L183" i="4"/>
  <c r="L19" i="7"/>
  <c r="L57" i="4"/>
  <c r="L210" i="4"/>
  <c r="M76" i="7"/>
  <c r="M69" i="7"/>
  <c r="M60" i="7" s="1"/>
  <c r="P62" i="7"/>
  <c r="D52" i="5"/>
  <c r="D138" i="5"/>
  <c r="D84" i="5"/>
  <c r="D139" i="7" s="1"/>
  <c r="D111" i="5"/>
  <c r="C146" i="3"/>
  <c r="C147" i="3"/>
  <c r="C199" i="3"/>
  <c r="C143" i="3"/>
  <c r="C144" i="3"/>
  <c r="C150" i="3"/>
  <c r="C149" i="3"/>
  <c r="C148" i="3"/>
  <c r="C139" i="3"/>
  <c r="C145" i="3"/>
  <c r="C141" i="3"/>
  <c r="C142" i="3"/>
  <c r="D165" i="3"/>
  <c r="D156" i="3"/>
  <c r="D167" i="3"/>
  <c r="D168" i="3"/>
  <c r="D163" i="3"/>
  <c r="D161" i="3"/>
  <c r="D166" i="3"/>
  <c r="D158" i="3"/>
  <c r="D216" i="3"/>
  <c r="D160" i="3"/>
  <c r="D159" i="3"/>
  <c r="D40" i="6"/>
  <c r="D132" i="6"/>
  <c r="D78" i="6"/>
  <c r="D220" i="7" s="1"/>
  <c r="D105" i="6"/>
  <c r="C169" i="3"/>
  <c r="C175" i="3"/>
  <c r="C176" i="3"/>
  <c r="C174" i="3"/>
  <c r="C173" i="3"/>
  <c r="C180" i="3"/>
  <c r="C179" i="3"/>
  <c r="C178" i="3"/>
  <c r="C177" i="3"/>
  <c r="C229" i="3"/>
  <c r="C171" i="3"/>
  <c r="C172" i="3"/>
  <c r="Y129" i="5"/>
  <c r="Y75" i="5"/>
  <c r="Y130" i="7" s="1"/>
  <c r="X176" i="4"/>
  <c r="D127" i="3"/>
  <c r="X10" i="4"/>
  <c r="X175" i="4" l="1"/>
  <c r="D80" i="3"/>
  <c r="D77" i="6"/>
  <c r="D219" i="7" s="1"/>
  <c r="D104" i="6"/>
  <c r="D131" i="6"/>
  <c r="D33" i="6"/>
  <c r="L167" i="4"/>
  <c r="L3" i="7"/>
  <c r="Q62" i="7"/>
  <c r="X201" i="4"/>
  <c r="M54" i="7"/>
  <c r="N69" i="7"/>
  <c r="N60" i="7" s="1"/>
  <c r="Y150" i="6"/>
  <c r="Y123" i="6"/>
  <c r="Y69" i="6"/>
  <c r="N76" i="7"/>
  <c r="X181" i="4"/>
  <c r="D137" i="5"/>
  <c r="D83" i="5"/>
  <c r="D138" i="7" s="1"/>
  <c r="D50" i="3"/>
  <c r="D110" i="5"/>
  <c r="D42" i="5"/>
  <c r="M107" i="4"/>
  <c r="M100" i="4" s="1"/>
  <c r="M84" i="4" s="1"/>
  <c r="E72" i="5" l="1"/>
  <c r="E127" i="7" s="1"/>
  <c r="E126" i="5"/>
  <c r="E99" i="5"/>
  <c r="E33" i="5"/>
  <c r="D76" i="5"/>
  <c r="D103" i="5"/>
  <c r="D17" i="5"/>
  <c r="D157" i="5" s="1"/>
  <c r="R62" i="7"/>
  <c r="M27" i="7"/>
  <c r="M80" i="4"/>
  <c r="M191" i="4"/>
  <c r="M218" i="4"/>
  <c r="D232" i="3"/>
  <c r="D78" i="3"/>
  <c r="E120" i="6"/>
  <c r="E66" i="6"/>
  <c r="E208" i="7" s="1"/>
  <c r="E93" i="6"/>
  <c r="E27" i="6"/>
  <c r="D202" i="3"/>
  <c r="D48" i="3"/>
  <c r="X171" i="4"/>
  <c r="X33" i="4"/>
  <c r="O69" i="7"/>
  <c r="O60" i="7" s="1"/>
  <c r="X179" i="4"/>
  <c r="X40" i="4"/>
  <c r="O76" i="7"/>
  <c r="E79" i="5"/>
  <c r="E134" i="7" s="1"/>
  <c r="E133" i="5"/>
  <c r="E106" i="5"/>
  <c r="E43" i="5"/>
  <c r="D70" i="6"/>
  <c r="D97" i="6"/>
  <c r="D17" i="6"/>
  <c r="E127" i="6"/>
  <c r="E73" i="6"/>
  <c r="E215" i="7" s="1"/>
  <c r="E100" i="6"/>
  <c r="E34" i="6"/>
  <c r="X17" i="4"/>
  <c r="E131" i="5" l="1"/>
  <c r="E77" i="5"/>
  <c r="E132" i="7" s="1"/>
  <c r="E49" i="3"/>
  <c r="E104" i="5"/>
  <c r="D200" i="3"/>
  <c r="D47" i="3"/>
  <c r="D140" i="3" s="1"/>
  <c r="X177" i="4"/>
  <c r="M26" i="7"/>
  <c r="M73" i="4"/>
  <c r="M190" i="4"/>
  <c r="M217" i="4"/>
  <c r="X127" i="5"/>
  <c r="X73" i="5"/>
  <c r="X128" i="7" s="1"/>
  <c r="X100" i="5"/>
  <c r="E70" i="5"/>
  <c r="E125" i="7" s="1"/>
  <c r="E124" i="5"/>
  <c r="E38" i="3"/>
  <c r="E97" i="5"/>
  <c r="P69" i="7"/>
  <c r="P60" i="7" s="1"/>
  <c r="X170" i="4"/>
  <c r="X31" i="4"/>
  <c r="X251" i="4" s="1"/>
  <c r="X208" i="4"/>
  <c r="E79" i="3"/>
  <c r="E125" i="6"/>
  <c r="E71" i="6"/>
  <c r="E213" i="7" s="1"/>
  <c r="E98" i="6"/>
  <c r="X134" i="5"/>
  <c r="X80" i="5"/>
  <c r="X135" i="7" s="1"/>
  <c r="X107" i="5"/>
  <c r="D77" i="3"/>
  <c r="D230" i="3"/>
  <c r="P76" i="7"/>
  <c r="S62" i="7"/>
  <c r="D151" i="6"/>
  <c r="D135" i="6"/>
  <c r="D155" i="6"/>
  <c r="D156" i="6"/>
  <c r="D142" i="6"/>
  <c r="D149" i="6"/>
  <c r="D148" i="6"/>
  <c r="D137" i="6"/>
  <c r="D141" i="6"/>
  <c r="D146" i="6"/>
  <c r="D153" i="6"/>
  <c r="D54" i="6"/>
  <c r="D139" i="6"/>
  <c r="D147" i="6"/>
  <c r="D154" i="6"/>
  <c r="D152" i="6"/>
  <c r="D145" i="6"/>
  <c r="D140" i="6"/>
  <c r="D138" i="6"/>
  <c r="D136" i="6"/>
  <c r="D160" i="6"/>
  <c r="D159" i="6"/>
  <c r="D158" i="6"/>
  <c r="E118" i="6"/>
  <c r="E68" i="3"/>
  <c r="E64" i="6"/>
  <c r="E206" i="7" s="1"/>
  <c r="E91" i="6"/>
  <c r="D142" i="5"/>
  <c r="D141" i="5"/>
  <c r="D60" i="5"/>
  <c r="D156" i="5"/>
  <c r="D161" i="5"/>
  <c r="D162" i="5"/>
  <c r="D163" i="5"/>
  <c r="D148" i="5"/>
  <c r="D155" i="5"/>
  <c r="D154" i="5"/>
  <c r="D147" i="5"/>
  <c r="D143" i="5"/>
  <c r="D159" i="5"/>
  <c r="D152" i="5"/>
  <c r="D145" i="5"/>
  <c r="D153" i="5"/>
  <c r="D160" i="5"/>
  <c r="D158" i="5"/>
  <c r="D151" i="5"/>
  <c r="D146" i="5"/>
  <c r="D166" i="5"/>
  <c r="D144" i="5"/>
  <c r="D165" i="5"/>
  <c r="D164" i="5"/>
  <c r="X15" i="4"/>
  <c r="D170" i="3" l="1"/>
  <c r="X258" i="4"/>
  <c r="X168" i="4"/>
  <c r="X30" i="4"/>
  <c r="X249" i="4"/>
  <c r="X250" i="4"/>
  <c r="X263" i="4"/>
  <c r="X261" i="4"/>
  <c r="X259" i="4"/>
  <c r="X253" i="4"/>
  <c r="X255" i="4"/>
  <c r="X254" i="4"/>
  <c r="X257" i="4"/>
  <c r="X262" i="4"/>
  <c r="X256" i="4"/>
  <c r="X252" i="4"/>
  <c r="X260" i="4"/>
  <c r="X128" i="6"/>
  <c r="X74" i="6"/>
  <c r="X216" i="7" s="1"/>
  <c r="X101" i="6"/>
  <c r="T62" i="7"/>
  <c r="X13" i="4"/>
  <c r="X206" i="4"/>
  <c r="E113" i="6"/>
  <c r="E59" i="6"/>
  <c r="E201" i="7" s="1"/>
  <c r="E86" i="6"/>
  <c r="E20" i="6"/>
  <c r="X120" i="5"/>
  <c r="X66" i="5"/>
  <c r="X121" i="7" s="1"/>
  <c r="N107" i="4"/>
  <c r="N100" i="4" s="1"/>
  <c r="N84" i="4" s="1"/>
  <c r="N54" i="7"/>
  <c r="E201" i="3"/>
  <c r="E119" i="5"/>
  <c r="E65" i="5"/>
  <c r="E120" i="7" s="1"/>
  <c r="E92" i="5"/>
  <c r="E21" i="5"/>
  <c r="D173" i="3"/>
  <c r="D179" i="3"/>
  <c r="D180" i="3"/>
  <c r="D178" i="3"/>
  <c r="D169" i="3"/>
  <c r="D175" i="3"/>
  <c r="D177" i="3"/>
  <c r="D174" i="3"/>
  <c r="D176" i="3"/>
  <c r="D229" i="3"/>
  <c r="D171" i="3"/>
  <c r="D172" i="3"/>
  <c r="E231" i="3"/>
  <c r="E190" i="3"/>
  <c r="Q76" i="7"/>
  <c r="E139" i="5"/>
  <c r="E85" i="5"/>
  <c r="E140" i="7" s="1"/>
  <c r="E112" i="5"/>
  <c r="X121" i="6"/>
  <c r="X67" i="6"/>
  <c r="X209" i="7" s="1"/>
  <c r="X94" i="6"/>
  <c r="M19" i="7"/>
  <c r="M57" i="4"/>
  <c r="M183" i="4"/>
  <c r="M210" i="4"/>
  <c r="D144" i="3"/>
  <c r="D150" i="3"/>
  <c r="D149" i="3"/>
  <c r="D146" i="3"/>
  <c r="D148" i="3"/>
  <c r="D139" i="3"/>
  <c r="D143" i="3"/>
  <c r="D145" i="3"/>
  <c r="D147" i="3"/>
  <c r="D199" i="3"/>
  <c r="D141" i="3"/>
  <c r="D142" i="3"/>
  <c r="Q69" i="7"/>
  <c r="Q60" i="7" s="1"/>
  <c r="E220" i="3"/>
  <c r="E63" i="5" l="1"/>
  <c r="E118" i="7" s="1"/>
  <c r="E117" i="5"/>
  <c r="E37" i="3"/>
  <c r="E18" i="5"/>
  <c r="E90" i="5"/>
  <c r="E111" i="6"/>
  <c r="E67" i="3"/>
  <c r="E57" i="6"/>
  <c r="E199" i="7" s="1"/>
  <c r="E84" i="6"/>
  <c r="E18" i="6"/>
  <c r="U62" i="7"/>
  <c r="X150" i="4"/>
  <c r="X204" i="4"/>
  <c r="X8" i="3"/>
  <c r="R69" i="7"/>
  <c r="R60" i="7" s="1"/>
  <c r="X114" i="6"/>
  <c r="X60" i="6"/>
  <c r="X202" i="7" s="1"/>
  <c r="M3" i="7"/>
  <c r="M167" i="4"/>
  <c r="N80" i="4"/>
  <c r="N27" i="7"/>
  <c r="N191" i="4"/>
  <c r="N218" i="4"/>
  <c r="Y180" i="4"/>
  <c r="R76" i="7"/>
  <c r="X11" i="4"/>
  <c r="X12" i="4"/>
  <c r="X9" i="4"/>
  <c r="X202" i="4" l="1"/>
  <c r="E133" i="6"/>
  <c r="E79" i="6"/>
  <c r="E221" i="7" s="1"/>
  <c r="E106" i="6"/>
  <c r="V62" i="7"/>
  <c r="X96" i="5"/>
  <c r="E61" i="5"/>
  <c r="E88" i="5"/>
  <c r="J55" i="7"/>
  <c r="J134" i="4"/>
  <c r="E55" i="6"/>
  <c r="E82" i="6"/>
  <c r="E189" i="3"/>
  <c r="E35" i="3"/>
  <c r="O107" i="4"/>
  <c r="O100" i="4" s="1"/>
  <c r="O84" i="4" s="1"/>
  <c r="S69" i="7"/>
  <c r="S60" i="7" s="1"/>
  <c r="X87" i="6"/>
  <c r="X200" i="4"/>
  <c r="X93" i="5"/>
  <c r="N26" i="7"/>
  <c r="N73" i="4"/>
  <c r="N190" i="4"/>
  <c r="N217" i="4"/>
  <c r="S76" i="7"/>
  <c r="O54" i="7"/>
  <c r="X203" i="4"/>
  <c r="E219" i="3"/>
  <c r="E65" i="3"/>
  <c r="X7" i="4"/>
  <c r="X4" i="5"/>
  <c r="X47" i="6" s="1"/>
  <c r="E64" i="3" l="1"/>
  <c r="E157" i="3"/>
  <c r="E217" i="3"/>
  <c r="N19" i="7"/>
  <c r="N57" i="4"/>
  <c r="N183" i="4"/>
  <c r="N210" i="4"/>
  <c r="X198" i="4"/>
  <c r="O27" i="7"/>
  <c r="O80" i="4"/>
  <c r="O191" i="4"/>
  <c r="O218" i="4"/>
  <c r="X123" i="5"/>
  <c r="X69" i="5"/>
  <c r="X124" i="7" s="1"/>
  <c r="W62" i="7"/>
  <c r="T69" i="7"/>
  <c r="T60" i="7" s="1"/>
  <c r="T76" i="7"/>
  <c r="E187" i="3"/>
  <c r="E34" i="3"/>
  <c r="E127" i="3" s="1"/>
  <c r="J53" i="7"/>
  <c r="J127" i="4"/>
  <c r="X8" i="4"/>
  <c r="X62" i="7"/>
  <c r="U69" i="7" l="1"/>
  <c r="U60" i="7" s="1"/>
  <c r="O26" i="7"/>
  <c r="O73" i="4"/>
  <c r="O190" i="4"/>
  <c r="O217" i="4"/>
  <c r="E40" i="6"/>
  <c r="E132" i="6"/>
  <c r="E78" i="6"/>
  <c r="E220" i="7" s="1"/>
  <c r="E105" i="6"/>
  <c r="N3" i="7"/>
  <c r="N167" i="4"/>
  <c r="X135" i="5"/>
  <c r="X81" i="5"/>
  <c r="X136" i="7" s="1"/>
  <c r="X108" i="5"/>
  <c r="U76" i="7"/>
  <c r="X199" i="4"/>
  <c r="J46" i="7"/>
  <c r="J111" i="4"/>
  <c r="J30" i="7" s="1"/>
  <c r="X6" i="4"/>
  <c r="X144" i="6"/>
  <c r="X117" i="6"/>
  <c r="X63" i="6"/>
  <c r="X90" i="6"/>
  <c r="E165" i="3"/>
  <c r="E156" i="3"/>
  <c r="E167" i="3"/>
  <c r="E168" i="3"/>
  <c r="E163" i="3"/>
  <c r="E161" i="3"/>
  <c r="E166" i="3"/>
  <c r="E158" i="3"/>
  <c r="E216" i="3"/>
  <c r="E160" i="3"/>
  <c r="E159" i="3"/>
  <c r="E135" i="3"/>
  <c r="E134" i="3"/>
  <c r="E133" i="3"/>
  <c r="E126" i="3"/>
  <c r="E131" i="3"/>
  <c r="E136" i="3"/>
  <c r="E137" i="3"/>
  <c r="E132" i="3"/>
  <c r="E138" i="3"/>
  <c r="E186" i="3"/>
  <c r="E128" i="3"/>
  <c r="E130" i="3"/>
  <c r="E129" i="3"/>
  <c r="E138" i="5"/>
  <c r="E84" i="5"/>
  <c r="E139" i="7" s="1"/>
  <c r="E52" i="5"/>
  <c r="E111" i="5"/>
  <c r="P107" i="4" l="1"/>
  <c r="P100" i="4" s="1"/>
  <c r="P84" i="4" s="1"/>
  <c r="V76" i="7"/>
  <c r="X143" i="4"/>
  <c r="X7" i="3"/>
  <c r="X197" i="4"/>
  <c r="X4" i="4"/>
  <c r="X126" i="6"/>
  <c r="X72" i="6"/>
  <c r="X214" i="7" s="1"/>
  <c r="X99" i="6"/>
  <c r="E137" i="5"/>
  <c r="E83" i="5"/>
  <c r="E138" i="7" s="1"/>
  <c r="E50" i="3"/>
  <c r="E110" i="5"/>
  <c r="E42" i="5"/>
  <c r="X119" i="6"/>
  <c r="X65" i="6"/>
  <c r="X207" i="7" s="1"/>
  <c r="X92" i="6"/>
  <c r="E33" i="6"/>
  <c r="E131" i="6"/>
  <c r="E80" i="3"/>
  <c r="E77" i="6"/>
  <c r="E219" i="7" s="1"/>
  <c r="E104" i="6"/>
  <c r="P54" i="7"/>
  <c r="V69" i="7"/>
  <c r="V60" i="7" s="1"/>
  <c r="X36" i="3"/>
  <c r="X116" i="5"/>
  <c r="X62" i="5"/>
  <c r="X117" i="7" s="1"/>
  <c r="X89" i="5"/>
  <c r="X71" i="5"/>
  <c r="X126" i="7" s="1"/>
  <c r="X125" i="5"/>
  <c r="X98" i="5"/>
  <c r="X78" i="5"/>
  <c r="X133" i="7" s="1"/>
  <c r="X132" i="5"/>
  <c r="X105" i="5"/>
  <c r="O19" i="7"/>
  <c r="O57" i="4"/>
  <c r="O183" i="4"/>
  <c r="O210" i="4"/>
  <c r="W76" i="7" l="1"/>
  <c r="E202" i="3"/>
  <c r="E48" i="3"/>
  <c r="X129" i="6"/>
  <c r="X75" i="6"/>
  <c r="X217" i="7" s="1"/>
  <c r="X102" i="6"/>
  <c r="W69" i="7"/>
  <c r="W60" i="7" s="1"/>
  <c r="X188" i="3"/>
  <c r="E232" i="3"/>
  <c r="E78" i="3"/>
  <c r="X224" i="4"/>
  <c r="X195" i="4"/>
  <c r="X222" i="4"/>
  <c r="X141" i="4"/>
  <c r="X223" i="4"/>
  <c r="X232" i="4"/>
  <c r="X234" i="4"/>
  <c r="X236" i="4"/>
  <c r="X228" i="4"/>
  <c r="X235" i="4"/>
  <c r="X233" i="4"/>
  <c r="X231" i="4"/>
  <c r="X227" i="4"/>
  <c r="X229" i="4"/>
  <c r="X230" i="4"/>
  <c r="X225" i="4"/>
  <c r="X226" i="4"/>
  <c r="O3" i="7"/>
  <c r="O167" i="4"/>
  <c r="X110" i="6"/>
  <c r="X66" i="3"/>
  <c r="X56" i="6"/>
  <c r="X198" i="7" s="1"/>
  <c r="X83" i="6"/>
  <c r="X5" i="3"/>
  <c r="E70" i="6"/>
  <c r="E97" i="6"/>
  <c r="E17" i="6"/>
  <c r="E151" i="6" s="1"/>
  <c r="E76" i="5"/>
  <c r="E103" i="5"/>
  <c r="E17" i="5"/>
  <c r="P27" i="7"/>
  <c r="P80" i="4"/>
  <c r="P191" i="4"/>
  <c r="P218" i="4"/>
  <c r="X69" i="7"/>
  <c r="X60" i="7" s="1"/>
  <c r="X76" i="7"/>
  <c r="Q107" i="4" l="1"/>
  <c r="Q100" i="4" s="1"/>
  <c r="Q84" i="4" s="1"/>
  <c r="P26" i="7"/>
  <c r="P73" i="4"/>
  <c r="P190" i="4"/>
  <c r="P217" i="4"/>
  <c r="E77" i="3"/>
  <c r="E230" i="3"/>
  <c r="E200" i="3"/>
  <c r="E47" i="3"/>
  <c r="E140" i="3" s="1"/>
  <c r="X4" i="3"/>
  <c r="E157" i="5"/>
  <c r="E141" i="5"/>
  <c r="E60" i="5"/>
  <c r="E150" i="5"/>
  <c r="E156" i="5"/>
  <c r="E161" i="5"/>
  <c r="E162" i="5"/>
  <c r="E163" i="5"/>
  <c r="E148" i="5"/>
  <c r="E155" i="5"/>
  <c r="E154" i="5"/>
  <c r="E147" i="5"/>
  <c r="E159" i="5"/>
  <c r="E143" i="5"/>
  <c r="E152" i="5"/>
  <c r="E145" i="5"/>
  <c r="E153" i="5"/>
  <c r="E160" i="5"/>
  <c r="E151" i="5"/>
  <c r="E158" i="5"/>
  <c r="E146" i="5"/>
  <c r="E166" i="5"/>
  <c r="E144" i="5"/>
  <c r="E142" i="5"/>
  <c r="E165" i="5"/>
  <c r="E164" i="5"/>
  <c r="F127" i="6"/>
  <c r="F73" i="6"/>
  <c r="F215" i="7" s="1"/>
  <c r="F100" i="6"/>
  <c r="F34" i="6"/>
  <c r="Q54" i="7"/>
  <c r="X218" i="3"/>
  <c r="F79" i="5"/>
  <c r="F134" i="7" s="1"/>
  <c r="F133" i="5"/>
  <c r="F106" i="5"/>
  <c r="F43" i="5"/>
  <c r="F120" i="6"/>
  <c r="F66" i="6"/>
  <c r="F208" i="7" s="1"/>
  <c r="F93" i="6"/>
  <c r="F27" i="6"/>
  <c r="E136" i="6"/>
  <c r="E135" i="6"/>
  <c r="E155" i="6"/>
  <c r="E156" i="6"/>
  <c r="E142" i="6"/>
  <c r="E149" i="6"/>
  <c r="E148" i="6"/>
  <c r="E141" i="6"/>
  <c r="E153" i="6"/>
  <c r="E146" i="6"/>
  <c r="E137" i="6"/>
  <c r="E54" i="6"/>
  <c r="E139" i="6"/>
  <c r="E147" i="6"/>
  <c r="E154" i="6"/>
  <c r="E152" i="6"/>
  <c r="E145" i="6"/>
  <c r="E140" i="6"/>
  <c r="E138" i="6"/>
  <c r="E160" i="6"/>
  <c r="E159" i="6"/>
  <c r="E158" i="6"/>
  <c r="F72" i="5"/>
  <c r="F127" i="7" s="1"/>
  <c r="F126" i="5"/>
  <c r="F99" i="5"/>
  <c r="F33" i="5"/>
  <c r="X68" i="5"/>
  <c r="X123" i="7" s="1"/>
  <c r="X122" i="5"/>
  <c r="X95" i="5"/>
  <c r="E170" i="3" l="1"/>
  <c r="X67" i="5"/>
  <c r="X122" i="7" s="1"/>
  <c r="X121" i="5"/>
  <c r="X94" i="5"/>
  <c r="X64" i="5"/>
  <c r="X119" i="7" s="1"/>
  <c r="X118" i="5"/>
  <c r="X91" i="5"/>
  <c r="P19" i="7"/>
  <c r="P57" i="4"/>
  <c r="P183" i="4"/>
  <c r="P210" i="4"/>
  <c r="E144" i="3"/>
  <c r="E150" i="3"/>
  <c r="E145" i="3"/>
  <c r="E149" i="3"/>
  <c r="E139" i="3"/>
  <c r="E146" i="3"/>
  <c r="E147" i="3"/>
  <c r="E199" i="3"/>
  <c r="E148" i="3"/>
  <c r="E143" i="3"/>
  <c r="E141" i="3"/>
  <c r="E142" i="3"/>
  <c r="F77" i="5"/>
  <c r="F132" i="7" s="1"/>
  <c r="F131" i="5"/>
  <c r="F49" i="3"/>
  <c r="F104" i="5"/>
  <c r="F125" i="6"/>
  <c r="F79" i="3"/>
  <c r="F71" i="6"/>
  <c r="F213" i="7" s="1"/>
  <c r="F98" i="6"/>
  <c r="Q27" i="7"/>
  <c r="Q80" i="4"/>
  <c r="Q191" i="4"/>
  <c r="Q218" i="4"/>
  <c r="X116" i="6"/>
  <c r="X62" i="6"/>
  <c r="X204" i="7" s="1"/>
  <c r="X89" i="6"/>
  <c r="F64" i="6"/>
  <c r="F206" i="7" s="1"/>
  <c r="F118" i="6"/>
  <c r="F68" i="3"/>
  <c r="F91" i="6"/>
  <c r="E169" i="3"/>
  <c r="E175" i="3"/>
  <c r="E173" i="3"/>
  <c r="E177" i="3"/>
  <c r="E176" i="3"/>
  <c r="E174" i="3"/>
  <c r="E180" i="3"/>
  <c r="E179" i="3"/>
  <c r="E178" i="3"/>
  <c r="E229" i="3"/>
  <c r="E171" i="3"/>
  <c r="E172" i="3"/>
  <c r="X112" i="6"/>
  <c r="X58" i="6"/>
  <c r="X200" i="7" s="1"/>
  <c r="X85" i="6"/>
  <c r="F70" i="5"/>
  <c r="F125" i="7" s="1"/>
  <c r="F124" i="5"/>
  <c r="F38" i="3"/>
  <c r="F97" i="5"/>
  <c r="X97" i="3"/>
  <c r="X102" i="3"/>
  <c r="X103" i="3"/>
  <c r="X108" i="3"/>
  <c r="X101" i="3"/>
  <c r="X106" i="3"/>
  <c r="X105" i="3"/>
  <c r="X107" i="3"/>
  <c r="X104" i="3"/>
  <c r="X96" i="3"/>
  <c r="X98" i="3"/>
  <c r="X100" i="3"/>
  <c r="X99" i="3"/>
  <c r="F85" i="5" l="1"/>
  <c r="F140" i="7" s="1"/>
  <c r="F139" i="5"/>
  <c r="F112" i="5"/>
  <c r="F220" i="3"/>
  <c r="F201" i="3"/>
  <c r="F113" i="6"/>
  <c r="F59" i="6"/>
  <c r="F201" i="7" s="1"/>
  <c r="F86" i="6"/>
  <c r="F20" i="6"/>
  <c r="F231" i="3"/>
  <c r="P3" i="7"/>
  <c r="P167" i="4"/>
  <c r="Q26" i="7"/>
  <c r="Q73" i="4"/>
  <c r="Q190" i="4"/>
  <c r="Q217" i="4"/>
  <c r="F65" i="5"/>
  <c r="F120" i="7" s="1"/>
  <c r="F119" i="5"/>
  <c r="F92" i="5"/>
  <c r="F21" i="5"/>
  <c r="X128" i="5"/>
  <c r="X74" i="5"/>
  <c r="X129" i="7" s="1"/>
  <c r="X101" i="5"/>
  <c r="X61" i="6"/>
  <c r="X203" i="7" s="1"/>
  <c r="X115" i="6"/>
  <c r="X88" i="6"/>
  <c r="F190" i="3"/>
  <c r="R107" i="4" l="1"/>
  <c r="R100" i="4" s="1"/>
  <c r="R84" i="4" s="1"/>
  <c r="X122" i="6"/>
  <c r="X68" i="6"/>
  <c r="X210" i="7" s="1"/>
  <c r="X95" i="6"/>
  <c r="Y178" i="4"/>
  <c r="F111" i="6"/>
  <c r="F67" i="3"/>
  <c r="F57" i="6"/>
  <c r="F199" i="7" s="1"/>
  <c r="F84" i="6"/>
  <c r="F18" i="6"/>
  <c r="Q19" i="7"/>
  <c r="Q57" i="4"/>
  <c r="Q183" i="4"/>
  <c r="Q210" i="4"/>
  <c r="F63" i="5"/>
  <c r="F118" i="7" s="1"/>
  <c r="F117" i="5"/>
  <c r="F37" i="3"/>
  <c r="F90" i="5"/>
  <c r="F18" i="5"/>
  <c r="R54" i="7"/>
  <c r="F219" i="3" l="1"/>
  <c r="F65" i="3"/>
  <c r="F61" i="5"/>
  <c r="F88" i="5"/>
  <c r="Q3" i="7"/>
  <c r="Q167" i="4"/>
  <c r="F189" i="3"/>
  <c r="F35" i="3"/>
  <c r="F133" i="6"/>
  <c r="F79" i="6"/>
  <c r="F221" i="7" s="1"/>
  <c r="F106" i="6"/>
  <c r="F55" i="6"/>
  <c r="F82" i="6"/>
  <c r="R27" i="7"/>
  <c r="R80" i="4"/>
  <c r="R191" i="4"/>
  <c r="R218" i="4"/>
  <c r="Y14" i="4"/>
  <c r="R26" i="7" l="1"/>
  <c r="R73" i="4"/>
  <c r="R190" i="4"/>
  <c r="R217" i="4"/>
  <c r="Y205" i="4"/>
  <c r="F34" i="3"/>
  <c r="F127" i="3" s="1"/>
  <c r="F187" i="3"/>
  <c r="F64" i="3"/>
  <c r="F157" i="3" s="1"/>
  <c r="F217" i="3"/>
  <c r="Y16" i="4"/>
  <c r="Y18" i="4"/>
  <c r="F52" i="5" l="1"/>
  <c r="F84" i="5"/>
  <c r="F139" i="7" s="1"/>
  <c r="F138" i="5"/>
  <c r="F111" i="5"/>
  <c r="G126" i="5"/>
  <c r="G72" i="5"/>
  <c r="G127" i="7" s="1"/>
  <c r="G99" i="5"/>
  <c r="G33" i="5"/>
  <c r="Y188" i="4"/>
  <c r="Y96" i="6"/>
  <c r="Y209" i="4"/>
  <c r="Y102" i="5"/>
  <c r="S54" i="7"/>
  <c r="Y207" i="4"/>
  <c r="F161" i="3"/>
  <c r="F166" i="3"/>
  <c r="F156" i="3"/>
  <c r="F168" i="3"/>
  <c r="F165" i="3"/>
  <c r="F167" i="3"/>
  <c r="F163" i="3"/>
  <c r="F216" i="3"/>
  <c r="F158" i="3"/>
  <c r="F160" i="3"/>
  <c r="F159" i="3"/>
  <c r="Y185" i="4"/>
  <c r="S107" i="4"/>
  <c r="S100" i="4" s="1"/>
  <c r="S84" i="4" s="1"/>
  <c r="F40" i="6"/>
  <c r="F132" i="6"/>
  <c r="F78" i="6"/>
  <c r="F220" i="7" s="1"/>
  <c r="F105" i="6"/>
  <c r="Y189" i="4"/>
  <c r="F135" i="3"/>
  <c r="F126" i="3"/>
  <c r="F131" i="3"/>
  <c r="F136" i="3"/>
  <c r="F132" i="3"/>
  <c r="F138" i="3"/>
  <c r="F186" i="3"/>
  <c r="F137" i="3"/>
  <c r="F134" i="3"/>
  <c r="F133" i="3"/>
  <c r="F128" i="3"/>
  <c r="F130" i="3"/>
  <c r="F129" i="3"/>
  <c r="G79" i="5"/>
  <c r="G134" i="7" s="1"/>
  <c r="G133" i="5"/>
  <c r="G106" i="5"/>
  <c r="G43" i="5"/>
  <c r="R19" i="7"/>
  <c r="R57" i="4"/>
  <c r="R183" i="4"/>
  <c r="R210" i="4"/>
  <c r="Y47" i="4" l="1"/>
  <c r="Y46" i="4"/>
  <c r="Y267" i="4" s="1"/>
  <c r="Y184" i="4"/>
  <c r="Y265" i="4"/>
  <c r="G127" i="6"/>
  <c r="G73" i="6"/>
  <c r="G215" i="7" s="1"/>
  <c r="G100" i="6"/>
  <c r="G34" i="6"/>
  <c r="Y186" i="4"/>
  <c r="R3" i="7"/>
  <c r="R167" i="4"/>
  <c r="F131" i="6"/>
  <c r="F80" i="3"/>
  <c r="F77" i="6"/>
  <c r="F219" i="7" s="1"/>
  <c r="F104" i="6"/>
  <c r="F33" i="6"/>
  <c r="G124" i="5"/>
  <c r="G70" i="5"/>
  <c r="G125" i="7" s="1"/>
  <c r="G38" i="3"/>
  <c r="G97" i="5"/>
  <c r="Y187" i="4"/>
  <c r="Y268" i="4"/>
  <c r="S80" i="4"/>
  <c r="S27" i="7"/>
  <c r="S191" i="4"/>
  <c r="S218" i="4"/>
  <c r="F137" i="5"/>
  <c r="F83" i="5"/>
  <c r="F138" i="7" s="1"/>
  <c r="F50" i="3"/>
  <c r="F110" i="5"/>
  <c r="F42" i="5"/>
  <c r="G131" i="5"/>
  <c r="G77" i="5"/>
  <c r="G132" i="7" s="1"/>
  <c r="G49" i="3"/>
  <c r="G104" i="5"/>
  <c r="Y25" i="4"/>
  <c r="Y24" i="4"/>
  <c r="Y21" i="4"/>
  <c r="F70" i="6" l="1"/>
  <c r="F97" i="6"/>
  <c r="F17" i="6"/>
  <c r="G201" i="3"/>
  <c r="F202" i="3"/>
  <c r="F48" i="3"/>
  <c r="G139" i="5"/>
  <c r="G85" i="5"/>
  <c r="G140" i="7" s="1"/>
  <c r="G112" i="5"/>
  <c r="S26" i="7"/>
  <c r="S73" i="4"/>
  <c r="S190" i="4"/>
  <c r="S217" i="4"/>
  <c r="G190" i="3"/>
  <c r="G119" i="5"/>
  <c r="G65" i="5"/>
  <c r="G120" i="7" s="1"/>
  <c r="G92" i="5"/>
  <c r="G21" i="5"/>
  <c r="Y215" i="4"/>
  <c r="F232" i="3"/>
  <c r="F78" i="3"/>
  <c r="Y216" i="4"/>
  <c r="G120" i="6"/>
  <c r="G66" i="6"/>
  <c r="G208" i="7" s="1"/>
  <c r="G93" i="6"/>
  <c r="G27" i="6"/>
  <c r="K55" i="7"/>
  <c r="K134" i="4"/>
  <c r="G79" i="3"/>
  <c r="G125" i="6"/>
  <c r="G71" i="6"/>
  <c r="G213" i="7" s="1"/>
  <c r="G98" i="6"/>
  <c r="Y264" i="4"/>
  <c r="Y272" i="4"/>
  <c r="Y273" i="4"/>
  <c r="Y271" i="4"/>
  <c r="Y269" i="4"/>
  <c r="Y270" i="4"/>
  <c r="Y266" i="4"/>
  <c r="Y212" i="4"/>
  <c r="G113" i="6"/>
  <c r="G59" i="6"/>
  <c r="G201" i="7" s="1"/>
  <c r="G86" i="6"/>
  <c r="G20" i="6"/>
  <c r="F76" i="5"/>
  <c r="F103" i="5"/>
  <c r="F17" i="5"/>
  <c r="Y22" i="4"/>
  <c r="Y23" i="4"/>
  <c r="Y20" i="4" l="1"/>
  <c r="Y211" i="4"/>
  <c r="Y19" i="3"/>
  <c r="Y157" i="4"/>
  <c r="Y19" i="4"/>
  <c r="G111" i="6"/>
  <c r="G67" i="3"/>
  <c r="G57" i="6"/>
  <c r="G199" i="7" s="1"/>
  <c r="G84" i="6"/>
  <c r="G18" i="6"/>
  <c r="G231" i="3"/>
  <c r="F200" i="3"/>
  <c r="F47" i="3"/>
  <c r="F140" i="3" s="1"/>
  <c r="T107" i="4"/>
  <c r="T100" i="4" s="1"/>
  <c r="T84" i="4" s="1"/>
  <c r="F77" i="3"/>
  <c r="F230" i="3"/>
  <c r="G63" i="5"/>
  <c r="G118" i="7" s="1"/>
  <c r="G117" i="5"/>
  <c r="G37" i="3"/>
  <c r="G90" i="5"/>
  <c r="G18" i="5"/>
  <c r="F136" i="6"/>
  <c r="F135" i="6"/>
  <c r="F155" i="6"/>
  <c r="F156" i="6"/>
  <c r="F142" i="6"/>
  <c r="F148" i="6"/>
  <c r="F149" i="6"/>
  <c r="F146" i="6"/>
  <c r="F141" i="6"/>
  <c r="F153" i="6"/>
  <c r="F137" i="6"/>
  <c r="F54" i="6"/>
  <c r="F139" i="6"/>
  <c r="F154" i="6"/>
  <c r="F147" i="6"/>
  <c r="F152" i="6"/>
  <c r="F145" i="6"/>
  <c r="F140" i="6"/>
  <c r="F138" i="6"/>
  <c r="F160" i="6"/>
  <c r="F159" i="6"/>
  <c r="F158" i="6"/>
  <c r="F142" i="5"/>
  <c r="F60" i="5"/>
  <c r="F141" i="5"/>
  <c r="F150" i="5"/>
  <c r="F156" i="5"/>
  <c r="F161" i="5"/>
  <c r="F162" i="5"/>
  <c r="F163" i="5"/>
  <c r="F148" i="5"/>
  <c r="F155" i="5"/>
  <c r="F154" i="5"/>
  <c r="F147" i="5"/>
  <c r="F159" i="5"/>
  <c r="F152" i="5"/>
  <c r="F143" i="5"/>
  <c r="F145" i="5"/>
  <c r="F160" i="5"/>
  <c r="F153" i="5"/>
  <c r="F158" i="5"/>
  <c r="F151" i="5"/>
  <c r="F146" i="5"/>
  <c r="F166" i="5"/>
  <c r="F144" i="5"/>
  <c r="F165" i="5"/>
  <c r="F164" i="5"/>
  <c r="G68" i="3"/>
  <c r="G118" i="6"/>
  <c r="G64" i="6"/>
  <c r="G206" i="7" s="1"/>
  <c r="G91" i="6"/>
  <c r="S19" i="7"/>
  <c r="S57" i="4"/>
  <c r="S183" i="4"/>
  <c r="S210" i="4"/>
  <c r="T54" i="7"/>
  <c r="Y214" i="4"/>
  <c r="F157" i="5"/>
  <c r="F151" i="6"/>
  <c r="Y213" i="4"/>
  <c r="K53" i="7"/>
  <c r="K127" i="4"/>
  <c r="F170" i="3" l="1"/>
  <c r="S3" i="7"/>
  <c r="S167" i="4"/>
  <c r="G189" i="3"/>
  <c r="G35" i="3"/>
  <c r="Y156" i="4"/>
  <c r="Y237" i="4"/>
  <c r="Y245" i="4"/>
  <c r="Y246" i="4"/>
  <c r="Y244" i="4"/>
  <c r="Y242" i="4"/>
  <c r="Y239" i="4"/>
  <c r="Y243" i="4"/>
  <c r="F147" i="3"/>
  <c r="F144" i="3"/>
  <c r="F143" i="3"/>
  <c r="F150" i="3"/>
  <c r="F149" i="3"/>
  <c r="F199" i="3"/>
  <c r="F148" i="3"/>
  <c r="F139" i="3"/>
  <c r="F145" i="3"/>
  <c r="F146" i="3"/>
  <c r="F141" i="3"/>
  <c r="F142" i="3"/>
  <c r="G219" i="3"/>
  <c r="G65" i="3"/>
  <c r="Y238" i="4"/>
  <c r="Y136" i="5"/>
  <c r="Y82" i="5"/>
  <c r="Y137" i="7" s="1"/>
  <c r="Y109" i="5"/>
  <c r="Y18" i="3"/>
  <c r="K46" i="7"/>
  <c r="K111" i="4"/>
  <c r="K30" i="7" s="1"/>
  <c r="Y241" i="4"/>
  <c r="G220" i="3"/>
  <c r="G61" i="5"/>
  <c r="G88" i="5"/>
  <c r="F177" i="3"/>
  <c r="F169" i="3"/>
  <c r="F175" i="3"/>
  <c r="F176" i="3"/>
  <c r="F173" i="3"/>
  <c r="F174" i="3"/>
  <c r="F180" i="3"/>
  <c r="F179" i="3"/>
  <c r="F178" i="3"/>
  <c r="F229" i="3"/>
  <c r="F171" i="3"/>
  <c r="F172" i="3"/>
  <c r="Y240" i="4"/>
  <c r="T80" i="4"/>
  <c r="T27" i="7"/>
  <c r="T191" i="4"/>
  <c r="T218" i="4"/>
  <c r="G55" i="6"/>
  <c r="G82" i="6"/>
  <c r="Y17" i="3" l="1"/>
  <c r="G64" i="3"/>
  <c r="G217" i="3"/>
  <c r="T26" i="7"/>
  <c r="T73" i="4"/>
  <c r="T190" i="4"/>
  <c r="T217" i="4"/>
  <c r="G187" i="3"/>
  <c r="G34" i="3"/>
  <c r="G127" i="3" s="1"/>
  <c r="Y157" i="6"/>
  <c r="Y130" i="6"/>
  <c r="Y76" i="6"/>
  <c r="Y103" i="6"/>
  <c r="G133" i="6"/>
  <c r="G79" i="6"/>
  <c r="G221" i="7" s="1"/>
  <c r="G106" i="6"/>
  <c r="G157" i="3" l="1"/>
  <c r="T19" i="7"/>
  <c r="T57" i="4"/>
  <c r="T183" i="4"/>
  <c r="T210" i="4"/>
  <c r="Y120" i="3"/>
  <c r="Y114" i="3"/>
  <c r="Y117" i="3"/>
  <c r="Y115" i="3"/>
  <c r="Y109" i="3"/>
  <c r="Y113" i="3"/>
  <c r="Y116" i="3"/>
  <c r="Y118" i="3"/>
  <c r="Y119" i="3"/>
  <c r="Y112" i="3"/>
  <c r="Y111" i="3"/>
  <c r="U54" i="7"/>
  <c r="G135" i="3"/>
  <c r="G133" i="3"/>
  <c r="G126" i="3"/>
  <c r="G131" i="3"/>
  <c r="G136" i="3"/>
  <c r="G138" i="3"/>
  <c r="G186" i="3"/>
  <c r="G134" i="3"/>
  <c r="G137" i="3"/>
  <c r="G132" i="3"/>
  <c r="G128" i="3"/>
  <c r="G130" i="3"/>
  <c r="G129" i="3"/>
  <c r="G161" i="3"/>
  <c r="G165" i="3"/>
  <c r="G166" i="3"/>
  <c r="G156" i="3"/>
  <c r="G167" i="3"/>
  <c r="G163" i="3"/>
  <c r="G168" i="3"/>
  <c r="G158" i="3"/>
  <c r="G216" i="3"/>
  <c r="G159" i="3"/>
  <c r="G160" i="3"/>
  <c r="G132" i="6"/>
  <c r="G40" i="6"/>
  <c r="G78" i="6"/>
  <c r="G220" i="7" s="1"/>
  <c r="G105" i="6"/>
  <c r="Y110" i="3"/>
  <c r="U107" i="4"/>
  <c r="U100" i="4" s="1"/>
  <c r="U84" i="4" s="1"/>
  <c r="G52" i="5"/>
  <c r="G138" i="5"/>
  <c r="G84" i="5"/>
  <c r="G139" i="7" s="1"/>
  <c r="G111" i="5"/>
  <c r="G83" i="5" l="1"/>
  <c r="G138" i="7" s="1"/>
  <c r="G137" i="5"/>
  <c r="G50" i="3"/>
  <c r="G110" i="5"/>
  <c r="G42" i="5"/>
  <c r="U27" i="7"/>
  <c r="U80" i="4"/>
  <c r="U191" i="4"/>
  <c r="U218" i="4"/>
  <c r="G77" i="6"/>
  <c r="G219" i="7" s="1"/>
  <c r="G131" i="6"/>
  <c r="G80" i="3"/>
  <c r="G104" i="6"/>
  <c r="G33" i="6"/>
  <c r="T3" i="7"/>
  <c r="T167" i="4"/>
  <c r="G76" i="5" l="1"/>
  <c r="G103" i="5"/>
  <c r="G17" i="5"/>
  <c r="G232" i="3"/>
  <c r="G78" i="3"/>
  <c r="G202" i="3"/>
  <c r="G48" i="3"/>
  <c r="G70" i="6"/>
  <c r="G97" i="6"/>
  <c r="G17" i="6"/>
  <c r="G151" i="6" s="1"/>
  <c r="U26" i="7"/>
  <c r="U73" i="4"/>
  <c r="U190" i="4"/>
  <c r="U217" i="4"/>
  <c r="G77" i="3" l="1"/>
  <c r="G170" i="3"/>
  <c r="G230" i="3"/>
  <c r="U19" i="7"/>
  <c r="U57" i="4"/>
  <c r="U183" i="4"/>
  <c r="U210" i="4"/>
  <c r="V54" i="7"/>
  <c r="G200" i="3"/>
  <c r="G47" i="3"/>
  <c r="G140" i="3" s="1"/>
  <c r="G60" i="5"/>
  <c r="G141" i="5"/>
  <c r="G150" i="5"/>
  <c r="G156" i="5"/>
  <c r="G161" i="5"/>
  <c r="G162" i="5"/>
  <c r="G163" i="5"/>
  <c r="G148" i="5"/>
  <c r="G155" i="5"/>
  <c r="G154" i="5"/>
  <c r="G147" i="5"/>
  <c r="G159" i="5"/>
  <c r="G143" i="5"/>
  <c r="G152" i="5"/>
  <c r="G145" i="5"/>
  <c r="G153" i="5"/>
  <c r="G160" i="5"/>
  <c r="G151" i="5"/>
  <c r="G158" i="5"/>
  <c r="G166" i="5"/>
  <c r="G146" i="5"/>
  <c r="G144" i="5"/>
  <c r="G142" i="5"/>
  <c r="G165" i="5"/>
  <c r="G164" i="5"/>
  <c r="V107" i="4"/>
  <c r="V100" i="4" s="1"/>
  <c r="V84" i="4" s="1"/>
  <c r="G54" i="6"/>
  <c r="G135" i="6"/>
  <c r="G155" i="6"/>
  <c r="G156" i="6"/>
  <c r="G142" i="6"/>
  <c r="G149" i="6"/>
  <c r="G148" i="6"/>
  <c r="G153" i="6"/>
  <c r="G141" i="6"/>
  <c r="G137" i="6"/>
  <c r="G146" i="6"/>
  <c r="G139" i="6"/>
  <c r="G154" i="6"/>
  <c r="G147" i="6"/>
  <c r="G140" i="6"/>
  <c r="G152" i="6"/>
  <c r="G145" i="6"/>
  <c r="G138" i="6"/>
  <c r="G136" i="6"/>
  <c r="G160" i="6"/>
  <c r="G159" i="6"/>
  <c r="G158" i="6"/>
  <c r="G157" i="5"/>
  <c r="H72" i="5" l="1"/>
  <c r="H127" i="7" s="1"/>
  <c r="H126" i="5"/>
  <c r="H99" i="5"/>
  <c r="H33" i="5"/>
  <c r="V80" i="4"/>
  <c r="V27" i="7"/>
  <c r="V191" i="4"/>
  <c r="V218" i="4"/>
  <c r="U3" i="7"/>
  <c r="U167" i="4"/>
  <c r="H133" i="5"/>
  <c r="H79" i="5"/>
  <c r="H134" i="7" s="1"/>
  <c r="H106" i="5"/>
  <c r="H43" i="5"/>
  <c r="H127" i="6"/>
  <c r="H73" i="6"/>
  <c r="H215" i="7" s="1"/>
  <c r="H100" i="6"/>
  <c r="H34" i="6"/>
  <c r="G139" i="3"/>
  <c r="G145" i="3"/>
  <c r="G147" i="3"/>
  <c r="G143" i="3"/>
  <c r="G146" i="3"/>
  <c r="G150" i="3"/>
  <c r="G144" i="3"/>
  <c r="G149" i="3"/>
  <c r="G199" i="3"/>
  <c r="G148" i="3"/>
  <c r="G141" i="3"/>
  <c r="G142" i="3"/>
  <c r="G169" i="3"/>
  <c r="G175" i="3"/>
  <c r="G176" i="3"/>
  <c r="G173" i="3"/>
  <c r="G177" i="3"/>
  <c r="G174" i="3"/>
  <c r="G180" i="3"/>
  <c r="G179" i="3"/>
  <c r="G178" i="3"/>
  <c r="G229" i="3"/>
  <c r="G171" i="3"/>
  <c r="G172" i="3"/>
  <c r="W54" i="7" l="1"/>
  <c r="H113" i="6"/>
  <c r="H59" i="6"/>
  <c r="H201" i="7" s="1"/>
  <c r="H86" i="6"/>
  <c r="H20" i="6"/>
  <c r="H131" i="5"/>
  <c r="H77" i="5"/>
  <c r="H132" i="7" s="1"/>
  <c r="H49" i="3"/>
  <c r="H104" i="5"/>
  <c r="V73" i="4"/>
  <c r="V26" i="7"/>
  <c r="V190" i="4"/>
  <c r="V217" i="4"/>
  <c r="H70" i="5"/>
  <c r="H125" i="7" s="1"/>
  <c r="H124" i="5"/>
  <c r="H38" i="3"/>
  <c r="H97" i="5"/>
  <c r="W107" i="4"/>
  <c r="W100" i="4" s="1"/>
  <c r="W84" i="4" s="1"/>
  <c r="H71" i="6"/>
  <c r="H213" i="7" s="1"/>
  <c r="H125" i="6"/>
  <c r="H79" i="3"/>
  <c r="H98" i="6"/>
  <c r="H65" i="5"/>
  <c r="H120" i="7" s="1"/>
  <c r="H119" i="5"/>
  <c r="H92" i="5"/>
  <c r="H21" i="5"/>
  <c r="H85" i="5"/>
  <c r="H140" i="7" s="1"/>
  <c r="H139" i="5"/>
  <c r="H112" i="5"/>
  <c r="H57" i="6" l="1"/>
  <c r="H199" i="7" s="1"/>
  <c r="H111" i="6"/>
  <c r="H67" i="3"/>
  <c r="H84" i="6"/>
  <c r="H120" i="6"/>
  <c r="H66" i="6"/>
  <c r="H208" i="7" s="1"/>
  <c r="H93" i="6"/>
  <c r="H27" i="6"/>
  <c r="H201" i="3"/>
  <c r="H63" i="5"/>
  <c r="H118" i="7" s="1"/>
  <c r="H117" i="5"/>
  <c r="H37" i="3"/>
  <c r="H90" i="5"/>
  <c r="H18" i="5"/>
  <c r="W27" i="7"/>
  <c r="W80" i="4"/>
  <c r="W191" i="4"/>
  <c r="W218" i="4"/>
  <c r="H190" i="3"/>
  <c r="H231" i="3"/>
  <c r="V19" i="7"/>
  <c r="V57" i="4"/>
  <c r="V183" i="4"/>
  <c r="V210" i="4"/>
  <c r="H189" i="3" l="1"/>
  <c r="H35" i="3"/>
  <c r="H219" i="3"/>
  <c r="H118" i="6"/>
  <c r="H68" i="3"/>
  <c r="H65" i="3" s="1"/>
  <c r="H64" i="6"/>
  <c r="H206" i="7" s="1"/>
  <c r="H91" i="6"/>
  <c r="V3" i="7"/>
  <c r="V167" i="4"/>
  <c r="W26" i="7"/>
  <c r="W73" i="4"/>
  <c r="W190" i="4"/>
  <c r="W217" i="4"/>
  <c r="H133" i="6"/>
  <c r="H79" i="6"/>
  <c r="H221" i="7" s="1"/>
  <c r="H106" i="6"/>
  <c r="H61" i="5"/>
  <c r="H88" i="5"/>
  <c r="H18" i="6"/>
  <c r="H55" i="6" l="1"/>
  <c r="H82" i="6"/>
  <c r="H64" i="3"/>
  <c r="H160" i="3" s="1"/>
  <c r="H157" i="3"/>
  <c r="H217" i="3"/>
  <c r="X107" i="4"/>
  <c r="X100" i="4" s="1"/>
  <c r="X84" i="4" s="1"/>
  <c r="H187" i="3"/>
  <c r="H34" i="3"/>
  <c r="H127" i="3" s="1"/>
  <c r="X54" i="7"/>
  <c r="H220" i="3"/>
  <c r="W19" i="7"/>
  <c r="W57" i="4"/>
  <c r="W183" i="4"/>
  <c r="W210" i="4"/>
  <c r="H40" i="6" l="1"/>
  <c r="H132" i="6"/>
  <c r="H78" i="6"/>
  <c r="H220" i="7" s="1"/>
  <c r="H105" i="6"/>
  <c r="H52" i="5"/>
  <c r="H138" i="5"/>
  <c r="H84" i="5"/>
  <c r="H139" i="7" s="1"/>
  <c r="H111" i="5"/>
  <c r="H163" i="3"/>
  <c r="H161" i="3"/>
  <c r="H166" i="3"/>
  <c r="H156" i="3"/>
  <c r="H167" i="3"/>
  <c r="H168" i="3"/>
  <c r="H165" i="3"/>
  <c r="H216" i="3"/>
  <c r="H158" i="3"/>
  <c r="H159" i="3"/>
  <c r="L55" i="7"/>
  <c r="L134" i="4"/>
  <c r="H132" i="3"/>
  <c r="H136" i="3"/>
  <c r="H137" i="3"/>
  <c r="H134" i="3"/>
  <c r="H138" i="3"/>
  <c r="H131" i="3"/>
  <c r="H186" i="3"/>
  <c r="H133" i="3"/>
  <c r="H126" i="3"/>
  <c r="H135" i="3"/>
  <c r="H128" i="3"/>
  <c r="H130" i="3"/>
  <c r="H129" i="3"/>
  <c r="W3" i="7"/>
  <c r="W167" i="4"/>
  <c r="X80" i="4"/>
  <c r="X27" i="7"/>
  <c r="X191" i="4"/>
  <c r="X218" i="4"/>
  <c r="L53" i="7" l="1"/>
  <c r="L127" i="4"/>
  <c r="H42" i="5"/>
  <c r="H137" i="5"/>
  <c r="H83" i="5"/>
  <c r="H138" i="7" s="1"/>
  <c r="H50" i="3"/>
  <c r="H110" i="5"/>
  <c r="X26" i="7"/>
  <c r="X73" i="4"/>
  <c r="X190" i="4"/>
  <c r="X217" i="4"/>
  <c r="H131" i="6"/>
  <c r="H80" i="3"/>
  <c r="H77" i="6"/>
  <c r="H219" i="7" s="1"/>
  <c r="H104" i="6"/>
  <c r="H33" i="6"/>
  <c r="Y54" i="7" l="1"/>
  <c r="H76" i="5"/>
  <c r="H103" i="5"/>
  <c r="H17" i="5"/>
  <c r="X19" i="7"/>
  <c r="X57" i="4"/>
  <c r="X183" i="4"/>
  <c r="X210" i="4"/>
  <c r="L46" i="7"/>
  <c r="L111" i="4"/>
  <c r="L30" i="7" s="1"/>
  <c r="Y107" i="4"/>
  <c r="Y100" i="4" s="1"/>
  <c r="Y84" i="4" s="1"/>
  <c r="H70" i="6"/>
  <c r="H97" i="6"/>
  <c r="H17" i="6"/>
  <c r="H151" i="6" s="1"/>
  <c r="H202" i="3"/>
  <c r="H48" i="3"/>
  <c r="H232" i="3"/>
  <c r="H78" i="3"/>
  <c r="X3" i="7" l="1"/>
  <c r="X167" i="4"/>
  <c r="H77" i="3"/>
  <c r="H170" i="3"/>
  <c r="H230" i="3"/>
  <c r="H141" i="5"/>
  <c r="H60" i="5"/>
  <c r="H150" i="5"/>
  <c r="H156" i="5"/>
  <c r="H161" i="5"/>
  <c r="H162" i="5"/>
  <c r="H163" i="5"/>
  <c r="H148" i="5"/>
  <c r="H155" i="5"/>
  <c r="H154" i="5"/>
  <c r="H147" i="5"/>
  <c r="H143" i="5"/>
  <c r="H152" i="5"/>
  <c r="H159" i="5"/>
  <c r="H145" i="5"/>
  <c r="H153" i="5"/>
  <c r="H160" i="5"/>
  <c r="H151" i="5"/>
  <c r="H146" i="5"/>
  <c r="H158" i="5"/>
  <c r="H166" i="5"/>
  <c r="H144" i="5"/>
  <c r="H142" i="5"/>
  <c r="H165" i="5"/>
  <c r="H164" i="5"/>
  <c r="H157" i="5"/>
  <c r="H200" i="3"/>
  <c r="H47" i="3"/>
  <c r="H140" i="3"/>
  <c r="H135" i="6"/>
  <c r="H156" i="6"/>
  <c r="H155" i="6"/>
  <c r="H142" i="6"/>
  <c r="H149" i="6"/>
  <c r="H54" i="6"/>
  <c r="H148" i="6"/>
  <c r="H141" i="6"/>
  <c r="H146" i="6"/>
  <c r="H153" i="6"/>
  <c r="H137" i="6"/>
  <c r="H139" i="6"/>
  <c r="H154" i="6"/>
  <c r="H140" i="6"/>
  <c r="H152" i="6"/>
  <c r="H147" i="6"/>
  <c r="H138" i="6"/>
  <c r="H145" i="6"/>
  <c r="H160" i="6"/>
  <c r="H136" i="6"/>
  <c r="H159" i="6"/>
  <c r="H158" i="6"/>
  <c r="Y80" i="4"/>
  <c r="Y27" i="7"/>
  <c r="Y191" i="4"/>
  <c r="Y218" i="4"/>
  <c r="H174" i="3" l="1"/>
  <c r="H180" i="3"/>
  <c r="H179" i="3"/>
  <c r="H178" i="3"/>
  <c r="H169" i="3"/>
  <c r="H175" i="3"/>
  <c r="H177" i="3"/>
  <c r="H176" i="3"/>
  <c r="H173" i="3"/>
  <c r="H229" i="3"/>
  <c r="H171" i="3"/>
  <c r="H172" i="3"/>
  <c r="Y26" i="7"/>
  <c r="Y73" i="4"/>
  <c r="Y190" i="4"/>
  <c r="Y217" i="4"/>
  <c r="H144" i="3"/>
  <c r="H139" i="3"/>
  <c r="H145" i="3"/>
  <c r="H150" i="3"/>
  <c r="H199" i="3"/>
  <c r="H146" i="3"/>
  <c r="H147" i="3"/>
  <c r="H143" i="3"/>
  <c r="H149" i="3"/>
  <c r="H148" i="3"/>
  <c r="H141" i="3"/>
  <c r="H142" i="3"/>
  <c r="I133" i="5" l="1"/>
  <c r="I79" i="5"/>
  <c r="I134" i="7" s="1"/>
  <c r="I106" i="5"/>
  <c r="I43" i="5"/>
  <c r="I72" i="5"/>
  <c r="I127" i="7" s="1"/>
  <c r="I126" i="5"/>
  <c r="I99" i="5"/>
  <c r="I33" i="5"/>
  <c r="I127" i="6"/>
  <c r="I73" i="6"/>
  <c r="I215" i="7" s="1"/>
  <c r="I100" i="6"/>
  <c r="I34" i="6"/>
  <c r="Y19" i="7"/>
  <c r="Y57" i="4"/>
  <c r="Y3" i="7" s="1"/>
  <c r="Y183" i="4"/>
  <c r="Y210" i="4"/>
  <c r="I139" i="5" l="1"/>
  <c r="I85" i="5"/>
  <c r="I140" i="7" s="1"/>
  <c r="I112" i="5"/>
  <c r="I71" i="6"/>
  <c r="I213" i="7" s="1"/>
  <c r="I125" i="6"/>
  <c r="I79" i="3"/>
  <c r="I98" i="6"/>
  <c r="I77" i="5"/>
  <c r="I132" i="7" s="1"/>
  <c r="I131" i="5"/>
  <c r="I49" i="3"/>
  <c r="I104" i="5"/>
  <c r="I119" i="5"/>
  <c r="I65" i="5"/>
  <c r="I120" i="7" s="1"/>
  <c r="I92" i="5"/>
  <c r="I21" i="5"/>
  <c r="I124" i="5"/>
  <c r="I70" i="5"/>
  <c r="I125" i="7" s="1"/>
  <c r="I38" i="3"/>
  <c r="I97" i="5"/>
  <c r="I18" i="5" l="1"/>
  <c r="I117" i="5"/>
  <c r="I63" i="5"/>
  <c r="I118" i="7" s="1"/>
  <c r="I37" i="3"/>
  <c r="I90" i="5"/>
  <c r="I201" i="3"/>
  <c r="I190" i="3"/>
  <c r="I120" i="6"/>
  <c r="I66" i="6"/>
  <c r="I208" i="7" s="1"/>
  <c r="I93" i="6"/>
  <c r="I27" i="6"/>
  <c r="I231" i="3"/>
  <c r="I113" i="6" l="1"/>
  <c r="I59" i="6"/>
  <c r="I201" i="7" s="1"/>
  <c r="I86" i="6"/>
  <c r="I20" i="6"/>
  <c r="I64" i="6"/>
  <c r="I206" i="7" s="1"/>
  <c r="I118" i="6"/>
  <c r="I68" i="3"/>
  <c r="I91" i="6"/>
  <c r="I189" i="3"/>
  <c r="I35" i="3"/>
  <c r="I61" i="5"/>
  <c r="I88" i="5"/>
  <c r="I187" i="3" l="1"/>
  <c r="I34" i="3"/>
  <c r="I127" i="3"/>
  <c r="I111" i="6"/>
  <c r="I67" i="3"/>
  <c r="I57" i="6"/>
  <c r="I199" i="7" s="1"/>
  <c r="I84" i="6"/>
  <c r="I18" i="6"/>
  <c r="I220" i="3"/>
  <c r="I219" i="3" l="1"/>
  <c r="I65" i="3"/>
  <c r="I133" i="6"/>
  <c r="I79" i="6"/>
  <c r="I221" i="7" s="1"/>
  <c r="I106" i="6"/>
  <c r="I55" i="6"/>
  <c r="I82" i="6"/>
  <c r="I134" i="3"/>
  <c r="I131" i="3"/>
  <c r="I135" i="3"/>
  <c r="I186" i="3"/>
  <c r="I126" i="3"/>
  <c r="I133" i="3"/>
  <c r="I136" i="3"/>
  <c r="I137" i="3"/>
  <c r="I132" i="3"/>
  <c r="I138" i="3"/>
  <c r="I128" i="3"/>
  <c r="I130" i="3"/>
  <c r="I129" i="3"/>
  <c r="I52" i="5" l="1"/>
  <c r="I84" i="5"/>
  <c r="I139" i="7" s="1"/>
  <c r="I138" i="5"/>
  <c r="I111" i="5"/>
  <c r="I64" i="3"/>
  <c r="I217" i="3"/>
  <c r="I40" i="6"/>
  <c r="I132" i="6"/>
  <c r="I78" i="6"/>
  <c r="I220" i="7" s="1"/>
  <c r="I105" i="6"/>
  <c r="I157" i="3" l="1"/>
  <c r="I83" i="5"/>
  <c r="I138" i="7" s="1"/>
  <c r="I137" i="5"/>
  <c r="I50" i="3"/>
  <c r="I110" i="5"/>
  <c r="I42" i="5"/>
  <c r="I166" i="3"/>
  <c r="I156" i="3"/>
  <c r="I167" i="3"/>
  <c r="I168" i="3"/>
  <c r="I163" i="3"/>
  <c r="I161" i="3"/>
  <c r="I165" i="3"/>
  <c r="I158" i="3"/>
  <c r="I216" i="3"/>
  <c r="I160" i="3"/>
  <c r="I159" i="3"/>
  <c r="I77" i="6"/>
  <c r="I219" i="7" s="1"/>
  <c r="I131" i="6"/>
  <c r="I80" i="3"/>
  <c r="I104" i="6"/>
  <c r="I33" i="6"/>
  <c r="I232" i="3" l="1"/>
  <c r="I78" i="3"/>
  <c r="I17" i="5"/>
  <c r="I157" i="5"/>
  <c r="I76" i="5"/>
  <c r="I103" i="5"/>
  <c r="I202" i="3"/>
  <c r="I48" i="3"/>
  <c r="I70" i="6"/>
  <c r="I97" i="6"/>
  <c r="I17" i="6"/>
  <c r="I136" i="6" l="1"/>
  <c r="I135" i="6"/>
  <c r="I156" i="6"/>
  <c r="I155" i="6"/>
  <c r="I148" i="6"/>
  <c r="I141" i="6"/>
  <c r="I54" i="6"/>
  <c r="I142" i="6"/>
  <c r="I149" i="6"/>
  <c r="I146" i="6"/>
  <c r="I153" i="6"/>
  <c r="I137" i="6"/>
  <c r="I139" i="6"/>
  <c r="I154" i="6"/>
  <c r="I152" i="6"/>
  <c r="I147" i="6"/>
  <c r="I145" i="6"/>
  <c r="I140" i="6"/>
  <c r="I138" i="6"/>
  <c r="I160" i="6"/>
  <c r="I159" i="6"/>
  <c r="I158" i="6"/>
  <c r="I141" i="5"/>
  <c r="I60" i="5"/>
  <c r="I150" i="5"/>
  <c r="I156" i="5"/>
  <c r="I162" i="5"/>
  <c r="I161" i="5"/>
  <c r="I163" i="5"/>
  <c r="I154" i="5"/>
  <c r="I147" i="5"/>
  <c r="I148" i="5"/>
  <c r="I155" i="5"/>
  <c r="I143" i="5"/>
  <c r="I152" i="5"/>
  <c r="I159" i="5"/>
  <c r="I145" i="5"/>
  <c r="I160" i="5"/>
  <c r="I153" i="5"/>
  <c r="I166" i="5"/>
  <c r="I151" i="5"/>
  <c r="I158" i="5"/>
  <c r="I146" i="5"/>
  <c r="I144" i="5"/>
  <c r="I142" i="5"/>
  <c r="I165" i="5"/>
  <c r="I164" i="5"/>
  <c r="M55" i="7"/>
  <c r="M134" i="4"/>
  <c r="I151" i="6"/>
  <c r="J133" i="5"/>
  <c r="J79" i="5"/>
  <c r="J134" i="7" s="1"/>
  <c r="J106" i="5"/>
  <c r="J43" i="5"/>
  <c r="I77" i="3"/>
  <c r="I230" i="3"/>
  <c r="I200" i="3"/>
  <c r="I47" i="3"/>
  <c r="I140" i="3" s="1"/>
  <c r="J126" i="5"/>
  <c r="J72" i="5"/>
  <c r="J127" i="7" s="1"/>
  <c r="J99" i="5"/>
  <c r="J33" i="5"/>
  <c r="I170" i="3" l="1"/>
  <c r="J70" i="5"/>
  <c r="J125" i="7" s="1"/>
  <c r="J124" i="5"/>
  <c r="J38" i="3"/>
  <c r="J97" i="5"/>
  <c r="J113" i="6"/>
  <c r="J59" i="6"/>
  <c r="J201" i="7" s="1"/>
  <c r="J86" i="6"/>
  <c r="J20" i="6"/>
  <c r="M53" i="7"/>
  <c r="M127" i="4"/>
  <c r="J127" i="6"/>
  <c r="J73" i="6"/>
  <c r="J215" i="7" s="1"/>
  <c r="J100" i="6"/>
  <c r="J34" i="6"/>
  <c r="I174" i="3"/>
  <c r="I176" i="3"/>
  <c r="I177" i="3"/>
  <c r="I173" i="3"/>
  <c r="I179" i="3"/>
  <c r="I180" i="3"/>
  <c r="I178" i="3"/>
  <c r="I169" i="3"/>
  <c r="I175" i="3"/>
  <c r="I229" i="3"/>
  <c r="I171" i="3"/>
  <c r="I172" i="3"/>
  <c r="J77" i="5"/>
  <c r="J132" i="7" s="1"/>
  <c r="J131" i="5"/>
  <c r="J49" i="3"/>
  <c r="J104" i="5"/>
  <c r="I147" i="3"/>
  <c r="I199" i="3"/>
  <c r="I143" i="3"/>
  <c r="I145" i="3"/>
  <c r="I144" i="3"/>
  <c r="I139" i="3"/>
  <c r="I146" i="3"/>
  <c r="I148" i="3"/>
  <c r="I149" i="3"/>
  <c r="I150" i="3"/>
  <c r="I141" i="3"/>
  <c r="I142" i="3"/>
  <c r="J65" i="5"/>
  <c r="J120" i="7" s="1"/>
  <c r="J119" i="5"/>
  <c r="J92" i="5"/>
  <c r="J21" i="5"/>
  <c r="J85" i="5"/>
  <c r="J140" i="7" s="1"/>
  <c r="J139" i="5"/>
  <c r="J112" i="5"/>
  <c r="J63" i="5" l="1"/>
  <c r="J118" i="7" s="1"/>
  <c r="J117" i="5"/>
  <c r="J37" i="3"/>
  <c r="J90" i="5"/>
  <c r="J18" i="5"/>
  <c r="J111" i="6"/>
  <c r="J67" i="3"/>
  <c r="J57" i="6"/>
  <c r="J199" i="7" s="1"/>
  <c r="J84" i="6"/>
  <c r="J190" i="3"/>
  <c r="J201" i="3"/>
  <c r="M46" i="7"/>
  <c r="M111" i="4"/>
  <c r="M30" i="7" s="1"/>
  <c r="J71" i="6"/>
  <c r="J213" i="7" s="1"/>
  <c r="J125" i="6"/>
  <c r="J79" i="3"/>
  <c r="J98" i="6"/>
  <c r="J120" i="6"/>
  <c r="J66" i="6"/>
  <c r="J208" i="7" s="1"/>
  <c r="J93" i="6"/>
  <c r="J27" i="6"/>
  <c r="J231" i="3" l="1"/>
  <c r="J18" i="6"/>
  <c r="J118" i="6"/>
  <c r="J68" i="3"/>
  <c r="J65" i="3" s="1"/>
  <c r="J64" i="6"/>
  <c r="J206" i="7" s="1"/>
  <c r="J91" i="6"/>
  <c r="J189" i="3"/>
  <c r="J35" i="3"/>
  <c r="J61" i="5"/>
  <c r="J88" i="5"/>
  <c r="J219" i="3"/>
  <c r="J133" i="6"/>
  <c r="J79" i="6"/>
  <c r="J221" i="7" s="1"/>
  <c r="J106" i="6"/>
  <c r="J187" i="3" l="1"/>
  <c r="J34" i="3"/>
  <c r="J127" i="3" s="1"/>
  <c r="J55" i="6"/>
  <c r="J82" i="6"/>
  <c r="J64" i="3"/>
  <c r="J217" i="3"/>
  <c r="J220" i="3"/>
  <c r="J157" i="3" l="1"/>
  <c r="J135" i="3"/>
  <c r="J136" i="3"/>
  <c r="J138" i="3"/>
  <c r="J126" i="3"/>
  <c r="J131" i="3"/>
  <c r="J186" i="3"/>
  <c r="J133" i="3"/>
  <c r="J132" i="3"/>
  <c r="J134" i="3"/>
  <c r="J137" i="3"/>
  <c r="J128" i="3"/>
  <c r="J130" i="3"/>
  <c r="J129" i="3"/>
  <c r="J40" i="6"/>
  <c r="J132" i="6"/>
  <c r="J78" i="6"/>
  <c r="J220" i="7" s="1"/>
  <c r="J105" i="6"/>
  <c r="J166" i="3"/>
  <c r="J156" i="3"/>
  <c r="J167" i="3"/>
  <c r="J168" i="3"/>
  <c r="J163" i="3"/>
  <c r="J161" i="3"/>
  <c r="J165" i="3"/>
  <c r="J158" i="3"/>
  <c r="J216" i="3"/>
  <c r="J159" i="3"/>
  <c r="J160" i="3"/>
  <c r="J84" i="5"/>
  <c r="J139" i="7" s="1"/>
  <c r="J52" i="5"/>
  <c r="J138" i="5"/>
  <c r="J111" i="5"/>
  <c r="J131" i="6" l="1"/>
  <c r="J80" i="3"/>
  <c r="J77" i="6"/>
  <c r="J219" i="7" s="1"/>
  <c r="J104" i="6"/>
  <c r="J33" i="6"/>
  <c r="J137" i="5"/>
  <c r="J83" i="5"/>
  <c r="J138" i="7" s="1"/>
  <c r="J50" i="3"/>
  <c r="J110" i="5"/>
  <c r="J42" i="5"/>
  <c r="J202" i="3" l="1"/>
  <c r="J48" i="3"/>
  <c r="J232" i="3"/>
  <c r="J78" i="3"/>
  <c r="J70" i="6"/>
  <c r="J97" i="6"/>
  <c r="J17" i="6"/>
  <c r="J76" i="5"/>
  <c r="J103" i="5"/>
  <c r="J17" i="5"/>
  <c r="J157" i="5" s="1"/>
  <c r="J77" i="3" l="1"/>
  <c r="J230" i="3"/>
  <c r="J135" i="6"/>
  <c r="J156" i="6"/>
  <c r="J155" i="6"/>
  <c r="J148" i="6"/>
  <c r="J54" i="6"/>
  <c r="J142" i="6"/>
  <c r="J141" i="6"/>
  <c r="J143" i="6"/>
  <c r="J149" i="6"/>
  <c r="J137" i="6"/>
  <c r="J146" i="6"/>
  <c r="J153" i="6"/>
  <c r="J139" i="6"/>
  <c r="J140" i="6"/>
  <c r="J154" i="6"/>
  <c r="J138" i="6"/>
  <c r="J147" i="6"/>
  <c r="J152" i="6"/>
  <c r="J145" i="6"/>
  <c r="J160" i="6"/>
  <c r="J136" i="6"/>
  <c r="J159" i="6"/>
  <c r="J158" i="6"/>
  <c r="J151" i="6"/>
  <c r="J200" i="3"/>
  <c r="J47" i="3"/>
  <c r="J140" i="3" s="1"/>
  <c r="J164" i="5"/>
  <c r="J60" i="5"/>
  <c r="J141" i="5"/>
  <c r="J156" i="5"/>
  <c r="J162" i="5"/>
  <c r="J161" i="5"/>
  <c r="J163" i="5"/>
  <c r="J154" i="5"/>
  <c r="J147" i="5"/>
  <c r="J148" i="5"/>
  <c r="J149" i="5"/>
  <c r="J155" i="5"/>
  <c r="J150" i="5"/>
  <c r="J152" i="5"/>
  <c r="J159" i="5"/>
  <c r="J143" i="5"/>
  <c r="J145" i="5"/>
  <c r="J160" i="5"/>
  <c r="J153" i="5"/>
  <c r="J166" i="5"/>
  <c r="J158" i="5"/>
  <c r="J146" i="5"/>
  <c r="J151" i="5"/>
  <c r="J144" i="5"/>
  <c r="J142" i="5"/>
  <c r="J165" i="5"/>
  <c r="J170" i="3" l="1"/>
  <c r="J148" i="3"/>
  <c r="J147" i="3"/>
  <c r="J150" i="3"/>
  <c r="J139" i="3"/>
  <c r="J145" i="3"/>
  <c r="J144" i="3"/>
  <c r="J143" i="3"/>
  <c r="J199" i="3"/>
  <c r="J146" i="3"/>
  <c r="J149" i="3"/>
  <c r="J141" i="3"/>
  <c r="J142" i="3"/>
  <c r="J174" i="3"/>
  <c r="J179" i="3"/>
  <c r="J178" i="3"/>
  <c r="J169" i="3"/>
  <c r="J175" i="3"/>
  <c r="J176" i="3"/>
  <c r="J173" i="3"/>
  <c r="J177" i="3"/>
  <c r="J180" i="3"/>
  <c r="J229" i="3"/>
  <c r="J171" i="3"/>
  <c r="J172" i="3"/>
  <c r="K126" i="5" l="1"/>
  <c r="K72" i="5"/>
  <c r="K127" i="7" s="1"/>
  <c r="K99" i="5"/>
  <c r="K33" i="5"/>
  <c r="K133" i="5"/>
  <c r="K79" i="5"/>
  <c r="K134" i="7" s="1"/>
  <c r="K106" i="5"/>
  <c r="K43" i="5"/>
  <c r="K131" i="5" l="1"/>
  <c r="K77" i="5"/>
  <c r="K132" i="7" s="1"/>
  <c r="K49" i="3"/>
  <c r="K104" i="5"/>
  <c r="K127" i="6"/>
  <c r="K73" i="6"/>
  <c r="K215" i="7" s="1"/>
  <c r="K100" i="6"/>
  <c r="K34" i="6"/>
  <c r="K139" i="5"/>
  <c r="K85" i="5"/>
  <c r="K140" i="7" s="1"/>
  <c r="K112" i="5"/>
  <c r="K119" i="5"/>
  <c r="K65" i="5"/>
  <c r="K120" i="7" s="1"/>
  <c r="K92" i="5"/>
  <c r="K21" i="5"/>
  <c r="K70" i="5"/>
  <c r="K125" i="7" s="1"/>
  <c r="K124" i="5"/>
  <c r="K38" i="3"/>
  <c r="K97" i="5"/>
  <c r="K120" i="6" l="1"/>
  <c r="K66" i="6"/>
  <c r="K208" i="7" s="1"/>
  <c r="K93" i="6"/>
  <c r="K27" i="6"/>
  <c r="K18" i="5"/>
  <c r="K117" i="5"/>
  <c r="K63" i="5"/>
  <c r="K118" i="7" s="1"/>
  <c r="K37" i="3"/>
  <c r="K90" i="5"/>
  <c r="K125" i="6"/>
  <c r="K79" i="3"/>
  <c r="K71" i="6"/>
  <c r="K213" i="7" s="1"/>
  <c r="K98" i="6"/>
  <c r="K201" i="3"/>
  <c r="K190" i="3"/>
  <c r="K61" i="5" l="1"/>
  <c r="K88" i="5"/>
  <c r="K113" i="6"/>
  <c r="K59" i="6"/>
  <c r="K201" i="7" s="1"/>
  <c r="K86" i="6"/>
  <c r="K20" i="6"/>
  <c r="K118" i="6"/>
  <c r="K68" i="3"/>
  <c r="K64" i="6"/>
  <c r="K206" i="7" s="1"/>
  <c r="K91" i="6"/>
  <c r="N55" i="7"/>
  <c r="N134" i="4"/>
  <c r="K189" i="3"/>
  <c r="K35" i="3"/>
  <c r="K231" i="3"/>
  <c r="K220" i="3" l="1"/>
  <c r="K187" i="3"/>
  <c r="K34" i="3"/>
  <c r="K127" i="3" s="1"/>
  <c r="K111" i="6"/>
  <c r="K67" i="3"/>
  <c r="K57" i="6"/>
  <c r="K199" i="7" s="1"/>
  <c r="K84" i="6"/>
  <c r="K18" i="6"/>
  <c r="Y169" i="4"/>
  <c r="N53" i="7"/>
  <c r="N127" i="4"/>
  <c r="K219" i="3" l="1"/>
  <c r="K65" i="3"/>
  <c r="K133" i="6"/>
  <c r="K79" i="6"/>
  <c r="K221" i="7" s="1"/>
  <c r="K106" i="6"/>
  <c r="K186" i="3"/>
  <c r="K133" i="3"/>
  <c r="K135" i="3"/>
  <c r="K137" i="3"/>
  <c r="K126" i="3"/>
  <c r="K134" i="3"/>
  <c r="K131" i="3"/>
  <c r="K136" i="3"/>
  <c r="K138" i="3"/>
  <c r="K132" i="3"/>
  <c r="K128" i="3"/>
  <c r="K130" i="3"/>
  <c r="K129" i="3"/>
  <c r="K55" i="6"/>
  <c r="K82" i="6"/>
  <c r="N46" i="7"/>
  <c r="N111" i="4"/>
  <c r="N30" i="7" s="1"/>
  <c r="K64" i="3" l="1"/>
  <c r="K157" i="3" s="1"/>
  <c r="K217" i="3"/>
  <c r="K138" i="5" l="1"/>
  <c r="K52" i="5"/>
  <c r="K84" i="5"/>
  <c r="K139" i="7" s="1"/>
  <c r="K111" i="5"/>
  <c r="K132" i="6"/>
  <c r="K40" i="6"/>
  <c r="K78" i="6"/>
  <c r="K220" i="7" s="1"/>
  <c r="K105" i="6"/>
  <c r="K165" i="3"/>
  <c r="K163" i="3"/>
  <c r="K161" i="3"/>
  <c r="K166" i="3"/>
  <c r="K156" i="3"/>
  <c r="K167" i="3"/>
  <c r="K168" i="3"/>
  <c r="K158" i="3"/>
  <c r="K216" i="3"/>
  <c r="K160" i="3"/>
  <c r="K159" i="3"/>
  <c r="K42" i="5" l="1"/>
  <c r="K137" i="5"/>
  <c r="K83" i="5"/>
  <c r="K138" i="7" s="1"/>
  <c r="K50" i="3"/>
  <c r="K110" i="5"/>
  <c r="K131" i="6"/>
  <c r="K80" i="3"/>
  <c r="K77" i="6"/>
  <c r="K219" i="7" s="1"/>
  <c r="K104" i="6"/>
  <c r="K33" i="6"/>
  <c r="Y5" i="4"/>
  <c r="K70" i="6" l="1"/>
  <c r="K97" i="6"/>
  <c r="K17" i="6"/>
  <c r="K202" i="3"/>
  <c r="K48" i="3"/>
  <c r="L126" i="5"/>
  <c r="L72" i="5"/>
  <c r="L127" i="7" s="1"/>
  <c r="L99" i="5"/>
  <c r="L33" i="5"/>
  <c r="K232" i="3"/>
  <c r="K78" i="3"/>
  <c r="L127" i="6"/>
  <c r="L73" i="6"/>
  <c r="L215" i="7" s="1"/>
  <c r="L100" i="6"/>
  <c r="L34" i="6"/>
  <c r="Y6" i="3"/>
  <c r="Y196" i="4"/>
  <c r="L133" i="5"/>
  <c r="L79" i="5"/>
  <c r="L134" i="7" s="1"/>
  <c r="L106" i="5"/>
  <c r="L43" i="5"/>
  <c r="K76" i="5"/>
  <c r="K103" i="5"/>
  <c r="K17" i="5"/>
  <c r="Y174" i="4" l="1"/>
  <c r="L77" i="5"/>
  <c r="L132" i="7" s="1"/>
  <c r="L131" i="5"/>
  <c r="L49" i="3"/>
  <c r="L104" i="5"/>
  <c r="L124" i="5"/>
  <c r="L70" i="5"/>
  <c r="L125" i="7" s="1"/>
  <c r="L38" i="3"/>
  <c r="L97" i="5"/>
  <c r="Y175" i="4"/>
  <c r="K151" i="6"/>
  <c r="K135" i="6"/>
  <c r="K155" i="6"/>
  <c r="K156" i="6"/>
  <c r="K142" i="6"/>
  <c r="K148" i="6"/>
  <c r="K149" i="6"/>
  <c r="K143" i="6"/>
  <c r="K141" i="6"/>
  <c r="K54" i="6"/>
  <c r="K137" i="6"/>
  <c r="K153" i="6"/>
  <c r="K146" i="6"/>
  <c r="K139" i="6"/>
  <c r="K154" i="6"/>
  <c r="K147" i="6"/>
  <c r="K152" i="6"/>
  <c r="K145" i="6"/>
  <c r="K140" i="6"/>
  <c r="K138" i="6"/>
  <c r="K160" i="6"/>
  <c r="K136" i="6"/>
  <c r="K159" i="6"/>
  <c r="K158" i="6"/>
  <c r="K142" i="5"/>
  <c r="K141" i="5"/>
  <c r="K60" i="5"/>
  <c r="K156" i="5"/>
  <c r="K161" i="5"/>
  <c r="K162" i="5"/>
  <c r="K163" i="5"/>
  <c r="K148" i="5"/>
  <c r="K154" i="5"/>
  <c r="K155" i="5"/>
  <c r="K149" i="5"/>
  <c r="K147" i="5"/>
  <c r="K150" i="5"/>
  <c r="K143" i="5"/>
  <c r="K152" i="5"/>
  <c r="K159" i="5"/>
  <c r="K145" i="5"/>
  <c r="K153" i="5"/>
  <c r="K160" i="5"/>
  <c r="K151" i="5"/>
  <c r="K158" i="5"/>
  <c r="K146" i="5"/>
  <c r="K166" i="5"/>
  <c r="K144" i="5"/>
  <c r="K165" i="5"/>
  <c r="K164" i="5"/>
  <c r="K77" i="3"/>
  <c r="K230" i="3"/>
  <c r="K200" i="3"/>
  <c r="K47" i="3"/>
  <c r="K140" i="3" s="1"/>
  <c r="K157" i="5"/>
  <c r="L125" i="6"/>
  <c r="L79" i="3"/>
  <c r="L71" i="6"/>
  <c r="L213" i="7" s="1"/>
  <c r="L98" i="6"/>
  <c r="K170" i="3" l="1"/>
  <c r="L120" i="6"/>
  <c r="L66" i="6"/>
  <c r="L208" i="7" s="1"/>
  <c r="L93" i="6"/>
  <c r="L27" i="6"/>
  <c r="L65" i="5"/>
  <c r="L120" i="7" s="1"/>
  <c r="L119" i="5"/>
  <c r="L92" i="5"/>
  <c r="L21" i="5"/>
  <c r="L190" i="3"/>
  <c r="L231" i="3"/>
  <c r="Y172" i="4"/>
  <c r="L85" i="5"/>
  <c r="L140" i="7" s="1"/>
  <c r="L139" i="5"/>
  <c r="L112" i="5"/>
  <c r="Y173" i="4"/>
  <c r="L201" i="3"/>
  <c r="L113" i="6"/>
  <c r="L59" i="6"/>
  <c r="L201" i="7" s="1"/>
  <c r="L86" i="6"/>
  <c r="L20" i="6"/>
  <c r="K144" i="3"/>
  <c r="K199" i="3"/>
  <c r="K146" i="3"/>
  <c r="K150" i="3"/>
  <c r="K149" i="3"/>
  <c r="K145" i="3"/>
  <c r="K148" i="3"/>
  <c r="K147" i="3"/>
  <c r="K139" i="3"/>
  <c r="K143" i="3"/>
  <c r="K141" i="3"/>
  <c r="K142" i="3"/>
  <c r="K173" i="3"/>
  <c r="K174" i="3"/>
  <c r="K176" i="3"/>
  <c r="K180" i="3"/>
  <c r="K179" i="3"/>
  <c r="K178" i="3"/>
  <c r="K169" i="3"/>
  <c r="K175" i="3"/>
  <c r="K177" i="3"/>
  <c r="K229" i="3"/>
  <c r="K171" i="3"/>
  <c r="K172" i="3"/>
  <c r="L117" i="5" l="1"/>
  <c r="L63" i="5"/>
  <c r="L118" i="7" s="1"/>
  <c r="L37" i="3"/>
  <c r="L18" i="5"/>
  <c r="L90" i="5"/>
  <c r="L118" i="6"/>
  <c r="L68" i="3"/>
  <c r="L64" i="6"/>
  <c r="L206" i="7" s="1"/>
  <c r="L91" i="6"/>
  <c r="Y176" i="4"/>
  <c r="Y171" i="4"/>
  <c r="Y33" i="4"/>
  <c r="L111" i="6"/>
  <c r="L67" i="3"/>
  <c r="L57" i="6"/>
  <c r="L199" i="7" s="1"/>
  <c r="L18" i="6"/>
  <c r="L84" i="6"/>
  <c r="L220" i="3" l="1"/>
  <c r="L55" i="6"/>
  <c r="L82" i="6"/>
  <c r="L65" i="3"/>
  <c r="L219" i="3"/>
  <c r="L133" i="6"/>
  <c r="L79" i="6"/>
  <c r="L221" i="7" s="1"/>
  <c r="L106" i="6"/>
  <c r="L61" i="5"/>
  <c r="L88" i="5"/>
  <c r="Y170" i="4"/>
  <c r="L189" i="3"/>
  <c r="L35" i="3"/>
  <c r="L138" i="5" l="1"/>
  <c r="L84" i="5"/>
  <c r="L139" i="7" s="1"/>
  <c r="L52" i="5"/>
  <c r="L111" i="5"/>
  <c r="L40" i="6"/>
  <c r="L132" i="6"/>
  <c r="L78" i="6"/>
  <c r="L220" i="7" s="1"/>
  <c r="L105" i="6"/>
  <c r="L187" i="3"/>
  <c r="L34" i="3"/>
  <c r="L127" i="3" s="1"/>
  <c r="L64" i="3"/>
  <c r="L217" i="3"/>
  <c r="L157" i="3" l="1"/>
  <c r="L137" i="5"/>
  <c r="L83" i="5"/>
  <c r="L138" i="7" s="1"/>
  <c r="L50" i="3"/>
  <c r="L110" i="5"/>
  <c r="L42" i="5"/>
  <c r="L161" i="3"/>
  <c r="L166" i="3"/>
  <c r="L156" i="3"/>
  <c r="L167" i="3"/>
  <c r="L168" i="3"/>
  <c r="L163" i="3"/>
  <c r="L165" i="3"/>
  <c r="L158" i="3"/>
  <c r="L216" i="3"/>
  <c r="L159" i="3"/>
  <c r="L160" i="3"/>
  <c r="L131" i="6"/>
  <c r="L80" i="3"/>
  <c r="L77" i="6"/>
  <c r="L219" i="7" s="1"/>
  <c r="L104" i="6"/>
  <c r="L33" i="6"/>
  <c r="Y181" i="4"/>
  <c r="L133" i="3"/>
  <c r="L186" i="3"/>
  <c r="L131" i="3"/>
  <c r="L126" i="3"/>
  <c r="L134" i="3"/>
  <c r="L136" i="3"/>
  <c r="L132" i="3"/>
  <c r="L138" i="3"/>
  <c r="L135" i="3"/>
  <c r="L137" i="3"/>
  <c r="L128" i="3"/>
  <c r="L130" i="3"/>
  <c r="L129" i="3"/>
  <c r="Y9" i="4"/>
  <c r="Y12" i="4"/>
  <c r="Y4" i="5"/>
  <c r="Y47" i="6" s="1"/>
  <c r="Y10" i="4"/>
  <c r="Y11" i="4"/>
  <c r="Y202" i="4" l="1"/>
  <c r="L76" i="5"/>
  <c r="L103" i="5"/>
  <c r="L17" i="5"/>
  <c r="Y201" i="4"/>
  <c r="Y96" i="5"/>
  <c r="Y203" i="4"/>
  <c r="L202" i="3"/>
  <c r="L48" i="3"/>
  <c r="Y179" i="4"/>
  <c r="Y40" i="4"/>
  <c r="Y200" i="4"/>
  <c r="L70" i="6"/>
  <c r="L97" i="6"/>
  <c r="L17" i="6"/>
  <c r="L232" i="3"/>
  <c r="L78" i="3"/>
  <c r="Y123" i="5"/>
  <c r="Y69" i="5"/>
  <c r="Y124" i="7" s="1"/>
  <c r="Y7" i="4"/>
  <c r="Y17" i="4"/>
  <c r="Y208" i="4" l="1"/>
  <c r="Y177" i="4"/>
  <c r="Y31" i="4"/>
  <c r="Y258" i="4" s="1"/>
  <c r="L151" i="6"/>
  <c r="L135" i="6"/>
  <c r="L155" i="6"/>
  <c r="L156" i="6"/>
  <c r="L142" i="6"/>
  <c r="L149" i="6"/>
  <c r="L54" i="6"/>
  <c r="L148" i="6"/>
  <c r="L143" i="6"/>
  <c r="L141" i="6"/>
  <c r="L137" i="6"/>
  <c r="L153" i="6"/>
  <c r="L146" i="6"/>
  <c r="L139" i="6"/>
  <c r="L154" i="6"/>
  <c r="L152" i="6"/>
  <c r="L147" i="6"/>
  <c r="L140" i="6"/>
  <c r="L138" i="6"/>
  <c r="L145" i="6"/>
  <c r="L160" i="6"/>
  <c r="L136" i="6"/>
  <c r="L159" i="6"/>
  <c r="L158" i="6"/>
  <c r="L144" i="5"/>
  <c r="L141" i="5"/>
  <c r="L60" i="5"/>
  <c r="L156" i="5"/>
  <c r="L162" i="5"/>
  <c r="L161" i="5"/>
  <c r="L148" i="5"/>
  <c r="L155" i="5"/>
  <c r="L163" i="5"/>
  <c r="L154" i="5"/>
  <c r="L149" i="5"/>
  <c r="L147" i="5"/>
  <c r="L150" i="5"/>
  <c r="L152" i="5"/>
  <c r="L159" i="5"/>
  <c r="L143" i="5"/>
  <c r="L145" i="5"/>
  <c r="L153" i="5"/>
  <c r="L160" i="5"/>
  <c r="L158" i="5"/>
  <c r="L151" i="5"/>
  <c r="L166" i="5"/>
  <c r="L146" i="5"/>
  <c r="L142" i="5"/>
  <c r="L165" i="5"/>
  <c r="L164" i="5"/>
  <c r="Y198" i="4"/>
  <c r="L77" i="3"/>
  <c r="L230" i="3"/>
  <c r="L157" i="5"/>
  <c r="L200" i="3"/>
  <c r="L47" i="3"/>
  <c r="L140" i="3" s="1"/>
  <c r="Y15" i="4"/>
  <c r="Y8" i="4"/>
  <c r="L170" i="3" l="1"/>
  <c r="Y249" i="4"/>
  <c r="Y30" i="4"/>
  <c r="Y168" i="4"/>
  <c r="Y263" i="4"/>
  <c r="Y261" i="4"/>
  <c r="Y259" i="4"/>
  <c r="Y250" i="4"/>
  <c r="Y256" i="4"/>
  <c r="Y255" i="4"/>
  <c r="Y254" i="4"/>
  <c r="Y253" i="4"/>
  <c r="Y252" i="4"/>
  <c r="Y257" i="4"/>
  <c r="Y251" i="4"/>
  <c r="Y262" i="4"/>
  <c r="Y260" i="4"/>
  <c r="Y6" i="4"/>
  <c r="Y199" i="4"/>
  <c r="L144" i="3"/>
  <c r="L149" i="3"/>
  <c r="L150" i="3"/>
  <c r="L148" i="3"/>
  <c r="L139" i="3"/>
  <c r="L145" i="3"/>
  <c r="L146" i="3"/>
  <c r="L143" i="3"/>
  <c r="L147" i="3"/>
  <c r="L199" i="3"/>
  <c r="L141" i="3"/>
  <c r="L142" i="3"/>
  <c r="Y134" i="5"/>
  <c r="Y80" i="5"/>
  <c r="Y135" i="7" s="1"/>
  <c r="Y107" i="5"/>
  <c r="Y206" i="4"/>
  <c r="Y13" i="4"/>
  <c r="Y144" i="6"/>
  <c r="Y117" i="6"/>
  <c r="Y63" i="6"/>
  <c r="Y90" i="6"/>
  <c r="L177" i="3"/>
  <c r="L169" i="3"/>
  <c r="L175" i="3"/>
  <c r="L173" i="3"/>
  <c r="L176" i="3"/>
  <c r="L180" i="3"/>
  <c r="L179" i="3"/>
  <c r="L174" i="3"/>
  <c r="L178" i="3"/>
  <c r="L229" i="3"/>
  <c r="L171" i="3"/>
  <c r="L172" i="3"/>
  <c r="Y127" i="5"/>
  <c r="Y73" i="5"/>
  <c r="Y128" i="7" s="1"/>
  <c r="Y100" i="5"/>
  <c r="Y101" i="6" l="1"/>
  <c r="Y128" i="6"/>
  <c r="Y74" i="6"/>
  <c r="Y216" i="7" s="1"/>
  <c r="Y7" i="3"/>
  <c r="Y197" i="4"/>
  <c r="Y143" i="4"/>
  <c r="Y4" i="4"/>
  <c r="Y231" i="4" s="1"/>
  <c r="Y167" i="4"/>
  <c r="Y132" i="5"/>
  <c r="Y78" i="5"/>
  <c r="Y133" i="7" s="1"/>
  <c r="Y105" i="5"/>
  <c r="Y121" i="6"/>
  <c r="Y67" i="6"/>
  <c r="Y209" i="7" s="1"/>
  <c r="Y94" i="6"/>
  <c r="Y150" i="4"/>
  <c r="Y204" i="4"/>
  <c r="Y8" i="3"/>
  <c r="Y71" i="5"/>
  <c r="Y126" i="7" s="1"/>
  <c r="Y125" i="5"/>
  <c r="Y98" i="5"/>
  <c r="Y116" i="5"/>
  <c r="Y36" i="3"/>
  <c r="Y62" i="5"/>
  <c r="Y117" i="7" s="1"/>
  <c r="Y89" i="5"/>
  <c r="O55" i="7"/>
  <c r="O134" i="4"/>
  <c r="Y120" i="5"/>
  <c r="Y66" i="5"/>
  <c r="Y121" i="7" s="1"/>
  <c r="Y93" i="5"/>
  <c r="Y224" i="4" l="1"/>
  <c r="O53" i="7"/>
  <c r="O127" i="4"/>
  <c r="Y188" i="3"/>
  <c r="Y60" i="6"/>
  <c r="Y202" i="7" s="1"/>
  <c r="Y114" i="6"/>
  <c r="Y87" i="6"/>
  <c r="Y234" i="4"/>
  <c r="Y141" i="4"/>
  <c r="Y222" i="4"/>
  <c r="Y195" i="4"/>
  <c r="Y232" i="4"/>
  <c r="Y236" i="4"/>
  <c r="Y223" i="4"/>
  <c r="Y227" i="4"/>
  <c r="Y229" i="4"/>
  <c r="Y230" i="4"/>
  <c r="Y228" i="4"/>
  <c r="Y225" i="4"/>
  <c r="Y235" i="4"/>
  <c r="Y226" i="4"/>
  <c r="Y233" i="4"/>
  <c r="Y5" i="3"/>
  <c r="Y66" i="3" l="1"/>
  <c r="Y110" i="6"/>
  <c r="Y56" i="6"/>
  <c r="Y198" i="7" s="1"/>
  <c r="Y83" i="6"/>
  <c r="Y4" i="3"/>
  <c r="O46" i="7"/>
  <c r="O111" i="4"/>
  <c r="O30" i="7" s="1"/>
  <c r="Y218" i="3" l="1"/>
  <c r="Y126" i="6"/>
  <c r="Y72" i="6"/>
  <c r="Y214" i="7" s="1"/>
  <c r="Y99" i="6"/>
  <c r="Y97" i="3"/>
  <c r="Y96" i="3"/>
  <c r="Y105" i="3"/>
  <c r="Y104" i="3"/>
  <c r="Y103" i="3"/>
  <c r="Y108" i="3"/>
  <c r="Y106" i="3"/>
  <c r="Y101" i="3"/>
  <c r="Y102" i="3"/>
  <c r="Y107" i="3"/>
  <c r="Y98" i="3"/>
  <c r="Y99" i="3"/>
  <c r="Y100" i="3"/>
  <c r="M113" i="6" l="1"/>
  <c r="M59" i="6"/>
  <c r="M201" i="7" s="1"/>
  <c r="M86" i="6"/>
  <c r="M20" i="6"/>
  <c r="Y135" i="5"/>
  <c r="Y81" i="5"/>
  <c r="Y136" i="7" s="1"/>
  <c r="Y108" i="5"/>
  <c r="Y119" i="6"/>
  <c r="Y65" i="6"/>
  <c r="Y207" i="7" s="1"/>
  <c r="Y92" i="6"/>
  <c r="Y68" i="5"/>
  <c r="Y123" i="7" s="1"/>
  <c r="Y122" i="5"/>
  <c r="Y95" i="5"/>
  <c r="M72" i="5"/>
  <c r="M127" i="7" s="1"/>
  <c r="M126" i="5"/>
  <c r="M99" i="5"/>
  <c r="M33" i="5"/>
  <c r="M79" i="5"/>
  <c r="M134" i="7" s="1"/>
  <c r="M133" i="5"/>
  <c r="M106" i="5"/>
  <c r="M43" i="5"/>
  <c r="M124" i="5" l="1"/>
  <c r="M70" i="5"/>
  <c r="M125" i="7" s="1"/>
  <c r="M38" i="3"/>
  <c r="M97" i="5"/>
  <c r="M119" i="5"/>
  <c r="M65" i="5"/>
  <c r="M120" i="7" s="1"/>
  <c r="M92" i="5"/>
  <c r="M21" i="5"/>
  <c r="Y116" i="6"/>
  <c r="Y62" i="6"/>
  <c r="Y204" i="7" s="1"/>
  <c r="Y89" i="6"/>
  <c r="Y129" i="6"/>
  <c r="Y75" i="6"/>
  <c r="Y217" i="7" s="1"/>
  <c r="Y102" i="6"/>
  <c r="M139" i="5"/>
  <c r="M85" i="5"/>
  <c r="M140" i="7" s="1"/>
  <c r="M112" i="5"/>
  <c r="M77" i="5"/>
  <c r="M132" i="7" s="1"/>
  <c r="M131" i="5"/>
  <c r="M49" i="3"/>
  <c r="M104" i="5"/>
  <c r="Y121" i="5"/>
  <c r="Y67" i="5"/>
  <c r="Y122" i="7" s="1"/>
  <c r="Y94" i="5"/>
  <c r="M127" i="6"/>
  <c r="M73" i="6"/>
  <c r="M215" i="7" s="1"/>
  <c r="M100" i="6"/>
  <c r="M34" i="6"/>
  <c r="M57" i="6"/>
  <c r="M199" i="7" s="1"/>
  <c r="M111" i="6"/>
  <c r="M67" i="3"/>
  <c r="M84" i="6"/>
  <c r="M63" i="5" l="1"/>
  <c r="M118" i="7" s="1"/>
  <c r="M117" i="5"/>
  <c r="M37" i="3"/>
  <c r="M90" i="5"/>
  <c r="M18" i="5"/>
  <c r="M71" i="6"/>
  <c r="M213" i="7" s="1"/>
  <c r="M125" i="6"/>
  <c r="M79" i="3"/>
  <c r="M98" i="6"/>
  <c r="Y118" i="5"/>
  <c r="Y64" i="5"/>
  <c r="Y119" i="7" s="1"/>
  <c r="Y91" i="5"/>
  <c r="M201" i="3"/>
  <c r="M219" i="3"/>
  <c r="M120" i="6"/>
  <c r="M66" i="6"/>
  <c r="M208" i="7" s="1"/>
  <c r="M93" i="6"/>
  <c r="M27" i="6"/>
  <c r="Y115" i="6"/>
  <c r="Y61" i="6"/>
  <c r="Y203" i="7" s="1"/>
  <c r="Y88" i="6"/>
  <c r="M190" i="3"/>
  <c r="M231" i="3" l="1"/>
  <c r="M61" i="5"/>
  <c r="M88" i="5"/>
  <c r="Y58" i="6"/>
  <c r="Y200" i="7" s="1"/>
  <c r="Y112" i="6"/>
  <c r="Y85" i="6"/>
  <c r="M189" i="3"/>
  <c r="M35" i="3"/>
  <c r="M64" i="6"/>
  <c r="M206" i="7" s="1"/>
  <c r="M118" i="6"/>
  <c r="M68" i="3"/>
  <c r="M91" i="6"/>
  <c r="M18" i="6"/>
  <c r="Y128" i="5"/>
  <c r="Y74" i="5"/>
  <c r="Y129" i="7" s="1"/>
  <c r="Y101" i="5"/>
  <c r="M133" i="6" l="1"/>
  <c r="M79" i="6"/>
  <c r="M221" i="7" s="1"/>
  <c r="M106" i="6"/>
  <c r="M55" i="6"/>
  <c r="M82" i="6"/>
  <c r="M187" i="3"/>
  <c r="M34" i="3"/>
  <c r="M127" i="3" s="1"/>
  <c r="M220" i="3"/>
  <c r="M65" i="3"/>
  <c r="Y68" i="6"/>
  <c r="Y210" i="7" s="1"/>
  <c r="Y122" i="6"/>
  <c r="Y95" i="6"/>
  <c r="M64" i="3" l="1"/>
  <c r="M217" i="3"/>
  <c r="M132" i="6"/>
  <c r="M40" i="6"/>
  <c r="M78" i="6"/>
  <c r="M220" i="7" s="1"/>
  <c r="M105" i="6"/>
  <c r="M138" i="5"/>
  <c r="M52" i="5"/>
  <c r="M84" i="5"/>
  <c r="M139" i="7" s="1"/>
  <c r="M111" i="5"/>
  <c r="M133" i="3"/>
  <c r="M135" i="3"/>
  <c r="M186" i="3"/>
  <c r="M126" i="3"/>
  <c r="M131" i="3"/>
  <c r="M134" i="3"/>
  <c r="M136" i="3"/>
  <c r="M138" i="3"/>
  <c r="M137" i="3"/>
  <c r="M132" i="3"/>
  <c r="M128" i="3"/>
  <c r="M130" i="3"/>
  <c r="M129" i="3"/>
  <c r="M157" i="3" l="1"/>
  <c r="M137" i="5"/>
  <c r="M83" i="5"/>
  <c r="M138" i="7" s="1"/>
  <c r="M50" i="3"/>
  <c r="M110" i="5"/>
  <c r="M42" i="5"/>
  <c r="M131" i="6"/>
  <c r="M80" i="3"/>
  <c r="M77" i="6"/>
  <c r="M219" i="7" s="1"/>
  <c r="M104" i="6"/>
  <c r="M33" i="6"/>
  <c r="M163" i="3"/>
  <c r="M161" i="3"/>
  <c r="M166" i="3"/>
  <c r="M156" i="3"/>
  <c r="M168" i="3"/>
  <c r="M167" i="3"/>
  <c r="M165" i="3"/>
  <c r="M158" i="3"/>
  <c r="M216" i="3"/>
  <c r="M159" i="3"/>
  <c r="M160" i="3"/>
  <c r="M76" i="5" l="1"/>
  <c r="M103" i="5"/>
  <c r="M17" i="5"/>
  <c r="M70" i="6"/>
  <c r="M97" i="6"/>
  <c r="M17" i="6"/>
  <c r="M202" i="3"/>
  <c r="M48" i="3"/>
  <c r="M232" i="3"/>
  <c r="M78" i="3"/>
  <c r="M200" i="3" l="1"/>
  <c r="M47" i="3"/>
  <c r="M140" i="3" s="1"/>
  <c r="M142" i="5"/>
  <c r="M60" i="5"/>
  <c r="M141" i="5"/>
  <c r="M156" i="5"/>
  <c r="M163" i="5"/>
  <c r="M161" i="5"/>
  <c r="M162" i="5"/>
  <c r="M148" i="5"/>
  <c r="M154" i="5"/>
  <c r="M155" i="5"/>
  <c r="M149" i="5"/>
  <c r="M147" i="5"/>
  <c r="M150" i="5"/>
  <c r="M143" i="5"/>
  <c r="M152" i="5"/>
  <c r="M159" i="5"/>
  <c r="M145" i="5"/>
  <c r="M160" i="5"/>
  <c r="M153" i="5"/>
  <c r="M158" i="5"/>
  <c r="M146" i="5"/>
  <c r="M166" i="5"/>
  <c r="M151" i="5"/>
  <c r="M144" i="5"/>
  <c r="M165" i="5"/>
  <c r="M164" i="5"/>
  <c r="M157" i="5"/>
  <c r="M151" i="6"/>
  <c r="M135" i="6"/>
  <c r="M155" i="6"/>
  <c r="M156" i="6"/>
  <c r="M142" i="6"/>
  <c r="M148" i="6"/>
  <c r="M54" i="6"/>
  <c r="M149" i="6"/>
  <c r="M143" i="6"/>
  <c r="M141" i="6"/>
  <c r="M137" i="6"/>
  <c r="M146" i="6"/>
  <c r="M153" i="6"/>
  <c r="M139" i="6"/>
  <c r="M140" i="6"/>
  <c r="M154" i="6"/>
  <c r="M138" i="6"/>
  <c r="M147" i="6"/>
  <c r="M152" i="6"/>
  <c r="M145" i="6"/>
  <c r="M160" i="6"/>
  <c r="M136" i="6"/>
  <c r="M159" i="6"/>
  <c r="M158" i="6"/>
  <c r="M77" i="3"/>
  <c r="M230" i="3"/>
  <c r="M170" i="3" l="1"/>
  <c r="M147" i="3"/>
  <c r="M148" i="3"/>
  <c r="M139" i="3"/>
  <c r="M145" i="3"/>
  <c r="M146" i="3"/>
  <c r="M199" i="3"/>
  <c r="M144" i="3"/>
  <c r="M143" i="3"/>
  <c r="M150" i="3"/>
  <c r="M149" i="3"/>
  <c r="M141" i="3"/>
  <c r="M142" i="3"/>
  <c r="M174" i="3"/>
  <c r="M169" i="3"/>
  <c r="M175" i="3"/>
  <c r="M173" i="3"/>
  <c r="M176" i="3"/>
  <c r="M177" i="3"/>
  <c r="M179" i="3"/>
  <c r="M180" i="3"/>
  <c r="M178" i="3"/>
  <c r="M229" i="3"/>
  <c r="M171" i="3"/>
  <c r="M172" i="3"/>
  <c r="N72" i="5" l="1"/>
  <c r="N127" i="7" s="1"/>
  <c r="N126" i="5"/>
  <c r="N99" i="5"/>
  <c r="N33" i="5"/>
  <c r="N133" i="5"/>
  <c r="N79" i="5"/>
  <c r="N134" i="7" s="1"/>
  <c r="N106" i="5"/>
  <c r="N43" i="5"/>
  <c r="N77" i="5" l="1"/>
  <c r="N132" i="7" s="1"/>
  <c r="N131" i="5"/>
  <c r="N49" i="3"/>
  <c r="N104" i="5"/>
  <c r="N127" i="6"/>
  <c r="N73" i="6"/>
  <c r="N215" i="7" s="1"/>
  <c r="N100" i="6"/>
  <c r="N34" i="6"/>
  <c r="N70" i="5"/>
  <c r="N125" i="7" s="1"/>
  <c r="N124" i="5"/>
  <c r="N38" i="3"/>
  <c r="N97" i="5"/>
  <c r="N190" i="3" l="1"/>
  <c r="N201" i="3"/>
  <c r="N120" i="6"/>
  <c r="N66" i="6"/>
  <c r="N208" i="7" s="1"/>
  <c r="N93" i="6"/>
  <c r="N27" i="6"/>
  <c r="N125" i="6"/>
  <c r="N79" i="3"/>
  <c r="N71" i="6"/>
  <c r="N213" i="7" s="1"/>
  <c r="N98" i="6"/>
  <c r="N65" i="5"/>
  <c r="N120" i="7" s="1"/>
  <c r="N119" i="5"/>
  <c r="N92" i="5"/>
  <c r="N21" i="5"/>
  <c r="N85" i="5"/>
  <c r="N140" i="7" s="1"/>
  <c r="N139" i="5"/>
  <c r="N112" i="5"/>
  <c r="N63" i="5" l="1"/>
  <c r="N118" i="7" s="1"/>
  <c r="N117" i="5"/>
  <c r="N37" i="3"/>
  <c r="N90" i="5"/>
  <c r="N18" i="5"/>
  <c r="N64" i="6"/>
  <c r="N206" i="7" s="1"/>
  <c r="N118" i="6"/>
  <c r="N68" i="3"/>
  <c r="N91" i="6"/>
  <c r="N231" i="3"/>
  <c r="N113" i="6"/>
  <c r="N59" i="6"/>
  <c r="N201" i="7" s="1"/>
  <c r="N86" i="6"/>
  <c r="N20" i="6"/>
  <c r="P55" i="7"/>
  <c r="P134" i="4"/>
  <c r="N133" i="6" l="1"/>
  <c r="N79" i="6"/>
  <c r="N221" i="7" s="1"/>
  <c r="N106" i="6"/>
  <c r="N61" i="5"/>
  <c r="N88" i="5"/>
  <c r="N220" i="3"/>
  <c r="N111" i="6"/>
  <c r="N67" i="3"/>
  <c r="N57" i="6"/>
  <c r="N199" i="7" s="1"/>
  <c r="N84" i="6"/>
  <c r="N18" i="6"/>
  <c r="N189" i="3"/>
  <c r="N35" i="3"/>
  <c r="P53" i="7"/>
  <c r="P127" i="4"/>
  <c r="N55" i="6" l="1"/>
  <c r="N82" i="6"/>
  <c r="N40" i="6"/>
  <c r="N132" i="6"/>
  <c r="N78" i="6"/>
  <c r="N220" i="7" s="1"/>
  <c r="N105" i="6"/>
  <c r="P46" i="7"/>
  <c r="P111" i="4"/>
  <c r="P30" i="7" s="1"/>
  <c r="N219" i="3"/>
  <c r="N65" i="3"/>
  <c r="N187" i="3"/>
  <c r="N34" i="3"/>
  <c r="N127" i="3" s="1"/>
  <c r="N52" i="5"/>
  <c r="N138" i="5"/>
  <c r="N84" i="5"/>
  <c r="N139" i="7" s="1"/>
  <c r="N111" i="5"/>
  <c r="N135" i="3" l="1"/>
  <c r="N136" i="3"/>
  <c r="N132" i="3"/>
  <c r="N137" i="3"/>
  <c r="N138" i="3"/>
  <c r="N186" i="3"/>
  <c r="N134" i="3"/>
  <c r="N133" i="3"/>
  <c r="N126" i="3"/>
  <c r="N131" i="3"/>
  <c r="N128" i="3"/>
  <c r="N130" i="3"/>
  <c r="N129" i="3"/>
  <c r="N77" i="6"/>
  <c r="N219" i="7" s="1"/>
  <c r="N131" i="6"/>
  <c r="N80" i="3"/>
  <c r="N104" i="6"/>
  <c r="N33" i="6"/>
  <c r="N83" i="5"/>
  <c r="N138" i="7" s="1"/>
  <c r="N137" i="5"/>
  <c r="N50" i="3"/>
  <c r="N110" i="5"/>
  <c r="N42" i="5"/>
  <c r="N64" i="3"/>
  <c r="N217" i="3"/>
  <c r="N157" i="3" l="1"/>
  <c r="N202" i="3"/>
  <c r="N48" i="3"/>
  <c r="N70" i="6"/>
  <c r="N97" i="6"/>
  <c r="N17" i="6"/>
  <c r="N161" i="3"/>
  <c r="N166" i="3"/>
  <c r="N156" i="3"/>
  <c r="N167" i="3"/>
  <c r="N168" i="3"/>
  <c r="N163" i="3"/>
  <c r="N165" i="3"/>
  <c r="N216" i="3"/>
  <c r="N158" i="3"/>
  <c r="N160" i="3"/>
  <c r="N159" i="3"/>
  <c r="N17" i="5"/>
  <c r="N157" i="5" s="1"/>
  <c r="N76" i="5"/>
  <c r="N103" i="5"/>
  <c r="N232" i="3"/>
  <c r="N78" i="3"/>
  <c r="N77" i="3" l="1"/>
  <c r="N230" i="3"/>
  <c r="N136" i="6"/>
  <c r="N135" i="6"/>
  <c r="N155" i="6"/>
  <c r="N156" i="6"/>
  <c r="N142" i="6"/>
  <c r="N54" i="6"/>
  <c r="N149" i="6"/>
  <c r="N148" i="6"/>
  <c r="N143" i="6"/>
  <c r="N141" i="6"/>
  <c r="N137" i="6"/>
  <c r="N153" i="6"/>
  <c r="N146" i="6"/>
  <c r="N139" i="6"/>
  <c r="N154" i="6"/>
  <c r="N152" i="6"/>
  <c r="N147" i="6"/>
  <c r="N145" i="6"/>
  <c r="N140" i="6"/>
  <c r="N160" i="6"/>
  <c r="N138" i="6"/>
  <c r="N159" i="6"/>
  <c r="N158" i="6"/>
  <c r="N200" i="3"/>
  <c r="N47" i="3"/>
  <c r="N140" i="3" s="1"/>
  <c r="N151" i="6"/>
  <c r="N141" i="5"/>
  <c r="N60" i="5"/>
  <c r="N163" i="5"/>
  <c r="N156" i="5"/>
  <c r="N161" i="5"/>
  <c r="N162" i="5"/>
  <c r="N148" i="5"/>
  <c r="N154" i="5"/>
  <c r="N155" i="5"/>
  <c r="N147" i="5"/>
  <c r="N149" i="5"/>
  <c r="N150" i="5"/>
  <c r="N152" i="5"/>
  <c r="N159" i="5"/>
  <c r="N143" i="5"/>
  <c r="N145" i="5"/>
  <c r="N160" i="5"/>
  <c r="N153" i="5"/>
  <c r="N158" i="5"/>
  <c r="N151" i="5"/>
  <c r="N166" i="5"/>
  <c r="N146" i="5"/>
  <c r="N144" i="5"/>
  <c r="N142" i="5"/>
  <c r="N165" i="5"/>
  <c r="N164" i="5"/>
  <c r="N170" i="3" l="1"/>
  <c r="N147" i="3"/>
  <c r="N144" i="3"/>
  <c r="N143" i="3"/>
  <c r="N150" i="3"/>
  <c r="N149" i="3"/>
  <c r="N199" i="3"/>
  <c r="N148" i="3"/>
  <c r="N139" i="3"/>
  <c r="N145" i="3"/>
  <c r="N146" i="3"/>
  <c r="N141" i="3"/>
  <c r="N142" i="3"/>
  <c r="N180" i="3"/>
  <c r="N179" i="3"/>
  <c r="N178" i="3"/>
  <c r="N169" i="3"/>
  <c r="N175" i="3"/>
  <c r="N177" i="3"/>
  <c r="N176" i="3"/>
  <c r="N174" i="3"/>
  <c r="N173" i="3"/>
  <c r="N229" i="3"/>
  <c r="N171" i="3"/>
  <c r="N172" i="3"/>
  <c r="O127" i="6" l="1"/>
  <c r="O73" i="6"/>
  <c r="O215" i="7" s="1"/>
  <c r="O100" i="6"/>
  <c r="O34" i="6"/>
  <c r="O79" i="5"/>
  <c r="O134" i="7" s="1"/>
  <c r="O133" i="5"/>
  <c r="O106" i="5"/>
  <c r="O43" i="5"/>
  <c r="O126" i="5"/>
  <c r="O72" i="5"/>
  <c r="O127" i="7" s="1"/>
  <c r="O99" i="5"/>
  <c r="O33" i="5"/>
  <c r="O77" i="5" l="1"/>
  <c r="O132" i="7" s="1"/>
  <c r="O131" i="5"/>
  <c r="O49" i="3"/>
  <c r="O104" i="5"/>
  <c r="O125" i="6"/>
  <c r="O79" i="3"/>
  <c r="O71" i="6"/>
  <c r="O213" i="7" s="1"/>
  <c r="O98" i="6"/>
  <c r="O70" i="5"/>
  <c r="O125" i="7" s="1"/>
  <c r="O124" i="5"/>
  <c r="O38" i="3"/>
  <c r="O97" i="5"/>
  <c r="O201" i="3" l="1"/>
  <c r="O231" i="3"/>
  <c r="O119" i="5"/>
  <c r="O65" i="5"/>
  <c r="O120" i="7" s="1"/>
  <c r="O92" i="5"/>
  <c r="O21" i="5"/>
  <c r="O190" i="3"/>
  <c r="O85" i="5"/>
  <c r="O140" i="7" s="1"/>
  <c r="O139" i="5"/>
  <c r="O112" i="5"/>
  <c r="O120" i="6"/>
  <c r="O66" i="6"/>
  <c r="O208" i="7" s="1"/>
  <c r="O93" i="6"/>
  <c r="O27" i="6"/>
  <c r="O64" i="6" l="1"/>
  <c r="O206" i="7" s="1"/>
  <c r="O118" i="6"/>
  <c r="O68" i="3"/>
  <c r="O91" i="6"/>
  <c r="O63" i="5"/>
  <c r="O118" i="7" s="1"/>
  <c r="O117" i="5"/>
  <c r="O37" i="3"/>
  <c r="O90" i="5"/>
  <c r="O18" i="5"/>
  <c r="O113" i="6"/>
  <c r="O59" i="6"/>
  <c r="O201" i="7" s="1"/>
  <c r="O86" i="6"/>
  <c r="O20" i="6"/>
  <c r="O61" i="5" l="1"/>
  <c r="O88" i="5"/>
  <c r="O57" i="6"/>
  <c r="O199" i="7" s="1"/>
  <c r="O111" i="6"/>
  <c r="O67" i="3"/>
  <c r="O84" i="6"/>
  <c r="O18" i="6"/>
  <c r="O220" i="3"/>
  <c r="O189" i="3"/>
  <c r="O35" i="3"/>
  <c r="O133" i="6"/>
  <c r="O79" i="6"/>
  <c r="O221" i="7" s="1"/>
  <c r="O106" i="6"/>
  <c r="Q55" i="7" l="1"/>
  <c r="Q134" i="4"/>
  <c r="O219" i="3"/>
  <c r="O65" i="3"/>
  <c r="O187" i="3"/>
  <c r="O34" i="3"/>
  <c r="O127" i="3" s="1"/>
  <c r="O55" i="6"/>
  <c r="O82" i="6"/>
  <c r="O64" i="3" l="1"/>
  <c r="O157" i="3"/>
  <c r="O217" i="3"/>
  <c r="O52" i="5"/>
  <c r="O84" i="5"/>
  <c r="O139" i="7" s="1"/>
  <c r="O138" i="5"/>
  <c r="O111" i="5"/>
  <c r="Q53" i="7"/>
  <c r="Q127" i="4"/>
  <c r="O40" i="6"/>
  <c r="O132" i="6"/>
  <c r="O78" i="6"/>
  <c r="O220" i="7" s="1"/>
  <c r="O105" i="6"/>
  <c r="O126" i="3"/>
  <c r="O131" i="3"/>
  <c r="O186" i="3"/>
  <c r="O132" i="3"/>
  <c r="O136" i="3"/>
  <c r="O135" i="3"/>
  <c r="O138" i="3"/>
  <c r="O134" i="3"/>
  <c r="O137" i="3"/>
  <c r="O133" i="3"/>
  <c r="O128" i="3"/>
  <c r="O130" i="3"/>
  <c r="O129" i="3"/>
  <c r="O131" i="6" l="1"/>
  <c r="O80" i="3"/>
  <c r="O77" i="6"/>
  <c r="O219" i="7" s="1"/>
  <c r="O104" i="6"/>
  <c r="O33" i="6"/>
  <c r="O83" i="5"/>
  <c r="O138" i="7" s="1"/>
  <c r="O137" i="5"/>
  <c r="O50" i="3"/>
  <c r="O110" i="5"/>
  <c r="O42" i="5"/>
  <c r="Q46" i="7"/>
  <c r="Q111" i="4"/>
  <c r="Q30" i="7" s="1"/>
  <c r="O165" i="3"/>
  <c r="O156" i="3"/>
  <c r="O168" i="3"/>
  <c r="O167" i="3"/>
  <c r="O163" i="3"/>
  <c r="O161" i="3"/>
  <c r="O166" i="3"/>
  <c r="O158" i="3"/>
  <c r="O216" i="3"/>
  <c r="O160" i="3"/>
  <c r="O159" i="3"/>
  <c r="O70" i="6" l="1"/>
  <c r="O97" i="6"/>
  <c r="O17" i="6"/>
  <c r="O232" i="3"/>
  <c r="O78" i="3"/>
  <c r="O202" i="3"/>
  <c r="O48" i="3"/>
  <c r="O76" i="5"/>
  <c r="O103" i="5"/>
  <c r="O17" i="5"/>
  <c r="O77" i="3" l="1"/>
  <c r="O170" i="3"/>
  <c r="O230" i="3"/>
  <c r="O142" i="5"/>
  <c r="O141" i="5"/>
  <c r="O60" i="5"/>
  <c r="O163" i="5"/>
  <c r="O154" i="5"/>
  <c r="O156" i="5"/>
  <c r="O161" i="5"/>
  <c r="O162" i="5"/>
  <c r="O148" i="5"/>
  <c r="O155" i="5"/>
  <c r="O147" i="5"/>
  <c r="O149" i="5"/>
  <c r="O150" i="5"/>
  <c r="O159" i="5"/>
  <c r="O143" i="5"/>
  <c r="O152" i="5"/>
  <c r="O145" i="5"/>
  <c r="O153" i="5"/>
  <c r="O160" i="5"/>
  <c r="O151" i="5"/>
  <c r="O158" i="5"/>
  <c r="O146" i="5"/>
  <c r="O166" i="5"/>
  <c r="O144" i="5"/>
  <c r="O165" i="5"/>
  <c r="O164" i="5"/>
  <c r="O157" i="5"/>
  <c r="O136" i="6"/>
  <c r="O135" i="6"/>
  <c r="O148" i="6"/>
  <c r="O155" i="6"/>
  <c r="O156" i="6"/>
  <c r="O142" i="6"/>
  <c r="O149" i="6"/>
  <c r="O141" i="6"/>
  <c r="O54" i="6"/>
  <c r="O143" i="6"/>
  <c r="O137" i="6"/>
  <c r="O146" i="6"/>
  <c r="O153" i="6"/>
  <c r="O139" i="6"/>
  <c r="O154" i="6"/>
  <c r="O152" i="6"/>
  <c r="O147" i="6"/>
  <c r="O140" i="6"/>
  <c r="O145" i="6"/>
  <c r="O160" i="6"/>
  <c r="O138" i="6"/>
  <c r="O159" i="6"/>
  <c r="O158" i="6"/>
  <c r="O200" i="3"/>
  <c r="O47" i="3"/>
  <c r="O140" i="3" s="1"/>
  <c r="O151" i="6"/>
  <c r="O139" i="3" l="1"/>
  <c r="O145" i="3"/>
  <c r="O199" i="3"/>
  <c r="O146" i="3"/>
  <c r="O143" i="3"/>
  <c r="O147" i="3"/>
  <c r="O150" i="3"/>
  <c r="O149" i="3"/>
  <c r="O144" i="3"/>
  <c r="O148" i="3"/>
  <c r="O141" i="3"/>
  <c r="O142" i="3"/>
  <c r="O179" i="3"/>
  <c r="O178" i="3"/>
  <c r="O169" i="3"/>
  <c r="O175" i="3"/>
  <c r="O173" i="3"/>
  <c r="O176" i="3"/>
  <c r="O174" i="3"/>
  <c r="O177" i="3"/>
  <c r="O180" i="3"/>
  <c r="O229" i="3"/>
  <c r="O171" i="3"/>
  <c r="O172" i="3"/>
  <c r="P127" i="6" l="1"/>
  <c r="P73" i="6"/>
  <c r="P215" i="7" s="1"/>
  <c r="P100" i="6"/>
  <c r="P34" i="6"/>
  <c r="P133" i="5"/>
  <c r="P79" i="5"/>
  <c r="P134" i="7" s="1"/>
  <c r="P106" i="5"/>
  <c r="P43" i="5"/>
  <c r="P126" i="5"/>
  <c r="P72" i="5"/>
  <c r="P127" i="7" s="1"/>
  <c r="P99" i="5"/>
  <c r="P33" i="5"/>
  <c r="P125" i="6" l="1"/>
  <c r="P79" i="3"/>
  <c r="P71" i="6"/>
  <c r="P213" i="7" s="1"/>
  <c r="P98" i="6"/>
  <c r="P131" i="5"/>
  <c r="P77" i="5"/>
  <c r="P132" i="7" s="1"/>
  <c r="P49" i="3"/>
  <c r="P104" i="5"/>
  <c r="P70" i="5"/>
  <c r="P125" i="7" s="1"/>
  <c r="P124" i="5"/>
  <c r="P38" i="3"/>
  <c r="P97" i="5"/>
  <c r="P231" i="3" l="1"/>
  <c r="P190" i="3"/>
  <c r="P201" i="3"/>
  <c r="P139" i="5"/>
  <c r="P85" i="5"/>
  <c r="P140" i="7" s="1"/>
  <c r="P112" i="5"/>
  <c r="P113" i="6"/>
  <c r="P59" i="6"/>
  <c r="P201" i="7" s="1"/>
  <c r="P86" i="6"/>
  <c r="P20" i="6"/>
  <c r="P120" i="6"/>
  <c r="P66" i="6"/>
  <c r="P208" i="7" s="1"/>
  <c r="P93" i="6"/>
  <c r="P27" i="6"/>
  <c r="P119" i="5"/>
  <c r="P65" i="5"/>
  <c r="P120" i="7" s="1"/>
  <c r="P92" i="5"/>
  <c r="P21" i="5"/>
  <c r="P63" i="5" l="1"/>
  <c r="P118" i="7" s="1"/>
  <c r="P117" i="5"/>
  <c r="P37" i="3"/>
  <c r="P18" i="5"/>
  <c r="P90" i="5"/>
  <c r="P111" i="6"/>
  <c r="P67" i="3"/>
  <c r="P57" i="6"/>
  <c r="P199" i="7" s="1"/>
  <c r="P84" i="6"/>
  <c r="P18" i="6"/>
  <c r="P68" i="3"/>
  <c r="P118" i="6"/>
  <c r="P64" i="6"/>
  <c r="P206" i="7" s="1"/>
  <c r="P91" i="6"/>
  <c r="P133" i="6" l="1"/>
  <c r="P79" i="6"/>
  <c r="P221" i="7" s="1"/>
  <c r="P106" i="6"/>
  <c r="P55" i="6"/>
  <c r="P82" i="6"/>
  <c r="P61" i="5"/>
  <c r="P88" i="5"/>
  <c r="P189" i="3"/>
  <c r="P35" i="3"/>
  <c r="P220" i="3"/>
  <c r="P219" i="3"/>
  <c r="P65" i="3"/>
  <c r="P64" i="3" l="1"/>
  <c r="P157" i="3"/>
  <c r="P217" i="3"/>
  <c r="R55" i="7"/>
  <c r="R134" i="4"/>
  <c r="P187" i="3"/>
  <c r="P34" i="3"/>
  <c r="P127" i="3" s="1"/>
  <c r="P135" i="3" l="1"/>
  <c r="P134" i="3"/>
  <c r="P137" i="3"/>
  <c r="P138" i="3"/>
  <c r="P133" i="3"/>
  <c r="P186" i="3"/>
  <c r="P126" i="3"/>
  <c r="P131" i="3"/>
  <c r="P132" i="3"/>
  <c r="P136" i="3"/>
  <c r="P128" i="3"/>
  <c r="P130" i="3"/>
  <c r="P129" i="3"/>
  <c r="P52" i="5"/>
  <c r="P138" i="5"/>
  <c r="P84" i="5"/>
  <c r="P139" i="7" s="1"/>
  <c r="P111" i="5"/>
  <c r="R53" i="7"/>
  <c r="R127" i="4"/>
  <c r="P40" i="6"/>
  <c r="P132" i="6"/>
  <c r="P78" i="6"/>
  <c r="P220" i="7" s="1"/>
  <c r="P105" i="6"/>
  <c r="P163" i="3"/>
  <c r="P165" i="3"/>
  <c r="P161" i="3"/>
  <c r="P166" i="3"/>
  <c r="P156" i="3"/>
  <c r="P167" i="3"/>
  <c r="P168" i="3"/>
  <c r="P158" i="3"/>
  <c r="P216" i="3"/>
  <c r="P160" i="3"/>
  <c r="P159" i="3"/>
  <c r="R46" i="7" l="1"/>
  <c r="R111" i="4"/>
  <c r="R30" i="7" s="1"/>
  <c r="P137" i="5"/>
  <c r="P83" i="5"/>
  <c r="P138" i="7" s="1"/>
  <c r="P50" i="3"/>
  <c r="P110" i="5"/>
  <c r="P42" i="5"/>
  <c r="P77" i="6"/>
  <c r="P219" i="7" s="1"/>
  <c r="P131" i="6"/>
  <c r="P80" i="3"/>
  <c r="P104" i="6"/>
  <c r="P33" i="6"/>
  <c r="P232" i="3" l="1"/>
  <c r="P78" i="3"/>
  <c r="P70" i="6"/>
  <c r="P97" i="6"/>
  <c r="P17" i="6"/>
  <c r="P76" i="5"/>
  <c r="P103" i="5"/>
  <c r="P17" i="5"/>
  <c r="P202" i="3"/>
  <c r="P48" i="3"/>
  <c r="P200" i="3" l="1"/>
  <c r="P47" i="3"/>
  <c r="P140" i="3"/>
  <c r="P142" i="5"/>
  <c r="P60" i="5"/>
  <c r="P141" i="5"/>
  <c r="P156" i="5"/>
  <c r="P150" i="5"/>
  <c r="P163" i="5"/>
  <c r="P154" i="5"/>
  <c r="P161" i="5"/>
  <c r="P162" i="5"/>
  <c r="P147" i="5"/>
  <c r="P148" i="5"/>
  <c r="P155" i="5"/>
  <c r="P152" i="5"/>
  <c r="P143" i="5"/>
  <c r="P159" i="5"/>
  <c r="P149" i="5"/>
  <c r="P145" i="5"/>
  <c r="P153" i="5"/>
  <c r="P160" i="5"/>
  <c r="P158" i="5"/>
  <c r="P151" i="5"/>
  <c r="P146" i="5"/>
  <c r="P166" i="5"/>
  <c r="P144" i="5"/>
  <c r="P165" i="5"/>
  <c r="P164" i="5"/>
  <c r="P230" i="3"/>
  <c r="P77" i="3"/>
  <c r="P151" i="6"/>
  <c r="P135" i="6"/>
  <c r="P148" i="6"/>
  <c r="P155" i="6"/>
  <c r="P156" i="6"/>
  <c r="P141" i="6"/>
  <c r="P54" i="6"/>
  <c r="P149" i="6"/>
  <c r="P142" i="6"/>
  <c r="P137" i="6"/>
  <c r="P153" i="6"/>
  <c r="P146" i="6"/>
  <c r="P143" i="6"/>
  <c r="P139" i="6"/>
  <c r="P154" i="6"/>
  <c r="P152" i="6"/>
  <c r="P140" i="6"/>
  <c r="P147" i="6"/>
  <c r="P138" i="6"/>
  <c r="P145" i="6"/>
  <c r="P160" i="6"/>
  <c r="P136" i="6"/>
  <c r="P159" i="6"/>
  <c r="P158" i="6"/>
  <c r="P157" i="5"/>
  <c r="P170" i="3" l="1"/>
  <c r="P144" i="3"/>
  <c r="P139" i="3"/>
  <c r="P145" i="3"/>
  <c r="P147" i="3"/>
  <c r="P146" i="3"/>
  <c r="P149" i="3"/>
  <c r="P143" i="3"/>
  <c r="P150" i="3"/>
  <c r="P199" i="3"/>
  <c r="P148" i="3"/>
  <c r="P141" i="3"/>
  <c r="P142" i="3"/>
  <c r="P178" i="3"/>
  <c r="P169" i="3"/>
  <c r="P175" i="3"/>
  <c r="P176" i="3"/>
  <c r="P173" i="3"/>
  <c r="P177" i="3"/>
  <c r="P174" i="3"/>
  <c r="P180" i="3"/>
  <c r="P179" i="3"/>
  <c r="P229" i="3"/>
  <c r="P171" i="3"/>
  <c r="P172" i="3"/>
  <c r="Q126" i="5" l="1"/>
  <c r="Q72" i="5"/>
  <c r="Q127" i="7" s="1"/>
  <c r="Q99" i="5"/>
  <c r="Q33" i="5"/>
  <c r="Q133" i="5"/>
  <c r="Q79" i="5"/>
  <c r="Q134" i="7" s="1"/>
  <c r="Q106" i="5"/>
  <c r="Q43" i="5"/>
  <c r="Q77" i="5" l="1"/>
  <c r="Q132" i="7" s="1"/>
  <c r="Q131" i="5"/>
  <c r="Q49" i="3"/>
  <c r="Q104" i="5"/>
  <c r="Q70" i="5"/>
  <c r="Q125" i="7" s="1"/>
  <c r="Q124" i="5"/>
  <c r="Q38" i="3"/>
  <c r="Q97" i="5"/>
  <c r="Q127" i="6"/>
  <c r="Q73" i="6"/>
  <c r="Q215" i="7" s="1"/>
  <c r="Q100" i="6"/>
  <c r="Q34" i="6"/>
  <c r="Q139" i="5" l="1"/>
  <c r="Q85" i="5"/>
  <c r="Q140" i="7" s="1"/>
  <c r="Q112" i="5"/>
  <c r="Q201" i="3"/>
  <c r="Q190" i="3"/>
  <c r="Q71" i="6"/>
  <c r="Q213" i="7" s="1"/>
  <c r="Q125" i="6"/>
  <c r="Q79" i="3"/>
  <c r="Q98" i="6"/>
  <c r="Q120" i="6"/>
  <c r="Q66" i="6"/>
  <c r="Q208" i="7" s="1"/>
  <c r="Q93" i="6"/>
  <c r="Q27" i="6"/>
  <c r="Q113" i="6"/>
  <c r="Q59" i="6"/>
  <c r="Q201" i="7" s="1"/>
  <c r="Q86" i="6"/>
  <c r="Q20" i="6"/>
  <c r="Q119" i="5"/>
  <c r="Q65" i="5"/>
  <c r="Q120" i="7" s="1"/>
  <c r="Q92" i="5"/>
  <c r="Q21" i="5"/>
  <c r="Q63" i="5" l="1"/>
  <c r="Q118" i="7" s="1"/>
  <c r="Q117" i="5"/>
  <c r="Q37" i="3"/>
  <c r="Q90" i="5"/>
  <c r="Q18" i="5"/>
  <c r="Q231" i="3"/>
  <c r="Q118" i="6"/>
  <c r="Q68" i="3"/>
  <c r="Q64" i="6"/>
  <c r="Q206" i="7" s="1"/>
  <c r="Q91" i="6"/>
  <c r="Q18" i="6"/>
  <c r="Q111" i="6"/>
  <c r="Q67" i="3"/>
  <c r="Q57" i="6"/>
  <c r="Q199" i="7" s="1"/>
  <c r="Q84" i="6"/>
  <c r="Q219" i="3" l="1"/>
  <c r="Q65" i="3"/>
  <c r="Q220" i="3"/>
  <c r="Q189" i="3"/>
  <c r="Q35" i="3"/>
  <c r="Q61" i="5"/>
  <c r="Q88" i="5"/>
  <c r="Q55" i="6"/>
  <c r="Q82" i="6"/>
  <c r="Q64" i="3" l="1"/>
  <c r="Q217" i="3"/>
  <c r="Q187" i="3"/>
  <c r="Q34" i="3"/>
  <c r="Q133" i="6"/>
  <c r="Q79" i="6"/>
  <c r="Q221" i="7" s="1"/>
  <c r="Q106" i="6"/>
  <c r="Q157" i="3" l="1"/>
  <c r="Q40" i="6"/>
  <c r="Q132" i="6"/>
  <c r="Q78" i="6"/>
  <c r="Q220" i="7" s="1"/>
  <c r="Q105" i="6"/>
  <c r="Q165" i="3"/>
  <c r="Q168" i="3"/>
  <c r="Q163" i="3"/>
  <c r="Q161" i="3"/>
  <c r="Q166" i="3"/>
  <c r="Q156" i="3"/>
  <c r="Q167" i="3"/>
  <c r="Q158" i="3"/>
  <c r="Q216" i="3"/>
  <c r="Q159" i="3"/>
  <c r="Q160" i="3"/>
  <c r="Q134" i="3"/>
  <c r="Q133" i="3"/>
  <c r="Q137" i="3"/>
  <c r="Q138" i="3"/>
  <c r="Q186" i="3"/>
  <c r="Q135" i="3"/>
  <c r="Q126" i="3"/>
  <c r="Q131" i="3"/>
  <c r="Q132" i="3"/>
  <c r="Q136" i="3"/>
  <c r="Q128" i="3"/>
  <c r="Q130" i="3"/>
  <c r="Q129" i="3"/>
  <c r="Q52" i="5"/>
  <c r="Q84" i="5"/>
  <c r="Q139" i="7" s="1"/>
  <c r="Q138" i="5"/>
  <c r="Q111" i="5"/>
  <c r="Q127" i="3"/>
  <c r="Q83" i="5" l="1"/>
  <c r="Q138" i="7" s="1"/>
  <c r="Q137" i="5"/>
  <c r="Q50" i="3"/>
  <c r="Q110" i="5"/>
  <c r="Q42" i="5"/>
  <c r="Q77" i="6"/>
  <c r="Q219" i="7" s="1"/>
  <c r="Q131" i="6"/>
  <c r="Q80" i="3"/>
  <c r="Q104" i="6"/>
  <c r="Q33" i="6"/>
  <c r="Q232" i="3" l="1"/>
  <c r="Q78" i="3"/>
  <c r="Q202" i="3"/>
  <c r="Q48" i="3"/>
  <c r="S55" i="7"/>
  <c r="S134" i="4"/>
  <c r="Q17" i="5"/>
  <c r="Q76" i="5"/>
  <c r="Q103" i="5"/>
  <c r="Q70" i="6"/>
  <c r="Q97" i="6"/>
  <c r="Q17" i="6"/>
  <c r="Q157" i="5" l="1"/>
  <c r="Q141" i="5"/>
  <c r="Q60" i="5"/>
  <c r="Q150" i="5"/>
  <c r="Q156" i="5"/>
  <c r="Q154" i="5"/>
  <c r="Q163" i="5"/>
  <c r="Q161" i="5"/>
  <c r="Q147" i="5"/>
  <c r="Q162" i="5"/>
  <c r="Q155" i="5"/>
  <c r="Q148" i="5"/>
  <c r="Q143" i="5"/>
  <c r="Q152" i="5"/>
  <c r="Q159" i="5"/>
  <c r="Q149" i="5"/>
  <c r="Q145" i="5"/>
  <c r="Q160" i="5"/>
  <c r="Q153" i="5"/>
  <c r="Q151" i="5"/>
  <c r="Q158" i="5"/>
  <c r="Q166" i="5"/>
  <c r="Q146" i="5"/>
  <c r="Q144" i="5"/>
  <c r="Q142" i="5"/>
  <c r="Q165" i="5"/>
  <c r="Q164" i="5"/>
  <c r="Q200" i="3"/>
  <c r="Q47" i="3"/>
  <c r="Q140" i="3" s="1"/>
  <c r="Q54" i="6"/>
  <c r="Q135" i="6"/>
  <c r="Q148" i="6"/>
  <c r="Q155" i="6"/>
  <c r="Q141" i="6"/>
  <c r="Q156" i="6"/>
  <c r="Q149" i="6"/>
  <c r="Q142" i="6"/>
  <c r="Q137" i="6"/>
  <c r="Q153" i="6"/>
  <c r="Q146" i="6"/>
  <c r="Q143" i="6"/>
  <c r="Q139" i="6"/>
  <c r="Q154" i="6"/>
  <c r="Q147" i="6"/>
  <c r="Q152" i="6"/>
  <c r="Q140" i="6"/>
  <c r="Q145" i="6"/>
  <c r="Q138" i="6"/>
  <c r="Q136" i="6"/>
  <c r="Q160" i="6"/>
  <c r="Q159" i="6"/>
  <c r="Q158" i="6"/>
  <c r="Q77" i="3"/>
  <c r="Q230" i="3"/>
  <c r="S53" i="7"/>
  <c r="S127" i="4"/>
  <c r="Q151" i="6"/>
  <c r="Q170" i="3" l="1"/>
  <c r="S46" i="7"/>
  <c r="S111" i="4"/>
  <c r="S30" i="7" s="1"/>
  <c r="Q144" i="3"/>
  <c r="Q147" i="3"/>
  <c r="Q150" i="3"/>
  <c r="Q199" i="3"/>
  <c r="Q146" i="3"/>
  <c r="Q143" i="3"/>
  <c r="Q149" i="3"/>
  <c r="Q148" i="3"/>
  <c r="Q139" i="3"/>
  <c r="Q145" i="3"/>
  <c r="Q141" i="3"/>
  <c r="Q142" i="3"/>
  <c r="Q174" i="3"/>
  <c r="Q180" i="3"/>
  <c r="Q179" i="3"/>
  <c r="Q178" i="3"/>
  <c r="Q169" i="3"/>
  <c r="Q175" i="3"/>
  <c r="Q176" i="3"/>
  <c r="Q177" i="3"/>
  <c r="Q173" i="3"/>
  <c r="Q229" i="3"/>
  <c r="Q171" i="3"/>
  <c r="Q172" i="3"/>
  <c r="R133" i="5" l="1"/>
  <c r="R79" i="5"/>
  <c r="R134" i="7" s="1"/>
  <c r="R106" i="5"/>
  <c r="R43" i="5"/>
  <c r="R127" i="6" l="1"/>
  <c r="R73" i="6"/>
  <c r="R215" i="7" s="1"/>
  <c r="R100" i="6"/>
  <c r="R34" i="6"/>
  <c r="R131" i="5"/>
  <c r="R77" i="5"/>
  <c r="R132" i="7" s="1"/>
  <c r="R49" i="3"/>
  <c r="R104" i="5"/>
  <c r="R85" i="5"/>
  <c r="R140" i="7" s="1"/>
  <c r="R139" i="5"/>
  <c r="R112" i="5"/>
  <c r="R72" i="5"/>
  <c r="R127" i="7" s="1"/>
  <c r="R126" i="5"/>
  <c r="R99" i="5"/>
  <c r="R33" i="5"/>
  <c r="R70" i="5" l="1"/>
  <c r="R125" i="7" s="1"/>
  <c r="R38" i="3"/>
  <c r="R124" i="5"/>
  <c r="R97" i="5"/>
  <c r="R119" i="5"/>
  <c r="R65" i="5"/>
  <c r="R120" i="7" s="1"/>
  <c r="R92" i="5"/>
  <c r="R21" i="5"/>
  <c r="R120" i="6"/>
  <c r="R66" i="6"/>
  <c r="R208" i="7" s="1"/>
  <c r="R93" i="6"/>
  <c r="R27" i="6"/>
  <c r="R113" i="6"/>
  <c r="R59" i="6"/>
  <c r="R201" i="7" s="1"/>
  <c r="R86" i="6"/>
  <c r="R20" i="6"/>
  <c r="R71" i="6"/>
  <c r="R213" i="7" s="1"/>
  <c r="R125" i="6"/>
  <c r="R79" i="3"/>
  <c r="R98" i="6"/>
  <c r="R201" i="3"/>
  <c r="R64" i="6" l="1"/>
  <c r="R206" i="7" s="1"/>
  <c r="R118" i="6"/>
  <c r="R68" i="3"/>
  <c r="R91" i="6"/>
  <c r="R57" i="6"/>
  <c r="R199" i="7" s="1"/>
  <c r="R111" i="6"/>
  <c r="R67" i="3"/>
  <c r="R84" i="6"/>
  <c r="R18" i="6"/>
  <c r="R117" i="5"/>
  <c r="R63" i="5"/>
  <c r="R118" i="7" s="1"/>
  <c r="R37" i="3"/>
  <c r="R90" i="5"/>
  <c r="R18" i="5"/>
  <c r="R190" i="3"/>
  <c r="R231" i="3"/>
  <c r="R220" i="3" l="1"/>
  <c r="R55" i="6"/>
  <c r="R82" i="6"/>
  <c r="R61" i="5"/>
  <c r="R88" i="5"/>
  <c r="R219" i="3"/>
  <c r="R65" i="3"/>
  <c r="R189" i="3"/>
  <c r="R35" i="3"/>
  <c r="R52" i="5" l="1"/>
  <c r="R84" i="5"/>
  <c r="R139" i="7" s="1"/>
  <c r="R138" i="5"/>
  <c r="R111" i="5"/>
  <c r="R64" i="3"/>
  <c r="R217" i="3"/>
  <c r="R133" i="6"/>
  <c r="R79" i="6"/>
  <c r="R221" i="7" s="1"/>
  <c r="R106" i="6"/>
  <c r="R187" i="3"/>
  <c r="R34" i="3"/>
  <c r="R127" i="3" s="1"/>
  <c r="R157" i="3" l="1"/>
  <c r="R40" i="6"/>
  <c r="R132" i="6"/>
  <c r="R78" i="6"/>
  <c r="R220" i="7" s="1"/>
  <c r="R105" i="6"/>
  <c r="R126" i="3"/>
  <c r="R131" i="3"/>
  <c r="R135" i="3"/>
  <c r="R186" i="3"/>
  <c r="R136" i="3"/>
  <c r="R137" i="3"/>
  <c r="R132" i="3"/>
  <c r="R138" i="3"/>
  <c r="R133" i="3"/>
  <c r="R134" i="3"/>
  <c r="R128" i="3"/>
  <c r="R130" i="3"/>
  <c r="R129" i="3"/>
  <c r="R216" i="3"/>
  <c r="R163" i="3"/>
  <c r="R161" i="3"/>
  <c r="R166" i="3"/>
  <c r="R156" i="3"/>
  <c r="R167" i="3"/>
  <c r="R168" i="3"/>
  <c r="R165" i="3"/>
  <c r="R158" i="3"/>
  <c r="R160" i="3"/>
  <c r="R159" i="3"/>
  <c r="R137" i="5"/>
  <c r="R83" i="5"/>
  <c r="R138" i="7" s="1"/>
  <c r="R50" i="3"/>
  <c r="R110" i="5"/>
  <c r="R42" i="5"/>
  <c r="R76" i="5" l="1"/>
  <c r="R103" i="5"/>
  <c r="R17" i="5"/>
  <c r="R202" i="3"/>
  <c r="R48" i="3"/>
  <c r="R77" i="6"/>
  <c r="R219" i="7" s="1"/>
  <c r="R131" i="6"/>
  <c r="R80" i="3"/>
  <c r="R104" i="6"/>
  <c r="R33" i="6"/>
  <c r="R142" i="5" l="1"/>
  <c r="R141" i="5"/>
  <c r="R60" i="5"/>
  <c r="R156" i="5"/>
  <c r="R150" i="5"/>
  <c r="R163" i="5"/>
  <c r="R154" i="5"/>
  <c r="R161" i="5"/>
  <c r="R147" i="5"/>
  <c r="R152" i="5"/>
  <c r="R143" i="5"/>
  <c r="R159" i="5"/>
  <c r="R162" i="5"/>
  <c r="R148" i="5"/>
  <c r="R149" i="5"/>
  <c r="R155" i="5"/>
  <c r="R145" i="5"/>
  <c r="R160" i="5"/>
  <c r="R166" i="5"/>
  <c r="R158" i="5"/>
  <c r="R153" i="5"/>
  <c r="R146" i="5"/>
  <c r="R151" i="5"/>
  <c r="R144" i="5"/>
  <c r="R165" i="5"/>
  <c r="R164" i="5"/>
  <c r="R17" i="6"/>
  <c r="R151" i="6" s="1"/>
  <c r="R70" i="6"/>
  <c r="R97" i="6"/>
  <c r="R157" i="5"/>
  <c r="R232" i="3"/>
  <c r="R78" i="3"/>
  <c r="R200" i="3"/>
  <c r="R47" i="3"/>
  <c r="R136" i="6" l="1"/>
  <c r="R135" i="6"/>
  <c r="R54" i="6"/>
  <c r="R148" i="6"/>
  <c r="R155" i="6"/>
  <c r="R141" i="6"/>
  <c r="R156" i="6"/>
  <c r="R137" i="6"/>
  <c r="R146" i="6"/>
  <c r="R153" i="6"/>
  <c r="R142" i="6"/>
  <c r="R149" i="6"/>
  <c r="R143" i="6"/>
  <c r="R139" i="6"/>
  <c r="R154" i="6"/>
  <c r="R140" i="6"/>
  <c r="R147" i="6"/>
  <c r="R152" i="6"/>
  <c r="R138" i="6"/>
  <c r="R145" i="6"/>
  <c r="R160" i="6"/>
  <c r="R159" i="6"/>
  <c r="R158" i="6"/>
  <c r="R77" i="3"/>
  <c r="R230" i="3"/>
  <c r="R143" i="3"/>
  <c r="R145" i="3"/>
  <c r="R148" i="3"/>
  <c r="R144" i="3"/>
  <c r="R149" i="3"/>
  <c r="R139" i="3"/>
  <c r="R150" i="3"/>
  <c r="R199" i="3"/>
  <c r="R147" i="3"/>
  <c r="R146" i="3"/>
  <c r="R141" i="3"/>
  <c r="R142" i="3"/>
  <c r="R140" i="3"/>
  <c r="R174" i="3" l="1"/>
  <c r="R178" i="3"/>
  <c r="R169" i="3"/>
  <c r="R175" i="3"/>
  <c r="R176" i="3"/>
  <c r="R177" i="3"/>
  <c r="R173" i="3"/>
  <c r="R180" i="3"/>
  <c r="R179" i="3"/>
  <c r="R229" i="3"/>
  <c r="R171" i="3"/>
  <c r="R172" i="3"/>
  <c r="R170" i="3"/>
  <c r="T55" i="7" l="1"/>
  <c r="T134" i="4"/>
  <c r="T53" i="7" l="1"/>
  <c r="T127" i="4"/>
  <c r="T46" i="7" l="1"/>
  <c r="T111" i="4"/>
  <c r="T30" i="7" s="1"/>
  <c r="S126" i="5" l="1"/>
  <c r="S72" i="5"/>
  <c r="S127" i="7" s="1"/>
  <c r="S99" i="5"/>
  <c r="S33" i="5"/>
  <c r="S70" i="5" l="1"/>
  <c r="S125" i="7" s="1"/>
  <c r="S124" i="5"/>
  <c r="S38" i="3"/>
  <c r="S97" i="5"/>
  <c r="S127" i="6"/>
  <c r="S73" i="6"/>
  <c r="S215" i="7" s="1"/>
  <c r="S100" i="6"/>
  <c r="S34" i="6"/>
  <c r="S133" i="5"/>
  <c r="S79" i="5"/>
  <c r="S134" i="7" s="1"/>
  <c r="S106" i="5"/>
  <c r="S43" i="5"/>
  <c r="S190" i="3" l="1"/>
  <c r="S125" i="6"/>
  <c r="S79" i="3"/>
  <c r="S71" i="6"/>
  <c r="S213" i="7" s="1"/>
  <c r="S98" i="6"/>
  <c r="S131" i="5"/>
  <c r="S77" i="5"/>
  <c r="S132" i="7" s="1"/>
  <c r="S49" i="3"/>
  <c r="S104" i="5"/>
  <c r="S120" i="6"/>
  <c r="S66" i="6"/>
  <c r="S208" i="7" s="1"/>
  <c r="S93" i="6"/>
  <c r="S27" i="6"/>
  <c r="S201" i="3" l="1"/>
  <c r="S231" i="3"/>
  <c r="S85" i="5"/>
  <c r="S140" i="7" s="1"/>
  <c r="S139" i="5"/>
  <c r="S112" i="5"/>
  <c r="S118" i="6"/>
  <c r="S68" i="3"/>
  <c r="S64" i="6"/>
  <c r="S206" i="7" s="1"/>
  <c r="S91" i="6"/>
  <c r="S113" i="6"/>
  <c r="S59" i="6"/>
  <c r="S201" i="7" s="1"/>
  <c r="S86" i="6"/>
  <c r="S20" i="6"/>
  <c r="S65" i="5"/>
  <c r="S120" i="7" s="1"/>
  <c r="S119" i="5"/>
  <c r="S92" i="5"/>
  <c r="S21" i="5"/>
  <c r="S220" i="3" l="1"/>
  <c r="S18" i="6"/>
  <c r="S111" i="6"/>
  <c r="S67" i="3"/>
  <c r="S57" i="6"/>
  <c r="S199" i="7" s="1"/>
  <c r="S84" i="6"/>
  <c r="S63" i="5"/>
  <c r="S118" i="7" s="1"/>
  <c r="S117" i="5"/>
  <c r="S37" i="3"/>
  <c r="S90" i="5"/>
  <c r="S18" i="5"/>
  <c r="S61" i="5" l="1"/>
  <c r="S88" i="5"/>
  <c r="S189" i="3"/>
  <c r="S35" i="3"/>
  <c r="S65" i="3"/>
  <c r="S219" i="3"/>
  <c r="S55" i="6"/>
  <c r="S82" i="6"/>
  <c r="S133" i="6" l="1"/>
  <c r="S79" i="6"/>
  <c r="S221" i="7" s="1"/>
  <c r="S106" i="6"/>
  <c r="S64" i="3"/>
  <c r="S217" i="3"/>
  <c r="S187" i="3"/>
  <c r="S34" i="3"/>
  <c r="S127" i="3" s="1"/>
  <c r="S157" i="3" l="1"/>
  <c r="S138" i="3"/>
  <c r="S186" i="3"/>
  <c r="S135" i="3"/>
  <c r="S132" i="3"/>
  <c r="S137" i="3"/>
  <c r="S133" i="3"/>
  <c r="S136" i="3"/>
  <c r="S134" i="3"/>
  <c r="S131" i="3"/>
  <c r="S126" i="3"/>
  <c r="S128" i="3"/>
  <c r="S130" i="3"/>
  <c r="S129" i="3"/>
  <c r="S168" i="3"/>
  <c r="S163" i="3"/>
  <c r="S156" i="3"/>
  <c r="S161" i="3"/>
  <c r="S166" i="3"/>
  <c r="S165" i="3"/>
  <c r="S167" i="3"/>
  <c r="S158" i="3"/>
  <c r="S216" i="3"/>
  <c r="S160" i="3"/>
  <c r="S159" i="3"/>
  <c r="S52" i="5" l="1"/>
  <c r="S138" i="5"/>
  <c r="S84" i="5"/>
  <c r="S139" i="7" s="1"/>
  <c r="S111" i="5"/>
  <c r="S40" i="6"/>
  <c r="S132" i="6"/>
  <c r="S78" i="6"/>
  <c r="S220" i="7" s="1"/>
  <c r="S105" i="6"/>
  <c r="S131" i="6" l="1"/>
  <c r="S80" i="3"/>
  <c r="S77" i="6"/>
  <c r="S219" i="7" s="1"/>
  <c r="S104" i="6"/>
  <c r="S33" i="6"/>
  <c r="S137" i="5"/>
  <c r="S83" i="5"/>
  <c r="S138" i="7" s="1"/>
  <c r="S50" i="3"/>
  <c r="S110" i="5"/>
  <c r="S42" i="5"/>
  <c r="S17" i="6" l="1"/>
  <c r="S151" i="6"/>
  <c r="S70" i="6"/>
  <c r="S97" i="6"/>
  <c r="S76" i="5"/>
  <c r="S103" i="5"/>
  <c r="S17" i="5"/>
  <c r="S232" i="3"/>
  <c r="S78" i="3"/>
  <c r="S202" i="3"/>
  <c r="S48" i="3"/>
  <c r="S162" i="5" l="1"/>
  <c r="S141" i="5"/>
  <c r="S60" i="5"/>
  <c r="S156" i="5"/>
  <c r="S150" i="5"/>
  <c r="S163" i="5"/>
  <c r="S154" i="5"/>
  <c r="S161" i="5"/>
  <c r="S147" i="5"/>
  <c r="S152" i="5"/>
  <c r="S159" i="5"/>
  <c r="S143" i="5"/>
  <c r="S155" i="5"/>
  <c r="S149" i="5"/>
  <c r="S148" i="5"/>
  <c r="S145" i="5"/>
  <c r="S153" i="5"/>
  <c r="S151" i="5"/>
  <c r="S160" i="5"/>
  <c r="S158" i="5"/>
  <c r="S166" i="5"/>
  <c r="S146" i="5"/>
  <c r="S144" i="5"/>
  <c r="S142" i="5"/>
  <c r="S165" i="5"/>
  <c r="S164" i="5"/>
  <c r="S77" i="3"/>
  <c r="S230" i="3"/>
  <c r="S157" i="5"/>
  <c r="S200" i="3"/>
  <c r="S47" i="3"/>
  <c r="S140" i="3" s="1"/>
  <c r="S135" i="6"/>
  <c r="S148" i="6"/>
  <c r="S155" i="6"/>
  <c r="S54" i="6"/>
  <c r="S137" i="6"/>
  <c r="S141" i="6"/>
  <c r="S153" i="6"/>
  <c r="S146" i="6"/>
  <c r="S156" i="6"/>
  <c r="S149" i="6"/>
  <c r="S143" i="6"/>
  <c r="S139" i="6"/>
  <c r="S142" i="6"/>
  <c r="S154" i="6"/>
  <c r="S147" i="6"/>
  <c r="S152" i="6"/>
  <c r="S140" i="6"/>
  <c r="S145" i="6"/>
  <c r="S138" i="6"/>
  <c r="S136" i="6"/>
  <c r="S160" i="6"/>
  <c r="S159" i="6"/>
  <c r="S158" i="6"/>
  <c r="S170" i="3" l="1"/>
  <c r="S147" i="3"/>
  <c r="S144" i="3"/>
  <c r="S150" i="3"/>
  <c r="S199" i="3"/>
  <c r="S139" i="3"/>
  <c r="S148" i="3"/>
  <c r="S149" i="3"/>
  <c r="S146" i="3"/>
  <c r="S145" i="3"/>
  <c r="S143" i="3"/>
  <c r="S141" i="3"/>
  <c r="S142" i="3"/>
  <c r="S177" i="3"/>
  <c r="S176" i="3"/>
  <c r="S174" i="3"/>
  <c r="S173" i="3"/>
  <c r="S180" i="3"/>
  <c r="S179" i="3"/>
  <c r="S178" i="3"/>
  <c r="S169" i="3"/>
  <c r="S175" i="3"/>
  <c r="S229" i="3"/>
  <c r="S171" i="3"/>
  <c r="S172" i="3"/>
  <c r="U55" i="7" l="1"/>
  <c r="U134" i="4"/>
  <c r="U53" i="7" l="1"/>
  <c r="U127" i="4"/>
  <c r="U46" i="7" l="1"/>
  <c r="U111" i="4"/>
  <c r="U30" i="7" s="1"/>
  <c r="T133" i="5" l="1"/>
  <c r="T79" i="5"/>
  <c r="T134" i="7" s="1"/>
  <c r="T106" i="5"/>
  <c r="T43" i="5"/>
  <c r="T126" i="5"/>
  <c r="T72" i="5"/>
  <c r="T127" i="7" s="1"/>
  <c r="T99" i="5"/>
  <c r="T33" i="5"/>
  <c r="T70" i="5" l="1"/>
  <c r="T125" i="7" s="1"/>
  <c r="T124" i="5"/>
  <c r="T38" i="3"/>
  <c r="T97" i="5"/>
  <c r="T131" i="5"/>
  <c r="T77" i="5"/>
  <c r="T132" i="7" s="1"/>
  <c r="T49" i="3"/>
  <c r="T104" i="5"/>
  <c r="T120" i="6" l="1"/>
  <c r="T66" i="6"/>
  <c r="T208" i="7" s="1"/>
  <c r="T93" i="6"/>
  <c r="T27" i="6"/>
  <c r="T127" i="6"/>
  <c r="T73" i="6"/>
  <c r="T215" i="7" s="1"/>
  <c r="T100" i="6"/>
  <c r="T34" i="6"/>
  <c r="T201" i="3"/>
  <c r="T190" i="3"/>
  <c r="T119" i="5"/>
  <c r="T65" i="5"/>
  <c r="T120" i="7" s="1"/>
  <c r="T92" i="5"/>
  <c r="T21" i="5"/>
  <c r="T139" i="5"/>
  <c r="T85" i="5"/>
  <c r="T140" i="7" s="1"/>
  <c r="T112" i="5"/>
  <c r="T118" i="6" l="1"/>
  <c r="T68" i="3"/>
  <c r="T64" i="6"/>
  <c r="T206" i="7" s="1"/>
  <c r="T91" i="6"/>
  <c r="T125" i="6"/>
  <c r="T79" i="3"/>
  <c r="T71" i="6"/>
  <c r="T213" i="7" s="1"/>
  <c r="T98" i="6"/>
  <c r="T113" i="6"/>
  <c r="T59" i="6"/>
  <c r="T201" i="7" s="1"/>
  <c r="T86" i="6"/>
  <c r="T20" i="6"/>
  <c r="T63" i="5"/>
  <c r="T118" i="7" s="1"/>
  <c r="T117" i="5"/>
  <c r="T37" i="3"/>
  <c r="T90" i="5"/>
  <c r="T18" i="5"/>
  <c r="T61" i="5" l="1"/>
  <c r="T88" i="5"/>
  <c r="T189" i="3"/>
  <c r="T35" i="3"/>
  <c r="T220" i="3"/>
  <c r="T231" i="3"/>
  <c r="T111" i="6"/>
  <c r="T67" i="3"/>
  <c r="T57" i="6"/>
  <c r="T199" i="7" s="1"/>
  <c r="T84" i="6"/>
  <c r="T18" i="6"/>
  <c r="T133" i="6"/>
  <c r="T79" i="6"/>
  <c r="T221" i="7" s="1"/>
  <c r="T106" i="6"/>
  <c r="T55" i="6" l="1"/>
  <c r="T82" i="6"/>
  <c r="T187" i="3"/>
  <c r="T34" i="3"/>
  <c r="T127" i="3" s="1"/>
  <c r="T219" i="3"/>
  <c r="T65" i="3"/>
  <c r="T40" i="6" l="1"/>
  <c r="T132" i="6"/>
  <c r="T78" i="6"/>
  <c r="T220" i="7" s="1"/>
  <c r="T105" i="6"/>
  <c r="T84" i="5"/>
  <c r="T139" i="7" s="1"/>
  <c r="T52" i="5"/>
  <c r="T138" i="5"/>
  <c r="T111" i="5"/>
  <c r="T135" i="3"/>
  <c r="T133" i="3"/>
  <c r="T138" i="3"/>
  <c r="T186" i="3"/>
  <c r="T131" i="3"/>
  <c r="T126" i="3"/>
  <c r="T132" i="3"/>
  <c r="T136" i="3"/>
  <c r="T134" i="3"/>
  <c r="T137" i="3"/>
  <c r="T128" i="3"/>
  <c r="T130" i="3"/>
  <c r="T129" i="3"/>
  <c r="T64" i="3"/>
  <c r="T217" i="3"/>
  <c r="T165" i="3" l="1"/>
  <c r="T166" i="3"/>
  <c r="T156" i="3"/>
  <c r="T167" i="3"/>
  <c r="T168" i="3"/>
  <c r="T163" i="3"/>
  <c r="T161" i="3"/>
  <c r="T158" i="3"/>
  <c r="T216" i="3"/>
  <c r="T160" i="3"/>
  <c r="T159" i="3"/>
  <c r="T42" i="5"/>
  <c r="T137" i="5"/>
  <c r="T83" i="5"/>
  <c r="T138" i="7" s="1"/>
  <c r="T50" i="3"/>
  <c r="T110" i="5"/>
  <c r="T157" i="3"/>
  <c r="T131" i="6"/>
  <c r="T80" i="3"/>
  <c r="T77" i="6"/>
  <c r="T219" i="7" s="1"/>
  <c r="T104" i="6"/>
  <c r="T33" i="6"/>
  <c r="T76" i="5" l="1"/>
  <c r="T103" i="5"/>
  <c r="T17" i="5"/>
  <c r="T232" i="3"/>
  <c r="T78" i="3"/>
  <c r="T202" i="3"/>
  <c r="T48" i="3"/>
  <c r="T70" i="6"/>
  <c r="T97" i="6"/>
  <c r="T17" i="6"/>
  <c r="T200" i="3" l="1"/>
  <c r="T47" i="3"/>
  <c r="T140" i="3" s="1"/>
  <c r="T151" i="5"/>
  <c r="T141" i="5"/>
  <c r="T60" i="5"/>
  <c r="T156" i="5"/>
  <c r="T150" i="5"/>
  <c r="T163" i="5"/>
  <c r="T161" i="5"/>
  <c r="T154" i="5"/>
  <c r="T147" i="5"/>
  <c r="T159" i="5"/>
  <c r="T143" i="5"/>
  <c r="T162" i="5"/>
  <c r="T152" i="5"/>
  <c r="T155" i="5"/>
  <c r="T148" i="5"/>
  <c r="T149" i="5"/>
  <c r="T145" i="5"/>
  <c r="T153" i="5"/>
  <c r="T160" i="5"/>
  <c r="T158" i="5"/>
  <c r="T166" i="5"/>
  <c r="T146" i="5"/>
  <c r="T144" i="5"/>
  <c r="T142" i="5"/>
  <c r="T165" i="5"/>
  <c r="T164" i="5"/>
  <c r="T157" i="5"/>
  <c r="T77" i="3"/>
  <c r="T230" i="3"/>
  <c r="T151" i="6"/>
  <c r="T135" i="6"/>
  <c r="T54" i="6"/>
  <c r="T148" i="6"/>
  <c r="T155" i="6"/>
  <c r="T156" i="6"/>
  <c r="T141" i="6"/>
  <c r="T137" i="6"/>
  <c r="T153" i="6"/>
  <c r="T149" i="6"/>
  <c r="T146" i="6"/>
  <c r="T142" i="6"/>
  <c r="T143" i="6"/>
  <c r="T139" i="6"/>
  <c r="T147" i="6"/>
  <c r="T154" i="6"/>
  <c r="T152" i="6"/>
  <c r="T145" i="6"/>
  <c r="T140" i="6"/>
  <c r="T160" i="6"/>
  <c r="T138" i="6"/>
  <c r="T136" i="6"/>
  <c r="T159" i="6"/>
  <c r="T158" i="6"/>
  <c r="T170" i="3" l="1"/>
  <c r="T177" i="3"/>
  <c r="T173" i="3"/>
  <c r="T176" i="3"/>
  <c r="T179" i="3"/>
  <c r="T180" i="3"/>
  <c r="T178" i="3"/>
  <c r="T174" i="3"/>
  <c r="T169" i="3"/>
  <c r="T175" i="3"/>
  <c r="T229" i="3"/>
  <c r="T171" i="3"/>
  <c r="T172" i="3"/>
  <c r="T144" i="3"/>
  <c r="T150" i="3"/>
  <c r="T199" i="3"/>
  <c r="T149" i="3"/>
  <c r="T148" i="3"/>
  <c r="T139" i="3"/>
  <c r="T145" i="3"/>
  <c r="T146" i="3"/>
  <c r="T143" i="3"/>
  <c r="T147" i="3"/>
  <c r="T141" i="3"/>
  <c r="T142" i="3"/>
  <c r="V55" i="7" l="1"/>
  <c r="V134" i="4"/>
  <c r="V53" i="7" l="1"/>
  <c r="V127" i="4"/>
  <c r="V46" i="7" l="1"/>
  <c r="V111" i="4"/>
  <c r="V30" i="7" s="1"/>
  <c r="U127" i="6" l="1"/>
  <c r="U73" i="6"/>
  <c r="U215" i="7" s="1"/>
  <c r="U100" i="6"/>
  <c r="U34" i="6"/>
  <c r="U79" i="5"/>
  <c r="U134" i="7" s="1"/>
  <c r="U133" i="5"/>
  <c r="U106" i="5"/>
  <c r="U43" i="5"/>
  <c r="U72" i="5"/>
  <c r="U127" i="7" s="1"/>
  <c r="U126" i="5"/>
  <c r="U99" i="5"/>
  <c r="U33" i="5"/>
  <c r="U77" i="5" l="1"/>
  <c r="U132" i="7" s="1"/>
  <c r="U131" i="5"/>
  <c r="U49" i="3"/>
  <c r="U104" i="5"/>
  <c r="U139" i="5"/>
  <c r="U85" i="5"/>
  <c r="U140" i="7" s="1"/>
  <c r="U112" i="5"/>
  <c r="U70" i="5"/>
  <c r="U125" i="7" s="1"/>
  <c r="U124" i="5"/>
  <c r="U38" i="3"/>
  <c r="U97" i="5"/>
  <c r="U71" i="6"/>
  <c r="U213" i="7" s="1"/>
  <c r="U125" i="6"/>
  <c r="U79" i="3"/>
  <c r="U98" i="6"/>
  <c r="U201" i="3" l="1"/>
  <c r="U231" i="3"/>
  <c r="U65" i="5"/>
  <c r="U120" i="7" s="1"/>
  <c r="U119" i="5"/>
  <c r="U92" i="5"/>
  <c r="U21" i="5"/>
  <c r="U190" i="3"/>
  <c r="U120" i="6"/>
  <c r="U66" i="6"/>
  <c r="U208" i="7" s="1"/>
  <c r="U93" i="6"/>
  <c r="U27" i="6"/>
  <c r="U113" i="6"/>
  <c r="U59" i="6"/>
  <c r="U201" i="7" s="1"/>
  <c r="U86" i="6"/>
  <c r="U20" i="6"/>
  <c r="U111" i="6" l="1"/>
  <c r="U67" i="3"/>
  <c r="U57" i="6"/>
  <c r="U199" i="7" s="1"/>
  <c r="U84" i="6"/>
  <c r="U18" i="6"/>
  <c r="U63" i="5"/>
  <c r="U118" i="7" s="1"/>
  <c r="U117" i="5"/>
  <c r="U37" i="3"/>
  <c r="U90" i="5"/>
  <c r="U18" i="5"/>
  <c r="U64" i="6"/>
  <c r="U206" i="7" s="1"/>
  <c r="U118" i="6"/>
  <c r="U68" i="3"/>
  <c r="U91" i="6"/>
  <c r="U133" i="6" l="1"/>
  <c r="U79" i="6"/>
  <c r="U221" i="7" s="1"/>
  <c r="U106" i="6"/>
  <c r="U55" i="6"/>
  <c r="U82" i="6"/>
  <c r="U189" i="3"/>
  <c r="U35" i="3"/>
  <c r="U61" i="5"/>
  <c r="U88" i="5"/>
  <c r="U219" i="3"/>
  <c r="U65" i="3"/>
  <c r="U220" i="3"/>
  <c r="U64" i="3" l="1"/>
  <c r="U217" i="3"/>
  <c r="U187" i="3"/>
  <c r="U34" i="3"/>
  <c r="U127" i="3" s="1"/>
  <c r="U157" i="3" l="1"/>
  <c r="U138" i="3"/>
  <c r="U132" i="3"/>
  <c r="U134" i="3"/>
  <c r="U133" i="3"/>
  <c r="U135" i="3"/>
  <c r="U126" i="3"/>
  <c r="U131" i="3"/>
  <c r="U136" i="3"/>
  <c r="U186" i="3"/>
  <c r="U137" i="3"/>
  <c r="U128" i="3"/>
  <c r="U130" i="3"/>
  <c r="U129" i="3"/>
  <c r="U163" i="3"/>
  <c r="U168" i="3"/>
  <c r="U161" i="3"/>
  <c r="U165" i="3"/>
  <c r="U166" i="3"/>
  <c r="U156" i="3"/>
  <c r="U167" i="3"/>
  <c r="U216" i="3"/>
  <c r="U158" i="3"/>
  <c r="U160" i="3"/>
  <c r="U159" i="3"/>
  <c r="U52" i="5" l="1"/>
  <c r="U138" i="5"/>
  <c r="U84" i="5"/>
  <c r="U139" i="7" s="1"/>
  <c r="U111" i="5"/>
  <c r="U132" i="6"/>
  <c r="U40" i="6"/>
  <c r="U78" i="6"/>
  <c r="U220" i="7" s="1"/>
  <c r="U105" i="6"/>
  <c r="U83" i="5" l="1"/>
  <c r="U138" i="7" s="1"/>
  <c r="U50" i="3"/>
  <c r="U110" i="5"/>
  <c r="U137" i="5"/>
  <c r="U42" i="5"/>
  <c r="U131" i="6"/>
  <c r="U80" i="3"/>
  <c r="U77" i="6"/>
  <c r="U219" i="7" s="1"/>
  <c r="U104" i="6"/>
  <c r="U33" i="6"/>
  <c r="U70" i="6" l="1"/>
  <c r="U97" i="6"/>
  <c r="U17" i="6"/>
  <c r="U76" i="5"/>
  <c r="U103" i="5"/>
  <c r="U17" i="5"/>
  <c r="U157" i="5" s="1"/>
  <c r="U232" i="3"/>
  <c r="U78" i="3"/>
  <c r="U202" i="3"/>
  <c r="U48" i="3"/>
  <c r="U200" i="3" l="1"/>
  <c r="U47" i="3"/>
  <c r="U140" i="3"/>
  <c r="U77" i="3"/>
  <c r="U170" i="3"/>
  <c r="U230" i="3"/>
  <c r="U136" i="6"/>
  <c r="U135" i="6"/>
  <c r="U54" i="6"/>
  <c r="U148" i="6"/>
  <c r="U155" i="6"/>
  <c r="U141" i="6"/>
  <c r="U137" i="6"/>
  <c r="U153" i="6"/>
  <c r="U146" i="6"/>
  <c r="U139" i="6"/>
  <c r="U143" i="6"/>
  <c r="U156" i="6"/>
  <c r="U142" i="6"/>
  <c r="U149" i="6"/>
  <c r="U154" i="6"/>
  <c r="U152" i="6"/>
  <c r="U140" i="6"/>
  <c r="U147" i="6"/>
  <c r="U145" i="6"/>
  <c r="U138" i="6"/>
  <c r="U160" i="6"/>
  <c r="U159" i="6"/>
  <c r="U158" i="6"/>
  <c r="U60" i="5"/>
  <c r="U141" i="5"/>
  <c r="U156" i="5"/>
  <c r="U163" i="5"/>
  <c r="U150" i="5"/>
  <c r="U154" i="5"/>
  <c r="U161" i="5"/>
  <c r="U147" i="5"/>
  <c r="U152" i="5"/>
  <c r="U159" i="5"/>
  <c r="U143" i="5"/>
  <c r="U162" i="5"/>
  <c r="U149" i="5"/>
  <c r="U145" i="5"/>
  <c r="U148" i="5"/>
  <c r="U155" i="5"/>
  <c r="U153" i="5"/>
  <c r="U160" i="5"/>
  <c r="U151" i="5"/>
  <c r="U166" i="5"/>
  <c r="U158" i="5"/>
  <c r="U146" i="5"/>
  <c r="U144" i="5"/>
  <c r="U142" i="5"/>
  <c r="U165" i="5"/>
  <c r="U164" i="5"/>
  <c r="U151" i="6"/>
  <c r="U178" i="3" l="1"/>
  <c r="U169" i="3"/>
  <c r="U175" i="3"/>
  <c r="U176" i="3"/>
  <c r="U173" i="3"/>
  <c r="U177" i="3"/>
  <c r="U179" i="3"/>
  <c r="U174" i="3"/>
  <c r="U180" i="3"/>
  <c r="U229" i="3"/>
  <c r="U171" i="3"/>
  <c r="U172" i="3"/>
  <c r="U144" i="3"/>
  <c r="U150" i="3"/>
  <c r="U149" i="3"/>
  <c r="U148" i="3"/>
  <c r="U199" i="3"/>
  <c r="U139" i="3"/>
  <c r="U145" i="3"/>
  <c r="U147" i="3"/>
  <c r="U143" i="3"/>
  <c r="U146" i="3"/>
  <c r="U141" i="3"/>
  <c r="U142" i="3"/>
  <c r="W55" i="7" l="1"/>
  <c r="W134" i="4"/>
  <c r="W53" i="7" l="1"/>
  <c r="W127" i="4"/>
  <c r="W46" i="7" l="1"/>
  <c r="W111" i="4"/>
  <c r="W30" i="7" s="1"/>
  <c r="V127" i="6" l="1"/>
  <c r="V73" i="6"/>
  <c r="V215" i="7" s="1"/>
  <c r="V100" i="6"/>
  <c r="V34" i="6"/>
  <c r="V72" i="5"/>
  <c r="V127" i="7" s="1"/>
  <c r="V126" i="5"/>
  <c r="V99" i="5"/>
  <c r="V33" i="5"/>
  <c r="V79" i="5"/>
  <c r="V134" i="7" s="1"/>
  <c r="V133" i="5"/>
  <c r="V106" i="5"/>
  <c r="V43" i="5"/>
  <c r="V113" i="6" l="1"/>
  <c r="V59" i="6"/>
  <c r="V201" i="7" s="1"/>
  <c r="V86" i="6"/>
  <c r="V20" i="6"/>
  <c r="V125" i="6"/>
  <c r="V79" i="3"/>
  <c r="V71" i="6"/>
  <c r="V213" i="7" s="1"/>
  <c r="V98" i="6"/>
  <c r="V70" i="5"/>
  <c r="V125" i="7" s="1"/>
  <c r="V124" i="5"/>
  <c r="V38" i="3"/>
  <c r="V190" i="3" s="1"/>
  <c r="V97" i="5"/>
  <c r="V77" i="5"/>
  <c r="V132" i="7" s="1"/>
  <c r="V49" i="3"/>
  <c r="V131" i="5"/>
  <c r="V104" i="5"/>
  <c r="V139" i="5"/>
  <c r="V85" i="5"/>
  <c r="V140" i="7" s="1"/>
  <c r="V112" i="5"/>
  <c r="V65" i="5"/>
  <c r="V120" i="7" s="1"/>
  <c r="V119" i="5"/>
  <c r="V92" i="5"/>
  <c r="V21" i="5"/>
  <c r="V201" i="3" l="1"/>
  <c r="V231" i="3"/>
  <c r="V120" i="6"/>
  <c r="V66" i="6"/>
  <c r="V208" i="7" s="1"/>
  <c r="V93" i="6"/>
  <c r="V27" i="6"/>
  <c r="V18" i="6" s="1"/>
  <c r="V63" i="5"/>
  <c r="V118" i="7" s="1"/>
  <c r="V117" i="5"/>
  <c r="V37" i="3"/>
  <c r="V90" i="5"/>
  <c r="V18" i="5"/>
  <c r="V111" i="6"/>
  <c r="V67" i="3"/>
  <c r="V57" i="6"/>
  <c r="V199" i="7" s="1"/>
  <c r="V84" i="6"/>
  <c r="V61" i="5" l="1"/>
  <c r="V88" i="5"/>
  <c r="V64" i="6"/>
  <c r="V206" i="7" s="1"/>
  <c r="V118" i="6"/>
  <c r="V68" i="3"/>
  <c r="V91" i="6"/>
  <c r="V55" i="6"/>
  <c r="V82" i="6"/>
  <c r="V189" i="3"/>
  <c r="V35" i="3"/>
  <c r="V219" i="3"/>
  <c r="V133" i="6"/>
  <c r="V79" i="6"/>
  <c r="V221" i="7" s="1"/>
  <c r="V106" i="6"/>
  <c r="V187" i="3" l="1"/>
  <c r="V34" i="3"/>
  <c r="V127" i="3"/>
  <c r="V220" i="3"/>
  <c r="V65" i="3"/>
  <c r="V130" i="3" l="1"/>
  <c r="V135" i="3"/>
  <c r="V133" i="3"/>
  <c r="V131" i="3"/>
  <c r="V136" i="3"/>
  <c r="V134" i="3"/>
  <c r="V138" i="3"/>
  <c r="V132" i="3"/>
  <c r="V186" i="3"/>
  <c r="V126" i="3"/>
  <c r="V137" i="3"/>
  <c r="V128" i="3"/>
  <c r="V129" i="3"/>
  <c r="V64" i="3"/>
  <c r="V217" i="3"/>
  <c r="V157" i="3" l="1"/>
  <c r="V138" i="5"/>
  <c r="V84" i="5"/>
  <c r="V139" i="7" s="1"/>
  <c r="V52" i="5"/>
  <c r="V111" i="5"/>
  <c r="V168" i="3"/>
  <c r="V165" i="3"/>
  <c r="V163" i="3"/>
  <c r="V161" i="3"/>
  <c r="V166" i="3"/>
  <c r="V156" i="3"/>
  <c r="V167" i="3"/>
  <c r="V158" i="3"/>
  <c r="V216" i="3"/>
  <c r="V159" i="3"/>
  <c r="V160" i="3"/>
  <c r="V40" i="6"/>
  <c r="V132" i="6"/>
  <c r="V78" i="6"/>
  <c r="V220" i="7" s="1"/>
  <c r="V105" i="6"/>
  <c r="V83" i="5" l="1"/>
  <c r="V138" i="7" s="1"/>
  <c r="V137" i="5"/>
  <c r="V50" i="3"/>
  <c r="V110" i="5"/>
  <c r="V42" i="5"/>
  <c r="V131" i="6"/>
  <c r="V80" i="3"/>
  <c r="V77" i="6"/>
  <c r="V219" i="7" s="1"/>
  <c r="V104" i="6"/>
  <c r="V33" i="6"/>
  <c r="V70" i="6" l="1"/>
  <c r="V97" i="6"/>
  <c r="V17" i="6"/>
  <c r="V76" i="5"/>
  <c r="V103" i="5"/>
  <c r="V17" i="5"/>
  <c r="V202" i="3"/>
  <c r="V48" i="3"/>
  <c r="V232" i="3"/>
  <c r="V78" i="3"/>
  <c r="V150" i="5" l="1"/>
  <c r="V141" i="5"/>
  <c r="V60" i="5"/>
  <c r="V156" i="5"/>
  <c r="V163" i="5"/>
  <c r="V154" i="5"/>
  <c r="V161" i="5"/>
  <c r="V147" i="5"/>
  <c r="V162" i="5"/>
  <c r="V148" i="5"/>
  <c r="V155" i="5"/>
  <c r="V152" i="5"/>
  <c r="V143" i="5"/>
  <c r="V159" i="5"/>
  <c r="V149" i="5"/>
  <c r="V145" i="5"/>
  <c r="V160" i="5"/>
  <c r="V153" i="5"/>
  <c r="V166" i="5"/>
  <c r="V151" i="5"/>
  <c r="V158" i="5"/>
  <c r="V146" i="5"/>
  <c r="V144" i="5"/>
  <c r="V142" i="5"/>
  <c r="V165" i="5"/>
  <c r="V164" i="5"/>
  <c r="V157" i="5"/>
  <c r="V77" i="3"/>
  <c r="V230" i="3"/>
  <c r="V136" i="6"/>
  <c r="V135" i="6"/>
  <c r="V148" i="6"/>
  <c r="V155" i="6"/>
  <c r="V141" i="6"/>
  <c r="V156" i="6"/>
  <c r="V142" i="6"/>
  <c r="V54" i="6"/>
  <c r="V149" i="6"/>
  <c r="V137" i="6"/>
  <c r="V146" i="6"/>
  <c r="V153" i="6"/>
  <c r="V143" i="6"/>
  <c r="V139" i="6"/>
  <c r="V154" i="6"/>
  <c r="V152" i="6"/>
  <c r="V140" i="6"/>
  <c r="V138" i="6"/>
  <c r="V147" i="6"/>
  <c r="V145" i="6"/>
  <c r="V160" i="6"/>
  <c r="V159" i="6"/>
  <c r="V158" i="6"/>
  <c r="V200" i="3"/>
  <c r="V47" i="3"/>
  <c r="V140" i="3" s="1"/>
  <c r="V151" i="6"/>
  <c r="V170" i="3" l="1"/>
  <c r="V174" i="3"/>
  <c r="V180" i="3"/>
  <c r="V176" i="3"/>
  <c r="V179" i="3"/>
  <c r="V177" i="3"/>
  <c r="V178" i="3"/>
  <c r="V169" i="3"/>
  <c r="V175" i="3"/>
  <c r="V173" i="3"/>
  <c r="V229" i="3"/>
  <c r="V171" i="3"/>
  <c r="V172" i="3"/>
  <c r="V142" i="3"/>
  <c r="V150" i="3"/>
  <c r="V144" i="3"/>
  <c r="V145" i="3"/>
  <c r="V143" i="3"/>
  <c r="V147" i="3"/>
  <c r="V146" i="3"/>
  <c r="V139" i="3"/>
  <c r="V149" i="3"/>
  <c r="V199" i="3"/>
  <c r="V148" i="3"/>
  <c r="V141" i="3"/>
  <c r="X55" i="7" l="1"/>
  <c r="X134" i="4"/>
  <c r="X53" i="7" l="1"/>
  <c r="X127" i="4"/>
  <c r="X46" i="7" l="1"/>
  <c r="X111" i="4"/>
  <c r="X30" i="7" s="1"/>
  <c r="W133" i="5" l="1"/>
  <c r="W79" i="5"/>
  <c r="W134" i="7" s="1"/>
  <c r="W106" i="5"/>
  <c r="W43" i="5"/>
  <c r="W72" i="5"/>
  <c r="W127" i="7" s="1"/>
  <c r="W126" i="5"/>
  <c r="W99" i="5"/>
  <c r="W33" i="5"/>
  <c r="W124" i="5" l="1"/>
  <c r="W70" i="5"/>
  <c r="W125" i="7" s="1"/>
  <c r="W38" i="3"/>
  <c r="W97" i="5"/>
  <c r="W127" i="6"/>
  <c r="W73" i="6"/>
  <c r="W215" i="7" s="1"/>
  <c r="W100" i="6"/>
  <c r="W34" i="6"/>
  <c r="W65" i="5"/>
  <c r="W120" i="7" s="1"/>
  <c r="W119" i="5"/>
  <c r="W92" i="5"/>
  <c r="W21" i="5"/>
  <c r="W85" i="5"/>
  <c r="W140" i="7" s="1"/>
  <c r="W139" i="5"/>
  <c r="W112" i="5"/>
  <c r="W131" i="5"/>
  <c r="W77" i="5"/>
  <c r="W132" i="7" s="1"/>
  <c r="W49" i="3"/>
  <c r="W104" i="5"/>
  <c r="W63" i="5" l="1"/>
  <c r="W118" i="7" s="1"/>
  <c r="W117" i="5"/>
  <c r="W37" i="3"/>
  <c r="W90" i="5"/>
  <c r="W18" i="5"/>
  <c r="W120" i="6"/>
  <c r="W66" i="6"/>
  <c r="W208" i="7" s="1"/>
  <c r="W93" i="6"/>
  <c r="W27" i="6"/>
  <c r="W190" i="3"/>
  <c r="W201" i="3"/>
  <c r="W125" i="6"/>
  <c r="W79" i="3"/>
  <c r="W71" i="6"/>
  <c r="W213" i="7" s="1"/>
  <c r="W98" i="6"/>
  <c r="W231" i="3" l="1"/>
  <c r="W118" i="6"/>
  <c r="W68" i="3"/>
  <c r="W64" i="6"/>
  <c r="W206" i="7" s="1"/>
  <c r="W91" i="6"/>
  <c r="W189" i="3"/>
  <c r="W35" i="3"/>
  <c r="W113" i="6"/>
  <c r="W59" i="6"/>
  <c r="W201" i="7" s="1"/>
  <c r="W86" i="6"/>
  <c r="W20" i="6"/>
  <c r="W61" i="5"/>
  <c r="W88" i="5"/>
  <c r="W220" i="3" l="1"/>
  <c r="W34" i="3"/>
  <c r="W127" i="3" s="1"/>
  <c r="W187" i="3"/>
  <c r="W57" i="6"/>
  <c r="W199" i="7" s="1"/>
  <c r="W111" i="6"/>
  <c r="W67" i="3"/>
  <c r="W84" i="6"/>
  <c r="W18" i="6"/>
  <c r="W219" i="3" l="1"/>
  <c r="W65" i="3"/>
  <c r="W132" i="3"/>
  <c r="W134" i="3"/>
  <c r="W136" i="3"/>
  <c r="W135" i="3"/>
  <c r="W126" i="3"/>
  <c r="W133" i="3"/>
  <c r="W138" i="3"/>
  <c r="W131" i="3"/>
  <c r="W137" i="3"/>
  <c r="W186" i="3"/>
  <c r="W128" i="3"/>
  <c r="W130" i="3"/>
  <c r="W129" i="3"/>
  <c r="W133" i="6"/>
  <c r="W79" i="6"/>
  <c r="W221" i="7" s="1"/>
  <c r="W106" i="6"/>
  <c r="W55" i="6"/>
  <c r="W82" i="6"/>
  <c r="W64" i="3" l="1"/>
  <c r="W217" i="3"/>
  <c r="W157" i="3" l="1"/>
  <c r="W40" i="6"/>
  <c r="W132" i="6"/>
  <c r="W78" i="6"/>
  <c r="W220" i="7" s="1"/>
  <c r="W105" i="6"/>
  <c r="W166" i="3"/>
  <c r="W168" i="3"/>
  <c r="W163" i="3"/>
  <c r="W165" i="3"/>
  <c r="W156" i="3"/>
  <c r="W167" i="3"/>
  <c r="W161" i="3"/>
  <c r="W158" i="3"/>
  <c r="W216" i="3"/>
  <c r="W160" i="3"/>
  <c r="W159" i="3"/>
  <c r="W52" i="5"/>
  <c r="W84" i="5"/>
  <c r="W139" i="7" s="1"/>
  <c r="W138" i="5"/>
  <c r="W111" i="5"/>
  <c r="W50" i="3" l="1"/>
  <c r="W83" i="5"/>
  <c r="W138" i="7" s="1"/>
  <c r="W137" i="5"/>
  <c r="W110" i="5"/>
  <c r="W42" i="5"/>
  <c r="W33" i="6"/>
  <c r="W80" i="3"/>
  <c r="W131" i="6"/>
  <c r="W77" i="6"/>
  <c r="W219" i="7" s="1"/>
  <c r="W104" i="6"/>
  <c r="W202" i="3" l="1"/>
  <c r="W48" i="3"/>
  <c r="W232" i="3"/>
  <c r="W78" i="3"/>
  <c r="W76" i="5"/>
  <c r="W103" i="5"/>
  <c r="W17" i="5"/>
  <c r="W70" i="6"/>
  <c r="W97" i="6"/>
  <c r="W17" i="6"/>
  <c r="W136" i="6" l="1"/>
  <c r="W135" i="6"/>
  <c r="W155" i="6"/>
  <c r="W148" i="6"/>
  <c r="W141" i="6"/>
  <c r="W156" i="6"/>
  <c r="W54" i="6"/>
  <c r="W142" i="6"/>
  <c r="W149" i="6"/>
  <c r="W153" i="6"/>
  <c r="W146" i="6"/>
  <c r="W137" i="6"/>
  <c r="W139" i="6"/>
  <c r="W143" i="6"/>
  <c r="W154" i="6"/>
  <c r="W147" i="6"/>
  <c r="W152" i="6"/>
  <c r="W145" i="6"/>
  <c r="W140" i="6"/>
  <c r="W138" i="6"/>
  <c r="W160" i="6"/>
  <c r="W159" i="6"/>
  <c r="W158" i="6"/>
  <c r="W77" i="3"/>
  <c r="W230" i="3"/>
  <c r="W151" i="6"/>
  <c r="W47" i="3"/>
  <c r="W200" i="3"/>
  <c r="W142" i="5"/>
  <c r="W141" i="5"/>
  <c r="W60" i="5"/>
  <c r="W156" i="5"/>
  <c r="W163" i="5"/>
  <c r="W154" i="5"/>
  <c r="W161" i="5"/>
  <c r="W147" i="5"/>
  <c r="W162" i="5"/>
  <c r="W148" i="5"/>
  <c r="W155" i="5"/>
  <c r="W150" i="5"/>
  <c r="W143" i="5"/>
  <c r="W152" i="5"/>
  <c r="W159" i="5"/>
  <c r="W149" i="5"/>
  <c r="W145" i="5"/>
  <c r="W153" i="5"/>
  <c r="W160" i="5"/>
  <c r="W158" i="5"/>
  <c r="W151" i="5"/>
  <c r="W146" i="5"/>
  <c r="W166" i="5"/>
  <c r="W144" i="5"/>
  <c r="W165" i="5"/>
  <c r="W164" i="5"/>
  <c r="W157" i="5"/>
  <c r="W169" i="3" l="1"/>
  <c r="W174" i="3"/>
  <c r="W180" i="3"/>
  <c r="W173" i="3"/>
  <c r="W175" i="3"/>
  <c r="W176" i="3"/>
  <c r="W177" i="3"/>
  <c r="W179" i="3"/>
  <c r="W178" i="3"/>
  <c r="W229" i="3"/>
  <c r="W171" i="3"/>
  <c r="W172" i="3"/>
  <c r="W140" i="3"/>
  <c r="W148" i="3"/>
  <c r="W139" i="3"/>
  <c r="W144" i="3"/>
  <c r="W150" i="3"/>
  <c r="W143" i="3"/>
  <c r="W146" i="3"/>
  <c r="W145" i="3"/>
  <c r="W149" i="3"/>
  <c r="W147" i="3"/>
  <c r="W199" i="3"/>
  <c r="W141" i="3"/>
  <c r="W142" i="3"/>
  <c r="W170" i="3"/>
  <c r="Y55" i="7" l="1"/>
  <c r="Y134" i="4"/>
  <c r="Y82" i="7" l="1"/>
  <c r="Y75" i="7" s="1"/>
  <c r="Y59" i="7" s="1"/>
  <c r="Y53" i="7"/>
  <c r="Y127" i="4"/>
  <c r="Y46" i="7" l="1"/>
  <c r="Y111" i="4"/>
  <c r="Y30" i="7" s="1"/>
  <c r="B82" i="7" l="1"/>
  <c r="B75" i="7" s="1"/>
  <c r="B59" i="7" s="1"/>
  <c r="C82" i="7" l="1"/>
  <c r="C75" i="7" s="1"/>
  <c r="C59" i="7" s="1"/>
  <c r="E82" i="7" l="1"/>
  <c r="E75" i="7" s="1"/>
  <c r="E59" i="7" s="1"/>
  <c r="D82" i="7"/>
  <c r="D75" i="7" s="1"/>
  <c r="D59" i="7" s="1"/>
  <c r="F82" i="7" l="1"/>
  <c r="F75" i="7" s="1"/>
  <c r="F59" i="7" s="1"/>
  <c r="G82" i="7" l="1"/>
  <c r="G75" i="7" s="1"/>
  <c r="G59" i="7" s="1"/>
  <c r="X126" i="5"/>
  <c r="X72" i="5"/>
  <c r="X127" i="7" s="1"/>
  <c r="X99" i="5"/>
  <c r="X33" i="5"/>
  <c r="X79" i="5"/>
  <c r="X134" i="7" s="1"/>
  <c r="X133" i="5"/>
  <c r="X106" i="5"/>
  <c r="X43" i="5"/>
  <c r="X127" i="6"/>
  <c r="X73" i="6"/>
  <c r="X215" i="7" s="1"/>
  <c r="X100" i="6"/>
  <c r="X34" i="6"/>
  <c r="H82" i="7"/>
  <c r="H75" i="7" s="1"/>
  <c r="H59" i="7" s="1"/>
  <c r="X49" i="3" l="1"/>
  <c r="X131" i="5"/>
  <c r="X77" i="5"/>
  <c r="X132" i="7" s="1"/>
  <c r="X104" i="5"/>
  <c r="X125" i="6"/>
  <c r="X79" i="3"/>
  <c r="X71" i="6"/>
  <c r="X213" i="7" s="1"/>
  <c r="X98" i="6"/>
  <c r="I82" i="7"/>
  <c r="I75" i="7" s="1"/>
  <c r="I59" i="7" s="1"/>
  <c r="X124" i="5"/>
  <c r="X70" i="5"/>
  <c r="X125" i="7" s="1"/>
  <c r="X38" i="3"/>
  <c r="X97" i="5"/>
  <c r="J82" i="7"/>
  <c r="J75" i="7" s="1"/>
  <c r="J59" i="7" s="1"/>
  <c r="X190" i="3" l="1"/>
  <c r="X231" i="3"/>
  <c r="X201" i="3"/>
  <c r="X113" i="6"/>
  <c r="X59" i="6"/>
  <c r="X201" i="7" s="1"/>
  <c r="X86" i="6"/>
  <c r="X20" i="6"/>
  <c r="X85" i="5"/>
  <c r="X140" i="7" s="1"/>
  <c r="X139" i="5"/>
  <c r="X112" i="5"/>
  <c r="X120" i="6"/>
  <c r="X66" i="6"/>
  <c r="X208" i="7" s="1"/>
  <c r="X93" i="6"/>
  <c r="X27" i="6"/>
  <c r="X119" i="5"/>
  <c r="X65" i="5"/>
  <c r="X120" i="7" s="1"/>
  <c r="X92" i="5"/>
  <c r="X21" i="5"/>
  <c r="K82" i="7"/>
  <c r="K75" i="7" s="1"/>
  <c r="K59" i="7" s="1"/>
  <c r="X117" i="5" l="1"/>
  <c r="X37" i="3"/>
  <c r="X63" i="5"/>
  <c r="X118" i="7" s="1"/>
  <c r="X90" i="5"/>
  <c r="X18" i="5"/>
  <c r="X111" i="6"/>
  <c r="X67" i="3"/>
  <c r="X57" i="6"/>
  <c r="X199" i="7" s="1"/>
  <c r="X84" i="6"/>
  <c r="X18" i="6"/>
  <c r="X68" i="3"/>
  <c r="X118" i="6"/>
  <c r="X64" i="6"/>
  <c r="X206" i="7" s="1"/>
  <c r="X91" i="6"/>
  <c r="L82" i="7"/>
  <c r="L75" i="7" s="1"/>
  <c r="L59" i="7" s="1"/>
  <c r="X61" i="5" l="1"/>
  <c r="X88" i="5"/>
  <c r="X220" i="3"/>
  <c r="X55" i="6"/>
  <c r="X82" i="6"/>
  <c r="X189" i="3"/>
  <c r="X35" i="3"/>
  <c r="X219" i="3"/>
  <c r="X65" i="3"/>
  <c r="X133" i="6"/>
  <c r="X79" i="6"/>
  <c r="X221" i="7" s="1"/>
  <c r="X106" i="6"/>
  <c r="X34" i="3" l="1"/>
  <c r="X187" i="3"/>
  <c r="X64" i="3"/>
  <c r="X217" i="3"/>
  <c r="M82" i="7"/>
  <c r="M75" i="7" s="1"/>
  <c r="M59" i="7" s="1"/>
  <c r="N82" i="7"/>
  <c r="N75" i="7" s="1"/>
  <c r="N59" i="7" s="1"/>
  <c r="X138" i="5" l="1"/>
  <c r="X84" i="5"/>
  <c r="X139" i="7" s="1"/>
  <c r="X52" i="5"/>
  <c r="X111" i="5"/>
  <c r="X40" i="6"/>
  <c r="X132" i="6"/>
  <c r="X78" i="6"/>
  <c r="X220" i="7" s="1"/>
  <c r="X105" i="6"/>
  <c r="X157" i="3"/>
  <c r="X161" i="3"/>
  <c r="X168" i="3"/>
  <c r="X163" i="3"/>
  <c r="X165" i="3"/>
  <c r="X156" i="3"/>
  <c r="X166" i="3"/>
  <c r="X167" i="3"/>
  <c r="X158" i="3"/>
  <c r="X216" i="3"/>
  <c r="X159" i="3"/>
  <c r="X160" i="3"/>
  <c r="X127" i="3"/>
  <c r="X138" i="3"/>
  <c r="X136" i="3"/>
  <c r="X137" i="3"/>
  <c r="X135" i="3"/>
  <c r="X134" i="3"/>
  <c r="X133" i="3"/>
  <c r="X126" i="3"/>
  <c r="X131" i="3"/>
  <c r="X132" i="3"/>
  <c r="X186" i="3"/>
  <c r="X128" i="3"/>
  <c r="X130" i="3"/>
  <c r="X129" i="3"/>
  <c r="X131" i="6" l="1"/>
  <c r="X80" i="3"/>
  <c r="X77" i="6"/>
  <c r="X219" i="7" s="1"/>
  <c r="X104" i="6"/>
  <c r="X33" i="6"/>
  <c r="X42" i="5"/>
  <c r="X137" i="5"/>
  <c r="X50" i="3"/>
  <c r="X83" i="5"/>
  <c r="X138" i="7" s="1"/>
  <c r="X110" i="5"/>
  <c r="O82" i="7"/>
  <c r="O75" i="7" s="1"/>
  <c r="O59" i="7" s="1"/>
  <c r="X202" i="3" l="1"/>
  <c r="X48" i="3"/>
  <c r="X76" i="5"/>
  <c r="X103" i="5"/>
  <c r="X17" i="5"/>
  <c r="X70" i="6"/>
  <c r="X97" i="6"/>
  <c r="X17" i="6"/>
  <c r="X232" i="3"/>
  <c r="X78" i="3"/>
  <c r="P82" i="7"/>
  <c r="P75" i="7" s="1"/>
  <c r="P59" i="7" s="1"/>
  <c r="X60" i="5" l="1"/>
  <c r="X141" i="5"/>
  <c r="X156" i="5"/>
  <c r="X163" i="5"/>
  <c r="X161" i="5"/>
  <c r="X154" i="5"/>
  <c r="X147" i="5"/>
  <c r="X150" i="5"/>
  <c r="X162" i="5"/>
  <c r="X143" i="5"/>
  <c r="X159" i="5"/>
  <c r="X152" i="5"/>
  <c r="X149" i="5"/>
  <c r="X145" i="5"/>
  <c r="X148" i="5"/>
  <c r="X155" i="5"/>
  <c r="X160" i="5"/>
  <c r="X153" i="5"/>
  <c r="X158" i="5"/>
  <c r="X151" i="5"/>
  <c r="X166" i="5"/>
  <c r="X146" i="5"/>
  <c r="X144" i="5"/>
  <c r="X142" i="5"/>
  <c r="X165" i="5"/>
  <c r="X164" i="5"/>
  <c r="X157" i="5"/>
  <c r="Q82" i="7"/>
  <c r="Q75" i="7" s="1"/>
  <c r="Q59" i="7" s="1"/>
  <c r="X135" i="6"/>
  <c r="X148" i="6"/>
  <c r="X155" i="6"/>
  <c r="X54" i="6"/>
  <c r="X141" i="6"/>
  <c r="X153" i="6"/>
  <c r="X146" i="6"/>
  <c r="X156" i="6"/>
  <c r="X137" i="6"/>
  <c r="X139" i="6"/>
  <c r="X143" i="6"/>
  <c r="X142" i="6"/>
  <c r="X149" i="6"/>
  <c r="X154" i="6"/>
  <c r="X152" i="6"/>
  <c r="X140" i="6"/>
  <c r="X147" i="6"/>
  <c r="X138" i="6"/>
  <c r="X145" i="6"/>
  <c r="X136" i="6"/>
  <c r="X160" i="6"/>
  <c r="X159" i="6"/>
  <c r="X158" i="6"/>
  <c r="X200" i="3"/>
  <c r="X47" i="3"/>
  <c r="X77" i="3"/>
  <c r="X230" i="3"/>
  <c r="X151" i="6"/>
  <c r="X147" i="3" l="1"/>
  <c r="X148" i="3"/>
  <c r="X146" i="3"/>
  <c r="X145" i="3"/>
  <c r="X144" i="3"/>
  <c r="X150" i="3"/>
  <c r="X139" i="3"/>
  <c r="X149" i="3"/>
  <c r="X143" i="3"/>
  <c r="X199" i="3"/>
  <c r="X141" i="3"/>
  <c r="X142" i="3"/>
  <c r="X170" i="3"/>
  <c r="X180" i="3"/>
  <c r="X174" i="3"/>
  <c r="X177" i="3"/>
  <c r="X169" i="3"/>
  <c r="X173" i="3"/>
  <c r="X176" i="3"/>
  <c r="X178" i="3"/>
  <c r="X175" i="3"/>
  <c r="X179" i="3"/>
  <c r="X229" i="3"/>
  <c r="X171" i="3"/>
  <c r="X172" i="3"/>
  <c r="R82" i="7"/>
  <c r="R75" i="7" s="1"/>
  <c r="R59" i="7" s="1"/>
  <c r="X140" i="3"/>
  <c r="S82" i="7" l="1"/>
  <c r="S75" i="7" s="1"/>
  <c r="S59" i="7" s="1"/>
  <c r="T82" i="7" l="1"/>
  <c r="T75" i="7" s="1"/>
  <c r="T59" i="7" s="1"/>
  <c r="U82" i="7" l="1"/>
  <c r="U75" i="7" s="1"/>
  <c r="U59" i="7" s="1"/>
  <c r="V82" i="7" l="1"/>
  <c r="V75" i="7" s="1"/>
  <c r="V59" i="7" s="1"/>
  <c r="W82" i="7"/>
  <c r="W75" i="7" s="1"/>
  <c r="W59" i="7" s="1"/>
  <c r="X82" i="7" l="1"/>
  <c r="X75" i="7" s="1"/>
  <c r="X59" i="7" s="1"/>
  <c r="Y127" i="6" l="1"/>
  <c r="Y73" i="6"/>
  <c r="Y215" i="7" s="1"/>
  <c r="Y100" i="6"/>
  <c r="Y34" i="6"/>
  <c r="Y79" i="5"/>
  <c r="Y134" i="7" s="1"/>
  <c r="Y133" i="5"/>
  <c r="Y106" i="5"/>
  <c r="Y43" i="5"/>
  <c r="Y126" i="5"/>
  <c r="Y72" i="5"/>
  <c r="Y127" i="7" s="1"/>
  <c r="Y99" i="5"/>
  <c r="Y33" i="5"/>
  <c r="Y79" i="3" l="1"/>
  <c r="Y125" i="6"/>
  <c r="Y71" i="6"/>
  <c r="Y213" i="7" s="1"/>
  <c r="Y98" i="6"/>
  <c r="Y49" i="3"/>
  <c r="Y131" i="5"/>
  <c r="Y77" i="5"/>
  <c r="Y132" i="7" s="1"/>
  <c r="Y104" i="5"/>
  <c r="Y38" i="3"/>
  <c r="Y70" i="5"/>
  <c r="Y125" i="7" s="1"/>
  <c r="Y124" i="5"/>
  <c r="Y97" i="5"/>
  <c r="Y119" i="5" l="1"/>
  <c r="Y65" i="5"/>
  <c r="Y120" i="7" s="1"/>
  <c r="Y92" i="5"/>
  <c r="Y21" i="5"/>
  <c r="Y113" i="6"/>
  <c r="Y59" i="6"/>
  <c r="Y201" i="7" s="1"/>
  <c r="Y86" i="6"/>
  <c r="Y20" i="6"/>
  <c r="Y85" i="5"/>
  <c r="Y140" i="7" s="1"/>
  <c r="Y139" i="5"/>
  <c r="Y112" i="5"/>
  <c r="Y201" i="3"/>
  <c r="Y231" i="3"/>
  <c r="Y120" i="6"/>
  <c r="Y66" i="6"/>
  <c r="Y208" i="7" s="1"/>
  <c r="Y93" i="6"/>
  <c r="Y27" i="6"/>
  <c r="Y190" i="3"/>
  <c r="Y37" i="3" l="1"/>
  <c r="Y117" i="5"/>
  <c r="Y63" i="5"/>
  <c r="Y118" i="7" s="1"/>
  <c r="Y90" i="5"/>
  <c r="Y18" i="5"/>
  <c r="Y68" i="3"/>
  <c r="Y118" i="6"/>
  <c r="Y64" i="6"/>
  <c r="Y206" i="7" s="1"/>
  <c r="Y91" i="6"/>
  <c r="Y67" i="3"/>
  <c r="Y111" i="6"/>
  <c r="Y57" i="6"/>
  <c r="Y199" i="7" s="1"/>
  <c r="Y84" i="6"/>
  <c r="Y18" i="6"/>
  <c r="Y61" i="5" l="1"/>
  <c r="Y88" i="5"/>
  <c r="Y220" i="3"/>
  <c r="Y219" i="3"/>
  <c r="Y65" i="3"/>
  <c r="Y55" i="6"/>
  <c r="Y82" i="6"/>
  <c r="Y133" i="6"/>
  <c r="Y79" i="6"/>
  <c r="Y221" i="7" s="1"/>
  <c r="Y106" i="6"/>
  <c r="Y189" i="3"/>
  <c r="Y35" i="3"/>
  <c r="Y78" i="6" l="1"/>
  <c r="Y220" i="7" s="1"/>
  <c r="Y132" i="6"/>
  <c r="Y40" i="6"/>
  <c r="Y105" i="6"/>
  <c r="Y64" i="3"/>
  <c r="Y157" i="3"/>
  <c r="Y217" i="3"/>
  <c r="Y187" i="3"/>
  <c r="Y34" i="3"/>
  <c r="Y127" i="3" s="1"/>
  <c r="Y111" i="5"/>
  <c r="Y52" i="5"/>
  <c r="Y138" i="5"/>
  <c r="Y84" i="5"/>
  <c r="Y139" i="7" s="1"/>
  <c r="Y80" i="3" l="1"/>
  <c r="Y131" i="6"/>
  <c r="Y77" i="6"/>
  <c r="Y219" i="7" s="1"/>
  <c r="Y104" i="6"/>
  <c r="Y33" i="6"/>
  <c r="Y161" i="3"/>
  <c r="Y168" i="3"/>
  <c r="Y167" i="3"/>
  <c r="Y165" i="3"/>
  <c r="Y166" i="3"/>
  <c r="Y156" i="3"/>
  <c r="Y163" i="3"/>
  <c r="Y216" i="3"/>
  <c r="Y158" i="3"/>
  <c r="Y159" i="3"/>
  <c r="Y160" i="3"/>
  <c r="Y50" i="3"/>
  <c r="Y137" i="5"/>
  <c r="Y83" i="5"/>
  <c r="Y138" i="7" s="1"/>
  <c r="Y110" i="5"/>
  <c r="Y42" i="5"/>
  <c r="Y135" i="3"/>
  <c r="Y126" i="3"/>
  <c r="Y136" i="3"/>
  <c r="Y137" i="3"/>
  <c r="Y133" i="3"/>
  <c r="Y134" i="3"/>
  <c r="Y132" i="3"/>
  <c r="Y131" i="3"/>
  <c r="Y138" i="3"/>
  <c r="Y186" i="3"/>
  <c r="Y128" i="3"/>
  <c r="Y130" i="3"/>
  <c r="Y129" i="3"/>
  <c r="Y202" i="3" l="1"/>
  <c r="Y48" i="3"/>
  <c r="Y70" i="6"/>
  <c r="Y97" i="6"/>
  <c r="Y17" i="6"/>
  <c r="Y76" i="5"/>
  <c r="Y103" i="5"/>
  <c r="Y17" i="5"/>
  <c r="Y232" i="3"/>
  <c r="Y78" i="3"/>
  <c r="Y142" i="5" l="1"/>
  <c r="Y141" i="5"/>
  <c r="Y60" i="5"/>
  <c r="Y156" i="5"/>
  <c r="Y163" i="5"/>
  <c r="Y150" i="5"/>
  <c r="Y154" i="5"/>
  <c r="Y161" i="5"/>
  <c r="Y147" i="5"/>
  <c r="Y159" i="5"/>
  <c r="Y143" i="5"/>
  <c r="Y152" i="5"/>
  <c r="Y149" i="5"/>
  <c r="Y162" i="5"/>
  <c r="Y148" i="5"/>
  <c r="Y145" i="5"/>
  <c r="Y155" i="5"/>
  <c r="Y153" i="5"/>
  <c r="Y160" i="5"/>
  <c r="Y151" i="5"/>
  <c r="Y158" i="5"/>
  <c r="Y146" i="5"/>
  <c r="Y166" i="5"/>
  <c r="Y144" i="5"/>
  <c r="Y165" i="5"/>
  <c r="Y164" i="5"/>
  <c r="Y47" i="3"/>
  <c r="Y140" i="3" s="1"/>
  <c r="Y200" i="3"/>
  <c r="Y151" i="6"/>
  <c r="Y135" i="6"/>
  <c r="Y54" i="6"/>
  <c r="Y148" i="6"/>
  <c r="Y155" i="6"/>
  <c r="Y141" i="6"/>
  <c r="Y137" i="6"/>
  <c r="Y153" i="6"/>
  <c r="Y146" i="6"/>
  <c r="Y143" i="6"/>
  <c r="Y156" i="6"/>
  <c r="Y142" i="6"/>
  <c r="Y139" i="6"/>
  <c r="Y149" i="6"/>
  <c r="Y154" i="6"/>
  <c r="Y152" i="6"/>
  <c r="Y140" i="6"/>
  <c r="Y147" i="6"/>
  <c r="Y138" i="6"/>
  <c r="Y145" i="6"/>
  <c r="Y136" i="6"/>
  <c r="Y160" i="6"/>
  <c r="Y159" i="6"/>
  <c r="Y158" i="6"/>
  <c r="Y157" i="5"/>
  <c r="Y77" i="3"/>
  <c r="Y230" i="3"/>
  <c r="Y170" i="3" l="1"/>
  <c r="Y143" i="3"/>
  <c r="Y150" i="3"/>
  <c r="Y144" i="3"/>
  <c r="Y147" i="3"/>
  <c r="Y139" i="3"/>
  <c r="Y149" i="3"/>
  <c r="Y146" i="3"/>
  <c r="Y145" i="3"/>
  <c r="Y148" i="3"/>
  <c r="Y199" i="3"/>
  <c r="Y141" i="3"/>
  <c r="Y142" i="3"/>
  <c r="Y177" i="3"/>
  <c r="Y173" i="3"/>
  <c r="Y178" i="3"/>
  <c r="Y180" i="3"/>
  <c r="Y176" i="3"/>
  <c r="Y175" i="3"/>
  <c r="Y174" i="3"/>
  <c r="Y179" i="3"/>
  <c r="Y169" i="3"/>
  <c r="Y229" i="3"/>
  <c r="Y171" i="3"/>
  <c r="Y172" i="3"/>
</calcChain>
</file>

<file path=xl/sharedStrings.xml><?xml version="1.0" encoding="utf-8"?>
<sst xmlns="http://schemas.openxmlformats.org/spreadsheetml/2006/main" count="2657" uniqueCount="1169">
  <si>
    <t>Prepared by JRC C.6</t>
  </si>
  <si>
    <t>Legal Notice</t>
  </si>
  <si>
    <t>The information made available is property of the Joint Research Centre of the European Commission.</t>
  </si>
  <si>
    <t>Neither the European Commission nor any person acting on behalf of the Commission is responsible for the use which might be made of this information.</t>
  </si>
  <si>
    <t>Use conditions</t>
  </si>
  <si>
    <t>This work is licensed under</t>
  </si>
  <si>
    <t>CC BY 4.0</t>
  </si>
  <si>
    <t>Overview: Transport sectors</t>
  </si>
  <si>
    <t>Road transport - activity related data</t>
  </si>
  <si>
    <t>energy consumption</t>
  </si>
  <si>
    <t>CO2 emissions</t>
  </si>
  <si>
    <t>technology data</t>
  </si>
  <si>
    <t>Rail, metro and tram - activity related data</t>
  </si>
  <si>
    <t>Aviation - activity related data</t>
  </si>
  <si>
    <t>passenger transport specific data</t>
  </si>
  <si>
    <t>Coastal shipping and inland waterways - activity related data</t>
  </si>
  <si>
    <t>Click on the link to jump to the sheet</t>
  </si>
  <si>
    <t>Transport activity</t>
  </si>
  <si>
    <t>Passenger transport (mio pkm)</t>
  </si>
  <si>
    <t>Road transport</t>
  </si>
  <si>
    <t>Passenger cars</t>
  </si>
  <si>
    <t>Motor coaches, buses and trolley buses</t>
  </si>
  <si>
    <t>Rail, metro and tram</t>
  </si>
  <si>
    <t>Metro and tram, urban light rail</t>
  </si>
  <si>
    <t>Conventional passenger trains</t>
  </si>
  <si>
    <t>High speed passenger trains</t>
  </si>
  <si>
    <t>Aviation</t>
  </si>
  <si>
    <t>Domestic</t>
  </si>
  <si>
    <t>Freight transport (mio tkm)</t>
  </si>
  <si>
    <t>Rail transport</t>
  </si>
  <si>
    <t>Domestic coastal shipping</t>
  </si>
  <si>
    <t>Inland waterways</t>
  </si>
  <si>
    <t>Energy consumption (ktoe)</t>
  </si>
  <si>
    <t>Passenger transport</t>
  </si>
  <si>
    <t>Freight transport</t>
  </si>
  <si>
    <t>CO2 emissions (kt of CO2)</t>
  </si>
  <si>
    <t>Indicators</t>
  </si>
  <si>
    <t>Market shares of activity</t>
  </si>
  <si>
    <t>Passenger transport (% of pkm)</t>
  </si>
  <si>
    <t>Freight transport (% of tkm)</t>
  </si>
  <si>
    <t>Shares of total energy consumption (%)</t>
  </si>
  <si>
    <t>Shares of CO2 emissions (%)</t>
  </si>
  <si>
    <t>Energy consumption per activity</t>
  </si>
  <si>
    <t>Emission intensity</t>
  </si>
  <si>
    <t>CO2 emissions (kt CO2)</t>
  </si>
  <si>
    <t>by fuel</t>
  </si>
  <si>
    <t>Liquids</t>
  </si>
  <si>
    <t>Split of CO2 emissions (kt CO2)</t>
  </si>
  <si>
    <t>Emission factors (kt CO2 / ktoe)</t>
  </si>
  <si>
    <t>Emission intensity (kg of CO2 / 100 km)</t>
  </si>
  <si>
    <t>Emission intensity over activity (kg of CO2 / 000 tkm)</t>
  </si>
  <si>
    <t>by fuel (EUROSTAT DATA)</t>
  </si>
  <si>
    <t>Liquified petroleum gas (LPG)</t>
  </si>
  <si>
    <t>Gasoline (without biofuels)</t>
  </si>
  <si>
    <t>Gas/Diesel oil (without biofuels)</t>
  </si>
  <si>
    <t>Natural gas</t>
  </si>
  <si>
    <t>Renewable energies and wastes</t>
  </si>
  <si>
    <t>Biogas</t>
  </si>
  <si>
    <t>Biogasoline</t>
  </si>
  <si>
    <t>Biodiesel</t>
  </si>
  <si>
    <t>Other biofuels</t>
  </si>
  <si>
    <t>Total energy consumption (ktoe)</t>
  </si>
  <si>
    <t>Vehicle-efficiency (kgoe/100 km)</t>
  </si>
  <si>
    <t>Energy intensity over activity (kgoe / 000 tkm)</t>
  </si>
  <si>
    <t>Vehicle-km (mio km)</t>
  </si>
  <si>
    <t>Market shares of activity (% of tkm)</t>
  </si>
  <si>
    <t>Market shares of vehicle km (% of km)</t>
  </si>
  <si>
    <t>Number of seats available</t>
  </si>
  <si>
    <t>Seats available per flight</t>
  </si>
  <si>
    <t>Occupancy ratio (%)</t>
  </si>
  <si>
    <t>Energy consumption per seat-km (kgoe/seat-km)</t>
  </si>
  <si>
    <t>Emission intensity over activity</t>
  </si>
  <si>
    <t>CO2 emissions per flight (kg of CO2 / flight)</t>
  </si>
  <si>
    <t>Vehicle-efficiency - effective (kgoe/100 km)</t>
  </si>
  <si>
    <t>Energy intensity over activity</t>
  </si>
  <si>
    <t>Energy consumption per flight (kgoe/flight)</t>
  </si>
  <si>
    <t>Vehicle-efficiency - theoretical (kgoe/100 km)*</t>
  </si>
  <si>
    <t>Discrepancy between effective and theoretical efficiencies (ratio)</t>
  </si>
  <si>
    <t>* Theoretical efficiency is derived for the representative aircraft based on the distance travelled per flight</t>
  </si>
  <si>
    <t>Passenger transport (passengers)</t>
  </si>
  <si>
    <t>Freight transport (tonnes)</t>
  </si>
  <si>
    <t>Stock of aircrafts - total</t>
  </si>
  <si>
    <t>New aircrafts</t>
  </si>
  <si>
    <t>Load factor of flights</t>
  </si>
  <si>
    <t>Passenger transport (p/flight)</t>
  </si>
  <si>
    <t>Freight transport (t/flight)</t>
  </si>
  <si>
    <t>Passenger-km and tonne-km per flight</t>
  </si>
  <si>
    <t>Passenger transport (pkm/flight)</t>
  </si>
  <si>
    <t>Freight transport (tkm/flight)</t>
  </si>
  <si>
    <t>Flights per year by airplance</t>
  </si>
  <si>
    <t>Diesel</t>
  </si>
  <si>
    <t>Electricity</t>
  </si>
  <si>
    <t>Diesel oil</t>
  </si>
  <si>
    <t>Electric</t>
  </si>
  <si>
    <t>CO2 emissions per vehicle annum (t of CO2 / vehicle)</t>
  </si>
  <si>
    <t>Diesel oil (incl. biofuels)</t>
  </si>
  <si>
    <t>Energy consumption per vehicle annum (kgoe/vehicle)</t>
  </si>
  <si>
    <t>Stock of vehicles - total (representative train configuration)</t>
  </si>
  <si>
    <t>New vehicles - total (representative train configuration)</t>
  </si>
  <si>
    <t>Load factor of vehicles</t>
  </si>
  <si>
    <t>Passenger transport (p/movement)</t>
  </si>
  <si>
    <t>Freight transport (t/movement)</t>
  </si>
  <si>
    <t>Capacity of representative train configuration</t>
  </si>
  <si>
    <t>Passenger transport (passenger-seats)</t>
  </si>
  <si>
    <t>Occupancy / utilisation</t>
  </si>
  <si>
    <t>Vehicle-km per vehicle annum (km/vehicle)</t>
  </si>
  <si>
    <t>Passenger-km and tonne-km per vehicle annum</t>
  </si>
  <si>
    <t>Passenger transport (pkm/vehicle)</t>
  </si>
  <si>
    <t>Freight transport (tkm/vehicle)</t>
  </si>
  <si>
    <t>Stock of vehicles - total (vehicles)</t>
  </si>
  <si>
    <t>Gasoline engine</t>
  </si>
  <si>
    <t>Diesel oil engine</t>
  </si>
  <si>
    <t>LPG engine</t>
  </si>
  <si>
    <t>Natural gas engine</t>
  </si>
  <si>
    <t>Plug-in hybrid electric</t>
  </si>
  <si>
    <t>Battery electric vehicles</t>
  </si>
  <si>
    <t>International</t>
  </si>
  <si>
    <t>New vehicle-registrations</t>
  </si>
  <si>
    <t>Year of registration:</t>
  </si>
  <si>
    <t>&lt;=2000</t>
  </si>
  <si>
    <t>Test cycle efficiency of total stock (kgoe/100 km)</t>
  </si>
  <si>
    <t>Discrepancy between effective and test cycle efficiencies (ratio)</t>
  </si>
  <si>
    <t>Test cycle efficiency of new vehicles (kgoe/100 km)</t>
  </si>
  <si>
    <t>Test cycle emission intensity of total stock (g of CO2 / km)</t>
  </si>
  <si>
    <t>Discrepancy between effective and test cycle emission intensities (ratio)</t>
  </si>
  <si>
    <t>Test cycle emission intensity of new vehicles (g of CO2 / km)</t>
  </si>
  <si>
    <t>Gasoline (incl. biofuels)</t>
  </si>
  <si>
    <t>LPG</t>
  </si>
  <si>
    <t>Natural gas (incl. biogas)</t>
  </si>
  <si>
    <t>Emission intensity (g of CO2 / km)</t>
  </si>
  <si>
    <t>CO2 emissions per vehicle annum (kg of CO2 / vehicle)</t>
  </si>
  <si>
    <t>of which biofuels</t>
  </si>
  <si>
    <t>of which biogas</t>
  </si>
  <si>
    <t>of which electricity</t>
  </si>
  <si>
    <t>Vehicle-km driven (mio km)</t>
  </si>
  <si>
    <t>Stock of vehicles - in use (vehicles)</t>
  </si>
  <si>
    <t>Vehicle-km driven per vehicle annum (km/vehicle)</t>
  </si>
  <si>
    <t>Passenger-km and tonne-km driven per vehicle annum</t>
  </si>
  <si>
    <t>Number of departing flights</t>
  </si>
  <si>
    <t>Distance travelled per flight (km/flight)</t>
  </si>
  <si>
    <t>Volume carried in departing flights</t>
  </si>
  <si>
    <t>Domestic navigation</t>
  </si>
  <si>
    <t>Transport sector</t>
  </si>
  <si>
    <t>Load factor of vessels (t/movement)</t>
  </si>
  <si>
    <t>Gas oil and diesel oil (excluding biofuel portion)</t>
  </si>
  <si>
    <t>Fuel oil and Other oil products</t>
  </si>
  <si>
    <t>Blended biofuels</t>
  </si>
  <si>
    <t>Biogases</t>
  </si>
  <si>
    <t>Emission factor (kt CO2 / ktoe)</t>
  </si>
  <si>
    <t>Transport activity (Mtkm)</t>
  </si>
  <si>
    <t>Diesel oil (blend)</t>
  </si>
  <si>
    <t>Age structure in 2021</t>
  </si>
  <si>
    <t>Code</t>
  </si>
  <si>
    <t>Light commercial vehicles</t>
  </si>
  <si>
    <t>Heavy goods vehicles</t>
  </si>
  <si>
    <t>Passenger transport (kgoe / kpkm)</t>
  </si>
  <si>
    <t>Freight transport (kgoe / ktkm)</t>
  </si>
  <si>
    <t>Passenger transport  (g of CO2 / pkm)</t>
  </si>
  <si>
    <t>Freight transport  (g of CO2 / tkm)</t>
  </si>
  <si>
    <t>Freight transport (g of CO2 / tkm)</t>
  </si>
  <si>
    <t>Passenger transport (g of CO2 / pkm)</t>
  </si>
  <si>
    <t>Vehicle-km (Mkm)</t>
  </si>
  <si>
    <t>Energy intensity over activity (kgoe / ktkm)</t>
  </si>
  <si>
    <t>Emission intensity over activity (g of CO2 / tkm)</t>
  </si>
  <si>
    <t>Transport activity (mio tkm)</t>
  </si>
  <si>
    <t>International maritime bunkers - activity related data</t>
  </si>
  <si>
    <t>Intra-EEA</t>
  </si>
  <si>
    <t>Extra-EEA</t>
  </si>
  <si>
    <t>*EEA = European Economic Area (European Union + Iceland + Liechtenstein + Norway), United Kingdom excluded</t>
  </si>
  <si>
    <t>International maritime bunkers</t>
  </si>
  <si>
    <t>International maritime bunkers (mio tkm)</t>
  </si>
  <si>
    <t>International maritime bunkers (% of international tkm)</t>
  </si>
  <si>
    <t>International maritime bunkers (kgoe / ktkm)</t>
  </si>
  <si>
    <t>Powered two-wheelers</t>
  </si>
  <si>
    <t>Powered two-wheelers (Gasoline)</t>
  </si>
  <si>
    <t>excluding biofuels</t>
  </si>
  <si>
    <t>blended liquid biofuels</t>
  </si>
  <si>
    <t>Biodiesel and other biofuels</t>
  </si>
  <si>
    <t>Hydrogen</t>
  </si>
  <si>
    <t>JRC-IDEES-2023 - Integrated Database of the European Energy System</t>
  </si>
  <si>
    <t>v2023-1.00</t>
  </si>
  <si>
    <t>International - Intra-EEAwCHUK</t>
  </si>
  <si>
    <t>International - Extra-EEAwCHUK</t>
  </si>
  <si>
    <t>*EEAwCHUK = European Economic Area (European Union + Iceland + Liechtenstein + Norway), Switzerland and the United Kingdom</t>
  </si>
  <si>
    <t>**EEAwCHUK = European Economic Area (European Union + Iceland + Liechtenstein + Norway), Switzerland and the United Kingdom</t>
  </si>
  <si>
    <t>Plug-in hybrid electric (gasoline and electricity)</t>
  </si>
  <si>
    <t>Heavy goods vehicles (diesel oil incl. biofuels)</t>
  </si>
  <si>
    <t>NL</t>
  </si>
  <si>
    <t>Netherlands</t>
  </si>
  <si>
    <t>Aviation - NL - Netherlands</t>
  </si>
  <si>
    <t>Activity.Mpkm.NL.Tr.Avia.Passenger</t>
  </si>
  <si>
    <t>Activity.Mpkm.NL.Tr.Avia.Passenger.Domestic</t>
  </si>
  <si>
    <t>Activity.Mpkm.NL.Tr.Avia.Passenger.IntraEEAwCHUK</t>
  </si>
  <si>
    <t>Activity.Mpkm.NL.Tr.Avia.Passenger.ExtraEEAwCHUK</t>
  </si>
  <si>
    <t>Activity.Mtkm.NL.Tr.Avia.Freight</t>
  </si>
  <si>
    <t>Activity.Mtkm.NL.Tr.Avia.Freight.Domestic</t>
  </si>
  <si>
    <t>Activity.Mtkm.NL.Tr.Avia.Freight.IntraEEAwCHUK</t>
  </si>
  <si>
    <t>Activity.Mtkm.NL.Tr.Avia.Freight.ExtraEEAwCHUK</t>
  </si>
  <si>
    <t>VehicleKm.Mkm.NL.Tr.Avia</t>
  </si>
  <si>
    <t>VehicleKm.Mkm.NL.Tr.Avia.Passenger</t>
  </si>
  <si>
    <t>VehicleKm.Mkm.NL.Tr.Avia.Passenger.Domestic</t>
  </si>
  <si>
    <t>VehicleKm.Mkm.NL.Tr.Avia.Passenger.IntraEEAwCHUK</t>
  </si>
  <si>
    <t>VehicleKm.Mkm.NL.Tr.Avia.Passenger.ExtraEEAwCHUK</t>
  </si>
  <si>
    <t>VehicleKm.Mkm.NL.Tr.Avia.Freight</t>
  </si>
  <si>
    <t>VehicleKm.Mkm.NL.Tr.Avia.Freight.Domestic</t>
  </si>
  <si>
    <t>VehicleKm.Mkm.NL.Tr.Avia.Freight.IntraEEAwCHUK</t>
  </si>
  <si>
    <t>VehicleKm.Mkm.NL.Tr.Avia.Freight.ExtraEEAwCHUK</t>
  </si>
  <si>
    <t>Flights.number.NL.Tr.Avia</t>
  </si>
  <si>
    <t>Flights.number.NL.Tr.Avia.Passenger</t>
  </si>
  <si>
    <t>Flights.number.NL.Tr.Avia.Passenger.Domestic</t>
  </si>
  <si>
    <t>Flights.number.NL.Tr.Avia.Passenger.IntraEEAwCHUK</t>
  </si>
  <si>
    <t>Flights.number.NL.Tr.Avia.Passenger.ExtraEEAwCHUK</t>
  </si>
  <si>
    <t>Flights.number.NL.Tr.Avia.Freight</t>
  </si>
  <si>
    <t>Flights.number.NL.Tr.Avia.Freight.Domestic</t>
  </si>
  <si>
    <t>Flights.number.NL.Tr.Avia.Freight.IntraEEAwCHUK</t>
  </si>
  <si>
    <t>Flights.number.NL.Tr.Avia.Freight.ExtraEEAwCHUK</t>
  </si>
  <si>
    <t>VolCarried.passenger.NL.Tr.Avia.Passenger</t>
  </si>
  <si>
    <t>VolCarried.passenger.NL.Tr.Avia.Passenger.Domestic</t>
  </si>
  <si>
    <t>VolCarried.passenger.NL.Tr.Avia.Passenger.IntraEEAwCHUK</t>
  </si>
  <si>
    <t>VolCarried.passenger.NL.Tr.Avia.Passenger.ExtraEEAwCHUK</t>
  </si>
  <si>
    <t>VolCarried.t.NL.Tr.Avia.Freight</t>
  </si>
  <si>
    <t>VolCarried.t.NL.Tr.Avia.Freight.Domestic</t>
  </si>
  <si>
    <t>VolCarried.t.NL.Tr.Avia.Freight.IntraEEAwCHUK</t>
  </si>
  <si>
    <t>VolCarried.t.NL.Tr.Avia.Freight.ExtraEEAwCHUK</t>
  </si>
  <si>
    <t>Stock.number.NL.Tr.Avia</t>
  </si>
  <si>
    <t>Stock.number.NL.Tr.Avia.Passenger</t>
  </si>
  <si>
    <t>Stock.number.NL.Tr.Avia.Passenger.Domestic</t>
  </si>
  <si>
    <t>Stock.number.NL.Tr.Avia.Passenger.IntraEEAwCHUK</t>
  </si>
  <si>
    <t>Stock.number.NL.Tr.Avia.Passenger.ExtraEEAwCHUK</t>
  </si>
  <si>
    <t>Stock.number.NL.Tr.Avia.Freight</t>
  </si>
  <si>
    <t>Stock.number.NL.Tr.Avia.Freight.Domestic</t>
  </si>
  <si>
    <t>Stock.number.NL.Tr.Avia.Freight.IntraEEAwCHUK</t>
  </si>
  <si>
    <t>Stock.number.NL.Tr.Avia.Freight.ExtraEEAwCHUK</t>
  </si>
  <si>
    <t>StockNew.number.NL.Tr.Avia</t>
  </si>
  <si>
    <t>StockNew.number.NL.Tr.Avia.Passenger</t>
  </si>
  <si>
    <t>StockNew.number.NL.Tr.Avia.Passenger.Domestic</t>
  </si>
  <si>
    <t>StockNew.number.NL.Tr.Avia.Passenger.IntraEEAwCHUK</t>
  </si>
  <si>
    <t>StockNew.number.NL.Tr.Avia.Passenger.ExtraEEAwCHUK</t>
  </si>
  <si>
    <t>StockNew.number.NL.Tr.Avia.Freight</t>
  </si>
  <si>
    <t>StockNew.number.NL.Tr.Avia.Freight.Domestic</t>
  </si>
  <si>
    <t>StockNew.number.NL.Tr.Avia.Freight.IntraEEAwCHUK</t>
  </si>
  <si>
    <t>StockNew.number.NL.Tr.Avia.Freight.ExtraEEAwCHUK</t>
  </si>
  <si>
    <t>Load.passenger_per_movement.NL.Tr.Avia.Passenger</t>
  </si>
  <si>
    <t>Load.passenger_per_movement.NL.Tr.Avia.Passenger.Domestic</t>
  </si>
  <si>
    <t>Load.passenger_per_movement.NL.Tr.Avia.Passenger.IntraEEAwCHUK</t>
  </si>
  <si>
    <t>Load.passenger_per_movement.NL.Tr.Avia.Passenger.ExtraEEAwCHUK</t>
  </si>
  <si>
    <t>Load.t_per_movement.NL.Tr.Avia.Freight</t>
  </si>
  <si>
    <t>Load.t_per_movement.NL.Tr.Avia.Freight.Domestic</t>
  </si>
  <si>
    <t>Load.t_per_movement.NL.Tr.Avia.Freight.IntraEEAwCHUK</t>
  </si>
  <si>
    <t>Load.t_per_movement.NL.Tr.Avia.Freight.ExtraEEAwCHUK</t>
  </si>
  <si>
    <t>VehicleKm_per_flight.km.NL.Tr.Avia</t>
  </si>
  <si>
    <t>VehicleKm_per_flight.km.NL.Tr.Avia.Passenger</t>
  </si>
  <si>
    <t>VehicleKm_per_flight.km.NL.Tr.Avia.Passenger.Domestic</t>
  </si>
  <si>
    <t>VehicleKm_per_flight.km.NL.Tr.Avia.Passenger.IntraEEAwCHUK</t>
  </si>
  <si>
    <t>VehicleKm_per_flight.km.NL.Tr.Avia.Passenger.ExtraEEAwCHUK</t>
  </si>
  <si>
    <t>VehicleKm_per_flight.km.NL.Tr.Avia.Freight</t>
  </si>
  <si>
    <t>VehicleKm_per_flight.km.NL.Tr.Avia.Freight.Domestic</t>
  </si>
  <si>
    <t>VehicleKm_per_flight.km.NL.Tr.Avia.Freight.IntraEEAwCHUK</t>
  </si>
  <si>
    <t>VehicleKm_per_flight.km.NL.Tr.Avia.Freight.ExtraEEAwCHUK</t>
  </si>
  <si>
    <t>Activity_per_flight.pkm.NL.Tr.Avia.Passenger</t>
  </si>
  <si>
    <t>Activity_per_flight.pkm.NL.Tr.Avia.Passenger.Domestic</t>
  </si>
  <si>
    <t>Activity_per_flight.pkm.NL.Tr.Avia.Passenger.IntraEEAwCHUK</t>
  </si>
  <si>
    <t>Activity_per_flight.pkm.NL.Tr.Avia.Passenger.ExtraEEAwCHUK</t>
  </si>
  <si>
    <t>Activity_per_flight.tkm.NL.Tr.Avia.Freight</t>
  </si>
  <si>
    <t>Activity_per_flight.tkm.NL.Tr.Avia.Freight.Domestic</t>
  </si>
  <si>
    <t>Activity_per_flight.tkm.NL.Tr.Avia.Freight.IntraEEAwCHUK</t>
  </si>
  <si>
    <t>Activity_per_flight.tkm.NL.Tr.Avia.Freight.ExtraEEAwCHUK</t>
  </si>
  <si>
    <t>Flights_per_vehicle.number.NL.Tr.Avia</t>
  </si>
  <si>
    <t>Flights_per_vehicle.number.NL.Tr.Avia.Passenger</t>
  </si>
  <si>
    <t>Flights_per_vehicle.number.NL.Tr.Avia.Passenger.Domestic</t>
  </si>
  <si>
    <t>Flights_per_vehicle.number.NL.Tr.Avia.Passenger.IntraEEAwCHUK</t>
  </si>
  <si>
    <t>Flights_per_vehicle.number.NL.Tr.Avia.Passenger.ExtraEEAwCHUK</t>
  </si>
  <si>
    <t>Flights_per_vehicle.number.NL.Tr.Avia.Freight</t>
  </si>
  <si>
    <t>Flights_per_vehicle.number.NL.Tr.Avia.Freight.Domestic</t>
  </si>
  <si>
    <t>Flights_per_vehicle.number.NL.Tr.Avia.Freight.IntraEEAwCHUK</t>
  </si>
  <si>
    <t>Flights_per_vehicle.number.NL.Tr.Avia.Freight.ExtraEEAwCHUK</t>
  </si>
  <si>
    <t>Aviation / energy consumption - NL - Netherlands</t>
  </si>
  <si>
    <t>FEC.ktoe.NL.Tr.Avia</t>
  </si>
  <si>
    <t>FEC.ktoe.NL.Tr.Avia.Domestic</t>
  </si>
  <si>
    <t>FEC.ktoe.NL.Tr.Avia.International</t>
  </si>
  <si>
    <t>FEC.ktoe.NL.Tr.Avia.Passenger</t>
  </si>
  <si>
    <t>FEC.ktoe.NL.Tr.Avia.Passenger.Domestic</t>
  </si>
  <si>
    <t>FEC.ktoe.NL.Tr.Avia.Passenger.IntraEEAwCHUK</t>
  </si>
  <si>
    <t>FEC.ktoe.NL.Tr.Avia.Passenger.ExtraEEAwCHUK</t>
  </si>
  <si>
    <t>FEC.ktoe.NL.Tr.Avia.Freight</t>
  </si>
  <si>
    <t>FEC.ktoe.NL.Tr.Avia.Freight.Domestic</t>
  </si>
  <si>
    <t>FEC.ktoe.NL.Tr.Avia.Freight.IntraEEAwCHUK</t>
  </si>
  <si>
    <t>FEC.ktoe.NL.Tr.Avia.Freight.ExtraEEAwCHUK</t>
  </si>
  <si>
    <t>Eff.kgoe_per_100km.NL.Tr.Avia</t>
  </si>
  <si>
    <t>Eff.kgoe_per_100km.NL.Tr.Avia.Passenger</t>
  </si>
  <si>
    <t>Eff.kgoe_per_100km.NL.Tr.Avia.Passenger.Domestic</t>
  </si>
  <si>
    <t>Eff.kgoe_per_100km.NL.Tr.Avia.Passenger.IntraEEAwCHUK</t>
  </si>
  <si>
    <t>Eff.kgoe_per_100km.NL.Tr.Avia.Passenger.ExtraEEAwCHUK</t>
  </si>
  <si>
    <t>Eff.kgoe_per_100km.NL.Tr.Avia.Freight</t>
  </si>
  <si>
    <t>Eff.kgoe_per_100km.NL.Tr.Avia.Freight.Domestic</t>
  </si>
  <si>
    <t>Eff.kgoe_per_100km.NL.Tr.Avia.Freight.IntraEEAwCHUK</t>
  </si>
  <si>
    <t>Eff.kgoe_per_100km.NL.Tr.Avia.Freight.ExtraEEAwCHUK</t>
  </si>
  <si>
    <t>Eff.kgoe_per_kpkm.NL.Tr.Avia.Passenger</t>
  </si>
  <si>
    <t>Eff.kgoe_per_kpkm.NL.Tr.Avia.Passenger.Domestic</t>
  </si>
  <si>
    <t>Eff.kgoe_per_kpkm.NL.Tr.Avia.Passenger.IntraEEAwCHUK</t>
  </si>
  <si>
    <t>Eff.kgoe_per_kpkm.NL.Tr.Avia.Passenger.ExtraEEAwCHUK</t>
  </si>
  <si>
    <t>Eff.kgoe_per_ktkm.NL.Tr.Avia.Freight</t>
  </si>
  <si>
    <t>Eff.kgoe_per_ktkm.NL.Tr.Avia.Freight.Domestic</t>
  </si>
  <si>
    <t>Eff.kgoe_per_ktkm.NL.Tr.Avia.Freight.IntraEEAwCHUK</t>
  </si>
  <si>
    <t>Eff.kgoe_per_ktkm.NL.Tr.Avia.Freight.ExtraEEAwCHUK</t>
  </si>
  <si>
    <t>FEC_per_flight.kgoe.NL.Tr.Avia</t>
  </si>
  <si>
    <t>FEC_per_flight.kgoe.NL.Tr.Avia.Passenger</t>
  </si>
  <si>
    <t>FEC_per_flight.kgoe.NL.Tr.Avia.Passenger.Domestic</t>
  </si>
  <si>
    <t>FEC_per_flight.kgoe.NL.Tr.Avia.Passenger.IntraEEAwCHUK</t>
  </si>
  <si>
    <t>FEC_per_flight.kgoe.NL.Tr.Avia.Passenger.ExtraEEAwCHUK</t>
  </si>
  <si>
    <t>FEC_per_flight.kgoe.NL.Tr.Avia.Freight</t>
  </si>
  <si>
    <t>FEC_per_flight.kgoe.NL.Tr.Avia.Freight.Domestic</t>
  </si>
  <si>
    <t>FEC_per_flight.kgoe.NL.Tr.Avia.Freight.IntraEEAwCHUK</t>
  </si>
  <si>
    <t>FEC_per_flight.kgoe.NL.Tr.Avia.Freight.ExtraEEAwCHUK</t>
  </si>
  <si>
    <t>Eff_theor.kgoe_per_100km.NL.Tr.Avia</t>
  </si>
  <si>
    <t>Eff_theor.kgoe_per_100km.NL.Tr.Avia.Passenger</t>
  </si>
  <si>
    <t>Eff_theor.kgoe_per_100km.NL.Tr.Avia.Passenger.Domestic</t>
  </si>
  <si>
    <t>Eff_theor.kgoe_per_100km.NL.Tr.Avia.Passenger.IntraEEAwCHUK</t>
  </si>
  <si>
    <t>Eff_theor.kgoe_per_100km.NL.Tr.Avia.Passenger.ExtraEEAwCHUK</t>
  </si>
  <si>
    <t>Eff_theor.kgoe_per_100km.NL.Tr.Avia.Freight</t>
  </si>
  <si>
    <t>Eff_theor.kgoe_per_100km.NL.Tr.Avia.Freight.Domestic</t>
  </si>
  <si>
    <t>Eff_theor.kgoe_per_100km.NL.Tr.Avia.Freight.IntraEEAwCHUK</t>
  </si>
  <si>
    <t>Eff_theor.kgoe_per_100km.NL.Tr.Avia.Freight.ExtraEEAwCHUK</t>
  </si>
  <si>
    <t>Aviation / CO2 emissions - NL - Netherlands</t>
  </si>
  <si>
    <t>EMI.ktCO2.NL.Tr.Avia</t>
  </si>
  <si>
    <t>EMI.ktCO2.NL.Tr.Avia.Domestic</t>
  </si>
  <si>
    <t>EMI.ktCO2.NL.Tr.Avia.International</t>
  </si>
  <si>
    <t>EMI.ktCO2.NL.Tr.Avia.Passenger</t>
  </si>
  <si>
    <t>EMI.ktCO2.NL.Tr.Avia.Passenger.Domestic</t>
  </si>
  <si>
    <t>EMI.ktCO2.NL.Tr.Avia.Passenger.IntraEEAwCHUK</t>
  </si>
  <si>
    <t>EMI.ktCO2.NL.Tr.Avia.Passenger.ExtraEEAwCHUK</t>
  </si>
  <si>
    <t>EMI.ktCO2.NL.Tr.Avia.Freight</t>
  </si>
  <si>
    <t>EMI.ktCO2.NL.Tr.Avia.Freight.Domestic</t>
  </si>
  <si>
    <t>EMI.ktCO2.NL.Tr.Avia.Freight.IntraEEAwCHUK</t>
  </si>
  <si>
    <t>EMI.ktCO2.NL.Tr.Avia.Freight.ExtraEEAwCHUK</t>
  </si>
  <si>
    <t>EMIint.gCO2_per_km.NL.Tr.Avia</t>
  </si>
  <si>
    <t>EMIint.gCO2_per_km.NL.Tr.Avia.Passenger</t>
  </si>
  <si>
    <t>EMIint.gCO2_per_km.NL.Tr.Avia.Passenger.Domestic</t>
  </si>
  <si>
    <t>EMIint.gCO2_per_km.NL.Tr.Avia.Passenger.IntraEEAwCHUK</t>
  </si>
  <si>
    <t>EMIint.gCO2_per_km.NL.Tr.Avia.Passenger.ExtraEEAwCHUK</t>
  </si>
  <si>
    <t>EMIint.gCO2_per_km.NL.Tr.Avia.Freight</t>
  </si>
  <si>
    <t>EMIint.gCO2_per_km.NL.Tr.Avia.Freight.Domestic</t>
  </si>
  <si>
    <t>EMIint.gCO2_per_km.NL.Tr.Avia.Freight.IntraEEAwCHUK</t>
  </si>
  <si>
    <t>EMIint.gCO2_per_km.NL.Tr.Avia.Freight.ExtraEEAwCHUK</t>
  </si>
  <si>
    <t>EMIint.gCO2_per_pkm.NL.Tr.Avia.Passenger</t>
  </si>
  <si>
    <t>EMIint.gCO2_per_pkm.NL.Tr.Avia.Passenger.Domestic</t>
  </si>
  <si>
    <t>EMIint.gCO2_per_pkm.NL.Tr.Avia.Passenger.IntraEEAwCHUK</t>
  </si>
  <si>
    <t>EMIint.gCO2_per_pkm.NL.Tr.Avia.Passenger.ExtraEEAwCHUK</t>
  </si>
  <si>
    <t>EMIint.gCO2_per_tkm.NL.Tr.Avia.Freight</t>
  </si>
  <si>
    <t>EMIint.gCO2_per_tkm.NL.Tr.Avia.Freight.Domestic</t>
  </si>
  <si>
    <t>EMIint.gCO2_per_tkm.NL.Tr.Avia.Freight.IntraEEAwCHUK</t>
  </si>
  <si>
    <t>EMIint.gCO2_per_tkm.NL.Tr.Avia.Freight.ExtraEEAwCHUK</t>
  </si>
  <si>
    <t>EMI_per_flight.kgCO2.NL.Tr.Avia</t>
  </si>
  <si>
    <t>EMI_per_flight.kgCO2.NL.Tr.Avia.Passenger</t>
  </si>
  <si>
    <t>EMI_per_flight.kgCO2.NL.Tr.Avia.Passenger.Domestic</t>
  </si>
  <si>
    <t>EMI_per_flight.kgCO2.NL.Tr.Avia.Passenger.IntraEEAwCHUK</t>
  </si>
  <si>
    <t>EMI_per_flight.kgCO2.NL.Tr.Avia.Passenger.ExtraEEAwCHUK</t>
  </si>
  <si>
    <t>EMI_per_flight.kgCO2.NL.Tr.Avia.Freight</t>
  </si>
  <si>
    <t>EMI_per_flight.kgCO2.NL.Tr.Avia.Freight.Domestic</t>
  </si>
  <si>
    <t>EMI_per_flight.kgCO2.NL.Tr.Avia.Freight.IntraEEAwCHUK</t>
  </si>
  <si>
    <t>EMI_per_flight.kgCO2.NL.Tr.Avia.Freight.ExtraEEAwCHUK</t>
  </si>
  <si>
    <t>Aviation / passenger transport specific data - NL - Netherlands</t>
  </si>
  <si>
    <t>TrCap.seats.NL.Tr.Avia.Passenger</t>
  </si>
  <si>
    <t>TrCap.seats.NL.Tr.Avia.Passenger.Domestic</t>
  </si>
  <si>
    <t>TrCap.seats.NL.Tr.Avia.Passenger.IntraEEAwCHUK</t>
  </si>
  <si>
    <t>TrCap.seats.NL.Tr.Avia.Passenger.ExtraEEAwCHUK</t>
  </si>
  <si>
    <t>TrCap_per_flight.seats.NL.Tr.Avia.Passenger</t>
  </si>
  <si>
    <t>TrCap_per_flight.seats.NL.Tr.Avia.Passenger.Domestic</t>
  </si>
  <si>
    <t>TrCap_per_flight.seats.NL.Tr.Avia.Passenger.IntraEEAwCHUK</t>
  </si>
  <si>
    <t>TrCap_per_flight.seats.NL.Tr.Avia.Passenger.ExtraEEAwCHUK</t>
  </si>
  <si>
    <t>Transport overview - NL - Netherlands</t>
  </si>
  <si>
    <t>Activity.Mpkm.NL.Tr</t>
  </si>
  <si>
    <t>Activity.Mpkm.NL.Tr.Road.Passenger</t>
  </si>
  <si>
    <t>Activity.Mpkm.NL.Tr.Road.Passenger.P2W</t>
  </si>
  <si>
    <t>Activity.Mpkm.NL.Tr.Road.Passenger.Car</t>
  </si>
  <si>
    <t>Activity.Mpkm.NL.Tr.Road.Passenger.Bus</t>
  </si>
  <si>
    <t>Activity.Mpkm.NL.Tr.Rail.Passenger</t>
  </si>
  <si>
    <t>Activity.Mpkm.NL.Tr.Rail.Passenger.MTU</t>
  </si>
  <si>
    <t>Activity.Mpkm.NL.Tr.Rail.Passenger.CPT</t>
  </si>
  <si>
    <t>Activity.Mpkm.NL.Tr.Rail.Passenger.HST</t>
  </si>
  <si>
    <t>Activity.Mtkm.NL.Tr</t>
  </si>
  <si>
    <t>Activity.Mtkm.NL.Tr.Road.Freight</t>
  </si>
  <si>
    <t>Activity.Mtkm.NL.Tr.Road.Freight.LCV</t>
  </si>
  <si>
    <t>Activity.Mtkm.NL.Tr.Road.Freight.HGV_All</t>
  </si>
  <si>
    <t>Activity.Mtkm.NL.Tr.Rail.Freight</t>
  </si>
  <si>
    <t>Activity.Mtkm.NL.Tr.DNavi.Freight</t>
  </si>
  <si>
    <t>Activity.Mtkm.NL.Tr.DNavi.Freight.DCS</t>
  </si>
  <si>
    <t>Activity.Mtkm.NL.Tr.DNavi.Freight.IWW</t>
  </si>
  <si>
    <t>Activity.Mtkm.NL.MBunk.Freight</t>
  </si>
  <si>
    <t>Activity.Mtkm.NL.MBunk.Freight.IntraEEA</t>
  </si>
  <si>
    <t>Activity.Mtkm.NL.MBunk.Freight.ExtraEEA</t>
  </si>
  <si>
    <t>FEC.ktoe.NL.Tr.Road.Passenger</t>
  </si>
  <si>
    <t>FEC.ktoe.NL.Tr.Road.Passenger.P2W</t>
  </si>
  <si>
    <t>FEC.ktoe.NL.Tr.Road.Passenger.Car</t>
  </si>
  <si>
    <t>FEC.ktoe.NL.Tr.Road.Passenger.Bus</t>
  </si>
  <si>
    <t>FEC.ktoe.NL.Tr.Rail.Passenger</t>
  </si>
  <si>
    <t>FEC.ktoe.NL.Tr.Rail.Passenger.MTU</t>
  </si>
  <si>
    <t>FEC.ktoe.NL.Tr.Rail.Passenger.CPT</t>
  </si>
  <si>
    <t>FEC.ktoe.NL.Tr.Rail.Passenger.HST</t>
  </si>
  <si>
    <t>FEC.ktoe.NL.Tr.Road.Freight</t>
  </si>
  <si>
    <t>FEC.ktoe.NL.Tr.Road.Freight.LCV</t>
  </si>
  <si>
    <t>FEC.ktoe.NL.Tr.Road.Freight.HGV_All</t>
  </si>
  <si>
    <t>FEC.ktoe.NL.Tr.Rail.Freight</t>
  </si>
  <si>
    <t>EMI.ktCO2.NL.Tr.Road.Passenger</t>
  </si>
  <si>
    <t>EMI.ktCO2.NL.Tr.Road.Passenger.P2W</t>
  </si>
  <si>
    <t>EMI.ktCO2.NL.Tr.Road.Passenger.Car</t>
  </si>
  <si>
    <t>EMI.ktCO2.NL.Tr.Road.Passenger.Bus</t>
  </si>
  <si>
    <t>EMI.ktCO2.NL.Tr.Rail.Passenger</t>
  </si>
  <si>
    <t>EMI.ktCO2.NL.Tr.Rail.Passenger.MTU</t>
  </si>
  <si>
    <t>EMI.ktCO2.NL.Tr.Rail.Passenger.CPT</t>
  </si>
  <si>
    <t>EMI.ktCO2.NL.Tr.Rail.Passenger.HST</t>
  </si>
  <si>
    <t>EMI.ktCO2.NL.Tr.Road.Freight</t>
  </si>
  <si>
    <t>EMI.ktCO2.NL.Tr.Road.Freight.LCV</t>
  </si>
  <si>
    <t>EMI.ktCO2.NL.Tr.Road.Freight.HGV_All</t>
  </si>
  <si>
    <t>EMI.ktCO2.NL.Tr.Rail.Freight</t>
  </si>
  <si>
    <t>Eff.kgoe_per_kpkm.NL.Tr</t>
  </si>
  <si>
    <t>Eff.kgoe_per_kpkm.NL.Tr.Road.Passenger</t>
  </si>
  <si>
    <t>Eff.kgoe_per_kpkm.NL.Tr.Road.Passenger.P2W</t>
  </si>
  <si>
    <t>Eff.kgoe_per_kpkm.NL.Tr.Road.Passenger.Car</t>
  </si>
  <si>
    <t>Eff.kgoe_per_kpkm.NL.Tr.Road.Passenger.Bus</t>
  </si>
  <si>
    <t>Eff.kgoe_per_kpkm.NL.Tr.Rail.Passenger</t>
  </si>
  <si>
    <t>Eff.kgoe_per_kpkm.NL.Tr.Rail.Passenger.MTU</t>
  </si>
  <si>
    <t>Eff.kgoe_per_kpkm.NL.Tr.Rail.Passenger.CPT</t>
  </si>
  <si>
    <t>Eff.kgoe_per_kpkm.NL.Tr.Rail.Passenger.HST</t>
  </si>
  <si>
    <t>Eff.kgoe_per_ktkm.NL.Tr</t>
  </si>
  <si>
    <t>Eff.kgoe_per_ktkm.NL.Tr.Road.Freight</t>
  </si>
  <si>
    <t>Eff.kgoe_per_ktkm.NL.Tr.Road.Freight.LCV</t>
  </si>
  <si>
    <t>Eff.kgoe_per_ktkm.NL.Tr.Road.Freight.HGV_All</t>
  </si>
  <si>
    <t>Eff.kgoe_per_ktkm.NL.Tr.Rail.Freight</t>
  </si>
  <si>
    <t>Eff.kgoe_per_ktkm.NL.Tr.DNavi.Freight</t>
  </si>
  <si>
    <t>Eff.kgoe_per_ktkm.NL.Tr.DNavi.Freight.DCS</t>
  </si>
  <si>
    <t>Eff.kgoe_per_ktkm.NL.Tr.DNavi.Freight.IWW</t>
  </si>
  <si>
    <t>Eff.kgoe_per_ktkm.NL.MBunk.Freight</t>
  </si>
  <si>
    <t>Eff.kgoe_per_ktkm.NL.MBunk.Freight.IntraEEA</t>
  </si>
  <si>
    <t>Eff.kgoe_per_ktkm.NL.MBunk.Freight.ExtraEEA</t>
  </si>
  <si>
    <t>EMIint.gCO2_per_pkm.NL.Tr</t>
  </si>
  <si>
    <t>EMIint.gCO2_per_pkm.NL.Tr.Road.Passenger</t>
  </si>
  <si>
    <t>EMIint.gCO2_per_pkm.NL.Tr.Road.Passenger.P2W</t>
  </si>
  <si>
    <t>EMIint.gCO2_per_pkm.NL.Tr.Road.Passenger.Car</t>
  </si>
  <si>
    <t>EMIint.gCO2_per_pkm.NL.Tr.Road.Passenger.Bus</t>
  </si>
  <si>
    <t>EMIint.gCO2_per_pkm.NL.Tr.Rail.Passenger</t>
  </si>
  <si>
    <t>EMIint.gCO2_per_pkm.NL.Tr.Rail.Passenger.MTU</t>
  </si>
  <si>
    <t>EMIint.gCO2_per_pkm.NL.Tr.Rail.Passenger.CPT</t>
  </si>
  <si>
    <t>EMIint.gCO2_per_pkm.NL.Tr.Rail.Passenger.HST</t>
  </si>
  <si>
    <t>EMIint.gCO2_per_tkm.NL.Tr</t>
  </si>
  <si>
    <t>EMIint.gCO2_per_tkm.NL.Tr.Road.Freight</t>
  </si>
  <si>
    <t>EMIint.gCO2_per_tkm.NL.Tr.Road.Freight.LCV</t>
  </si>
  <si>
    <t>EMIint.gCO2_per_tkm.NL.Tr.Road.Freight.HGV_All</t>
  </si>
  <si>
    <t>EMIint.gCO2_per_tkm.NL.Tr.Rail.Freight</t>
  </si>
  <si>
    <t>EMIint.gCO2_per_tkm.NL.Tr.DNavi.Freight</t>
  </si>
  <si>
    <t>EMIint.gCO2_per_tkm.NL.Tr.DNavi.Freight.DCS</t>
  </si>
  <si>
    <t>EMIint.gCO2_per_tkm.NL.Tr.DNavi.Freight.IWW</t>
  </si>
  <si>
    <t>EMIint.gCO2_per_tkm.NL.MBunk.Freight</t>
  </si>
  <si>
    <t>EMIint.gCO2_per_tkm.NL.MBunk.Freight.IntraEEA</t>
  </si>
  <si>
    <t>EMIint.gCO2_per_tkm.NL.MBunk.Freight.ExtraEEA</t>
  </si>
  <si>
    <t>Road transport - NL - Netherlands</t>
  </si>
  <si>
    <t>Activity.Mpkm.NL.Tr.Road.Passenger.Car.ICE.Gasoline</t>
  </si>
  <si>
    <t>Activity.Mpkm.NL.Tr.Road.Passenger.Car.ICE.Diesel</t>
  </si>
  <si>
    <t>Activity.Mpkm.NL.Tr.Road.Passenger.Car.ICE.LPG</t>
  </si>
  <si>
    <t>Activity.Mpkm.NL.Tr.Road.Passenger.Car.ICE.NGas</t>
  </si>
  <si>
    <t>Activity.Mpkm.NL.Tr.Road.Passenger.Car.PHEV.Gasoline</t>
  </si>
  <si>
    <t>Activity.Mpkm.NL.Tr.Road.Passenger.Car.BEV</t>
  </si>
  <si>
    <t>Activity.Mpkm.NL.Tr.Road.Passenger.Bus.ICE.Gasoline</t>
  </si>
  <si>
    <t>Activity.Mpkm.NL.Tr.Road.Passenger.Bus.ICE.Diesel</t>
  </si>
  <si>
    <t>Activity.Mpkm.NL.Tr.Road.Passenger.Bus.ICE.LPG</t>
  </si>
  <si>
    <t>Activity.Mpkm.NL.Tr.Road.Passenger.Bus.ICE.NGas</t>
  </si>
  <si>
    <t>Activity.Mpkm.NL.Tr.Road.Passenger.Bus.BEV</t>
  </si>
  <si>
    <t>Activity.Mtkm.NL.Tr.Road.Freight.LCV.ICE.Gasoline</t>
  </si>
  <si>
    <t>Activity.Mtkm.NL.Tr.Road.Freight.LCV.ICE.Diesel</t>
  </si>
  <si>
    <t>Activity.Mtkm.NL.Tr.Road.Freight.LCV.ICE.LPG</t>
  </si>
  <si>
    <t>Activity.Mtkm.NL.Tr.Road.Freight.LCV.ICE.NGas</t>
  </si>
  <si>
    <t>Activity.Mtkm.NL.Tr.Road.Freight.LCV.BEV</t>
  </si>
  <si>
    <t>Activity.Mtkm.NL.Tr.Road.Freight.HGV_Domestic</t>
  </si>
  <si>
    <t>Activity.Mtkm.NL.Tr.Road.Freight.HGV_International</t>
  </si>
  <si>
    <t>VehicleKm.Mkm.NL.Tr.Road</t>
  </si>
  <si>
    <t>VehicleKm.Mkm.NL.Tr.Road.Passenger</t>
  </si>
  <si>
    <t>VehicleKm.Mkm.NL.Tr.Road.Passenger.P2W</t>
  </si>
  <si>
    <t>VehicleKm.Mkm.NL.Tr.Road.Passenger.Car</t>
  </si>
  <si>
    <t>VehicleKm.Mkm.NL.Tr.Road.Passenger.Car.ICE.Gasoline</t>
  </si>
  <si>
    <t>VehicleKm.Mkm.NL.Tr.Road.Passenger.Car.ICE.Diesel</t>
  </si>
  <si>
    <t>VehicleKm.Mkm.NL.Tr.Road.Passenger.Car.ICE.LPG</t>
  </si>
  <si>
    <t>VehicleKm.Mkm.NL.Tr.Road.Passenger.Car.ICE.NGas</t>
  </si>
  <si>
    <t>VehicleKm.Mkm.NL.Tr.Road.Passenger.Car.PHEV.Gasoline</t>
  </si>
  <si>
    <t>VehicleKm.Mkm.NL.Tr.Road.Passenger.Car.BEV</t>
  </si>
  <si>
    <t>VehicleKm.Mkm.NL.Tr.Road.Passenger.Bus</t>
  </si>
  <si>
    <t>VehicleKm.Mkm.NL.Tr.Road.Passenger.Bus.ICE.Gasoline</t>
  </si>
  <si>
    <t>VehicleKm.Mkm.NL.Tr.Road.Passenger.Bus.ICE.Diesel</t>
  </si>
  <si>
    <t>VehicleKm.Mkm.NL.Tr.Road.Passenger.Bus.ICE.LPG</t>
  </si>
  <si>
    <t>VehicleKm.Mkm.NL.Tr.Road.Passenger.Bus.ICE.NGas</t>
  </si>
  <si>
    <t>VehicleKm.Mkm.NL.Tr.Road.Passenger.Bus.BEV</t>
  </si>
  <si>
    <t>VehicleKm.Mkm.NL.Tr.Road.Freight</t>
  </si>
  <si>
    <t>VehicleKm.Mkm.NL.Tr.Road.Freight.LCV</t>
  </si>
  <si>
    <t>VehicleKm.Mkm.NL.Tr.Road.Freight.LCV.ICE.Gasoline</t>
  </si>
  <si>
    <t>VehicleKm.Mkm.NL.Tr.Road.Freight.LCV.ICE.Diesel</t>
  </si>
  <si>
    <t>VehicleKm.Mkm.NL.Tr.Road.Freight.LCV.ICE.LPG</t>
  </si>
  <si>
    <t>VehicleKm.Mkm.NL.Tr.Road.Freight.LCV.ICE.NGas</t>
  </si>
  <si>
    <t>VehicleKm.Mkm.NL.Tr.Road.Freight.LCV.BEV</t>
  </si>
  <si>
    <t>VehicleKm.Mkm.NL.Tr.Road.Freight.HGV_All</t>
  </si>
  <si>
    <t>VehicleKm.Mkm.NL.Tr.Road.Freight.HGV_Domestic</t>
  </si>
  <si>
    <t>VehicleKm.Mkm.NL.Tr.Road.Freight.HGV_International</t>
  </si>
  <si>
    <t>Stock.number.NL.Tr.Road</t>
  </si>
  <si>
    <t>Stock.number.NL.Tr.Road.Passenger</t>
  </si>
  <si>
    <t>Stock.number.NL.Tr.Road.Passenger.P2W</t>
  </si>
  <si>
    <t>Stock.number.NL.Tr.Road.Passenger.Car</t>
  </si>
  <si>
    <t>Stock.number.NL.Tr.Road.Passenger.Car.ICE.Gasoline</t>
  </si>
  <si>
    <t>Stock.number.NL.Tr.Road.Passenger.Car.ICE.Diesel</t>
  </si>
  <si>
    <t>Stock.number.NL.Tr.Road.Passenger.Car.ICE.LPG</t>
  </si>
  <si>
    <t>Stock.number.NL.Tr.Road.Passenger.Car.ICE.NGas</t>
  </si>
  <si>
    <t>Stock.number.NL.Tr.Road.Passenger.Car.PHEV.Gasoline</t>
  </si>
  <si>
    <t>Stock.number.NL.Tr.Road.Passenger.Car.BEV</t>
  </si>
  <si>
    <t>Stock.number.NL.Tr.Road.Passenger.Bus</t>
  </si>
  <si>
    <t>Stock.number.NL.Tr.Road.Passenger.Bus.ICE.Gasoline</t>
  </si>
  <si>
    <t>Stock.number.NL.Tr.Road.Passenger.Bus.ICE.Diesel</t>
  </si>
  <si>
    <t>Stock.number.NL.Tr.Road.Passenger.Bus.ICE.LPG</t>
  </si>
  <si>
    <t>Stock.number.NL.Tr.Road.Passenger.Bus.ICE.NGas</t>
  </si>
  <si>
    <t>Stock.number.NL.Tr.Road.Passenger.Bus.BEV</t>
  </si>
  <si>
    <t>Stock.number.NL.Tr.Road.Freight</t>
  </si>
  <si>
    <t>Stock.number.NL.Tr.Road.Freight.LCV</t>
  </si>
  <si>
    <t>Stock.number.NL.Tr.Road.Freight.LCV.ICE.Gasoline</t>
  </si>
  <si>
    <t>Stock.number.NL.Tr.Road.Freight.LCV.ICE.Diesel</t>
  </si>
  <si>
    <t>Stock.number.NL.Tr.Road.Freight.LCV.ICE.LPG</t>
  </si>
  <si>
    <t>Stock.number.NL.Tr.Road.Freight.LCV.ICE.NGas</t>
  </si>
  <si>
    <t>Stock.number.NL.Tr.Road.Freight.LCV.BEV</t>
  </si>
  <si>
    <t>Stock.number.NL.Tr.Road.Freight.HGV_All</t>
  </si>
  <si>
    <t>Stock.number.NL.Tr.Road.Freight.HGV_Domestic</t>
  </si>
  <si>
    <t>Stock.number.NL.Tr.Road.Freight.HGV_International</t>
  </si>
  <si>
    <t>StockNew.number.NL.Tr.Road</t>
  </si>
  <si>
    <t>StockNew.number.NL.Tr.Road.Passenger</t>
  </si>
  <si>
    <t>StockNew.number.NL.Tr.Road.Passenger.P2W</t>
  </si>
  <si>
    <t>StockNew.number.NL.Tr.Road.Passenger.Car</t>
  </si>
  <si>
    <t>StockNew.number.NL.Tr.Road.Passenger.Car.ICE.Gasoline</t>
  </si>
  <si>
    <t>StockNew.number.NL.Tr.Road.Passenger.Car.ICE.Diesel</t>
  </si>
  <si>
    <t>StockNew.number.NL.Tr.Road.Passenger.Car.ICE.LPG</t>
  </si>
  <si>
    <t>StockNew.number.NL.Tr.Road.Passenger.Car.ICE.NGas</t>
  </si>
  <si>
    <t>StockNew.number.NL.Tr.Road.Passenger.Car.PHEV.Gasoline</t>
  </si>
  <si>
    <t>StockNew.number.NL.Tr.Road.Passenger.Car.BEV</t>
  </si>
  <si>
    <t>StockNew.number.NL.Tr.Road.Passenger.Bus</t>
  </si>
  <si>
    <t>StockNew.number.NL.Tr.Road.Passenger.Bus.ICE.Gasoline</t>
  </si>
  <si>
    <t>StockNew.number.NL.Tr.Road.Passenger.Bus.ICE.Diesel</t>
  </si>
  <si>
    <t>StockNew.number.NL.Tr.Road.Passenger.Bus.ICE.LPG</t>
  </si>
  <si>
    <t>StockNew.number.NL.Tr.Road.Passenger.Bus.ICE.NGas</t>
  </si>
  <si>
    <t>StockNew.number.NL.Tr.Road.Passenger.Bus.BEV</t>
  </si>
  <si>
    <t>StockNew.number.NL.Tr.Road.Freight</t>
  </si>
  <si>
    <t>StockNew.number.NL.Tr.Road.Freight.LCV</t>
  </si>
  <si>
    <t>StockNew.number.NL.Tr.Road.Freight.LCV.ICE.Gasoline</t>
  </si>
  <si>
    <t>StockNew.number.NL.Tr.Road.Freight.LCV.ICE.Diesel</t>
  </si>
  <si>
    <t>StockNew.number.NL.Tr.Road.Freight.LCV.ICE.LPG</t>
  </si>
  <si>
    <t>StockNew.number.NL.Tr.Road.Freight.LCV.ICE.NGas</t>
  </si>
  <si>
    <t>StockNew.number.NL.Tr.Road.Freight.LCV.BEV</t>
  </si>
  <si>
    <t>StockNew.number.NL.Tr.Road.Freight.HGV_All</t>
  </si>
  <si>
    <t>StockNew.number.NL.Tr.Road.Freight.HGV_Domestic</t>
  </si>
  <si>
    <t>StockNew.number.NL.Tr.Road.Freight.HGV_International</t>
  </si>
  <si>
    <t>Load.passenger_per_movement.NL.Tr.Road.Passenger</t>
  </si>
  <si>
    <t>Load.passenger_per_movement.NL.Tr.Road.Passenger.P2W</t>
  </si>
  <si>
    <t>Load.passenger_per_movement.NL.Tr.Road.Passenger.Car</t>
  </si>
  <si>
    <t>Load.passenger_per_movement.NL.Tr.Road.Passenger.Car.ICE.Gasoline</t>
  </si>
  <si>
    <t>Load.passenger_per_movement.NL.Tr.Road.Passenger.Car.ICE.Diesel</t>
  </si>
  <si>
    <t>Load.passenger_per_movement.NL.Tr.Road.Passenger.Car.ICE.LPG</t>
  </si>
  <si>
    <t>Load.passenger_per_movement.NL.Tr.Road.Passenger.Car.ICE.NGas</t>
  </si>
  <si>
    <t>Load.passenger_per_movement.NL.Tr.Road.Passenger.Car.PHEV.Gasoline</t>
  </si>
  <si>
    <t>Load.passenger_per_movement.NL.Tr.Road.Passenger.Car.BEV</t>
  </si>
  <si>
    <t>Load.passenger_per_movement.NL.Tr.Road.Passenger.Bus</t>
  </si>
  <si>
    <t>Load.passenger_per_movement.NL.Tr.Road.Passenger.Bus.ICE.Gasoline</t>
  </si>
  <si>
    <t>Load.passenger_per_movement.NL.Tr.Road.Passenger.Bus.ICE.Diesel</t>
  </si>
  <si>
    <t>Load.passenger_per_movement.NL.Tr.Road.Passenger.Bus.ICE.LPG</t>
  </si>
  <si>
    <t>Load.passenger_per_movement.NL.Tr.Road.Passenger.Bus.ICE.NGas</t>
  </si>
  <si>
    <t>Load.passenger_per_movement.NL.Tr.Road.Passenger.Bus.BEV</t>
  </si>
  <si>
    <t>Load.t_per_movement.NL.Tr.Road.Freight</t>
  </si>
  <si>
    <t>Load.t_per_movement.NL.Tr.Road.Freight.LCV</t>
  </si>
  <si>
    <t>Load.t_per_movement.NL.Tr.Road.Freight.LCV.ICE.Gasoline</t>
  </si>
  <si>
    <t>Load.t_per_movement.NL.Tr.Road.Freight.LCV.ICE.Diesel</t>
  </si>
  <si>
    <t>Load.t_per_movement.NL.Tr.Road.Freight.LCV.ICE.LPG</t>
  </si>
  <si>
    <t>Load.t_per_movement.NL.Tr.Road.Freight.LCV.ICE.NGas</t>
  </si>
  <si>
    <t>Load.t_per_movement.NL.Tr.Road.Freight.LCV.BEV</t>
  </si>
  <si>
    <t>Load.t_per_movement.NL.Tr.Road.Freight.HGV_All</t>
  </si>
  <si>
    <t>Load.t_per_movement.NL.Tr.Road.Freight.HGV_Domestic</t>
  </si>
  <si>
    <t>Load.t_per_movement.NL.Tr.Road.Freight.HGV_International</t>
  </si>
  <si>
    <t>VehicleKm_per_vehicle.km.NL.Tr.Road</t>
  </si>
  <si>
    <t>VehicleKm_per_vehicle.km.NL.Tr.Road.Passenger</t>
  </si>
  <si>
    <t>VehicleKm_per_vehicle.km.NL.Tr.Road.Passenger.P2W</t>
  </si>
  <si>
    <t>VehicleKm_per_vehicle.km.NL.Tr.Road.Passenger.Car</t>
  </si>
  <si>
    <t>VehicleKm_per_vehicle.km.NL.Tr.Road.Passenger.Car.ICE.Gasoline</t>
  </si>
  <si>
    <t>VehicleKm_per_vehicle.km.NL.Tr.Road.Passenger.Car.ICE.Diesel</t>
  </si>
  <si>
    <t>VehicleKm_per_vehicle.km.NL.Tr.Road.Passenger.Car.ICE.LPG</t>
  </si>
  <si>
    <t>VehicleKm_per_vehicle.km.NL.Tr.Road.Passenger.Car.ICE.NGas</t>
  </si>
  <si>
    <t>VehicleKm_per_vehicle.km.NL.Tr.Road.Passenger.Car.PHEV.Gasoline</t>
  </si>
  <si>
    <t>VehicleKm_per_vehicle.km.NL.Tr.Road.Passenger.Car.BEV</t>
  </si>
  <si>
    <t>VehicleKm_per_vehicle.km.NL.Tr.Road.Passenger.Bus</t>
  </si>
  <si>
    <t>VehicleKm_per_vehicle.km.NL.Tr.Road.Passenger.Bus.ICE.Gasoline</t>
  </si>
  <si>
    <t>VehicleKm_per_vehicle.km.NL.Tr.Road.Passenger.Bus.ICE.Diesel</t>
  </si>
  <si>
    <t>VehicleKm_per_vehicle.km.NL.Tr.Road.Passenger.Bus.ICE.LPG</t>
  </si>
  <si>
    <t>VehicleKm_per_vehicle.km.NL.Tr.Road.Passenger.Bus.ICE.NGas</t>
  </si>
  <si>
    <t>VehicleKm_per_vehicle.km.NL.Tr.Road.Passenger.Bus.BEV</t>
  </si>
  <si>
    <t>VehicleKm_per_vehicle.km.NL.Tr.Road.Freight</t>
  </si>
  <si>
    <t>VehicleKm_per_vehicle.km.NL.Tr.Road.Freight.LCV</t>
  </si>
  <si>
    <t>VehicleKm_per_vehicle.km.NL.Tr.Road.Freight.LCV.ICE.Gasoline</t>
  </si>
  <si>
    <t>VehicleKm_per_vehicle.km.NL.Tr.Road.Freight.LCV.ICE.Diesel</t>
  </si>
  <si>
    <t>VehicleKm_per_vehicle.km.NL.Tr.Road.Freight.LCV.ICE.LPG</t>
  </si>
  <si>
    <t>VehicleKm_per_vehicle.km.NL.Tr.Road.Freight.LCV.ICE.NGas</t>
  </si>
  <si>
    <t>VehicleKm_per_vehicle.km.NL.Tr.Road.Freight.LCV.BEV</t>
  </si>
  <si>
    <t>VehicleKm_per_vehicle.km.NL.Tr.Road.Freight.HGV_All</t>
  </si>
  <si>
    <t>VehicleKm_per_vehicle.km.NL.Tr.Road.Freight.HGV_Domestic</t>
  </si>
  <si>
    <t>VehicleKm_per_vehicle.km.NL.Tr.Road.Freight.HGV_International</t>
  </si>
  <si>
    <t>Activity_per_vehicle.pkm.NL.Tr.Road.Passenger</t>
  </si>
  <si>
    <t>Activity_per_vehicle.pkm.NL.Tr.Road.Passenger.P2W</t>
  </si>
  <si>
    <t>Activity_per_vehicle.pkm.NL.Tr.Road.Passenger.Car</t>
  </si>
  <si>
    <t>Activity_per_vehicle.pkm.NL.Tr.Road.Passenger.Car.ICE.Gasoline</t>
  </si>
  <si>
    <t>Activity_per_vehicle.pkm.NL.Tr.Road.Passenger.Car.ICE.Diesel</t>
  </si>
  <si>
    <t>Activity_per_vehicle.pkm.NL.Tr.Road.Passenger.Car.ICE.LPG</t>
  </si>
  <si>
    <t>Activity_per_vehicle.pkm.NL.Tr.Road.Passenger.Car.ICE.NGas</t>
  </si>
  <si>
    <t>Activity_per_vehicle.pkm.NL.Tr.Road.Passenger.Car.PHEV.Gasoline</t>
  </si>
  <si>
    <t>Activity_per_vehicle.pkm.NL.Tr.Road.Passenger.Car.BEV</t>
  </si>
  <si>
    <t>Activity_per_vehicle.pkm.NL.Tr.Road.Passenger.Bus</t>
  </si>
  <si>
    <t>Activity_per_vehicle.pkm.NL.Tr.Road.Passenger.Bus.ICE.Gasoline</t>
  </si>
  <si>
    <t>Activity_per_vehicle.pkm.NL.Tr.Road.Passenger.Bus.ICE.Diesel</t>
  </si>
  <si>
    <t>Activity_per_vehicle.pkm.NL.Tr.Road.Passenger.Bus.ICE.LPG</t>
  </si>
  <si>
    <t>Activity_per_vehicle.pkm.NL.Tr.Road.Passenger.Bus.ICE.NGas</t>
  </si>
  <si>
    <t>Activity_per_vehicle.pkm.NL.Tr.Road.Passenger.Bus.BEV</t>
  </si>
  <si>
    <t>Activity_per_vehicle.tkm.NL.Tr.Road.Freight</t>
  </si>
  <si>
    <t>Activity_per_vehicle.tkm.NL.Tr.Road.Freight.LCV</t>
  </si>
  <si>
    <t>Activity_per_vehicle.tkm.NL.Tr.Road.Freight.LCV.ICE.Gasoline</t>
  </si>
  <si>
    <t>Activity_per_vehicle.tkm.NL.Tr.Road.Freight.LCV.ICE.Diesel</t>
  </si>
  <si>
    <t>Activity_per_vehicle.tkm.NL.Tr.Road.Freight.LCV.ICE.LPG</t>
  </si>
  <si>
    <t>Activity_per_vehicle.tkm.NL.Tr.Road.Freight.LCV.ICE.NGas</t>
  </si>
  <si>
    <t>Activity_per_vehicle.tkm.NL.Tr.Road.Freight.LCV.BEV</t>
  </si>
  <si>
    <t>Activity_per_vehicle.tkm.NL.Tr.Road.Freight.HGV_All</t>
  </si>
  <si>
    <t>Activity_per_vehicle.tkm.NL.Tr.Road.Freight.HGV_Domestic</t>
  </si>
  <si>
    <t>Activity_per_vehicle.tkm.NL.Tr.Road.Freight.HGV_International</t>
  </si>
  <si>
    <t>Road transport / energy consumption - NL - Netherlands</t>
  </si>
  <si>
    <t>FEC.ktoe.NL.ES.Tr.Road</t>
  </si>
  <si>
    <t>FEC.ktoe.NL.ES.Tr.Road.LPG</t>
  </si>
  <si>
    <t>FEC.ktoe.NL.ES.Tr.Road.Gasoline</t>
  </si>
  <si>
    <t>FEC.ktoe.NL.ES.Tr.Road.Diesel</t>
  </si>
  <si>
    <t>FEC.ktoe.NL.ES.Tr.Road.NG</t>
  </si>
  <si>
    <t>FEC.ktoe.NL.ES.Tr.Road.Biogas</t>
  </si>
  <si>
    <t>FEC.ktoe.NL.ES.Tr.Road.Biogasoline</t>
  </si>
  <si>
    <t>FEC.ktoe.NL.ES.Tr.Road.Biodiesel</t>
  </si>
  <si>
    <t>FEC.ktoe.NL.ES.Tr.Road.OthLiqBio</t>
  </si>
  <si>
    <t>FEC.ktoe.NL.ES.Tr.Road.Elec</t>
  </si>
  <si>
    <t>FEC.ktoe.NL.Tr.Road</t>
  </si>
  <si>
    <t>FEC.ktoe.NL.Tr.Road.Passenger.P2W.Total.Total.Biogasoline</t>
  </si>
  <si>
    <t>FEC.ktoe.NL.Tr.Road.Passenger.Car.ICE.Gasoline</t>
  </si>
  <si>
    <t>FEC.ktoe.NL.Tr.Road.Passenger.Car.ICE.Gasoline.Biogasoline</t>
  </si>
  <si>
    <t>FEC.ktoe.NL.Tr.Road.Passenger.Car.ICE.Diesel</t>
  </si>
  <si>
    <t>FEC.ktoe.NL.Tr.Road.Passenger.Car.ICE.Diesel.BioDiesel_OthLiqBio</t>
  </si>
  <si>
    <t>FEC.ktoe.NL.Tr.Road.Passenger.Car.ICE.LPG</t>
  </si>
  <si>
    <t>FEC.ktoe.NL.Tr.Road.Passenger.Car.ICE.NGas</t>
  </si>
  <si>
    <t>FEC.ktoe.NL.Tr.Road.Passenger.Car.ICE.NGas.Biogas</t>
  </si>
  <si>
    <t>FEC.ktoe.NL.Tr.Road.Passenger.Car.PHEV.Gasoline</t>
  </si>
  <si>
    <t>FEC.ktoe.NL.Tr.Road.Passenger.Car.PHEV.Gasoline.Biogasoline</t>
  </si>
  <si>
    <t>FEC.ktoe.NL.Tr.Road.Passenger.Car.PHEV.Gasoline.Elec</t>
  </si>
  <si>
    <t>FEC.ktoe.NL.Tr.Road.Passenger.Car.BEV</t>
  </si>
  <si>
    <t>FEC.ktoe.NL.Tr.Road.Passenger.Bus.ICE.Gasoline</t>
  </si>
  <si>
    <t>FEC.ktoe.NL.Tr.Road.Passenger.Bus.ICE.Gasoline.Biogasoline</t>
  </si>
  <si>
    <t>FEC.ktoe.NL.Tr.Road.Passenger.Bus.ICE.Diesel</t>
  </si>
  <si>
    <t>FEC.ktoe.NL.Tr.Road.Passenger.Bus.ICE.Diesel.BioDiesel_OthLiqBio</t>
  </si>
  <si>
    <t>FEC.ktoe.NL.Tr.Road.Passenger.Bus.ICE.LPG</t>
  </si>
  <si>
    <t>FEC.ktoe.NL.Tr.Road.Passenger.Bus.ICE.NGas</t>
  </si>
  <si>
    <t>FEC.ktoe.NL.Tr.Road.Passenger.Bus.ICE.NGas.Biogas</t>
  </si>
  <si>
    <t>FEC.ktoe.NL.Tr.Road.Passenger.Bus.BEV</t>
  </si>
  <si>
    <t>FEC.ktoe.NL.Tr.Road.Freight.LCV.ICE.Gasoline</t>
  </si>
  <si>
    <t>FEC.ktoe.NL.Tr.Road.Freight.LCV.ICE.Gasoline.Biogasoline</t>
  </si>
  <si>
    <t>FEC.ktoe.NL.Tr.Road.Freight.LCV.ICE.Diesel</t>
  </si>
  <si>
    <t>FEC.ktoe.NL.Tr.Road.Freight.LCV.ICE.Diesel.BioDiesel_OthLiqBio</t>
  </si>
  <si>
    <t>FEC.ktoe.NL.Tr.Road.Freight.LCV.ICE.LPG</t>
  </si>
  <si>
    <t>FEC.ktoe.NL.Tr.Road.Freight.LCV.ICE.NGas</t>
  </si>
  <si>
    <t>FEC.ktoe.NL.Tr.Road.Freight.LCV.ICE.NGas.Biogas</t>
  </si>
  <si>
    <t>FEC.ktoe.NL.Tr.Road.Freight.LCV.BEV</t>
  </si>
  <si>
    <t>FEC.ktoe.NL.Tr.Road.Freight.HGV_Domestic</t>
  </si>
  <si>
    <t>FEC.ktoe.NL.Tr.Road.Freight.HGV_Domestic.Total.Total.BioDiesel_OthLiqBio</t>
  </si>
  <si>
    <t>FEC.ktoe.NL.Tr.Road.Freight.HGV_International</t>
  </si>
  <si>
    <t>FEC.ktoe.NL.Tr.Road.Freight.HGV_International.Total.Total.BioDiesel_OthLiqBio</t>
  </si>
  <si>
    <t>Eff.kgoe_per_100km.NL.Tr.Road</t>
  </si>
  <si>
    <t>Eff.kgoe_per_100km.NL.Tr.Road.Passenger</t>
  </si>
  <si>
    <t>Eff.kgoe_per_100km.NL.Tr.Road.Passenger.P2W</t>
  </si>
  <si>
    <t>Eff.kgoe_per_100km.NL.Tr.Road.Passenger.Car</t>
  </si>
  <si>
    <t>Eff.kgoe_per_100km.NL.Tr.Road.Passenger.Car.ICE.Gasoline</t>
  </si>
  <si>
    <t>Eff.kgoe_per_100km.NL.Tr.Road.Passenger.Car.ICE.Diesel</t>
  </si>
  <si>
    <t>Eff.kgoe_per_100km.NL.Tr.Road.Passenger.Car.ICE.LPG</t>
  </si>
  <si>
    <t>Eff.kgoe_per_100km.NL.Tr.Road.Passenger.Car.ICE.NGas</t>
  </si>
  <si>
    <t>Eff.kgoe_per_100km.NL.Tr.Road.Passenger.Car.PHEV.Gasoline</t>
  </si>
  <si>
    <t>Eff.kgoe_per_100km.NL.Tr.Road.Passenger.Car.BEV</t>
  </si>
  <si>
    <t>Eff.kgoe_per_100km.NL.Tr.Road.Passenger.Bus</t>
  </si>
  <si>
    <t>Eff.kgoe_per_100km.NL.Tr.Road.Passenger.Bus.ICE.Gasoline</t>
  </si>
  <si>
    <t>Eff.kgoe_per_100km.NL.Tr.Road.Passenger.Bus.ICE.Diesel</t>
  </si>
  <si>
    <t>Eff.kgoe_per_100km.NL.Tr.Road.Passenger.Bus.ICE.LPG</t>
  </si>
  <si>
    <t>Eff.kgoe_per_100km.NL.Tr.Road.Passenger.Bus.ICE.NGas</t>
  </si>
  <si>
    <t>Eff.kgoe_per_100km.NL.Tr.Road.Passenger.Bus.BEV</t>
  </si>
  <si>
    <t>Eff.kgoe_per_100km.NL.Tr.Road.Freight</t>
  </si>
  <si>
    <t>Eff.kgoe_per_100km.NL.Tr.Road.Freight.LCV</t>
  </si>
  <si>
    <t>Eff.kgoe_per_100km.NL.Tr.Road.Freight.LCV.ICE.Gasoline</t>
  </si>
  <si>
    <t>Eff.kgoe_per_100km.NL.Tr.Road.Freight.LCV.ICE.Diesel</t>
  </si>
  <si>
    <t>Eff.kgoe_per_100km.NL.Tr.Road.Freight.LCV.ICE.LPG</t>
  </si>
  <si>
    <t>Eff.kgoe_per_100km.NL.Tr.Road.Freight.LCV.ICE.NGas</t>
  </si>
  <si>
    <t>Eff.kgoe_per_100km.NL.Tr.Road.Freight.LCV.BEV</t>
  </si>
  <si>
    <t>Eff.kgoe_per_100km.NL.Tr.Road.Freight.HGV_All</t>
  </si>
  <si>
    <t>Eff.kgoe_per_100km.NL.Tr.Road.Freight.HGV_Domestic</t>
  </si>
  <si>
    <t>Eff.kgoe_per_100km.NL.Tr.Road.Freight.HGV_International</t>
  </si>
  <si>
    <t>Eff.kgoe_per_kpkm.NL.Tr.Road.Passenger.Car.ICE.Gasoline</t>
  </si>
  <si>
    <t>Eff.kgoe_per_kpkm.NL.Tr.Road.Passenger.Car.ICE.Diesel</t>
  </si>
  <si>
    <t>Eff.kgoe_per_kpkm.NL.Tr.Road.Passenger.Car.ICE.LPG</t>
  </si>
  <si>
    <t>Eff.kgoe_per_kpkm.NL.Tr.Road.Passenger.Car.ICE.NGas</t>
  </si>
  <si>
    <t>Eff.kgoe_per_kpkm.NL.Tr.Road.Passenger.Car.PHEV.Gasoline</t>
  </si>
  <si>
    <t>Eff.kgoe_per_kpkm.NL.Tr.Road.Passenger.Car.BEV</t>
  </si>
  <si>
    <t>Eff.kgoe_per_kpkm.NL.Tr.Road.Passenger.Bus.ICE.Gasoline</t>
  </si>
  <si>
    <t>Eff.kgoe_per_kpkm.NL.Tr.Road.Passenger.Bus.ICE.Diesel</t>
  </si>
  <si>
    <t>Eff.kgoe_per_kpkm.NL.Tr.Road.Passenger.Bus.ICE.LPG</t>
  </si>
  <si>
    <t>Eff.kgoe_per_kpkm.NL.Tr.Road.Passenger.Bus.ICE.NGas</t>
  </si>
  <si>
    <t>Eff.kgoe_per_kpkm.NL.Tr.Road.Passenger.Bus.BEV</t>
  </si>
  <si>
    <t>Eff.kgoe_per_ktkm.NL.Tr.Road.Freight.LCV.ICE.Gasoline</t>
  </si>
  <si>
    <t>Eff.kgoe_per_ktkm.NL.Tr.Road.Freight.LCV.ICE.Diesel</t>
  </si>
  <si>
    <t>Eff.kgoe_per_ktkm.NL.Tr.Road.Freight.LCV.ICE.LPG</t>
  </si>
  <si>
    <t>Eff.kgoe_per_ktkm.NL.Tr.Road.Freight.LCV.ICE.NGas</t>
  </si>
  <si>
    <t>Eff.kgoe_per_ktkm.NL.Tr.Road.Freight.LCV.BEV</t>
  </si>
  <si>
    <t>Eff.kgoe_per_ktkm.NL.Tr.Road.Freight.HGV_Domestic</t>
  </si>
  <si>
    <t>Eff.kgoe_per_ktkm.NL.Tr.Road.Freight.HGV_International</t>
  </si>
  <si>
    <t>FEC_per_vehicle.kgoe.NL.Tr.Road.Passenger.P2W</t>
  </si>
  <si>
    <t>FEC_per_vehicle.kgoe.NL.Tr.Road.Passenger.Car</t>
  </si>
  <si>
    <t>FEC_per_vehicle.kgoe.NL.Tr.Road.Passenger.Car.ICE.Gasoline</t>
  </si>
  <si>
    <t>FEC_per_vehicle.kgoe.NL.Tr.Road.Passenger.Car.ICE.Diesel</t>
  </si>
  <si>
    <t>FEC_per_vehicle.kgoe.NL.Tr.Road.Passenger.Car.ICE.LPG</t>
  </si>
  <si>
    <t>FEC_per_vehicle.kgoe.NL.Tr.Road.Passenger.Car.ICE.NGas</t>
  </si>
  <si>
    <t>FEC_per_vehicle.kgoe.NL.Tr.Road.Passenger.Car.PHEV.Gasoline</t>
  </si>
  <si>
    <t>FEC_per_vehicle.kgoe.NL.Tr.Road.Passenger.Car.BEV</t>
  </si>
  <si>
    <t>FEC_per_vehicle.kgoe.NL.Tr.Road.Passenger.Bus</t>
  </si>
  <si>
    <t>FEC_per_vehicle.kgoe.NL.Tr.Road.Passenger.Bus.ICE.Gasoline</t>
  </si>
  <si>
    <t>FEC_per_vehicle.kgoe.NL.Tr.Road.Passenger.Bus.ICE.Diesel</t>
  </si>
  <si>
    <t>FEC_per_vehicle.kgoe.NL.Tr.Road.Passenger.Bus.ICE.LPG</t>
  </si>
  <si>
    <t>FEC_per_vehicle.kgoe.NL.Tr.Road.Passenger.Bus.ICE.NGas</t>
  </si>
  <si>
    <t>FEC_per_vehicle.kgoe.NL.Tr.Road.Passenger.Bus.BEV</t>
  </si>
  <si>
    <t>FEC_per_vehicle.kgoe.NL.Tr.Road.Freight.LCV</t>
  </si>
  <si>
    <t>FEC_per_vehicle.kgoe.NL.Tr.Road.Freight.LCV.ICE.Gasoline</t>
  </si>
  <si>
    <t>FEC_per_vehicle.kgoe.NL.Tr.Road.Freight.LCV.ICE.Diesel</t>
  </si>
  <si>
    <t>FEC_per_vehicle.kgoe.NL.Tr.Road.Freight.LCV.ICE.LPG</t>
  </si>
  <si>
    <t>FEC_per_vehicle.kgoe.NL.Tr.Road.Freight.LCV.ICE.NGas</t>
  </si>
  <si>
    <t>FEC_per_vehicle.kgoe.NL.Tr.Road.Freight.LCV.BEV</t>
  </si>
  <si>
    <t>FEC_per_vehicle.kgoe.NL.Tr.Road.Freight.HGV_All</t>
  </si>
  <si>
    <t>FEC_per_vehicle.kgoe.NL.Tr.Road.Freight.HGV_Domestic</t>
  </si>
  <si>
    <t>FEC_per_vehicle.kgoe.NL.Tr.Road.Freight.HGV_International</t>
  </si>
  <si>
    <t>Road transport / CO2 emissions - NL - Netherlands</t>
  </si>
  <si>
    <t>EMI.ktCO2.NL.ES.Tr.Road</t>
  </si>
  <si>
    <t>EMI.ktCO2.NL.ES.Tr.Road.LPG</t>
  </si>
  <si>
    <t>EMI.ktCO2.NL.ES.Tr.Road.Gasoline</t>
  </si>
  <si>
    <t>EMI.ktCO2.NL.ES.Tr.Road.Diesel</t>
  </si>
  <si>
    <t>EMI.ktCO2.NL.ES.Tr.Road.NG</t>
  </si>
  <si>
    <t>EMI.ktCO2.NL.ES.Tr.Road.Biogas</t>
  </si>
  <si>
    <t>EMI.ktCO2.NL.ES.Tr.Road.Biogasoline</t>
  </si>
  <si>
    <t>EMI.ktCO2.NL.ES.Tr.Road.Biodiesel</t>
  </si>
  <si>
    <t>EMI.ktCO2.NL.ES.Tr.Road.OthLiqBio</t>
  </si>
  <si>
    <t>EMI.ktCO2.NL.ES.Tr.Road.Elec</t>
  </si>
  <si>
    <t>EMI.ktCO2.NL.Tr.Road</t>
  </si>
  <si>
    <t>EMI.ktCO2.NL.Tr.Road.Passenger.Car.ICE.Gasoline</t>
  </si>
  <si>
    <t>EMI.ktCO2.NL.Tr.Road.Passenger.Car.ICE.Diesel</t>
  </si>
  <si>
    <t>EMI.ktCO2.NL.Tr.Road.Passenger.Car.ICE.LPG</t>
  </si>
  <si>
    <t>EMI.ktCO2.NL.Tr.Road.Passenger.Car.ICE.NGas</t>
  </si>
  <si>
    <t>EMI.ktCO2.NL.Tr.Road.Passenger.Car.PHEV.Gasoline</t>
  </si>
  <si>
    <t>EMI.ktCO2.NL.Tr.Road.Passenger.Car.BEV</t>
  </si>
  <si>
    <t>EMI.ktCO2.NL.Tr.Road.Passenger.Bus.ICE.Gasoline</t>
  </si>
  <si>
    <t>EMI.ktCO2.NL.Tr.Road.Passenger.Bus.ICE.Diesel</t>
  </si>
  <si>
    <t>EMI.ktCO2.NL.Tr.Road.Passenger.Bus.ICE.LPG</t>
  </si>
  <si>
    <t>EMI.ktCO2.NL.Tr.Road.Passenger.Bus.ICE.NGas</t>
  </si>
  <si>
    <t>EMI.ktCO2.NL.Tr.Road.Passenger.Bus.BEV</t>
  </si>
  <si>
    <t>EMI.ktCO2.NL.Tr.Road.Freight.LCV.ICE.Gasoline</t>
  </si>
  <si>
    <t>EMI.ktCO2.NL.Tr.Road.Freight.LCV.ICE.Diesel</t>
  </si>
  <si>
    <t>EMI.ktCO2.NL.Tr.Road.Freight.LCV.ICE.LPG</t>
  </si>
  <si>
    <t>EMI.ktCO2.NL.Tr.Road.Freight.LCV.ICE.NGas</t>
  </si>
  <si>
    <t>EMI.ktCO2.NL.Tr.Road.Freight.LCV.BEV</t>
  </si>
  <si>
    <t>EMI.ktCO2.NL.Tr.Road.Freight.HGV_Domestic</t>
  </si>
  <si>
    <t>EMI.ktCO2.NL.Tr.Road.Freight.HGV_International</t>
  </si>
  <si>
    <t>EMIint.gCO2_per_km.NL.Tr.Road</t>
  </si>
  <si>
    <t>EMIint.gCO2_per_km.NL.Tr.Road.Passenger</t>
  </si>
  <si>
    <t>EMIint.gCO2_per_km.NL.Tr.Road.Passenger.P2W</t>
  </si>
  <si>
    <t>EMIint.gCO2_per_km.NL.Tr.Road.Passenger.Car</t>
  </si>
  <si>
    <t>EMIint.gCO2_per_km.NL.Tr.Road.Passenger.Car.ICE.Gasoline</t>
  </si>
  <si>
    <t>EMIint.gCO2_per_km.NL.Tr.Road.Passenger.Car.ICE.Diesel</t>
  </si>
  <si>
    <t>EMIint.gCO2_per_km.NL.Tr.Road.Passenger.Car.ICE.LPG</t>
  </si>
  <si>
    <t>EMIint.gCO2_per_km.NL.Tr.Road.Passenger.Car.ICE.NGas</t>
  </si>
  <si>
    <t>EMIint.gCO2_per_km.NL.Tr.Road.Passenger.Car.PHEV.Gasoline</t>
  </si>
  <si>
    <t>EMIint.gCO2_per_km.NL.Tr.Road.Passenger.Car.BEV</t>
  </si>
  <si>
    <t>EMIint.gCO2_per_km.NL.Tr.Road.Passenger.Bus</t>
  </si>
  <si>
    <t>EMIint.gCO2_per_km.NL.Tr.Road.Passenger.Bus.ICE.Gasoline</t>
  </si>
  <si>
    <t>EMIint.gCO2_per_km.NL.Tr.Road.Passenger.Bus.ICE.Diesel</t>
  </si>
  <si>
    <t>EMIint.gCO2_per_km.NL.Tr.Road.Passenger.Bus.ICE.LPG</t>
  </si>
  <si>
    <t>EMIint.gCO2_per_km.NL.Tr.Road.Passenger.Bus.ICE.NGas</t>
  </si>
  <si>
    <t>EMIint.gCO2_per_km.NL.Tr.Road.Passenger.Bus.BEV</t>
  </si>
  <si>
    <t>EMIint.gCO2_per_km.NL.Tr.Road.Freight</t>
  </si>
  <si>
    <t>EMIint.gCO2_per_km.NL.Tr.Road.Freight.LCV</t>
  </si>
  <si>
    <t>EMIint.gCO2_per_km.NL.Tr.Road.Freight.LCV.ICE.Gasoline</t>
  </si>
  <si>
    <t>EMIint.gCO2_per_km.NL.Tr.Road.Freight.LCV.ICE.Diesel</t>
  </si>
  <si>
    <t>EMIint.gCO2_per_km.NL.Tr.Road.Freight.LCV.ICE.LPG</t>
  </si>
  <si>
    <t>EMIint.gCO2_per_km.NL.Tr.Road.Freight.LCV.ICE.NGas</t>
  </si>
  <si>
    <t>EMIint.gCO2_per_km.NL.Tr.Road.Freight.LCV.BEV</t>
  </si>
  <si>
    <t>EMIint.gCO2_per_km.NL.Tr.Road.Freight.HGV_All</t>
  </si>
  <si>
    <t>EMIint.gCO2_per_km.NL.Tr.Road.Freight.HGV_Domestic</t>
  </si>
  <si>
    <t>EMIint.gCO2_per_km.NL.Tr.Road.Freight.HGV_International</t>
  </si>
  <si>
    <t>EMIint.gCO2_per_pkm.NL.Tr.Road.Passenger.Car.ICE.Gasoline</t>
  </si>
  <si>
    <t>EMIint.gCO2_per_pkm.NL.Tr.Road.Passenger.Car.ICE.Diesel</t>
  </si>
  <si>
    <t>EMIint.gCO2_per_pkm.NL.Tr.Road.Passenger.Car.ICE.LPG</t>
  </si>
  <si>
    <t>EMIint.gCO2_per_pkm.NL.Tr.Road.Passenger.Car.ICE.NGas</t>
  </si>
  <si>
    <t>EMIint.gCO2_per_pkm.NL.Tr.Road.Passenger.Car.PHEV.Gasoline</t>
  </si>
  <si>
    <t>EMIint.gCO2_per_pkm.NL.Tr.Road.Passenger.Car.BEV</t>
  </si>
  <si>
    <t>EMIint.gCO2_per_pkm.NL.Tr.Road.Passenger.Bus.ICE.Gasoline</t>
  </si>
  <si>
    <t>EMIint.gCO2_per_pkm.NL.Tr.Road.Passenger.Bus.ICE.Diesel</t>
  </si>
  <si>
    <t>EMIint.gCO2_per_pkm.NL.Tr.Road.Passenger.Bus.ICE.LPG</t>
  </si>
  <si>
    <t>EMIint.gCO2_per_pkm.NL.Tr.Road.Passenger.Bus.ICE.NGas</t>
  </si>
  <si>
    <t>EMIint.gCO2_per_pkm.NL.Tr.Road.Passenger.Bus.BEV</t>
  </si>
  <si>
    <t>EMIint.gCO2_per_tkm.NL.Tr.Road.Freight.LCV.ICE.Gasoline</t>
  </si>
  <si>
    <t>EMIint.gCO2_per_tkm.NL.Tr.Road.Freight.LCV.ICE.Diesel</t>
  </si>
  <si>
    <t>EMIint.gCO2_per_tkm.NL.Tr.Road.Freight.LCV.ICE.LPG</t>
  </si>
  <si>
    <t>EMIint.gCO2_per_tkm.NL.Tr.Road.Freight.LCV.ICE.NGas</t>
  </si>
  <si>
    <t>EMIint.gCO2_per_tkm.NL.Tr.Road.Freight.LCV.BEV</t>
  </si>
  <si>
    <t>EMIint.gCO2_per_tkm.NL.Tr.Road.Freight.HGV_Domestic</t>
  </si>
  <si>
    <t>EMIint.gCO2_per_tkm.NL.Tr.Road.Freight.HGV_International</t>
  </si>
  <si>
    <t>EMI_per_vehicle.kgCO2.NL.Tr.Road.Passenger.P2W</t>
  </si>
  <si>
    <t>EMI_per_vehicle.kgCO2.NL.Tr.Road.Passenger.Car</t>
  </si>
  <si>
    <t>EMI_per_vehicle.kgCO2.NL.Tr.Road.Passenger.Car.ICE.Gasoline</t>
  </si>
  <si>
    <t>EMI_per_vehicle.kgCO2.NL.Tr.Road.Passenger.Car.ICE.Diesel</t>
  </si>
  <si>
    <t>EMI_per_vehicle.kgCO2.NL.Tr.Road.Passenger.Car.ICE.LPG</t>
  </si>
  <si>
    <t>EMI_per_vehicle.kgCO2.NL.Tr.Road.Passenger.Car.ICE.NGas</t>
  </si>
  <si>
    <t>EMI_per_vehicle.kgCO2.NL.Tr.Road.Passenger.Car.PHEV.Gasoline</t>
  </si>
  <si>
    <t>EMI_per_vehicle.kgCO2.NL.Tr.Road.Passenger.Car.BEV</t>
  </si>
  <si>
    <t>EMI_per_vehicle.kgCO2.NL.Tr.Road.Passenger.Bus</t>
  </si>
  <si>
    <t>EMI_per_vehicle.kgCO2.NL.Tr.Road.Passenger.Bus.ICE.Gasoline</t>
  </si>
  <si>
    <t>EMI_per_vehicle.kgCO2.NL.Tr.Road.Passenger.Bus.ICE.Diesel</t>
  </si>
  <si>
    <t>EMI_per_vehicle.kgCO2.NL.Tr.Road.Passenger.Bus.ICE.LPG</t>
  </si>
  <si>
    <t>EMI_per_vehicle.kgCO2.NL.Tr.Road.Passenger.Bus.ICE.NGas</t>
  </si>
  <si>
    <t>EMI_per_vehicle.kgCO2.NL.Tr.Road.Passenger.Bus.BEV</t>
  </si>
  <si>
    <t>EMI_per_vehicle.kgCO2.NL.Tr.Road.Freight.LCV</t>
  </si>
  <si>
    <t>EMI_per_vehicle.kgCO2.NL.Tr.Road.Freight.LCV.ICE.Gasoline</t>
  </si>
  <si>
    <t>EMI_per_vehicle.kgCO2.NL.Tr.Road.Freight.LCV.ICE.Diesel</t>
  </si>
  <si>
    <t>EMI_per_vehicle.kgCO2.NL.Tr.Road.Freight.LCV.ICE.LPG</t>
  </si>
  <si>
    <t>EMI_per_vehicle.kgCO2.NL.Tr.Road.Freight.LCV.ICE.NGas</t>
  </si>
  <si>
    <t>EMI_per_vehicle.kgCO2.NL.Tr.Road.Freight.LCV.BEV</t>
  </si>
  <si>
    <t>EMI_per_vehicle.kgCO2.NL.Tr.Road.Freight.HGV_All</t>
  </si>
  <si>
    <t>EMI_per_vehicle.kgCO2.NL.Tr.Road.Freight.HGV_Domestic</t>
  </si>
  <si>
    <t>EMI_per_vehicle.kgCO2.NL.Tr.Road.Freight.HGV_International</t>
  </si>
  <si>
    <t>Road transport / technologies - NL - Netherlands</t>
  </si>
  <si>
    <t>Stock.number.NL.Tr.Road.Freight.HGV_all</t>
  </si>
  <si>
    <t>StockVin.number.NL.Tr.Road</t>
  </si>
  <si>
    <t>StockVin.number.NL.Tr.Road.Passenger</t>
  </si>
  <si>
    <t>StockVin.number.NL.Tr.Road.Passenger.P2W</t>
  </si>
  <si>
    <t>StockVin.number.NL.Tr.Road.Passenger.Car</t>
  </si>
  <si>
    <t>StockVin.number.NL.Tr.Road.Passenger.Car.ICE.Gasoline</t>
  </si>
  <si>
    <t>StockVin.number.NL.Tr.Road.Passenger.Car.ICE.Diesel</t>
  </si>
  <si>
    <t>StockVin.number.NL.Tr.Road.Passenger.Car.ICE.LPG</t>
  </si>
  <si>
    <t>StockVin.number.NL.Tr.Road.Passenger.Car.ICE.NGas</t>
  </si>
  <si>
    <t>StockVin.number.NL.Tr.Road.Passenger.Car.PHEV.Gasoline</t>
  </si>
  <si>
    <t>StockVin.number.NL.Tr.Road.Passenger.Car.BEV</t>
  </si>
  <si>
    <t>StockVin.number.NL.Tr.Road.Passenger.Bus</t>
  </si>
  <si>
    <t>StockVin.number.NL.Tr.Road.Passenger.Bus.ICE.Gasoline</t>
  </si>
  <si>
    <t>StockVin.number.NL.Tr.Road.Passenger.Bus.ICE.Diesel</t>
  </si>
  <si>
    <t>StockVin.number.NL.Tr.Road.Passenger.Bus.ICE.LPG</t>
  </si>
  <si>
    <t>StockVin.number.NL.Tr.Road.Passenger.Bus.ICE.NGas</t>
  </si>
  <si>
    <t>StockVin.number.NL.Tr.Road.Passenger.Bus.BEV</t>
  </si>
  <si>
    <t>StockVin.number.NL.Tr.Road.Freight</t>
  </si>
  <si>
    <t>StockVin.number.NL.Tr.Road.Freight.LCV</t>
  </si>
  <si>
    <t>StockVin.number.NL.Tr.Road.Freight.LCV.ICE.Gasoline</t>
  </si>
  <si>
    <t>StockVin.number.NL.Tr.Road.Freight.LCV.ICE.Diesel</t>
  </si>
  <si>
    <t>StockVin.number.NL.Tr.Road.Freight.LCV.ICE.LPG</t>
  </si>
  <si>
    <t>StockVin.number.NL.Tr.Road.Freight.LCV.ICE.NGas</t>
  </si>
  <si>
    <t>StockVin.number.NL.Tr.Road.Freight.LCV.BEV</t>
  </si>
  <si>
    <t>StockVin.number.NL.Tr.Road.Freight.HGV_All</t>
  </si>
  <si>
    <t>StockVin.number.NL.Tr.Road.Freight.HGV_Domestic</t>
  </si>
  <si>
    <t>StockVin.number.NL.Tr.Road.Freight.HGV_International</t>
  </si>
  <si>
    <t>Eff_test_stock.kgoe_per_100km.NL.Tr.Road.Passenger.P2W</t>
  </si>
  <si>
    <t>Eff_test_stock.kgoe_per_100km.NL.Tr.Road.Passenger.Car</t>
  </si>
  <si>
    <t>Eff_test_stock.kgoe_per_100km.NL.Tr.Road.Passenger.Car.ICE.Gasoline</t>
  </si>
  <si>
    <t>Eff_test_stock.kgoe_per_100km.NL.Tr.Road.Passenger.Car.ICE.Diesel</t>
  </si>
  <si>
    <t>Eff_test_stock.kgoe_per_100km.NL.Tr.Road.Passenger.Car.ICE.LPG</t>
  </si>
  <si>
    <t>Eff_test_stock.kgoe_per_100km.NL.Tr.Road.Passenger.Car.ICE.NGas</t>
  </si>
  <si>
    <t>Eff_test_stock.kgoe_per_100km.NL.Tr.Road.Passenger.Car.PHEV.Gasoline</t>
  </si>
  <si>
    <t>Eff_test_stock.kgoe_per_100km.NL.Tr.Road.Passenger.Car.BEV</t>
  </si>
  <si>
    <t>Eff_test_stock.kgoe_per_100km.NL.Tr.Road.Passenger.Bus</t>
  </si>
  <si>
    <t>Eff_test_stock.kgoe_per_100km.NL.Tr.Road.Passenger.Bus.ICE.Gasoline</t>
  </si>
  <si>
    <t>Eff_test_stock.kgoe_per_100km.NL.Tr.Road.Passenger.Bus.ICE.Diesel</t>
  </si>
  <si>
    <t>Eff_test_stock.kgoe_per_100km.NL.Tr.Road.Passenger.Bus.ICE.LPG</t>
  </si>
  <si>
    <t>Eff_test_stock.kgoe_per_100km.NL.Tr.Road.Passenger.Bus.ICE.NGas</t>
  </si>
  <si>
    <t>Eff_test_stock.kgoe_per_100km.NL.Tr.Road.Passenger.Bus.BEV</t>
  </si>
  <si>
    <t>Eff_test_stock.kgoe_per_100km.NL.Tr.Road.Freight.LCV</t>
  </si>
  <si>
    <t>Eff_test_stock.kgoe_per_100km.NL.Tr.Road.Freight.LCV.ICE.Gasoline</t>
  </si>
  <si>
    <t>Eff_test_stock.kgoe_per_100km.NL.Tr.Road.Freight.LCV.ICE.Diesel</t>
  </si>
  <si>
    <t>Eff_test_stock.kgoe_per_100km.NL.Tr.Road.Freight.LCV.ICE.LPG</t>
  </si>
  <si>
    <t>Eff_test_stock.kgoe_per_100km.NL.Tr.Road.Freight.LCV.ICE.NGas</t>
  </si>
  <si>
    <t>Eff_test_stock.kgoe_per_100km.NL.Tr.Road.Freight.LCV.BEV</t>
  </si>
  <si>
    <t>Eff_test_stock.kgoe_per_100km.NL.Tr.Road.Freight.HGV_All</t>
  </si>
  <si>
    <t>Eff_test_stock.kgoe_per_100km.NL.Tr.Road.Freight.HGV_Domestic</t>
  </si>
  <si>
    <t>Eff_test_stock.kgoe_per_100km.NL.Tr.Road.Freight.HGV_International</t>
  </si>
  <si>
    <t>Eff_test_new.kgoe_per_100km.NL.Tr.Road.Passenger.P2W</t>
  </si>
  <si>
    <t>Eff_test_new.kgoe_per_100km.NL.Tr.Road.Passenger.Car</t>
  </si>
  <si>
    <t>Eff_test_new.kgoe_per_100km.NL.Tr.Road.Passenger.Car.ICE.Gasoline</t>
  </si>
  <si>
    <t>Eff_test_new.kgoe_per_100km.NL.Tr.Road.Passenger.Car.ICE.Diesel</t>
  </si>
  <si>
    <t>Eff_test_new.kgoe_per_100km.NL.Tr.Road.Passenger.Car.ICE.LPG</t>
  </si>
  <si>
    <t>Eff_test_new.kgoe_per_100km.NL.Tr.Road.Passenger.Car.ICE.NGas</t>
  </si>
  <si>
    <t>Eff_test_new.kgoe_per_100km.NL.Tr.Road.Passenger.Car.PHEV.Gasoline</t>
  </si>
  <si>
    <t>Eff_test_new.kgoe_per_100km.NL.Tr.Road.Passenger.Car.BEV</t>
  </si>
  <si>
    <t>Eff_test_new.kgoe_per_100km.NL.Tr.Road.Passenger.Bus</t>
  </si>
  <si>
    <t>Eff_test_new.kgoe_per_100km.NL.Tr.Road.Passenger.Bus.ICE.Gasoline</t>
  </si>
  <si>
    <t>Eff_test_new.kgoe_per_100km.NL.Tr.Road.Passenger.Bus.ICE.Diesel</t>
  </si>
  <si>
    <t>Eff_test_new.kgoe_per_100km.NL.Tr.Road.Passenger.Bus.ICE.LPG</t>
  </si>
  <si>
    <t>Eff_test_new.kgoe_per_100km.NL.Tr.Road.Passenger.Bus.ICE.NGas</t>
  </si>
  <si>
    <t>Eff_test_new.kgoe_per_100km.NL.Tr.Road.Passenger.Bus.BEV</t>
  </si>
  <si>
    <t>Eff_test_new.kgoe_per_100km.NL.Tr.Road.Freight.LCV</t>
  </si>
  <si>
    <t>Eff_test_new.kgoe_per_100km.NL.Tr.Road.Freight.LCV.ICE.Gasoline</t>
  </si>
  <si>
    <t>Eff_test_new.kgoe_per_100km.NL.Tr.Road.Freight.LCV.ICE.Diesel</t>
  </si>
  <si>
    <t>Eff_test_new.kgoe_per_100km.NL.Tr.Road.Freight.LCV.ICE.LPG</t>
  </si>
  <si>
    <t>Eff_test_new.kgoe_per_100km.NL.Tr.Road.Freight.LCV.ICE.NGas</t>
  </si>
  <si>
    <t>Eff_test_new.kgoe_per_100km.NL.Tr.Road.Freight.LCV.BEV</t>
  </si>
  <si>
    <t>Eff_test_new.kgoe_per_100km.NL.Tr.Road.Freight.HGV_All</t>
  </si>
  <si>
    <t>Eff_test_new.kgoe_per_100km.NL.Tr.Road.Freight.HGV_Domestic</t>
  </si>
  <si>
    <t>Eff_test_new.kgoe_per_100km.NL.Tr.Road.Freight.HGV_International</t>
  </si>
  <si>
    <t>EMIint_test_stock.gCO2_per_km.NL.Tr.Road.Passenger.P2W</t>
  </si>
  <si>
    <t>EMIint_test_stock.gCO2_per_km.NL.Tr.Road.Passenger.Car</t>
  </si>
  <si>
    <t>EMIint_test_stock.gCO2_per_km.NL.Tr.Road.Passenger.Car.ICE.Gasoline</t>
  </si>
  <si>
    <t>EMIint_test_stock.gCO2_per_km.NL.Tr.Road.Passenger.Car.ICE.Diesel</t>
  </si>
  <si>
    <t>EMIint_test_stock.gCO2_per_km.NL.Tr.Road.Passenger.Car.ICE.LPG</t>
  </si>
  <si>
    <t>EMIint_test_stock.gCO2_per_km.NL.Tr.Road.Passenger.Car.ICE.NGas</t>
  </si>
  <si>
    <t>EMIint_test_stock.gCO2_per_km.NL.Tr.Road.Passenger.Car.PHEV.Gasoline</t>
  </si>
  <si>
    <t>EMIint_test_stock.gCO2_per_km.NL.Tr.Road.Passenger.Car.BEV</t>
  </si>
  <si>
    <t>EMIint_test_stock.gCO2_per_km.NL.Tr.Road.Passenger.Bus</t>
  </si>
  <si>
    <t>EMIint_test_stock.gCO2_per_km.NL.Tr.Road.Passenger.Bus.ICE.Gasoline</t>
  </si>
  <si>
    <t>EMIint_test_stock.gCO2_per_km.NL.Tr.Road.Passenger.Bus.ICE.Diesel</t>
  </si>
  <si>
    <t>EMIint_test_stock.gCO2_per_km.NL.Tr.Road.Passenger.Bus.ICE.LPG</t>
  </si>
  <si>
    <t>EMIint_test_stock.gCO2_per_km.NL.Tr.Road.Passenger.Bus.ICE.NGas</t>
  </si>
  <si>
    <t>EMIint_test_stock.gCO2_per_km.NL.Tr.Road.Passenger.Bus.BEV</t>
  </si>
  <si>
    <t>EMIint_test_stock.gCO2_per_km.NL.Tr.Road.Freight.LCV</t>
  </si>
  <si>
    <t>EMIint_test_stock.gCO2_per_km.NL.Tr.Road.Freight.LCV.ICE.Gasoline</t>
  </si>
  <si>
    <t>EMIint_test_stock.gCO2_per_km.NL.Tr.Road.Freight.LCV.ICE.Diesel</t>
  </si>
  <si>
    <t>EMIint_test_stock.gCO2_per_km.NL.Tr.Road.Freight.LCV.ICE.LPG</t>
  </si>
  <si>
    <t>EMIint_test_stock.gCO2_per_km.NL.Tr.Road.Freight.LCV.ICE.NGas</t>
  </si>
  <si>
    <t>EMIint_test_stock.gCO2_per_km.NL.Tr.Road.Freight.LCV.BEV</t>
  </si>
  <si>
    <t>EMIint_test_stock.gCO2_per_km.NL.Tr.Road.Freight.HGV_All</t>
  </si>
  <si>
    <t>EMIint_test_stock.gCO2_per_km.NL.Tr.Road.Freight.HGV_Domestic</t>
  </si>
  <si>
    <t>EMIint_test_stock.gCO2_per_km.NL.Tr.Road.Freight.HGV_International</t>
  </si>
  <si>
    <t>EMIint_test_new.gCO2_per_km.NL.Tr.Road.Passenger.P2W</t>
  </si>
  <si>
    <t>EMIint_test_new.gCO2_per_km.NL.Tr.Road.Passenger.Car</t>
  </si>
  <si>
    <t>EMIint_test_new.gCO2_per_km.NL.Tr.Road.Passenger.Car.ICE.Gasoline</t>
  </si>
  <si>
    <t>EMIint_test_new.gCO2_per_km.NL.Tr.Road.Passenger.Car.ICE.Diesel</t>
  </si>
  <si>
    <t>EMIint_test_new.gCO2_per_km.NL.Tr.Road.Passenger.Car.ICE.LPG</t>
  </si>
  <si>
    <t>EMIint_test_new.gCO2_per_km.NL.Tr.Road.Passenger.Car.ICE.NGas</t>
  </si>
  <si>
    <t>EMIint_test_new.gCO2_per_km.NL.Tr.Road.Passenger.Car.PHEV.Gasoline</t>
  </si>
  <si>
    <t>EMIint_test_new.gCO2_per_km.NL.Tr.Road.Passenger.Car.BEV</t>
  </si>
  <si>
    <t>EMIint_test_new.gCO2_per_km.NL.Tr.Road.Passenger.Bus</t>
  </si>
  <si>
    <t>EMIint_test_new.gCO2_per_km.NL.Tr.Road.Passenger.Bus.ICE.Gasoline</t>
  </si>
  <si>
    <t>EMIint_test_new.gCO2_per_km.NL.Tr.Road.Passenger.Bus.ICE.Diesel</t>
  </si>
  <si>
    <t>EMIint_test_new.gCO2_per_km.NL.Tr.Road.Passenger.Bus.ICE.LPG</t>
  </si>
  <si>
    <t>EMIint_test_new.gCO2_per_km.NL.Tr.Road.Passenger.Bus.ICE.NGas</t>
  </si>
  <si>
    <t>EMIint_test_new.gCO2_per_km.NL.Tr.Road.Passenger.Bus.BEV</t>
  </si>
  <si>
    <t>EMIint_test_new.gCO2_per_km.NL.Tr.Road.Freight.LCV</t>
  </si>
  <si>
    <t>EMIint_test_new.gCO2_per_km.NL.Tr.Road.Freight.LCV.ICE.Gasoline</t>
  </si>
  <si>
    <t>EMIint_test_new.gCO2_per_km.NL.Tr.Road.Freight.LCV.ICE.Diesel</t>
  </si>
  <si>
    <t>EMIint_test_new.gCO2_per_km.NL.Tr.Road.Freight.LCV.ICE.LPG</t>
  </si>
  <si>
    <t>EMIint_test_new.gCO2_per_km.NL.Tr.Road.Freight.LCV.ICE.NGas</t>
  </si>
  <si>
    <t>EMIint_test_new.gCO2_per_km.NL.Tr.Road.Freight.LCV.BEV</t>
  </si>
  <si>
    <t>EMIint_test_new.gCO2_per_km.NL.Tr.Road.Freight.HGV_All</t>
  </si>
  <si>
    <t>EMIint_test_new.gCO2_per_km.NL.Tr.Road.Freight.HGV_Domestic</t>
  </si>
  <si>
    <t>EMIint_test_new.gCO2_per_km.NL.Tr.Road.Freight.HGV_International</t>
  </si>
  <si>
    <t>FEC.ktoe.NL.MBunk</t>
  </si>
  <si>
    <t>FEC.ktoe.NL.MBunk.IntraEEA</t>
  </si>
  <si>
    <t>FEC.ktoe.NL.MBunk.ExtraEEA</t>
  </si>
  <si>
    <t>EMI.ktCO2.NL.MBunk</t>
  </si>
  <si>
    <t>EMI.ktCO2.NL.MBunk.IntraEEA</t>
  </si>
  <si>
    <t>EMI.ktCO2.NL.MBunk.ExtraEEA</t>
  </si>
  <si>
    <t>International maritime bunkers - NL - Netherlands</t>
  </si>
  <si>
    <t>VehicleKm.Mkm.NL.MBunk.Freight</t>
  </si>
  <si>
    <t>VehicleKm.Mkm.NL.MBunk.Freight.IntraEEA</t>
  </si>
  <si>
    <t>VehicleKm.Mkm.NL.MBunk.Freight.ExtraEEA</t>
  </si>
  <si>
    <t>Load.t_per_movement.NL.MBunk.Freight</t>
  </si>
  <si>
    <t>Load.t_per_movement.NL.MBunk.Freight.IntraEEA</t>
  </si>
  <si>
    <t>Load.t_per_movement.NL.MBunk.Freight.ExtraEEA</t>
  </si>
  <si>
    <t>International maritime bunkers / energy consumption - NL - Netherlands</t>
  </si>
  <si>
    <t>FEC.ktoe.NL.ES.MBunk</t>
  </si>
  <si>
    <t>FEC.ktoe.NL.ES.MBunk.IntraEEA</t>
  </si>
  <si>
    <t>FEC.ktoe.NL.ES.MBunk.IntraEEA.Diesel</t>
  </si>
  <si>
    <t>FEC.ktoe.NL.ES.MBunk.IntraEEA.RFO_Other</t>
  </si>
  <si>
    <t>FEC.ktoe.NL.ES.MBunk.IntraEEA.LiqBio</t>
  </si>
  <si>
    <t>FEC.ktoe.NL.ES.MBunk.IntraEEA.NG</t>
  </si>
  <si>
    <t>FEC.ktoe.NL.ES.MBunk.IntraEEA.Biogas</t>
  </si>
  <si>
    <t>FEC.ktoe.NL.ES.MBunk.ExtraEEA</t>
  </si>
  <si>
    <t>FEC.ktoe.NL.ES.MBunk.ExtraEEA.Diesel</t>
  </si>
  <si>
    <t>FEC.ktoe.NL.ES.MBunk.ExtraEEA.RFO_Other</t>
  </si>
  <si>
    <t>FEC.ktoe.NL.ES.MBunk.ExtraEEA.LiqBio</t>
  </si>
  <si>
    <t>FEC.ktoe.NL.ES.MBunk.ExtraEEA.NG</t>
  </si>
  <si>
    <t>FEC.ktoe.NL.ES.MBunk.ExtraEEA.Biogas</t>
  </si>
  <si>
    <t>Eff.kgoe_per_100km.NL.MBunk.Freight</t>
  </si>
  <si>
    <t>Eff.kgoe_per_100km.NL.MBunk.Freight.IntraEEA</t>
  </si>
  <si>
    <t>Eff.kgoe_per_100km.NL.MBunk.Freight.ExtraEEA</t>
  </si>
  <si>
    <t>International maritime bunkers / CO2 emissions - NL - Netherlands</t>
  </si>
  <si>
    <t>EMI.ktCO2.NL.ES.MBunk</t>
  </si>
  <si>
    <t>EMI.ktCO2.NL.ES.MBunk.IntraEEA</t>
  </si>
  <si>
    <t>EMI.ktCO2.NL.ES.MBunk.ExtraEEA</t>
  </si>
  <si>
    <t>EMIint.gCO2_per_km.NL.MBunk.Freight</t>
  </si>
  <si>
    <t>EMIint.gCO2_per_km.NL.MBunk.Freight.IntraEEA</t>
  </si>
  <si>
    <t>EMIint.gCO2_per_km.NL.MBunk.Freight.ExtraEEA</t>
  </si>
  <si>
    <t>FEC.ktoe.NL.Tr.DNavi</t>
  </si>
  <si>
    <t>FEC.ktoe.NL.Tr.Dnavi.DCS</t>
  </si>
  <si>
    <t>FEC.ktoe.NL.Tr.Dnavi.IWW</t>
  </si>
  <si>
    <t>EMI.ktCO2.NL.Tr.DNavi</t>
  </si>
  <si>
    <t>EMI.ktCO2.NL.Tr.Dnavi.DCS</t>
  </si>
  <si>
    <t>EMI.ktCO2.NL.Tr.Dnavi.IWW</t>
  </si>
  <si>
    <t>Domestic navigation - NL - Netherlands</t>
  </si>
  <si>
    <t>VehicleKm.Mkm.NL.Tr.DNavi.Freight</t>
  </si>
  <si>
    <t>VehicleKm.Mkm.NL.Tr.DNavi.Freight.DCS</t>
  </si>
  <si>
    <t>VehicleKm.Mkm.NL.Tr.DNavi.Freight.IWW</t>
  </si>
  <si>
    <t>Load.t_per_movement.NL.Tr.DNavi.Freight</t>
  </si>
  <si>
    <t>Load.t_per_movement.NL.Tr.DNavi.Freight.DCS</t>
  </si>
  <si>
    <t>Load.t_per_movement.NL.Tr.DNavi.Freight.IWW</t>
  </si>
  <si>
    <t>Domestic navigation / energy consumption - NL - Netherlands</t>
  </si>
  <si>
    <t>FEC.ktoe.NL.ES.Tr.DNavi</t>
  </si>
  <si>
    <t>FEC.ktoe.NL.ES.Tr.DNavi.DCS</t>
  </si>
  <si>
    <t>FEC.ktoe.NL.ES.Tr.DNavi.DCS.Diesel</t>
  </si>
  <si>
    <t>FEC.ktoe.NL.ES.Tr.DNavi.DCS.RFO_Other</t>
  </si>
  <si>
    <t>FEC.ktoe.NL.ES.Tr.DNavi.DCS.LiqBio</t>
  </si>
  <si>
    <t>FEC.ktoe.NL.ES.Tr.DNavi.DCS.NG</t>
  </si>
  <si>
    <t>FEC.ktoe.NL.ES.Tr.DNavi.DCS.Biogas</t>
  </si>
  <si>
    <t>FEC.ktoe.NL.ES.Tr.DNavi.IWW</t>
  </si>
  <si>
    <t>FEC.ktoe.NL.ES.Tr.DNavi.IWW.Diesel</t>
  </si>
  <si>
    <t>FEC.ktoe.NL.ES.Tr.DNavi.IWW.RFO_Other</t>
  </si>
  <si>
    <t>FEC.ktoe.NL.ES.Tr.DNavi.IWW.LiqBio</t>
  </si>
  <si>
    <t>FEC.ktoe.NL.ES.Tr.DNavi.IWW.NG</t>
  </si>
  <si>
    <t>FEC.ktoe.NL.ES.Tr.DNavi.IWW.Biogas</t>
  </si>
  <si>
    <t>Eff.kgoe_per_100km.NL.Tr.DNavi.Freight</t>
  </si>
  <si>
    <t>Eff.kgoe_per_100km.NL.Tr.DNavi.Freight.DCS</t>
  </si>
  <si>
    <t>Eff.kgoe_per_100km.NL.Tr.DNavi.Freight.IWW</t>
  </si>
  <si>
    <t>Domestic navigation / CO2 emissions - NL - Netherlands</t>
  </si>
  <si>
    <t>EMI.ktCO2.NL.ES.Tr.DNavi</t>
  </si>
  <si>
    <t>EMI.ktCO2.NL.ES.Tr.DNavi.DCS</t>
  </si>
  <si>
    <t>EMI.ktCO2.NL.ES.Tr.DNavi.IWW</t>
  </si>
  <si>
    <t>EMIint.gCO2_per_km.NL.Tr.DNavi.Freight</t>
  </si>
  <si>
    <t>EMIint.gCO2_per_km.NL.Tr.DNavi.Freight.DCS</t>
  </si>
  <si>
    <t>EMIint.gCO2_per_km.NL.Tr.DNavi.Freight.IWW</t>
  </si>
  <si>
    <t>Rail, metro and tram - NL - Netherlands</t>
  </si>
  <si>
    <t>Activity.Mpkm.NL.Tr.Rail.Passenger.CPT.Diesel</t>
  </si>
  <si>
    <t>Activity.Mpkm.NL.Tr.Rail.Passenger.CPT.Elc</t>
  </si>
  <si>
    <t>Activity.Mtkm.NL.Tr.Rail.Freight.Diesel</t>
  </si>
  <si>
    <t>Activity.Mtkm.NL.Tr.Rail.Freight.Elc</t>
  </si>
  <si>
    <t>VehicleKm.Mkm.NL.Tr.Rail</t>
  </si>
  <si>
    <t>VehicleKm.Mkm.NL.Tr.Rail.Passenger</t>
  </si>
  <si>
    <t>VehicleKm.Mkm.NL.Tr.Rail.Passenger.MTU</t>
  </si>
  <si>
    <t>VehicleKm.Mkm.NL.Tr.Rail.Passenger.CPT</t>
  </si>
  <si>
    <t>VehicleKm.Mkm.NL.Tr.Rail.Passenger.CPT.Diesel</t>
  </si>
  <si>
    <t>VehicleKm.Mkm.NL.Tr.Rail.Passenger.CPT.Elc</t>
  </si>
  <si>
    <t>VehicleKm.Mkm.NL.Tr.Rail.Passenger.HST</t>
  </si>
  <si>
    <t>VehicleKm.Mkm.NL.Tr.Rail.Freight</t>
  </si>
  <si>
    <t>VehicleKm.Mkm.NL.Tr.Rail.Freight.Diesel</t>
  </si>
  <si>
    <t>VehicleKm.Mkm.NL.Tr.Rail.Freight.Elc</t>
  </si>
  <si>
    <t>Stock.number.NL.Tr.Rail</t>
  </si>
  <si>
    <t>Stock.number.NL.Tr.Rail.Passenger</t>
  </si>
  <si>
    <t>Stock.number.NL.Tr.Rail.Passenger.MTU</t>
  </si>
  <si>
    <t>Stock.number.NL.Tr.Rail.Passenger.CPT</t>
  </si>
  <si>
    <t>Stock.number.NL.Tr.Rail.Passenger.CPT.Diesel</t>
  </si>
  <si>
    <t>Stock.number.NL.Tr.Rail.Passenger.CPT.Elc</t>
  </si>
  <si>
    <t>Stock.number.NL.Tr.Rail.Passenger.HST</t>
  </si>
  <si>
    <t>Stock.number.NL.Tr.Rail.Freight</t>
  </si>
  <si>
    <t>Stock.number.NL.Tr.Rail.Freight.Diesel</t>
  </si>
  <si>
    <t>Stock.number.NL.Tr.Rail.Freight.Elc</t>
  </si>
  <si>
    <t>StockNew.number.NL.Tr.Rail</t>
  </si>
  <si>
    <t>StockNew.number.NL.Tr.Rail.Passenger</t>
  </si>
  <si>
    <t>StockNew.number.NL.Tr.Rail.Passenger.MTU</t>
  </si>
  <si>
    <t>StockNew.number.NL.Tr.Rail.Passenger.CPT</t>
  </si>
  <si>
    <t>StockNew.number.NL.Tr.Rail.Passenger.CPT.Diesel</t>
  </si>
  <si>
    <t>StockNew.number.NL.Tr.Rail.Passenger.CPT.Elc</t>
  </si>
  <si>
    <t>StockNew.number.NL.Tr.Rail.Passenger.HST</t>
  </si>
  <si>
    <t>StockNew.number.NL.Tr.Rail.Freight</t>
  </si>
  <si>
    <t>StockNew.number.NL.Tr.Rail.Freight.Diesel</t>
  </si>
  <si>
    <t>StockNew.number.NL.Tr.Rail.Freight.Elc</t>
  </si>
  <si>
    <t>Load.passenger_per_movement.NL.Tr.Rail.Passenger</t>
  </si>
  <si>
    <t>Load.passenger_per_movement.NL.Tr.Rail.Passenger.MTU</t>
  </si>
  <si>
    <t>Load.passenger_per_movement.NL.Tr.Rail.Passenger.CPT</t>
  </si>
  <si>
    <t>Load.passenger_per_movement.NL.Tr.Rail.Passenger.CPT.Diesel</t>
  </si>
  <si>
    <t>Load.passenger_per_movement.NL.Tr.Rail.Passenger.CPT.Elc</t>
  </si>
  <si>
    <t>Load.passenger_per_movement.NL.Tr.Rail.Passenger.HST</t>
  </si>
  <si>
    <t>Load.t_per_movement.NL.Tr.Rail.Freight</t>
  </si>
  <si>
    <t>Load.t_per_movement.NL.Tr.Rail.Freight.Diesel</t>
  </si>
  <si>
    <t>Load.t_per_movement.NL.Tr.Rail.Freight.Elc</t>
  </si>
  <si>
    <t>TrCap.seats.NL.Tr.Rail.Passenger</t>
  </si>
  <si>
    <t>TrCap.seats.NL.Tr.Rail.Passenger.MTU</t>
  </si>
  <si>
    <t>TrCap.seats.NL.Tr.Rail.Passenger.CPT</t>
  </si>
  <si>
    <t>TrCap.seats.NL.Tr.Rail.Passenger.CPT.Diesel</t>
  </si>
  <si>
    <t>TrCap.seats.NL.Tr.Rail.Passenger.CPT.Elc</t>
  </si>
  <si>
    <t>TrCap.seats.NL.Tr.Rail.Passenger.HST</t>
  </si>
  <si>
    <t>TrCap.t.NL.Tr.Rail.Freight</t>
  </si>
  <si>
    <t>TrCap.t.NL.Tr.Rail.Freight.Diesel</t>
  </si>
  <si>
    <t>TrCap.t.NL.Tr.Rail.Freight.Elc</t>
  </si>
  <si>
    <t>VehicleKm_per_vehicle.km.NL.Tr.Rail</t>
  </si>
  <si>
    <t>VehicleKm_per_vehicle.km.NL.Tr.Rail.Passenger</t>
  </si>
  <si>
    <t>VehicleKm_per_vehicle.km.NL.Tr.Rail.Passenger.MTU</t>
  </si>
  <si>
    <t>VehicleKm_per_vehicle.km.NL.Tr.Rail.Passenger.CPT</t>
  </si>
  <si>
    <t>VehicleKm_per_vehicle.km.NL.Tr.Rail.Passenger.CPT.Diesel</t>
  </si>
  <si>
    <t>VehicleKm_per_vehicle.km.NL.Tr.Rail.Passenger.CPT.Elc</t>
  </si>
  <si>
    <t>VehicleKm_per_vehicle.km.NL.Tr.Rail.Passenger.HST</t>
  </si>
  <si>
    <t>VehicleKm_per_vehicle.km.NL.Tr.Rail.Freight</t>
  </si>
  <si>
    <t>VehicleKm_per_vehicle.km.NL.Tr.Rail.Freight.Diesel</t>
  </si>
  <si>
    <t>VehicleKm_per_vehicle.km.NL.Tr.Rail.Freight.Elc</t>
  </si>
  <si>
    <t>Activity_per_vehicle.pkm.NL.Tr.Rail.Passenger</t>
  </si>
  <si>
    <t>Activity_per_vehicle.pkm.NL.Tr.Rail.Passenger.MTU</t>
  </si>
  <si>
    <t>Activity_per_vehicle.pkm.NL.Tr.Rail.Passenger.CPT</t>
  </si>
  <si>
    <t>Activity_per_vehicle.pkm.NL.Tr.Rail.Passenger.CPT.Diesel</t>
  </si>
  <si>
    <t>Activity_per_vehicle.pkm.NL.Tr.Rail.Passenger.CPT.Elc</t>
  </si>
  <si>
    <t>Activity_per_vehicle.pkm.NL.Tr.Rail.Passenger.HST</t>
  </si>
  <si>
    <t>Activity_per_vehicle.tkm.NL.Tr.Rail.Freight</t>
  </si>
  <si>
    <t>Activity_per_vehicle.tkm.NL.Tr.Rail.Freight.Diesel</t>
  </si>
  <si>
    <t>Activity_per_vehicle.tkm.NL.Tr.Rail.Freight.Elc</t>
  </si>
  <si>
    <t>Rail, metro and tram / energy consumption - NL - Netherlands</t>
  </si>
  <si>
    <t>FEC.ktoe.NL.ES.Tr.Rail</t>
  </si>
  <si>
    <t>FEC.ktoe.NL.ES.Tr.Rail.Diesel</t>
  </si>
  <si>
    <t>FEC.ktoe.NL.ES.Tr.Rail.LiqBio</t>
  </si>
  <si>
    <t>FEC.ktoe.NL.ES.Tr.Rail.Elec</t>
  </si>
  <si>
    <t>FEC.ktoe.NL.Tr.Rail</t>
  </si>
  <si>
    <t>FEC.ktoe.NL.Tr.Rail.Passenger.CPT.Diesel</t>
  </si>
  <si>
    <t>FEC.ktoe.NL.Tr.Rail.Passenger.CPT.Elc</t>
  </si>
  <si>
    <t>FEC.ktoe.NL.Tr.Rail.Freight.Diesel</t>
  </si>
  <si>
    <t>FEC.ktoe.NL.Tr.Rail.Freight.Elc</t>
  </si>
  <si>
    <t>Eff.kgoe_per_100km.NL.Tr.Rail</t>
  </si>
  <si>
    <t>Eff.kgoe_per_100km.NL.Tr.Rail.Passenger</t>
  </si>
  <si>
    <t>Eff.kgoe_per_100km.NL.Tr.Rail.Passenger.MTU</t>
  </si>
  <si>
    <t>Eff.kgoe_per_100km.NL.Tr.Rail.Passenger.CPT</t>
  </si>
  <si>
    <t>Eff.kgoe_per_100km.NL.Tr.Rail.Passenger.CPT.Diesel</t>
  </si>
  <si>
    <t>Eff.kgoe_per_100km.NL.Tr.Rail.Passenger.CPT.Elc</t>
  </si>
  <si>
    <t>Eff.kgoe_per_100km.NL.Tr.Rail.Passenger.HST</t>
  </si>
  <si>
    <t>Eff.kgoe_per_100km.NL.Tr.Rail.Freight</t>
  </si>
  <si>
    <t>Eff.kgoe_per_100km.NL.Tr.Rail.Freight.Diesel</t>
  </si>
  <si>
    <t>Eff.kgoe_per_100km.NL.Tr.Rail.Freight.Elc</t>
  </si>
  <si>
    <t>Eff.kgoe_per_kpkm.NL.Tr.Rail.Passenger.CPT.Diesel</t>
  </si>
  <si>
    <t>Eff.kgoe_per_kpkm.NL.Tr.Rail.Passenger.CPT.Elc</t>
  </si>
  <si>
    <t>Eff.kgoe_per_ktkm.NL.Tr.Rail.Freight.Diesel</t>
  </si>
  <si>
    <t>Eff.kgoe_per_ktkm.NL.Tr.Rail.Freight.Elc</t>
  </si>
  <si>
    <t>FEC_per_vehicle.kgoe.NL.Tr.Rail</t>
  </si>
  <si>
    <t>FEC_per_vehicle.kgoe.NL.Tr.Rail.Passenger</t>
  </si>
  <si>
    <t>FEC_per_vehicle.kgoe.NL.Tr.Rail.Passenger.MTU</t>
  </si>
  <si>
    <t>FEC_per_vehicle.kgoe.NL.Tr.Rail.Passenger.CPT</t>
  </si>
  <si>
    <t>FEC_per_vehicle.kgoe.NL.Tr.Rail.Passenger.CPT.Diesel</t>
  </si>
  <si>
    <t>FEC_per_vehicle.kgoe.NL.Tr.Rail.Passenger.CPT.Elc</t>
  </si>
  <si>
    <t>FEC_per_vehicle.kgoe.NL.Tr.Rail.Passenger.HST</t>
  </si>
  <si>
    <t>FEC_per_vehicle.kgoe.NL.Tr.Rail.Freight</t>
  </si>
  <si>
    <t>FEC_per_vehicle.kgoe.NL.Tr.Rail.Freight.Diesel</t>
  </si>
  <si>
    <t>FEC_per_vehicle.kgoe.NL.Tr.Rail.Freight.Elc</t>
  </si>
  <si>
    <t>Rail, metro and tram / CO2 emissions - NL - Netherlands</t>
  </si>
  <si>
    <t>EMI.ktCO2.NL.ES.Tr.Rail</t>
  </si>
  <si>
    <t>EMI.ktCO2.NL.ES.Tr.Rail.Diesel</t>
  </si>
  <si>
    <t>EMI.ktCO2.NL.ES.Tr.Rail.Elec</t>
  </si>
  <si>
    <t>EMI.ktCO2.NL.Tr.Rail</t>
  </si>
  <si>
    <t>EMI.ktCO2.NL.Tr.Rail.Passenger.CPT.Diesel</t>
  </si>
  <si>
    <t>EMI.ktCO2.NL.Tr.Rail.Passenger.CPT.Elc</t>
  </si>
  <si>
    <t>EMI.ktCO2.NL.Tr.Rail.Freight.Diesel</t>
  </si>
  <si>
    <t>EMI.ktCO2.NL.Tr.Rail.Freight.Elc</t>
  </si>
  <si>
    <t>EMIint.gCO2_per_km.NL.Tr.Rail</t>
  </si>
  <si>
    <t>EMIint.gCO2_per_km.NL.Tr.Rail.Passenger</t>
  </si>
  <si>
    <t>EMIint.gCO2_per_km.NL.Tr.Rail.Passenger.MTU</t>
  </si>
  <si>
    <t>EMIint.gCO2_per_km.NL.Tr.Rail.Passenger.CPT</t>
  </si>
  <si>
    <t>EMIint.gCO2_per_km.NL.Tr.Rail.Passenger.CPT.Diesel</t>
  </si>
  <si>
    <t>EMIint.gCO2_per_km.NL.Tr.Rail.Passenger.CPT.Elc</t>
  </si>
  <si>
    <t>EMIint.gCO2_per_km.NL.Tr.Rail.Passenger.HST</t>
  </si>
  <si>
    <t>EMIint.gCO2_per_km.NL.Tr.Rail.Freight</t>
  </si>
  <si>
    <t>EMIint.gCO2_per_km.NL.Tr.Rail.Freight.Diesel</t>
  </si>
  <si>
    <t>EMIint.gCO2_per_km.NL.Tr.Rail.Freight.Elc</t>
  </si>
  <si>
    <t>EMIint.gCO2_per_pkm.NL.Tr.Rail.Passenger.CPT.Diesel</t>
  </si>
  <si>
    <t>EMIint.gCO2_per_pkm.NL.Tr.Rail.Passenger.CPT.Elc</t>
  </si>
  <si>
    <t>EMIint.gCO2_per_tkm.NL.Tr.Rail.Freight.Diesel</t>
  </si>
  <si>
    <t>EMIint.gCO2_per_tkm.NL.Tr.Rail.Freight.Elc</t>
  </si>
  <si>
    <t>EMI_per_vehicle.tCO2.NL.Tr.Rail</t>
  </si>
  <si>
    <t>EMI_per_vehicle.tCO2.NL.Tr.Rail.Passenger</t>
  </si>
  <si>
    <t>EMI_per_vehicle.tCO2.NL.Tr.Rail.Passenger.MTU</t>
  </si>
  <si>
    <t>EMI_per_vehicle.tCO2.NL.Tr.Rail.Passenger.CPT</t>
  </si>
  <si>
    <t>EMI_per_vehicle.tCO2.NL.Tr.Rail.Passenger.CPT.Diesel</t>
  </si>
  <si>
    <t>EMI_per_vehicle.tCO2.NL.Tr.Rail.Passenger.CPT.Elc</t>
  </si>
  <si>
    <t>EMI_per_vehicle.tCO2.NL.Tr.Rail.Passenger.HST</t>
  </si>
  <si>
    <t>EMI_per_vehicle.tCO2.NL.Tr.Rail.Freight</t>
  </si>
  <si>
    <t>EMI_per_vehicle.tCO2.NL.Tr.Rail.Freight.Diesel</t>
  </si>
  <si>
    <t>EMI_per_vehicle.tCO2.NL.Tr.Rail.Freight.Elc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</si>
</sst>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9">
    <numFmt numFmtId="164" formatCode="mmmm\ yyyy"/>
    <numFmt numFmtId="165" formatCode="#,##0.0"/>
    <numFmt numFmtId="166" formatCode="#,##0;\-#,##0;&quot;-&quot;"/>
    <numFmt numFmtId="167" formatCode="#,##0.000;\-#,##0.000;&quot;-&quot;"/>
    <numFmt numFmtId="168" formatCode="0.00%;\-0.00%;&quot;-&quot;"/>
    <numFmt numFmtId="169" formatCode="#,##0.00;\-#,##0.00;&quot;-&quot;"/>
    <numFmt numFmtId="170" formatCode="#,##0.0;\-#,##0.0;&quot;-&quot;"/>
    <numFmt numFmtId="171" formatCode="0.0%;\-0.0%;&quot;-&quot;"/>
    <numFmt numFmtId="172" formatCode="0.0%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u/>
      <sz val="9"/>
      <color theme="1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sz val="8"/>
      <color rgb="FF001E5F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232D37"/>
      <name val="Calibri"/>
      <family val="2"/>
      <scheme val="minor"/>
    </font>
    <font>
      <i/>
      <sz val="8"/>
      <color rgb="FF001E5F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sz val="8"/>
      <color rgb="FF050505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8"/>
      <color rgb="FF00143C"/>
      <name val="Calibri"/>
      <family val="2"/>
      <scheme val="minor"/>
    </font>
    <font>
      <sz val="8"/>
      <color rgb="FF00143C"/>
      <name val="Calibri"/>
      <family val="2"/>
      <scheme val="minor"/>
    </font>
    <font>
      <b/>
      <sz val="10"/>
      <color rgb="FF00143C"/>
      <name val="Calibri"/>
      <family val="2"/>
      <scheme val="minor"/>
    </font>
    <font>
      <sz val="10"/>
      <color rgb="FF00143C"/>
      <name val="Calibri"/>
      <family val="2"/>
      <scheme val="minor"/>
    </font>
    <font>
      <sz val="8"/>
      <color rgb="FF282428"/>
      <name val="Calibri"/>
      <family val="2"/>
      <scheme val="minor"/>
    </font>
    <font>
      <i/>
      <sz val="8"/>
      <color rgb="FF00143C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6"/>
      <color rgb="FFFF0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BEBEBE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E1F0"/>
        <bgColor indexed="64"/>
      </patternFill>
    </fill>
    <fill>
      <patternFill patternType="solid">
        <fgColor rgb="FFFFFFFF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auto="1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2" fillId="0" borderId="0"/>
    <xf numFmtId="0" fontId="1" fillId="0" borderId="0"/>
    <xf numFmtId="0" fontId="4" fillId="0" borderId="0" applyNumberFormat="0" applyFill="0" applyBorder="0" applyAlignment="0" applyProtection="0"/>
  </cellStyleXfs>
  <cellXfs count="232">
    <xf numFmtId="0" fontId="0" fillId="0" borderId="0" xfId="0"/>
    <xf numFmtId="0" fontId="5" fillId="0" borderId="0" xfId="0" applyFont="1"/>
    <xf numFmtId="0" fontId="6" fillId="0" borderId="0" xfId="0" applyFont="1"/>
    <xf numFmtId="0" fontId="7" fillId="0" borderId="2" xfId="0" applyFont="1" applyBorder="1"/>
    <xf numFmtId="0" fontId="4" fillId="0" borderId="0" xfId="4"/>
    <xf numFmtId="0" fontId="8" fillId="0" borderId="0" xfId="4" applyFont="1"/>
    <xf numFmtId="0" fontId="9" fillId="0" borderId="0" xfId="0" applyFont="1"/>
    <xf numFmtId="0" fontId="10" fillId="0" borderId="0" xfId="4" applyFont="1"/>
    <xf numFmtId="0" fontId="10" fillId="0" borderId="0" xfId="4" applyFont="1" applyAlignment="1">
      <alignment horizontal="left" indent="1"/>
    </xf>
    <xf numFmtId="0" fontId="0" fillId="0" borderId="2" xfId="0" applyBorder="1"/>
    <xf numFmtId="0" fontId="12" fillId="4" borderId="3" xfId="3" applyFont="1" applyFill="1" applyBorder="1" applyAlignment="1">
      <alignment horizontal="left" vertical="center" indent="1"/>
    </xf>
    <xf numFmtId="166" fontId="12" fillId="4" borderId="3" xfId="3" applyNumberFormat="1" applyFont="1" applyFill="1" applyBorder="1" applyAlignment="1">
      <alignment vertical="center"/>
    </xf>
    <xf numFmtId="0" fontId="12" fillId="4" borderId="4" xfId="3" applyFont="1" applyFill="1" applyBorder="1" applyAlignment="1">
      <alignment horizontal="left" vertical="center" indent="1"/>
    </xf>
    <xf numFmtId="166" fontId="12" fillId="4" borderId="4" xfId="3" applyNumberFormat="1" applyFont="1" applyFill="1" applyBorder="1" applyAlignment="1">
      <alignment vertical="center"/>
    </xf>
    <xf numFmtId="170" fontId="12" fillId="4" borderId="3" xfId="3" applyNumberFormat="1" applyFont="1" applyFill="1" applyBorder="1" applyAlignment="1">
      <alignment vertical="center"/>
    </xf>
    <xf numFmtId="170" fontId="12" fillId="4" borderId="4" xfId="3" applyNumberFormat="1" applyFont="1" applyFill="1" applyBorder="1" applyAlignment="1">
      <alignment vertical="center"/>
    </xf>
    <xf numFmtId="168" fontId="12" fillId="4" borderId="3" xfId="1" applyNumberFormat="1" applyFont="1" applyFill="1" applyBorder="1" applyAlignment="1">
      <alignment vertical="center"/>
    </xf>
    <xf numFmtId="168" fontId="12" fillId="4" borderId="4" xfId="1" applyNumberFormat="1" applyFont="1" applyFill="1" applyBorder="1" applyAlignment="1">
      <alignment vertical="center"/>
    </xf>
    <xf numFmtId="0" fontId="3" fillId="0" borderId="0" xfId="3" applyFont="1" applyFill="1" applyAlignment="1">
      <alignment vertical="center"/>
    </xf>
    <xf numFmtId="0" fontId="3" fillId="0" borderId="0" xfId="3" applyNumberFormat="1" applyFont="1" applyFill="1" applyAlignment="1">
      <alignment vertical="center"/>
    </xf>
    <xf numFmtId="0" fontId="14" fillId="4" borderId="1" xfId="3" applyFont="1" applyFill="1" applyBorder="1" applyAlignment="1">
      <alignment horizontal="left" vertical="center" indent="1"/>
    </xf>
    <xf numFmtId="169" fontId="12" fillId="4" borderId="3" xfId="3" applyNumberFormat="1" applyFont="1" applyFill="1" applyBorder="1" applyAlignment="1">
      <alignment vertical="center"/>
    </xf>
    <xf numFmtId="169" fontId="12" fillId="4" borderId="4" xfId="3" applyNumberFormat="1" applyFont="1" applyFill="1" applyBorder="1" applyAlignment="1">
      <alignment vertical="center"/>
    </xf>
    <xf numFmtId="167" fontId="12" fillId="4" borderId="3" xfId="3" applyNumberFormat="1" applyFont="1" applyFill="1" applyBorder="1" applyAlignment="1">
      <alignment vertical="center"/>
    </xf>
    <xf numFmtId="167" fontId="12" fillId="4" borderId="4" xfId="3" applyNumberFormat="1" applyFont="1" applyFill="1" applyBorder="1" applyAlignment="1">
      <alignment vertical="center"/>
    </xf>
    <xf numFmtId="171" fontId="12" fillId="4" borderId="3" xfId="1" applyNumberFormat="1" applyFont="1" applyFill="1" applyBorder="1" applyAlignment="1">
      <alignment vertical="center"/>
    </xf>
    <xf numFmtId="169" fontId="11" fillId="4" borderId="0" xfId="3" applyNumberFormat="1" applyFont="1" applyFill="1" applyBorder="1" applyAlignment="1">
      <alignment vertical="center"/>
    </xf>
    <xf numFmtId="0" fontId="12" fillId="4" borderId="1" xfId="3" applyFont="1" applyFill="1" applyBorder="1" applyAlignment="1">
      <alignment horizontal="left" vertical="center" indent="1"/>
    </xf>
    <xf numFmtId="166" fontId="12" fillId="4" borderId="1" xfId="3" applyNumberFormat="1" applyFont="1" applyFill="1" applyBorder="1" applyAlignment="1">
      <alignment vertical="center"/>
    </xf>
    <xf numFmtId="170" fontId="12" fillId="4" borderId="1" xfId="3" applyNumberFormat="1" applyFont="1" applyFill="1" applyBorder="1" applyAlignment="1">
      <alignment vertical="center"/>
    </xf>
    <xf numFmtId="171" fontId="12" fillId="4" borderId="1" xfId="3" applyNumberFormat="1" applyFont="1" applyFill="1" applyBorder="1" applyAlignment="1">
      <alignment vertical="center"/>
    </xf>
    <xf numFmtId="168" fontId="12" fillId="4" borderId="1" xfId="3" applyNumberFormat="1" applyFont="1" applyFill="1" applyBorder="1" applyAlignment="1">
      <alignment vertical="center"/>
    </xf>
    <xf numFmtId="169" fontId="12" fillId="4" borderId="1" xfId="3" applyNumberFormat="1" applyFont="1" applyFill="1" applyBorder="1" applyAlignment="1">
      <alignment vertical="center"/>
    </xf>
    <xf numFmtId="0" fontId="3" fillId="2" borderId="0" xfId="3" applyNumberFormat="1" applyFont="1" applyFill="1" applyAlignment="1">
      <alignment vertical="center"/>
    </xf>
    <xf numFmtId="166" fontId="13" fillId="2" borderId="0" xfId="3" applyNumberFormat="1" applyFont="1" applyFill="1" applyBorder="1" applyAlignment="1">
      <alignment vertical="center"/>
    </xf>
    <xf numFmtId="166" fontId="13" fillId="2" borderId="2" xfId="3" applyNumberFormat="1" applyFont="1" applyFill="1" applyBorder="1" applyAlignment="1">
      <alignment vertical="center"/>
    </xf>
    <xf numFmtId="166" fontId="13" fillId="2" borderId="0" xfId="3" applyNumberFormat="1" applyFont="1" applyFill="1" applyAlignment="1">
      <alignment vertical="center"/>
    </xf>
    <xf numFmtId="0" fontId="13" fillId="2" borderId="0" xfId="3" applyFont="1" applyFill="1" applyAlignment="1">
      <alignment horizontal="left" vertical="center" indent="2"/>
    </xf>
    <xf numFmtId="0" fontId="13" fillId="2" borderId="2" xfId="3" applyFont="1" applyFill="1" applyBorder="1" applyAlignment="1">
      <alignment horizontal="left" vertical="center" indent="2"/>
    </xf>
    <xf numFmtId="170" fontId="13" fillId="2" borderId="0" xfId="3" applyNumberFormat="1" applyFont="1" applyFill="1" applyAlignment="1">
      <alignment vertical="center"/>
    </xf>
    <xf numFmtId="170" fontId="13" fillId="2" borderId="2" xfId="3" applyNumberFormat="1" applyFont="1" applyFill="1" applyBorder="1" applyAlignment="1">
      <alignment vertical="center"/>
    </xf>
    <xf numFmtId="170" fontId="13" fillId="2" borderId="0" xfId="3" applyNumberFormat="1" applyFont="1" applyFill="1" applyBorder="1" applyAlignment="1">
      <alignment vertical="center"/>
    </xf>
    <xf numFmtId="0" fontId="13" fillId="2" borderId="0" xfId="3" applyFont="1" applyFill="1" applyBorder="1" applyAlignment="1">
      <alignment horizontal="left" vertical="center" indent="2"/>
    </xf>
    <xf numFmtId="168" fontId="13" fillId="2" borderId="0" xfId="1" applyNumberFormat="1" applyFont="1" applyFill="1" applyAlignment="1">
      <alignment vertical="center"/>
    </xf>
    <xf numFmtId="168" fontId="13" fillId="2" borderId="0" xfId="1" applyNumberFormat="1" applyFont="1" applyFill="1" applyBorder="1" applyAlignment="1">
      <alignment vertical="center"/>
    </xf>
    <xf numFmtId="168" fontId="13" fillId="2" borderId="2" xfId="1" applyNumberFormat="1" applyFont="1" applyFill="1" applyBorder="1" applyAlignment="1">
      <alignment vertical="center"/>
    </xf>
    <xf numFmtId="168" fontId="12" fillId="4" borderId="1" xfId="1" applyNumberFormat="1" applyFont="1" applyFill="1" applyBorder="1" applyAlignment="1">
      <alignment vertical="center"/>
    </xf>
    <xf numFmtId="167" fontId="12" fillId="4" borderId="1" xfId="3" applyNumberFormat="1" applyFont="1" applyFill="1" applyBorder="1" applyAlignment="1">
      <alignment vertical="center"/>
    </xf>
    <xf numFmtId="0" fontId="15" fillId="6" borderId="1" xfId="3" applyFont="1" applyFill="1" applyBorder="1" applyAlignment="1">
      <alignment horizontal="left" vertical="center"/>
    </xf>
    <xf numFmtId="1" fontId="16" fillId="6" borderId="1" xfId="3" applyNumberFormat="1" applyFont="1" applyFill="1" applyBorder="1" applyAlignment="1">
      <alignment horizontal="center" vertical="center"/>
    </xf>
    <xf numFmtId="0" fontId="17" fillId="8" borderId="0" xfId="3" applyNumberFormat="1" applyFont="1" applyFill="1" applyAlignment="1">
      <alignment vertical="center"/>
    </xf>
    <xf numFmtId="0" fontId="17" fillId="8" borderId="0" xfId="3" applyFont="1" applyFill="1" applyAlignment="1">
      <alignment vertical="center"/>
    </xf>
    <xf numFmtId="0" fontId="18" fillId="8" borderId="0" xfId="3" applyNumberFormat="1" applyFont="1" applyFill="1" applyAlignment="1">
      <alignment vertical="center"/>
    </xf>
    <xf numFmtId="0" fontId="19" fillId="3" borderId="1" xfId="3" applyFont="1" applyFill="1" applyBorder="1" applyAlignment="1">
      <alignment horizontal="left" vertical="center"/>
    </xf>
    <xf numFmtId="166" fontId="20" fillId="3" borderId="1" xfId="3" applyNumberFormat="1" applyFont="1" applyFill="1" applyBorder="1" applyAlignment="1">
      <alignment vertical="center"/>
    </xf>
    <xf numFmtId="0" fontId="17" fillId="8" borderId="0" xfId="3" applyFont="1" applyFill="1" applyAlignment="1">
      <alignment horizontal="left" vertical="center" indent="1"/>
    </xf>
    <xf numFmtId="166" fontId="17" fillId="8" borderId="0" xfId="3" applyNumberFormat="1" applyFont="1" applyFill="1" applyAlignment="1">
      <alignment vertical="center"/>
    </xf>
    <xf numFmtId="0" fontId="17" fillId="8" borderId="2" xfId="3" applyFont="1" applyFill="1" applyBorder="1" applyAlignment="1">
      <alignment horizontal="left" vertical="center" indent="1"/>
    </xf>
    <xf numFmtId="166" fontId="17" fillId="8" borderId="2" xfId="3" applyNumberFormat="1" applyFont="1" applyFill="1" applyBorder="1" applyAlignment="1">
      <alignment vertical="center"/>
    </xf>
    <xf numFmtId="167" fontId="20" fillId="3" borderId="1" xfId="3" applyNumberFormat="1" applyFont="1" applyFill="1" applyBorder="1" applyAlignment="1">
      <alignment vertical="center"/>
    </xf>
    <xf numFmtId="167" fontId="17" fillId="8" borderId="0" xfId="3" applyNumberFormat="1" applyFont="1" applyFill="1" applyAlignment="1">
      <alignment vertical="center"/>
    </xf>
    <xf numFmtId="167" fontId="17" fillId="8" borderId="2" xfId="3" applyNumberFormat="1" applyFont="1" applyFill="1" applyBorder="1" applyAlignment="1">
      <alignment vertical="center"/>
    </xf>
    <xf numFmtId="170" fontId="20" fillId="3" borderId="1" xfId="3" applyNumberFormat="1" applyFont="1" applyFill="1" applyBorder="1" applyAlignment="1">
      <alignment vertical="center"/>
    </xf>
    <xf numFmtId="170" fontId="17" fillId="8" borderId="0" xfId="3" applyNumberFormat="1" applyFont="1" applyFill="1" applyAlignment="1">
      <alignment vertical="center"/>
    </xf>
    <xf numFmtId="170" fontId="17" fillId="8" borderId="2" xfId="3" applyNumberFormat="1" applyFont="1" applyFill="1" applyBorder="1" applyAlignment="1">
      <alignment vertical="center"/>
    </xf>
    <xf numFmtId="168" fontId="20" fillId="3" borderId="1" xfId="3" applyNumberFormat="1" applyFont="1" applyFill="1" applyBorder="1" applyAlignment="1">
      <alignment vertical="center"/>
    </xf>
    <xf numFmtId="168" fontId="17" fillId="8" borderId="0" xfId="3" applyNumberFormat="1" applyFont="1" applyFill="1" applyAlignment="1">
      <alignment vertical="center"/>
    </xf>
    <xf numFmtId="168" fontId="17" fillId="8" borderId="2" xfId="3" applyNumberFormat="1" applyFont="1" applyFill="1" applyBorder="1" applyAlignment="1">
      <alignment vertical="center"/>
    </xf>
    <xf numFmtId="0" fontId="21" fillId="5" borderId="1" xfId="3" applyFont="1" applyFill="1" applyBorder="1" applyAlignment="1">
      <alignment horizontal="left" vertical="center"/>
    </xf>
    <xf numFmtId="167" fontId="22" fillId="5" borderId="1" xfId="3" applyNumberFormat="1" applyFont="1" applyFill="1" applyBorder="1" applyAlignment="1">
      <alignment vertical="center"/>
    </xf>
    <xf numFmtId="0" fontId="17" fillId="8" borderId="1" xfId="3" applyFont="1" applyFill="1" applyBorder="1" applyAlignment="1">
      <alignment horizontal="left" vertical="center" indent="1"/>
    </xf>
    <xf numFmtId="170" fontId="17" fillId="8" borderId="1" xfId="3" applyNumberFormat="1" applyFont="1" applyFill="1" applyBorder="1" applyAlignment="1">
      <alignment vertical="center"/>
    </xf>
    <xf numFmtId="0" fontId="23" fillId="8" borderId="0" xfId="3" applyFont="1" applyFill="1" applyAlignment="1">
      <alignment horizontal="left" vertical="center" indent="2"/>
    </xf>
    <xf numFmtId="170" fontId="23" fillId="8" borderId="0" xfId="3" applyNumberFormat="1" applyFont="1" applyFill="1" applyAlignment="1">
      <alignment vertical="center"/>
    </xf>
    <xf numFmtId="0" fontId="23" fillId="8" borderId="2" xfId="3" applyFont="1" applyFill="1" applyBorder="1" applyAlignment="1">
      <alignment horizontal="left" vertical="center" indent="2"/>
    </xf>
    <xf numFmtId="170" fontId="23" fillId="8" borderId="2" xfId="3" applyNumberFormat="1" applyFont="1" applyFill="1" applyBorder="1" applyAlignment="1">
      <alignment vertical="center"/>
    </xf>
    <xf numFmtId="168" fontId="20" fillId="3" borderId="1" xfId="1" applyNumberFormat="1" applyFont="1" applyFill="1" applyBorder="1" applyAlignment="1">
      <alignment vertical="center"/>
    </xf>
    <xf numFmtId="168" fontId="17" fillId="8" borderId="0" xfId="1" applyNumberFormat="1" applyFont="1" applyFill="1" applyAlignment="1">
      <alignment vertical="center"/>
    </xf>
    <xf numFmtId="168" fontId="17" fillId="8" borderId="2" xfId="1" applyNumberFormat="1" applyFont="1" applyFill="1" applyBorder="1" applyAlignment="1">
      <alignment vertical="center"/>
    </xf>
    <xf numFmtId="169" fontId="20" fillId="3" borderId="1" xfId="3" applyNumberFormat="1" applyFont="1" applyFill="1" applyBorder="1" applyAlignment="1">
      <alignment vertical="center"/>
    </xf>
    <xf numFmtId="169" fontId="17" fillId="8" borderId="0" xfId="3" applyNumberFormat="1" applyFont="1" applyFill="1" applyAlignment="1">
      <alignment vertical="center"/>
    </xf>
    <xf numFmtId="169" fontId="17" fillId="8" borderId="2" xfId="3" applyNumberFormat="1" applyFont="1" applyFill="1" applyBorder="1" applyAlignment="1">
      <alignment vertical="center"/>
    </xf>
    <xf numFmtId="171" fontId="20" fillId="3" borderId="1" xfId="1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2"/>
    </xf>
    <xf numFmtId="166" fontId="17" fillId="2" borderId="0" xfId="3" applyNumberFormat="1" applyFont="1" applyFill="1" applyAlignment="1">
      <alignment vertical="center"/>
    </xf>
    <xf numFmtId="0" fontId="17" fillId="2" borderId="2" xfId="3" applyFont="1" applyFill="1" applyBorder="1" applyAlignment="1">
      <alignment horizontal="left" vertical="center" indent="2"/>
    </xf>
    <xf numFmtId="166" fontId="17" fillId="2" borderId="2" xfId="3" applyNumberFormat="1" applyFont="1" applyFill="1" applyBorder="1" applyAlignment="1">
      <alignment vertical="center"/>
    </xf>
    <xf numFmtId="170" fontId="17" fillId="2" borderId="0" xfId="3" applyNumberFormat="1" applyFont="1" applyFill="1" applyAlignment="1">
      <alignment vertical="center"/>
    </xf>
    <xf numFmtId="170" fontId="17" fillId="2" borderId="2" xfId="3" applyNumberFormat="1" applyFont="1" applyFill="1" applyBorder="1" applyAlignment="1">
      <alignment vertical="center"/>
    </xf>
    <xf numFmtId="171" fontId="17" fillId="2" borderId="0" xfId="1" applyNumberFormat="1" applyFont="1" applyFill="1" applyAlignment="1">
      <alignment vertical="center"/>
    </xf>
    <xf numFmtId="171" fontId="17" fillId="2" borderId="2" xfId="1" applyNumberFormat="1" applyFont="1" applyFill="1" applyBorder="1" applyAlignment="1">
      <alignment vertical="center"/>
    </xf>
    <xf numFmtId="167" fontId="17" fillId="2" borderId="0" xfId="3" applyNumberFormat="1" applyFont="1" applyFill="1" applyAlignment="1">
      <alignment vertical="center"/>
    </xf>
    <xf numFmtId="0" fontId="17" fillId="2" borderId="0" xfId="3" applyFont="1" applyFill="1" applyBorder="1" applyAlignment="1">
      <alignment horizontal="left" vertical="center" indent="2"/>
    </xf>
    <xf numFmtId="167" fontId="17" fillId="2" borderId="0" xfId="3" applyNumberFormat="1" applyFont="1" applyFill="1" applyBorder="1" applyAlignment="1">
      <alignment vertical="center"/>
    </xf>
    <xf numFmtId="167" fontId="17" fillId="2" borderId="2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1"/>
    </xf>
    <xf numFmtId="169" fontId="17" fillId="2" borderId="0" xfId="3" applyNumberFormat="1" applyFont="1" applyFill="1" applyAlignment="1">
      <alignment vertical="center"/>
    </xf>
    <xf numFmtId="169" fontId="17" fillId="2" borderId="0" xfId="3" applyNumberFormat="1" applyFont="1" applyFill="1" applyBorder="1" applyAlignment="1">
      <alignment vertical="center"/>
    </xf>
    <xf numFmtId="169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1"/>
    </xf>
    <xf numFmtId="0" fontId="17" fillId="2" borderId="2" xfId="3" applyFont="1" applyFill="1" applyBorder="1" applyAlignment="1">
      <alignment horizontal="left" vertical="center" indent="1"/>
    </xf>
    <xf numFmtId="170" fontId="17" fillId="2" borderId="0" xfId="3" applyNumberFormat="1" applyFont="1" applyFill="1" applyBorder="1" applyAlignment="1">
      <alignment vertical="center"/>
    </xf>
    <xf numFmtId="166" fontId="17" fillId="2" borderId="0" xfId="3" applyNumberFormat="1" applyFont="1" applyFill="1" applyBorder="1" applyAlignment="1">
      <alignment vertical="center"/>
    </xf>
    <xf numFmtId="168" fontId="17" fillId="2" borderId="0" xfId="1" applyNumberFormat="1" applyFont="1" applyFill="1" applyAlignment="1">
      <alignment vertical="center"/>
    </xf>
    <xf numFmtId="168" fontId="17" fillId="2" borderId="0" xfId="1" applyNumberFormat="1" applyFont="1" applyFill="1" applyBorder="1" applyAlignment="1">
      <alignment vertical="center"/>
    </xf>
    <xf numFmtId="168" fontId="17" fillId="2" borderId="2" xfId="1" applyNumberFormat="1" applyFont="1" applyFill="1" applyBorder="1" applyAlignment="1">
      <alignment vertical="center"/>
    </xf>
    <xf numFmtId="0" fontId="17" fillId="2" borderId="0" xfId="3" applyNumberFormat="1" applyFont="1" applyFill="1" applyAlignment="1">
      <alignment vertical="center"/>
    </xf>
    <xf numFmtId="0" fontId="17" fillId="2" borderId="5" xfId="3" applyFont="1" applyFill="1" applyBorder="1" applyAlignment="1">
      <alignment horizontal="left" vertical="center" indent="2"/>
    </xf>
    <xf numFmtId="166" fontId="17" fillId="2" borderId="5" xfId="3" applyNumberFormat="1" applyFont="1" applyFill="1" applyBorder="1" applyAlignment="1">
      <alignment vertical="center"/>
    </xf>
    <xf numFmtId="0" fontId="17" fillId="2" borderId="4" xfId="3" applyFont="1" applyFill="1" applyBorder="1" applyAlignment="1">
      <alignment horizontal="left" vertical="center" indent="2"/>
    </xf>
    <xf numFmtId="166" fontId="17" fillId="2" borderId="4" xfId="3" applyNumberFormat="1" applyFont="1" applyFill="1" applyBorder="1" applyAlignment="1">
      <alignment vertical="center"/>
    </xf>
    <xf numFmtId="0" fontId="17" fillId="2" borderId="0" xfId="3" applyFont="1" applyFill="1" applyAlignment="1">
      <alignment horizontal="left" vertical="center" indent="3"/>
    </xf>
    <xf numFmtId="0" fontId="17" fillId="2" borderId="6" xfId="3" applyFont="1" applyFill="1" applyBorder="1" applyAlignment="1">
      <alignment horizontal="left" vertical="center" indent="2"/>
    </xf>
    <xf numFmtId="166" fontId="17" fillId="2" borderId="6" xfId="3" applyNumberFormat="1" applyFont="1" applyFill="1" applyBorder="1" applyAlignment="1">
      <alignment vertical="center"/>
    </xf>
    <xf numFmtId="0" fontId="17" fillId="0" borderId="0" xfId="3" applyNumberFormat="1" applyFont="1" applyFill="1" applyAlignment="1">
      <alignment vertical="center"/>
    </xf>
    <xf numFmtId="170" fontId="17" fillId="2" borderId="5" xfId="3" applyNumberFormat="1" applyFont="1" applyFill="1" applyBorder="1" applyAlignment="1">
      <alignment vertical="center"/>
    </xf>
    <xf numFmtId="170" fontId="17" fillId="2" borderId="4" xfId="3" applyNumberFormat="1" applyFont="1" applyFill="1" applyBorder="1" applyAlignment="1">
      <alignment vertical="center"/>
    </xf>
    <xf numFmtId="170" fontId="17" fillId="2" borderId="6" xfId="3" applyNumberFormat="1" applyFont="1" applyFill="1" applyBorder="1" applyAlignment="1">
      <alignment vertical="center"/>
    </xf>
    <xf numFmtId="171" fontId="17" fillId="2" borderId="5" xfId="3" applyNumberFormat="1" applyFont="1" applyFill="1" applyBorder="1" applyAlignment="1">
      <alignment vertical="center"/>
    </xf>
    <xf numFmtId="171" fontId="17" fillId="2" borderId="4" xfId="3" applyNumberFormat="1" applyFont="1" applyFill="1" applyBorder="1" applyAlignment="1">
      <alignment vertical="center"/>
    </xf>
    <xf numFmtId="171" fontId="17" fillId="2" borderId="0" xfId="3" applyNumberFormat="1" applyFont="1" applyFill="1" applyAlignment="1">
      <alignment vertical="center"/>
    </xf>
    <xf numFmtId="171" fontId="17" fillId="2" borderId="6" xfId="3" applyNumberFormat="1" applyFont="1" applyFill="1" applyBorder="1" applyAlignment="1">
      <alignment vertical="center"/>
    </xf>
    <xf numFmtId="171" fontId="17" fillId="2" borderId="2" xfId="3" applyNumberFormat="1" applyFont="1" applyFill="1" applyBorder="1" applyAlignment="1">
      <alignment vertical="center"/>
    </xf>
    <xf numFmtId="168" fontId="17" fillId="2" borderId="5" xfId="3" applyNumberFormat="1" applyFont="1" applyFill="1" applyBorder="1" applyAlignment="1">
      <alignment vertical="center"/>
    </xf>
    <xf numFmtId="168" fontId="17" fillId="2" borderId="4" xfId="3" applyNumberFormat="1" applyFont="1" applyFill="1" applyBorder="1" applyAlignment="1">
      <alignment vertical="center"/>
    </xf>
    <xf numFmtId="168" fontId="17" fillId="2" borderId="0" xfId="3" applyNumberFormat="1" applyFont="1" applyFill="1" applyAlignment="1">
      <alignment vertical="center"/>
    </xf>
    <xf numFmtId="168" fontId="17" fillId="2" borderId="6" xfId="3" applyNumberFormat="1" applyFont="1" applyFill="1" applyBorder="1" applyAlignment="1">
      <alignment vertical="center"/>
    </xf>
    <xf numFmtId="168" fontId="17" fillId="2" borderId="2" xfId="3" applyNumberFormat="1" applyFont="1" applyFill="1" applyBorder="1" applyAlignment="1">
      <alignment vertical="center"/>
    </xf>
    <xf numFmtId="0" fontId="17" fillId="2" borderId="0" xfId="3" applyFont="1" applyFill="1" applyBorder="1" applyAlignment="1">
      <alignment horizontal="left" vertical="center" indent="3"/>
    </xf>
    <xf numFmtId="169" fontId="17" fillId="2" borderId="5" xfId="3" applyNumberFormat="1" applyFont="1" applyFill="1" applyBorder="1" applyAlignment="1">
      <alignment vertical="center"/>
    </xf>
    <xf numFmtId="169" fontId="17" fillId="2" borderId="4" xfId="3" applyNumberFormat="1" applyFont="1" applyFill="1" applyBorder="1" applyAlignment="1">
      <alignment vertical="center"/>
    </xf>
    <xf numFmtId="169" fontId="17" fillId="2" borderId="6" xfId="3" applyNumberFormat="1" applyFont="1" applyFill="1" applyBorder="1" applyAlignment="1">
      <alignment vertical="center"/>
    </xf>
    <xf numFmtId="3" fontId="20" fillId="3" borderId="1" xfId="3" applyNumberFormat="1" applyFont="1" applyFill="1" applyBorder="1" applyAlignment="1">
      <alignment vertical="center"/>
    </xf>
    <xf numFmtId="0" fontId="24" fillId="4" borderId="1" xfId="3" applyFont="1" applyFill="1" applyBorder="1" applyAlignment="1">
      <alignment horizontal="left" vertical="center" indent="1"/>
    </xf>
    <xf numFmtId="169" fontId="20" fillId="4" borderId="0" xfId="3" applyNumberFormat="1" applyFont="1" applyFill="1" applyBorder="1" applyAlignment="1">
      <alignment vertical="center"/>
    </xf>
    <xf numFmtId="171" fontId="20" fillId="3" borderId="1" xfId="3" applyNumberFormat="1" applyFont="1" applyFill="1" applyBorder="1" applyAlignment="1">
      <alignment vertical="center"/>
    </xf>
    <xf numFmtId="0" fontId="17" fillId="2" borderId="3" xfId="3" applyFont="1" applyFill="1" applyBorder="1" applyAlignment="1">
      <alignment horizontal="left" vertical="center" indent="2"/>
    </xf>
    <xf numFmtId="166" fontId="17" fillId="2" borderId="3" xfId="3" applyNumberFormat="1" applyFont="1" applyFill="1" applyBorder="1" applyAlignment="1">
      <alignment vertical="center"/>
    </xf>
    <xf numFmtId="0" fontId="17" fillId="2" borderId="2" xfId="3" applyFont="1" applyFill="1" applyBorder="1" applyAlignment="1">
      <alignment horizontal="left" vertical="center" indent="3"/>
    </xf>
    <xf numFmtId="168" fontId="17" fillId="2" borderId="3" xfId="3" applyNumberFormat="1" applyFont="1" applyFill="1" applyBorder="1" applyAlignment="1">
      <alignment vertical="center"/>
    </xf>
    <xf numFmtId="168" fontId="17" fillId="2" borderId="0" xfId="3" applyNumberFormat="1" applyFont="1" applyFill="1" applyBorder="1" applyAlignment="1">
      <alignment vertical="center"/>
    </xf>
    <xf numFmtId="169" fontId="17" fillId="2" borderId="3" xfId="3" applyNumberFormat="1" applyFont="1" applyFill="1" applyBorder="1" applyAlignment="1">
      <alignment vertical="center"/>
    </xf>
    <xf numFmtId="165" fontId="20" fillId="3" borderId="1" xfId="3" applyNumberFormat="1" applyFont="1" applyFill="1" applyBorder="1" applyAlignment="1">
      <alignment vertical="center"/>
    </xf>
    <xf numFmtId="0" fontId="21" fillId="5" borderId="1" xfId="3" applyNumberFormat="1" applyFont="1" applyFill="1" applyBorder="1" applyAlignment="1">
      <alignment horizontal="left" vertical="center"/>
    </xf>
    <xf numFmtId="0" fontId="22" fillId="5" borderId="1" xfId="3" applyNumberFormat="1" applyFont="1" applyFill="1" applyBorder="1" applyAlignment="1">
      <alignment vertical="center"/>
    </xf>
    <xf numFmtId="169" fontId="20" fillId="4" borderId="1" xfId="3" applyNumberFormat="1" applyFont="1" applyFill="1" applyBorder="1" applyAlignment="1">
      <alignment vertical="center"/>
    </xf>
    <xf numFmtId="170" fontId="20" fillId="4" borderId="1" xfId="3" applyNumberFormat="1" applyFont="1" applyFill="1" applyBorder="1" applyAlignment="1">
      <alignment vertical="center"/>
    </xf>
    <xf numFmtId="1" fontId="19" fillId="7" borderId="1" xfId="3" applyNumberFormat="1" applyFont="1" applyFill="1" applyBorder="1" applyAlignment="1">
      <alignment horizontal="center" vertical="center"/>
    </xf>
    <xf numFmtId="0" fontId="21" fillId="6" borderId="1" xfId="3" applyFont="1" applyFill="1" applyBorder="1" applyAlignment="1">
      <alignment horizontal="left" vertical="center"/>
    </xf>
    <xf numFmtId="1" fontId="19" fillId="7" borderId="1" xfId="3" applyNumberFormat="1" applyFont="1" applyFill="1" applyBorder="1" applyAlignment="1">
      <alignment horizontal="right" vertical="center"/>
    </xf>
    <xf numFmtId="167" fontId="17" fillId="2" borderId="3" xfId="3" applyNumberFormat="1" applyFont="1" applyFill="1" applyBorder="1" applyAlignment="1">
      <alignment vertical="center"/>
    </xf>
    <xf numFmtId="167" fontId="17" fillId="2" borderId="4" xfId="3" applyNumberFormat="1" applyFont="1" applyFill="1" applyBorder="1" applyAlignment="1">
      <alignment vertical="center"/>
    </xf>
    <xf numFmtId="170" fontId="17" fillId="2" borderId="3" xfId="3" applyNumberFormat="1" applyFont="1" applyFill="1" applyBorder="1" applyAlignment="1">
      <alignment vertical="center"/>
    </xf>
    <xf numFmtId="172" fontId="17" fillId="2" borderId="3" xfId="1" applyNumberFormat="1" applyFont="1" applyFill="1" applyBorder="1" applyAlignment="1">
      <alignment horizontal="left" vertical="center" indent="2"/>
    </xf>
    <xf numFmtId="168" fontId="17" fillId="2" borderId="3" xfId="1" applyNumberFormat="1" applyFont="1" applyFill="1" applyBorder="1" applyAlignment="1">
      <alignment vertical="center"/>
    </xf>
    <xf numFmtId="172" fontId="17" fillId="2" borderId="4" xfId="1" applyNumberFormat="1" applyFont="1" applyFill="1" applyBorder="1" applyAlignment="1">
      <alignment horizontal="left" vertical="center" indent="2"/>
    </xf>
    <xf numFmtId="168" fontId="17" fillId="2" borderId="4" xfId="1" applyNumberFormat="1" applyFont="1" applyFill="1" applyBorder="1" applyAlignment="1">
      <alignment vertical="center"/>
    </xf>
    <xf numFmtId="172" fontId="17" fillId="2" borderId="0" xfId="1" applyNumberFormat="1" applyFont="1" applyFill="1" applyAlignment="1">
      <alignment horizontal="left" vertical="center" indent="3"/>
    </xf>
    <xf numFmtId="172" fontId="17" fillId="2" borderId="2" xfId="1" applyNumberFormat="1" applyFont="1" applyFill="1" applyBorder="1" applyAlignment="1">
      <alignment horizontal="left" vertical="center" indent="3"/>
    </xf>
    <xf numFmtId="0" fontId="18" fillId="2" borderId="7" xfId="3" applyFont="1" applyFill="1" applyBorder="1" applyAlignment="1">
      <alignment horizontal="left" vertical="center" indent="3"/>
    </xf>
    <xf numFmtId="0" fontId="18" fillId="2" borderId="0" xfId="3" applyFont="1" applyFill="1" applyAlignment="1">
      <alignment horizontal="left" vertical="center" indent="4"/>
    </xf>
    <xf numFmtId="0" fontId="18" fillId="2" borderId="2" xfId="3" applyFont="1" applyFill="1" applyBorder="1" applyAlignment="1">
      <alignment horizontal="left" vertical="center" indent="4"/>
    </xf>
    <xf numFmtId="172" fontId="17" fillId="2" borderId="0" xfId="1" applyNumberFormat="1" applyFont="1" applyFill="1" applyBorder="1" applyAlignment="1">
      <alignment horizontal="left" vertical="center" indent="3"/>
    </xf>
    <xf numFmtId="166" fontId="17" fillId="2" borderId="8" xfId="3" applyNumberFormat="1" applyFont="1" applyFill="1" applyBorder="1" applyAlignment="1">
      <alignment vertical="center"/>
    </xf>
    <xf numFmtId="0" fontId="17" fillId="2" borderId="8" xfId="3" applyFont="1" applyFill="1" applyBorder="1" applyAlignment="1">
      <alignment horizontal="left" vertical="center" indent="3"/>
    </xf>
    <xf numFmtId="170" fontId="17" fillId="2" borderId="8" xfId="3" applyNumberFormat="1" applyFont="1" applyFill="1" applyBorder="1" applyAlignment="1">
      <alignment vertical="center"/>
    </xf>
    <xf numFmtId="0" fontId="17" fillId="2" borderId="7" xfId="3" applyFont="1" applyFill="1" applyBorder="1" applyAlignment="1">
      <alignment horizontal="left" vertical="center" indent="3"/>
    </xf>
    <xf numFmtId="170" fontId="17" fillId="2" borderId="7" xfId="3" applyNumberFormat="1" applyFont="1" applyFill="1" applyBorder="1" applyAlignment="1">
      <alignment vertical="center"/>
    </xf>
    <xf numFmtId="1" fontId="19" fillId="6" borderId="1" xfId="3" applyNumberFormat="1" applyFont="1" applyFill="1" applyBorder="1" applyAlignment="1">
      <alignment vertical="center"/>
    </xf>
    <xf numFmtId="166" fontId="17" fillId="2" borderId="7" xfId="3" applyNumberFormat="1" applyFont="1" applyFill="1" applyBorder="1" applyAlignment="1">
      <alignment vertical="center"/>
    </xf>
    <xf numFmtId="1" fontId="16" fillId="6" borderId="1" xfId="3" applyNumberFormat="1" applyFont="1" applyFill="1" applyBorder="1" applyAlignment="1">
      <alignment horizontal="center" vertical="center" shrinkToFit="1"/>
    </xf>
    <xf numFmtId="0" fontId="17" fillId="2" borderId="0" xfId="3" applyNumberFormat="1" applyFont="1" applyFill="1" applyAlignment="1">
      <alignment vertical="center" shrinkToFit="1"/>
    </xf>
    <xf numFmtId="0" fontId="20" fillId="3" borderId="1" xfId="3" applyNumberFormat="1" applyFont="1" applyFill="1" applyBorder="1" applyAlignment="1">
      <alignment vertical="center" shrinkToFit="1"/>
    </xf>
    <xf numFmtId="0" fontId="12" fillId="4" borderId="1" xfId="3" applyNumberFormat="1" applyFont="1" applyFill="1" applyBorder="1" applyAlignment="1">
      <alignment vertical="center" shrinkToFit="1"/>
    </xf>
    <xf numFmtId="0" fontId="17" fillId="2" borderId="3" xfId="3" applyNumberFormat="1" applyFont="1" applyFill="1" applyBorder="1" applyAlignment="1">
      <alignment vertical="center" shrinkToFit="1"/>
    </xf>
    <xf numFmtId="0" fontId="17" fillId="2" borderId="0" xfId="3" applyNumberFormat="1" applyFont="1" applyFill="1" applyBorder="1" applyAlignment="1">
      <alignment vertical="center" shrinkToFit="1"/>
    </xf>
    <xf numFmtId="0" fontId="17" fillId="2" borderId="4" xfId="3" applyNumberFormat="1" applyFont="1" applyFill="1" applyBorder="1" applyAlignment="1">
      <alignment vertical="center" shrinkToFit="1"/>
    </xf>
    <xf numFmtId="0" fontId="17" fillId="2" borderId="7" xfId="3" applyNumberFormat="1" applyFont="1" applyFill="1" applyBorder="1" applyAlignment="1">
      <alignment vertical="center" shrinkToFit="1"/>
    </xf>
    <xf numFmtId="0" fontId="17" fillId="2" borderId="2" xfId="3" applyNumberFormat="1" applyFont="1" applyFill="1" applyBorder="1" applyAlignment="1">
      <alignment vertical="center" shrinkToFit="1"/>
    </xf>
    <xf numFmtId="0" fontId="22" fillId="5" borderId="1" xfId="3" applyNumberFormat="1" applyFont="1" applyFill="1" applyBorder="1" applyAlignment="1">
      <alignment vertical="center" shrinkToFit="1"/>
    </xf>
    <xf numFmtId="0" fontId="3" fillId="0" borderId="0" xfId="3" applyNumberFormat="1" applyFont="1" applyFill="1" applyAlignment="1">
      <alignment vertical="center" shrinkToFit="1"/>
    </xf>
    <xf numFmtId="0" fontId="17" fillId="8" borderId="0" xfId="3" applyNumberFormat="1" applyFont="1" applyFill="1" applyAlignment="1">
      <alignment vertical="center" shrinkToFit="1"/>
    </xf>
    <xf numFmtId="0" fontId="17" fillId="8" borderId="2" xfId="3" applyNumberFormat="1" applyFont="1" applyFill="1" applyBorder="1" applyAlignment="1">
      <alignment vertical="center" shrinkToFit="1"/>
    </xf>
    <xf numFmtId="0" fontId="20" fillId="3" borderId="1" xfId="1" applyNumberFormat="1" applyFont="1" applyFill="1" applyBorder="1" applyAlignment="1">
      <alignment vertical="center" shrinkToFit="1"/>
    </xf>
    <xf numFmtId="0" fontId="17" fillId="8" borderId="0" xfId="1" applyNumberFormat="1" applyFont="1" applyFill="1" applyAlignment="1">
      <alignment vertical="center" shrinkToFit="1"/>
    </xf>
    <xf numFmtId="0" fontId="17" fillId="8" borderId="2" xfId="1" applyNumberFormat="1" applyFont="1" applyFill="1" applyBorder="1" applyAlignment="1">
      <alignment vertical="center" shrinkToFit="1"/>
    </xf>
    <xf numFmtId="0" fontId="17" fillId="8" borderId="1" xfId="3" applyNumberFormat="1" applyFont="1" applyFill="1" applyBorder="1" applyAlignment="1">
      <alignment vertical="center" shrinkToFit="1"/>
    </xf>
    <xf numFmtId="0" fontId="23" fillId="8" borderId="0" xfId="3" applyNumberFormat="1" applyFont="1" applyFill="1" applyAlignment="1">
      <alignment vertical="center" shrinkToFit="1"/>
    </xf>
    <xf numFmtId="0" fontId="23" fillId="8" borderId="2" xfId="3" applyNumberFormat="1" applyFont="1" applyFill="1" applyBorder="1" applyAlignment="1">
      <alignment vertical="center" shrinkToFit="1"/>
    </xf>
    <xf numFmtId="0" fontId="12" fillId="4" borderId="3" xfId="3" applyNumberFormat="1" applyFont="1" applyFill="1" applyBorder="1" applyAlignment="1">
      <alignment vertical="center" shrinkToFit="1"/>
    </xf>
    <xf numFmtId="0" fontId="12" fillId="4" borderId="3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Alignment="1">
      <alignment vertical="center" shrinkToFit="1"/>
    </xf>
    <xf numFmtId="0" fontId="17" fillId="2" borderId="2" xfId="1" applyNumberFormat="1" applyFont="1" applyFill="1" applyBorder="1" applyAlignment="1">
      <alignment vertical="center" shrinkToFit="1"/>
    </xf>
    <xf numFmtId="0" fontId="12" fillId="4" borderId="4" xfId="3" applyNumberFormat="1" applyFont="1" applyFill="1" applyBorder="1" applyAlignment="1">
      <alignment vertical="center" shrinkToFit="1"/>
    </xf>
    <xf numFmtId="0" fontId="12" fillId="4" borderId="4" xfId="1" applyNumberFormat="1" applyFont="1" applyFill="1" applyBorder="1" applyAlignment="1">
      <alignment vertical="center" shrinkToFit="1"/>
    </xf>
    <xf numFmtId="0" fontId="17" fillId="2" borderId="0" xfId="1" applyNumberFormat="1" applyFont="1" applyFill="1" applyBorder="1" applyAlignment="1">
      <alignment vertical="center" shrinkToFit="1"/>
    </xf>
    <xf numFmtId="0" fontId="13" fillId="2" borderId="0" xfId="3" applyNumberFormat="1" applyFont="1" applyFill="1" applyBorder="1" applyAlignment="1">
      <alignment vertical="center" shrinkToFit="1"/>
    </xf>
    <xf numFmtId="0" fontId="13" fillId="2" borderId="2" xfId="3" applyNumberFormat="1" applyFont="1" applyFill="1" applyBorder="1" applyAlignment="1">
      <alignment vertical="center" shrinkToFit="1"/>
    </xf>
    <xf numFmtId="0" fontId="13" fillId="2" borderId="0" xfId="3" applyNumberFormat="1" applyFont="1" applyFill="1" applyAlignment="1">
      <alignment vertical="center" shrinkToFit="1"/>
    </xf>
    <xf numFmtId="0" fontId="13" fillId="2" borderId="0" xfId="1" applyNumberFormat="1" applyFont="1" applyFill="1" applyAlignment="1">
      <alignment vertical="center" shrinkToFit="1"/>
    </xf>
    <xf numFmtId="0" fontId="13" fillId="2" borderId="0" xfId="1" applyNumberFormat="1" applyFont="1" applyFill="1" applyBorder="1" applyAlignment="1">
      <alignment vertical="center" shrinkToFit="1"/>
    </xf>
    <xf numFmtId="0" fontId="13" fillId="2" borderId="2" xfId="1" applyNumberFormat="1" applyFont="1" applyFill="1" applyBorder="1" applyAlignment="1">
      <alignment vertical="center" shrinkToFit="1"/>
    </xf>
    <xf numFmtId="0" fontId="11" fillId="4" borderId="0" xfId="3" applyNumberFormat="1" applyFont="1" applyFill="1" applyBorder="1" applyAlignment="1">
      <alignment vertical="center" shrinkToFit="1"/>
    </xf>
    <xf numFmtId="0" fontId="17" fillId="2" borderId="5" xfId="3" applyNumberFormat="1" applyFont="1" applyFill="1" applyBorder="1" applyAlignment="1">
      <alignment vertical="center" shrinkToFit="1"/>
    </xf>
    <xf numFmtId="0" fontId="17" fillId="2" borderId="6" xfId="3" applyNumberFormat="1" applyFont="1" applyFill="1" applyBorder="1" applyAlignment="1">
      <alignment vertical="center" shrinkToFit="1"/>
    </xf>
    <xf numFmtId="0" fontId="20" fillId="4" borderId="0" xfId="3" applyNumberFormat="1" applyFont="1" applyFill="1" applyBorder="1" applyAlignment="1">
      <alignment vertical="center" shrinkToFit="1"/>
    </xf>
    <xf numFmtId="0" fontId="20" fillId="4" borderId="1" xfId="3" applyNumberFormat="1" applyFont="1" applyFill="1" applyBorder="1" applyAlignment="1">
      <alignment vertical="center" shrinkToFit="1"/>
    </xf>
    <xf numFmtId="0" fontId="17" fillId="2" borderId="8" xfId="3" applyNumberFormat="1" applyFont="1" applyFill="1" applyBorder="1" applyAlignment="1">
      <alignment vertical="center" shrinkToFit="1"/>
    </xf>
    <xf numFmtId="0" fontId="3" fillId="2" borderId="0" xfId="3" applyNumberFormat="1" applyFont="1" applyFill="1" applyAlignment="1">
      <alignment vertical="center" shrinkToFit="1"/>
    </xf>
    <xf numFmtId="0" fontId="19" fillId="6" borderId="1" xfId="3" applyNumberFormat="1" applyFont="1" applyFill="1" applyBorder="1" applyAlignment="1">
      <alignment vertical="center" shrinkToFit="1"/>
    </xf>
    <xf numFmtId="0" fontId="19" fillId="7" borderId="1" xfId="3" applyNumberFormat="1" applyFont="1" applyFill="1" applyBorder="1" applyAlignment="1">
      <alignment horizontal="center" vertical="center" shrinkToFit="1"/>
    </xf>
    <xf numFmtId="0" fontId="12" fillId="4" borderId="1" xfId="1" applyNumberFormat="1" applyFont="1" applyFill="1" applyBorder="1" applyAlignment="1">
      <alignment vertical="center" shrinkToFit="1"/>
    </xf>
    <xf numFmtId="0" fontId="17" fillId="2" borderId="3" xfId="1" applyNumberFormat="1" applyFont="1" applyFill="1" applyBorder="1" applyAlignment="1">
      <alignment vertical="center" shrinkToFit="1"/>
    </xf>
    <xf numFmtId="0" fontId="17" fillId="2" borderId="4" xfId="1" applyNumberFormat="1" applyFont="1" applyFill="1" applyBorder="1" applyAlignment="1">
      <alignment vertical="center" shrinkToFit="1"/>
    </xf>
    <xf numFmtId="0" fontId="25" fillId="2" borderId="0" xfId="2" applyFont="1" applyFill="1"/>
    <xf numFmtId="0" fontId="17" fillId="2" borderId="0" xfId="2" applyFont="1" applyFill="1" applyAlignment="1">
      <alignment vertical="center"/>
    </xf>
    <xf numFmtId="0" fontId="17" fillId="2" borderId="0" xfId="2" applyFont="1" applyFill="1" applyAlignment="1">
      <alignment horizontal="center" vertical="center"/>
    </xf>
    <xf numFmtId="0" fontId="26" fillId="2" borderId="1" xfId="2" applyFont="1" applyFill="1" applyBorder="1" applyAlignment="1">
      <alignment vertical="center"/>
    </xf>
    <xf numFmtId="0" fontId="27" fillId="2" borderId="1" xfId="2" applyFont="1" applyFill="1" applyBorder="1" applyAlignment="1">
      <alignment vertical="center"/>
    </xf>
    <xf numFmtId="0" fontId="28" fillId="2" borderId="0" xfId="2" applyFont="1" applyFill="1" applyAlignment="1">
      <alignment vertical="center"/>
    </xf>
    <xf numFmtId="0" fontId="27" fillId="2" borderId="0" xfId="2" applyFont="1" applyFill="1" applyAlignment="1">
      <alignment vertical="center"/>
    </xf>
    <xf numFmtId="0" fontId="15" fillId="2" borderId="0" xfId="2" applyFont="1" applyFill="1" applyAlignment="1">
      <alignment vertical="center"/>
    </xf>
    <xf numFmtId="0" fontId="31" fillId="2" borderId="0" xfId="2" applyFont="1" applyFill="1" applyAlignment="1">
      <alignment vertical="center"/>
    </xf>
    <xf numFmtId="0" fontId="32" fillId="2" borderId="0" xfId="3" applyFont="1" applyFill="1" applyAlignment="1">
      <alignment vertical="center"/>
    </xf>
    <xf numFmtId="0" fontId="33" fillId="2" borderId="0" xfId="4" applyFont="1" applyFill="1" applyAlignment="1">
      <alignment horizontal="left" vertical="center" indent="1"/>
    </xf>
    <xf numFmtId="0" fontId="34" fillId="0" borderId="2" xfId="0" applyFont="1" applyBorder="1"/>
    <xf numFmtId="0" fontId="35" fillId="0" borderId="0" xfId="0" applyFont="1"/>
    <xf numFmtId="0" fontId="35" fillId="0" borderId="0" xfId="0" applyFont="1" applyAlignment="1">
      <alignment horizontal="left" indent="1"/>
    </xf>
    <xf numFmtId="0" fontId="29" fillId="2" borderId="0" xfId="2" applyFont="1" applyFill="1" applyAlignment="1">
      <alignment horizontal="left" vertical="center"/>
    </xf>
    <xf numFmtId="164" fontId="30" fillId="2" borderId="0" xfId="2" quotePrefix="1" applyNumberFormat="1" applyFont="1" applyFill="1" applyAlignment="1">
      <alignment horizontal="left" vertical="center"/>
    </xf>
    <xf numFmtId="0" fontId="36" fillId="0" borderId="0" xfId="2" applyFont="1" applyAlignment="1">
      <alignment horizontal="left" vertical="center"/>
    </xf>
    <xf numFmtId="1" fontId="19" fillId="6" borderId="1" xfId="3" applyNumberFormat="1" applyFont="1" applyFill="1" applyBorder="1" applyAlignment="1">
      <alignment horizontal="center" vertical="center"/>
    </xf>
  </cellXfs>
  <cellStyles count="5">
    <cellStyle name="Hyperlink" xfId="4" builtinId="8"/>
    <cellStyle name="Normal" xfId="0" builtinId="0"/>
    <cellStyle name="Normal 2" xfId="3"/>
    <cellStyle name="Normal 3" xfId="2"/>
    <cellStyle name="Percent" xfId="1" builtinId="5"/>
  </cellStyles>
  <dxfs count="0"/>
  <tableStyles count="0" defaultTableStyle="TableStyleMedium2" defaultPivotStyle="PivotStyleLight16"/>
  <colors>
    <mruColors>
      <color rgb="FF0564C3"/>
      <color rgb="FF050505"/>
      <color rgb="FFD7D7D7"/>
      <color rgb="FF00143C"/>
      <color rgb="FF001E5F"/>
      <color rgb="FF232D37"/>
      <color rgb="FFDCEBF5"/>
      <color rgb="FFD7E1F0"/>
      <color rgb="FFF0F0F0"/>
      <color rgb="FFBEBEB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15</xdr:row>
      <xdr:rowOff>0</xdr:rowOff>
    </xdr:from>
    <xdr:to>
      <xdr:col>15</xdr:col>
      <xdr:colOff>305811</xdr:colOff>
      <xdr:row>25</xdr:row>
      <xdr:rowOff>106854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972300" y="3505200"/>
          <a:ext cx="2896611" cy="201185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15"/>
    <col min="5" max="21" width="9.7109375" style="215" customWidth="1"/>
    <col min="22" max="22" width="9.7109375" style="216" customWidth="1"/>
    <col min="23" max="23" width="107.42578125" style="215" customWidth="1"/>
    <col min="24" max="24" width="44.7109375" style="215" customWidth="1"/>
    <col min="25" max="26" width="9.7109375" style="215" customWidth="1"/>
    <col min="27" max="16384" width="9.140625" style="215"/>
  </cols>
  <sheetData>
    <row r="2" spans="1:23" ht="21" x14ac:dyDescent="0.35">
      <c r="A2" s="214"/>
      <c r="B2" s="230"/>
      <c r="C2" s="230"/>
      <c r="D2" s="230"/>
      <c r="E2" s="230"/>
      <c r="F2" s="230"/>
      <c r="G2" s="230"/>
      <c r="H2" s="230"/>
      <c r="I2" s="230"/>
      <c r="J2" s="230"/>
      <c r="K2" s="230"/>
    </row>
    <row r="3" spans="1:23" ht="15" customHeight="1" x14ac:dyDescent="0.25">
      <c r="B3" s="230"/>
      <c r="C3" s="230"/>
      <c r="D3" s="230"/>
      <c r="E3" s="230"/>
      <c r="F3" s="230"/>
      <c r="G3" s="230"/>
      <c r="H3" s="230"/>
      <c r="I3" s="230"/>
      <c r="J3" s="230"/>
      <c r="K3" s="230"/>
    </row>
    <row r="6" spans="1:23" ht="31.5" x14ac:dyDescent="0.25">
      <c r="A6" s="217"/>
      <c r="B6" s="218" t="s">
        <v>179</v>
      </c>
      <c r="C6" s="218"/>
      <c r="D6" s="218"/>
      <c r="E6" s="218"/>
      <c r="F6" s="218"/>
      <c r="G6" s="218"/>
      <c r="H6" s="218"/>
      <c r="I6" s="218"/>
      <c r="J6" s="218"/>
      <c r="K6" s="218"/>
      <c r="L6" s="218"/>
      <c r="M6" s="218"/>
      <c r="N6" s="218"/>
      <c r="O6" s="218"/>
      <c r="P6" s="218"/>
      <c r="Q6" s="218"/>
      <c r="V6" s="215"/>
    </row>
    <row r="7" spans="1:23" ht="15" customHeight="1" x14ac:dyDescent="0.25">
      <c r="V7" s="215"/>
    </row>
    <row r="8" spans="1:23" ht="15" customHeight="1" x14ac:dyDescent="0.25">
      <c r="V8" s="215"/>
    </row>
    <row r="9" spans="1:23" ht="15" customHeight="1" x14ac:dyDescent="0.25">
      <c r="V9" s="215"/>
    </row>
    <row r="10" spans="1:23" ht="28.5" x14ac:dyDescent="0.25">
      <c r="C10" s="219" t="s">
        <v>188</v>
      </c>
      <c r="V10" s="215"/>
    </row>
    <row r="11" spans="1:23" ht="15" customHeight="1" x14ac:dyDescent="0.25">
      <c r="V11" s="215"/>
    </row>
    <row r="15" spans="1:23" ht="30" customHeight="1" x14ac:dyDescent="0.25">
      <c r="C15" s="219" t="s">
        <v>142</v>
      </c>
    </row>
    <row r="16" spans="1:23" ht="15" customHeight="1" x14ac:dyDescent="0.25">
      <c r="W16" s="220"/>
    </row>
    <row r="17" spans="12:32" ht="15" customHeight="1" x14ac:dyDescent="0.25">
      <c r="W17" s="220"/>
    </row>
    <row r="28" spans="12:32" ht="21" x14ac:dyDescent="0.25">
      <c r="L28" s="228" t="s">
        <v>0</v>
      </c>
      <c r="M28" s="228"/>
      <c r="N28" s="228"/>
      <c r="O28" s="228"/>
    </row>
    <row r="29" spans="12:32" ht="15" customHeight="1" x14ac:dyDescent="0.25">
      <c r="V29" s="215"/>
    </row>
    <row r="30" spans="12:32" ht="18.75" x14ac:dyDescent="0.25">
      <c r="L30" s="229">
        <v>45967.478425925925</v>
      </c>
      <c r="M30" s="229"/>
      <c r="N30" s="229"/>
      <c r="O30" s="229"/>
      <c r="V30" s="215"/>
    </row>
    <row r="31" spans="12:32" ht="15" customHeight="1" x14ac:dyDescent="0.25">
      <c r="L31" s="221" t="s">
        <v>180</v>
      </c>
      <c r="V31" s="215"/>
      <c r="AA31" s="222"/>
      <c r="AB31" s="222"/>
      <c r="AC31" s="222"/>
      <c r="AD31" s="222"/>
      <c r="AE31" s="222"/>
      <c r="AF31" s="222"/>
    </row>
    <row r="32" spans="12:32" ht="15" customHeight="1" x14ac:dyDescent="0.25">
      <c r="V32" s="215"/>
    </row>
    <row r="33" spans="2:32" ht="15" customHeight="1" x14ac:dyDescent="0.25">
      <c r="B33" s="223" t="s">
        <v>1</v>
      </c>
      <c r="V33" s="215"/>
    </row>
    <row r="34" spans="2:32" ht="15" customHeight="1" x14ac:dyDescent="0.25">
      <c r="B34" s="223"/>
      <c r="V34" s="223"/>
    </row>
    <row r="35" spans="2:32" ht="15" customHeight="1" x14ac:dyDescent="0.25">
      <c r="B35" s="223" t="s">
        <v>2</v>
      </c>
      <c r="V35" s="223"/>
    </row>
    <row r="36" spans="2:32" ht="15" customHeight="1" x14ac:dyDescent="0.25">
      <c r="B36" s="223" t="s">
        <v>3</v>
      </c>
      <c r="E36" s="222"/>
      <c r="F36" s="222"/>
      <c r="G36" s="222"/>
      <c r="H36" s="222"/>
      <c r="I36" s="222"/>
      <c r="J36" s="222"/>
      <c r="K36" s="222"/>
      <c r="L36" s="222"/>
      <c r="M36" s="222"/>
      <c r="N36" s="222"/>
      <c r="O36" s="222"/>
      <c r="P36" s="222"/>
      <c r="Q36" s="222"/>
      <c r="R36" s="222"/>
      <c r="S36" s="222"/>
      <c r="T36" s="222"/>
      <c r="U36" s="222"/>
      <c r="W36" s="222"/>
      <c r="X36" s="222"/>
      <c r="Y36" s="222"/>
      <c r="Z36" s="222"/>
    </row>
    <row r="38" spans="2:32" ht="15" customHeight="1" x14ac:dyDescent="0.25">
      <c r="B38" s="223" t="s">
        <v>4</v>
      </c>
    </row>
    <row r="39" spans="2:32" ht="15" customHeight="1" x14ac:dyDescent="0.25">
      <c r="B39" s="223" t="s">
        <v>5</v>
      </c>
    </row>
    <row r="40" spans="2:32" ht="15" customHeight="1" x14ac:dyDescent="0.25">
      <c r="B40" s="224" t="s">
        <v>6</v>
      </c>
      <c r="AA40" s="222"/>
      <c r="AB40" s="222"/>
      <c r="AC40" s="222"/>
      <c r="AD40" s="222"/>
      <c r="AE40" s="222"/>
      <c r="AF40" s="222"/>
    </row>
  </sheetData>
  <mergeCells count="3">
    <mergeCell ref="L28:O28"/>
    <mergeCell ref="L30:O30"/>
    <mergeCell ref="B2:K3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>
    <pageSetUpPr fitToPage="1"/>
  </sheetPr>
  <dimension ref="A1:D26"/>
  <sheetViews>
    <sheetView showGridLines="0" workbookViewId="0"/>
  </sheetViews>
  <sheetFormatPr defaultRowHeight="15" x14ac:dyDescent="0.25"/>
  <cols>
    <col min="1" max="1" width="7.7109375" customWidth="1"/>
    <col min="2" max="2" width="15.85546875" customWidth="1"/>
    <col min="3" max="3" width="2.85546875" customWidth="1"/>
    <col min="4" max="4" width="54.7109375" customWidth="1"/>
  </cols>
  <sheetData>
    <row r="1" spans="1:4" ht="18.75" x14ac:dyDescent="0.3">
      <c r="A1" s="6" t="s">
        <v>187</v>
      </c>
      <c r="B1" s="6" t="s">
        <v>188</v>
      </c>
      <c r="C1" s="2"/>
    </row>
    <row r="2" spans="1:4" ht="18.75" x14ac:dyDescent="0.3">
      <c r="A2" s="1"/>
      <c r="B2" s="2"/>
      <c r="C2" s="2"/>
    </row>
    <row r="3" spans="1:4" ht="18.75" x14ac:dyDescent="0.3">
      <c r="A3" s="1"/>
      <c r="B3" s="225" t="s">
        <v>16</v>
      </c>
      <c r="C3" s="3"/>
      <c r="D3" s="9"/>
    </row>
    <row r="4" spans="1:4" x14ac:dyDescent="0.25">
      <c r="A4" s="4"/>
      <c r="B4" s="7" t="str">
        <f ca="1">HYPERLINK("#"&amp;CELL("address",Transport!$B$2),MID(CELL("filename",Transport!$B$2),FIND("]",CELL("filename",Transport!$B$2))+1,256))</f>
        <v>Transport</v>
      </c>
      <c r="C4" s="5"/>
      <c r="D4" s="226" t="s">
        <v>7</v>
      </c>
    </row>
    <row r="5" spans="1:4" ht="5.0999999999999996" customHeight="1" x14ac:dyDescent="0.25">
      <c r="B5" s="7"/>
      <c r="C5" s="5"/>
      <c r="D5" s="2"/>
    </row>
    <row r="6" spans="1:4" x14ac:dyDescent="0.25">
      <c r="B6" s="7" t="str">
        <f ca="1">HYPERLINK("#"&amp;CELL("address",TrRoad_act!$B$2),MID(CELL("filename",TrRoad_act!$B$2),FIND("]",CELL("filename",TrRoad_act!$B$2))+1,256))</f>
        <v>TrRoad_act</v>
      </c>
      <c r="C6" s="5"/>
      <c r="D6" s="226" t="s">
        <v>8</v>
      </c>
    </row>
    <row r="7" spans="1:4" x14ac:dyDescent="0.25">
      <c r="B7" s="8" t="str">
        <f ca="1">HYPERLINK("#"&amp;CELL("address",TrRoad_ene!$B$2),MID(CELL("filename",TrRoad_ene!$B$2),FIND("]",CELL("filename",TrRoad_ene!$B$2))+1,256))</f>
        <v>TrRoad_ene</v>
      </c>
      <c r="C7" s="5"/>
      <c r="D7" s="227" t="s">
        <v>9</v>
      </c>
    </row>
    <row r="8" spans="1:4" x14ac:dyDescent="0.25">
      <c r="B8" s="8" t="str">
        <f ca="1">HYPERLINK("#"&amp;CELL("address",TrRoad_emi!$B$2),MID(CELL("filename",TrRoad_emi!$B$2),FIND("]",CELL("filename",TrRoad_emi!$B$2))+1,256))</f>
        <v>TrRoad_emi</v>
      </c>
      <c r="C8" s="5"/>
      <c r="D8" s="227" t="s">
        <v>10</v>
      </c>
    </row>
    <row r="9" spans="1:4" x14ac:dyDescent="0.25">
      <c r="B9" s="8" t="str">
        <f ca="1">HYPERLINK("#"&amp;CELL("address",TrRoad_tech!$B$2),MID(CELL("filename",TrRoad_tech!$B$2),FIND("]",CELL("filename",TrRoad_tech!$B$2))+1,256))</f>
        <v>TrRoad_tech</v>
      </c>
      <c r="C9" s="5"/>
      <c r="D9" s="227" t="s">
        <v>11</v>
      </c>
    </row>
    <row r="10" spans="1:4" ht="5.0999999999999996" customHeight="1" x14ac:dyDescent="0.25">
      <c r="B10" s="7"/>
      <c r="C10" s="5"/>
      <c r="D10" s="2"/>
    </row>
    <row r="11" spans="1:4" x14ac:dyDescent="0.25">
      <c r="B11" s="7" t="str">
        <f ca="1">HYPERLINK("#"&amp;CELL("address",TrRail_act!$B$2),MID(CELL("filename",TrRail_act!$B$2),FIND("]",CELL("filename",TrRail_act!$B$2))+1,256))</f>
        <v>TrRail_act</v>
      </c>
      <c r="C11" s="5"/>
      <c r="D11" s="226" t="s">
        <v>12</v>
      </c>
    </row>
    <row r="12" spans="1:4" x14ac:dyDescent="0.25">
      <c r="B12" s="8" t="str">
        <f ca="1">HYPERLINK("#"&amp;CELL("address",TrRail_ene!$B$2),MID(CELL("filename",TrRail_ene!$B$2),FIND("]",CELL("filename",TrRail_ene!$B$2))+1,256))</f>
        <v>TrRail_ene</v>
      </c>
      <c r="C12" s="5"/>
      <c r="D12" s="227" t="s">
        <v>9</v>
      </c>
    </row>
    <row r="13" spans="1:4" x14ac:dyDescent="0.25">
      <c r="B13" s="8" t="str">
        <f ca="1">HYPERLINK("#"&amp;CELL("address",TrRail_emi!$B$2),MID(CELL("filename",TrRail_emi!$B$2),FIND("]",CELL("filename",TrRail_emi!$B$2))+1,256))</f>
        <v>TrRail_emi</v>
      </c>
      <c r="C13" s="5"/>
      <c r="D13" s="227" t="s">
        <v>10</v>
      </c>
    </row>
    <row r="14" spans="1:4" ht="5.0999999999999996" customHeight="1" x14ac:dyDescent="0.25">
      <c r="B14" s="7"/>
      <c r="C14" s="5"/>
      <c r="D14" s="2"/>
    </row>
    <row r="15" spans="1:4" x14ac:dyDescent="0.25">
      <c r="B15" s="7" t="str">
        <f ca="1">HYPERLINK("#"&amp;CELL("address",TrAvia_act!$B$2),MID(CELL("filename",TrAvia_act!$B$2),FIND("]",CELL("filename",TrAvia_act!$B$2))+1,256))</f>
        <v>TrAvia_act</v>
      </c>
      <c r="C15" s="5"/>
      <c r="D15" s="226" t="s">
        <v>13</v>
      </c>
    </row>
    <row r="16" spans="1:4" x14ac:dyDescent="0.25">
      <c r="B16" s="8" t="str">
        <f ca="1">HYPERLINK("#"&amp;CELL("address",TrAvia_ene!$B$2),MID(CELL("filename",TrAvia_ene!$B$2),FIND("]",CELL("filename",TrAvia_ene!$B$2))+1,256))</f>
        <v>TrAvia_ene</v>
      </c>
      <c r="C16" s="5"/>
      <c r="D16" s="227" t="s">
        <v>9</v>
      </c>
    </row>
    <row r="17" spans="2:4" x14ac:dyDescent="0.25">
      <c r="B17" s="8" t="str">
        <f ca="1">HYPERLINK("#"&amp;CELL("address",TrAvia_emi!$B$2),MID(CELL("filename",TrAvia_emi!$B$2),FIND("]",CELL("filename",TrAvia_emi!$B$2))+1,256))</f>
        <v>TrAvia_emi</v>
      </c>
      <c r="C17" s="5"/>
      <c r="D17" s="227" t="s">
        <v>10</v>
      </c>
    </row>
    <row r="18" spans="2:4" x14ac:dyDescent="0.25">
      <c r="B18" s="8" t="str">
        <f ca="1">HYPERLINK("#"&amp;CELL("address",TrAvia_png!$B$2),MID(CELL("filename",TrAvia_png!$B$2),FIND("]",CELL("filename",TrAvia_png!$B$2))+1,256))</f>
        <v>TrAvia_png</v>
      </c>
      <c r="C18" s="5"/>
      <c r="D18" s="227" t="s">
        <v>14</v>
      </c>
    </row>
    <row r="19" spans="2:4" ht="5.0999999999999996" customHeight="1" x14ac:dyDescent="0.25">
      <c r="B19" s="7"/>
      <c r="C19" s="5"/>
      <c r="D19" s="2"/>
    </row>
    <row r="20" spans="2:4" x14ac:dyDescent="0.25">
      <c r="B20" s="7" t="str">
        <f ca="1">HYPERLINK("#"&amp;CELL("address",TrNavi_act!$B$2),MID(CELL("filename",TrNavi_act!$B$2),FIND("]",CELL("filename",TrNavi_act!$B$2))+1,256))</f>
        <v>TrNavi_act</v>
      </c>
      <c r="C20" s="5"/>
      <c r="D20" s="226" t="s">
        <v>15</v>
      </c>
    </row>
    <row r="21" spans="2:4" x14ac:dyDescent="0.25">
      <c r="B21" s="8" t="str">
        <f ca="1">HYPERLINK("#"&amp;CELL("address",TrNavi_ene!$B$2),MID(CELL("filename",TrNavi_ene!$B$2),FIND("]",CELL("filename",TrNavi_ene!$B$2))+1,256))</f>
        <v>TrNavi_ene</v>
      </c>
      <c r="C21" s="5"/>
      <c r="D21" s="227" t="s">
        <v>9</v>
      </c>
    </row>
    <row r="22" spans="2:4" x14ac:dyDescent="0.25">
      <c r="B22" s="8" t="str">
        <f ca="1">HYPERLINK("#"&amp;CELL("address",TrNavi_emi!$B$2),MID(CELL("filename",TrNavi_emi!$B$2),FIND("]",CELL("filename",TrNavi_emi!$B$2))+1,256))</f>
        <v>TrNavi_emi</v>
      </c>
      <c r="C22" s="5"/>
      <c r="D22" s="227" t="s">
        <v>10</v>
      </c>
    </row>
    <row r="23" spans="2:4" ht="5.0999999999999996" customHeight="1" x14ac:dyDescent="0.25">
      <c r="B23" s="7"/>
      <c r="C23" s="5"/>
      <c r="D23" s="2"/>
    </row>
    <row r="24" spans="2:4" x14ac:dyDescent="0.25">
      <c r="B24" s="7" t="str">
        <f ca="1">HYPERLINK("#"&amp;CELL("address",MBunk_act!$B$2),MID(CELL("filename",MBunk_act!$B$2),FIND("]",CELL("filename",MBunk_act!$B$2))+1,256))</f>
        <v>MBunk_act</v>
      </c>
      <c r="C24" s="5"/>
      <c r="D24" s="226" t="s">
        <v>165</v>
      </c>
    </row>
    <row r="25" spans="2:4" x14ac:dyDescent="0.25">
      <c r="B25" s="8" t="str">
        <f ca="1">HYPERLINK("#"&amp;CELL("address",MBunk_ene!$B$2),MID(CELL("filename",MBunk_ene!$B$2),FIND("]",CELL("filename",MBunk_ene!$B$2))+1,256))</f>
        <v>MBunk_ene</v>
      </c>
      <c r="C25" s="5"/>
      <c r="D25" s="227" t="s">
        <v>9</v>
      </c>
    </row>
    <row r="26" spans="2:4" x14ac:dyDescent="0.25">
      <c r="B26" s="8" t="str">
        <f ca="1">HYPERLINK("#"&amp;CELL("address",MBunk_emi!$B$2),MID(CELL("filename",MBunk_emi!$B$2),FIND("]",CELL("filename",MBunk_emi!$B$2))+1,256))</f>
        <v>MBunk_emi</v>
      </c>
      <c r="C26" s="5"/>
      <c r="D26" s="227" t="s">
        <v>10</v>
      </c>
    </row>
  </sheetData>
  <pageMargins left="0.39370078740157483" right="0.39370078740157483" top="0.39370078740157483" bottom="0.39370078740157483" header="0.31496062992125984" footer="0.31496062992125984"/>
  <pageSetup paperSize="9" fitToHeight="0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pageSetUpPr fitToPage="1"/>
  </sheetPr>
  <dimension ref="A1:DA24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370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142"/>
      <c r="C3" s="142"/>
      <c r="D3" s="142"/>
      <c r="E3" s="142"/>
      <c r="F3" s="142"/>
      <c r="G3" s="142"/>
      <c r="H3" s="142"/>
      <c r="I3" s="142"/>
      <c r="J3" s="142"/>
      <c r="K3" s="142"/>
      <c r="L3" s="142"/>
      <c r="M3" s="142"/>
      <c r="N3" s="142"/>
      <c r="O3" s="142"/>
      <c r="P3" s="142"/>
      <c r="Q3" s="142"/>
      <c r="R3" s="142"/>
      <c r="S3" s="142"/>
      <c r="T3" s="142"/>
      <c r="U3" s="142"/>
      <c r="V3" s="142"/>
      <c r="W3" s="142"/>
      <c r="X3" s="142"/>
      <c r="Y3" s="142"/>
      <c r="DA3" s="172"/>
    </row>
    <row r="4" spans="1:105" ht="11.45" customHeight="1" x14ac:dyDescent="0.25">
      <c r="A4" s="27" t="s">
        <v>18</v>
      </c>
      <c r="B4" s="28">
        <f t="shared" ref="B4:Q4" si="0">B5+B9+B13</f>
        <v>226847.77354023501</v>
      </c>
      <c r="C4" s="28">
        <f t="shared" si="0"/>
        <v>226136.56531265724</v>
      </c>
      <c r="D4" s="28">
        <f t="shared" si="0"/>
        <v>230007.94794606767</v>
      </c>
      <c r="E4" s="28">
        <f t="shared" si="0"/>
        <v>230836.82178736429</v>
      </c>
      <c r="F4" s="28">
        <f t="shared" si="0"/>
        <v>244679.65591603221</v>
      </c>
      <c r="G4" s="28">
        <f t="shared" si="0"/>
        <v>246631.17594109813</v>
      </c>
      <c r="H4" s="28">
        <f t="shared" si="0"/>
        <v>247500.20925430942</v>
      </c>
      <c r="I4" s="28">
        <f t="shared" si="0"/>
        <v>250660.2594307283</v>
      </c>
      <c r="J4" s="28">
        <f t="shared" si="0"/>
        <v>249765.71690228503</v>
      </c>
      <c r="K4" s="28">
        <f t="shared" si="0"/>
        <v>242472.97942421952</v>
      </c>
      <c r="L4" s="28">
        <f t="shared" si="0"/>
        <v>244573.16159471762</v>
      </c>
      <c r="M4" s="28">
        <f t="shared" si="0"/>
        <v>252405.5592623775</v>
      </c>
      <c r="N4" s="28">
        <f t="shared" si="0"/>
        <v>249580.41598138068</v>
      </c>
      <c r="O4" s="28">
        <f t="shared" si="0"/>
        <v>260177.17515792151</v>
      </c>
      <c r="P4" s="28">
        <f t="shared" si="0"/>
        <v>263427.36261726508</v>
      </c>
      <c r="Q4" s="28">
        <f t="shared" si="0"/>
        <v>259936.70348159713</v>
      </c>
      <c r="R4" s="28">
        <f t="shared" ref="R4:V4" si="1">R5+R9+R13</f>
        <v>268216.90140550793</v>
      </c>
      <c r="S4" s="28">
        <f t="shared" si="1"/>
        <v>273232.45179832418</v>
      </c>
      <c r="T4" s="28">
        <f t="shared" si="1"/>
        <v>288623.27920481784</v>
      </c>
      <c r="U4" s="28">
        <f t="shared" si="1"/>
        <v>291413.06473302783</v>
      </c>
      <c r="V4" s="28">
        <f t="shared" si="1"/>
        <v>155609.6189758071</v>
      </c>
      <c r="W4" s="28">
        <f t="shared" ref="W4:Y4" si="2">W5+W9+W13</f>
        <v>177142.10336678693</v>
      </c>
      <c r="X4" s="28">
        <f t="shared" si="2"/>
        <v>238076.73725326627</v>
      </c>
      <c r="Y4" s="28">
        <f t="shared" si="2"/>
        <v>266560.49334319559</v>
      </c>
      <c r="DA4" s="173" t="s">
        <v>371</v>
      </c>
    </row>
    <row r="5" spans="1:105" ht="11.45" customHeight="1" x14ac:dyDescent="0.25">
      <c r="A5" s="136" t="s">
        <v>19</v>
      </c>
      <c r="B5" s="137">
        <f t="shared" ref="B5:Q5" si="3">B6+B7+B8</f>
        <v>149141.95836574561</v>
      </c>
      <c r="C5" s="137">
        <f t="shared" si="3"/>
        <v>149831.75305556771</v>
      </c>
      <c r="D5" s="137">
        <f t="shared" si="3"/>
        <v>152300.45286370552</v>
      </c>
      <c r="E5" s="137">
        <f t="shared" si="3"/>
        <v>154420.09068319568</v>
      </c>
      <c r="F5" s="137">
        <f t="shared" si="3"/>
        <v>159856.73340969608</v>
      </c>
      <c r="G5" s="137">
        <f t="shared" si="3"/>
        <v>157276.63728102803</v>
      </c>
      <c r="H5" s="137">
        <f t="shared" si="3"/>
        <v>156831.98218596875</v>
      </c>
      <c r="I5" s="137">
        <f t="shared" si="3"/>
        <v>158149.09952893778</v>
      </c>
      <c r="J5" s="137">
        <f t="shared" si="3"/>
        <v>156843.981959406</v>
      </c>
      <c r="K5" s="137">
        <f t="shared" si="3"/>
        <v>156161.22026043458</v>
      </c>
      <c r="L5" s="137">
        <f t="shared" si="3"/>
        <v>154160.30022812411</v>
      </c>
      <c r="M5" s="137">
        <f t="shared" si="3"/>
        <v>154657.30373350286</v>
      </c>
      <c r="N5" s="137">
        <f t="shared" si="3"/>
        <v>149257.71193373966</v>
      </c>
      <c r="O5" s="137">
        <f t="shared" si="3"/>
        <v>155088.43107412575</v>
      </c>
      <c r="P5" s="137">
        <f t="shared" si="3"/>
        <v>154395.13180359712</v>
      </c>
      <c r="Q5" s="137">
        <f t="shared" si="3"/>
        <v>149424.00503180549</v>
      </c>
      <c r="R5" s="137">
        <f t="shared" ref="R5:V5" si="4">R6+R7+R8</f>
        <v>150940.72585555844</v>
      </c>
      <c r="S5" s="137">
        <f t="shared" si="4"/>
        <v>148196.13529794646</v>
      </c>
      <c r="T5" s="137">
        <f t="shared" si="4"/>
        <v>157609.84942889106</v>
      </c>
      <c r="U5" s="137">
        <f t="shared" si="4"/>
        <v>157897.98644913142</v>
      </c>
      <c r="V5" s="137">
        <f t="shared" si="4"/>
        <v>112065.75833211803</v>
      </c>
      <c r="W5" s="137">
        <f t="shared" ref="W5:Y5" si="5">W6+W7+W8</f>
        <v>123239.17390631225</v>
      </c>
      <c r="X5" s="137">
        <f t="shared" si="5"/>
        <v>134335.63254492939</v>
      </c>
      <c r="Y5" s="137">
        <f t="shared" si="5"/>
        <v>145213.27680117305</v>
      </c>
      <c r="DA5" s="174" t="s">
        <v>372</v>
      </c>
    </row>
    <row r="6" spans="1:105" ht="11.45" customHeight="1" x14ac:dyDescent="0.25">
      <c r="A6" s="128" t="str">
        <f>TrRoad_act!$A$5</f>
        <v>Powered two-wheelers</v>
      </c>
      <c r="B6" s="102">
        <f>TrRoad_act!B$5</f>
        <v>3424.6809661735442</v>
      </c>
      <c r="C6" s="102">
        <f>TrRoad_act!C$5</f>
        <v>3559.5078684520267</v>
      </c>
      <c r="D6" s="102">
        <f>TrRoad_act!D$5</f>
        <v>3688.9643314199366</v>
      </c>
      <c r="E6" s="102">
        <f>TrRoad_act!E$5</f>
        <v>3720.2595184130346</v>
      </c>
      <c r="F6" s="102">
        <f>TrRoad_act!F$5</f>
        <v>3556.5427906556838</v>
      </c>
      <c r="G6" s="102">
        <f>TrRoad_act!G$5</f>
        <v>3701.6092342159982</v>
      </c>
      <c r="H6" s="102">
        <f>TrRoad_act!H$5</f>
        <v>3971.0703274702687</v>
      </c>
      <c r="I6" s="102">
        <f>TrRoad_act!I$5</f>
        <v>4387.6964951206073</v>
      </c>
      <c r="J6" s="102">
        <f>TrRoad_act!J$5</f>
        <v>4795.4387775680243</v>
      </c>
      <c r="K6" s="102">
        <f>TrRoad_act!K$5</f>
        <v>5007.272754206193</v>
      </c>
      <c r="L6" s="102">
        <f>TrRoad_act!L$5</f>
        <v>5114.2252893539271</v>
      </c>
      <c r="M6" s="102">
        <f>TrRoad_act!M$5</f>
        <v>5247.207192599777</v>
      </c>
      <c r="N6" s="102">
        <f>TrRoad_act!N$5</f>
        <v>5073.8424040169839</v>
      </c>
      <c r="O6" s="102">
        <f>TrRoad_act!O$5</f>
        <v>5041.9906395094995</v>
      </c>
      <c r="P6" s="102">
        <f>TrRoad_act!P$5</f>
        <v>4879.3743415028775</v>
      </c>
      <c r="Q6" s="102">
        <f>TrRoad_act!Q$5</f>
        <v>5040.4507206671587</v>
      </c>
      <c r="R6" s="102">
        <f>TrRoad_act!R$5</f>
        <v>5166.1525993615915</v>
      </c>
      <c r="S6" s="102">
        <f>TrRoad_act!S$5</f>
        <v>4877.7373000872894</v>
      </c>
      <c r="T6" s="102">
        <f>TrRoad_act!T$5</f>
        <v>4639.3435676844601</v>
      </c>
      <c r="U6" s="102">
        <f>TrRoad_act!U$5</f>
        <v>4927.4805879248397</v>
      </c>
      <c r="V6" s="102">
        <f>TrRoad_act!V$5</f>
        <v>4425.0711017335561</v>
      </c>
      <c r="W6" s="102">
        <f>TrRoad_act!W$5</f>
        <v>4493.5169041240879</v>
      </c>
      <c r="X6" s="102">
        <f>TrRoad_act!X$5</f>
        <v>4535.6325449293645</v>
      </c>
      <c r="Y6" s="102">
        <f>TrRoad_act!Y$5</f>
        <v>4820.6916308323553</v>
      </c>
      <c r="DA6" s="175" t="s">
        <v>373</v>
      </c>
    </row>
    <row r="7" spans="1:105" ht="11.45" customHeight="1" x14ac:dyDescent="0.25">
      <c r="A7" s="128" t="str">
        <f>TrRoad_act!$A$6</f>
        <v>Passenger cars</v>
      </c>
      <c r="B7" s="102">
        <f>TrRoad_act!B$6</f>
        <v>141100</v>
      </c>
      <c r="C7" s="102">
        <f>TrRoad_act!C$6</f>
        <v>141600</v>
      </c>
      <c r="D7" s="102">
        <f>TrRoad_act!D$6</f>
        <v>144200</v>
      </c>
      <c r="E7" s="102">
        <f>TrRoad_act!E$6</f>
        <v>146100.00000000003</v>
      </c>
      <c r="F7" s="102">
        <f>TrRoad_act!F$6</f>
        <v>151600</v>
      </c>
      <c r="G7" s="102">
        <f>TrRoad_act!G$6</f>
        <v>148800</v>
      </c>
      <c r="H7" s="102">
        <f>TrRoad_act!H$6</f>
        <v>148000</v>
      </c>
      <c r="I7" s="102">
        <f>TrRoad_act!I$6</f>
        <v>148799.99999999997</v>
      </c>
      <c r="J7" s="102">
        <f>TrRoad_act!J$6</f>
        <v>147000</v>
      </c>
      <c r="K7" s="102">
        <f>TrRoad_act!K$6</f>
        <v>146299.99999999997</v>
      </c>
      <c r="L7" s="102">
        <f>TrRoad_act!L$6</f>
        <v>144200</v>
      </c>
      <c r="M7" s="102">
        <f>TrRoad_act!M$6</f>
        <v>144400</v>
      </c>
      <c r="N7" s="102">
        <f>TrRoad_act!N$6</f>
        <v>139700.00000000003</v>
      </c>
      <c r="O7" s="102">
        <f>TrRoad_act!O$6</f>
        <v>145400.00000000003</v>
      </c>
      <c r="P7" s="102">
        <f>TrRoad_act!P$6</f>
        <v>144968.99999999994</v>
      </c>
      <c r="Q7" s="102">
        <f>TrRoad_act!Q$6</f>
        <v>139499.99999999997</v>
      </c>
      <c r="R7" s="102">
        <f>TrRoad_act!R$6</f>
        <v>140800</v>
      </c>
      <c r="S7" s="102">
        <f>TrRoad_act!S$6</f>
        <v>138700.00000000003</v>
      </c>
      <c r="T7" s="102">
        <f>TrRoad_act!T$6</f>
        <v>147500</v>
      </c>
      <c r="U7" s="102">
        <f>TrRoad_act!U$6</f>
        <v>147500</v>
      </c>
      <c r="V7" s="102">
        <f>TrRoad_act!V$6</f>
        <v>105199.99999999999</v>
      </c>
      <c r="W7" s="102">
        <f>TrRoad_act!W$6</f>
        <v>115800</v>
      </c>
      <c r="X7" s="102">
        <f>TrRoad_act!X$6</f>
        <v>125600.00000000001</v>
      </c>
      <c r="Y7" s="102">
        <f>TrRoad_act!Y$6</f>
        <v>136100</v>
      </c>
      <c r="DA7" s="175" t="s">
        <v>374</v>
      </c>
    </row>
    <row r="8" spans="1:105" ht="11.45" customHeight="1" x14ac:dyDescent="0.25">
      <c r="A8" s="128" t="str">
        <f>TrRoad_act!$A$13</f>
        <v>Motor coaches, buses and trolley buses</v>
      </c>
      <c r="B8" s="102">
        <f>TrRoad_act!B$13</f>
        <v>4617.2773995720845</v>
      </c>
      <c r="C8" s="102">
        <f>TrRoad_act!C$13</f>
        <v>4672.2451871156682</v>
      </c>
      <c r="D8" s="102">
        <f>TrRoad_act!D$13</f>
        <v>4411.4885322855989</v>
      </c>
      <c r="E8" s="102">
        <f>TrRoad_act!E$13</f>
        <v>4599.8311647826149</v>
      </c>
      <c r="F8" s="102">
        <f>TrRoad_act!F$13</f>
        <v>4700.1906190403852</v>
      </c>
      <c r="G8" s="102">
        <f>TrRoad_act!G$13</f>
        <v>4775.0280468120172</v>
      </c>
      <c r="H8" s="102">
        <f>TrRoad_act!H$13</f>
        <v>4860.9118584984581</v>
      </c>
      <c r="I8" s="102">
        <f>TrRoad_act!I$13</f>
        <v>4961.4030338171933</v>
      </c>
      <c r="J8" s="102">
        <f>TrRoad_act!J$13</f>
        <v>5048.543181837983</v>
      </c>
      <c r="K8" s="102">
        <f>TrRoad_act!K$13</f>
        <v>4853.9475062283936</v>
      </c>
      <c r="L8" s="102">
        <f>TrRoad_act!L$13</f>
        <v>4846.0749387701871</v>
      </c>
      <c r="M8" s="102">
        <f>TrRoad_act!M$13</f>
        <v>5010.0965409031051</v>
      </c>
      <c r="N8" s="102">
        <f>TrRoad_act!N$13</f>
        <v>4483.8695297226495</v>
      </c>
      <c r="O8" s="102">
        <f>TrRoad_act!O$13</f>
        <v>4646.4404346162364</v>
      </c>
      <c r="P8" s="102">
        <f>TrRoad_act!P$13</f>
        <v>4546.7574620943142</v>
      </c>
      <c r="Q8" s="102">
        <f>TrRoad_act!Q$13</f>
        <v>4883.5543111383358</v>
      </c>
      <c r="R8" s="102">
        <f>TrRoad_act!R$13</f>
        <v>4974.5732561968507</v>
      </c>
      <c r="S8" s="102">
        <f>TrRoad_act!S$13</f>
        <v>4618.3979978591387</v>
      </c>
      <c r="T8" s="102">
        <f>TrRoad_act!T$13</f>
        <v>5470.5058612065923</v>
      </c>
      <c r="U8" s="102">
        <f>TrRoad_act!U$13</f>
        <v>5470.5058612065932</v>
      </c>
      <c r="V8" s="102">
        <f>TrRoad_act!V$13</f>
        <v>2440.6872303844798</v>
      </c>
      <c r="W8" s="102">
        <f>TrRoad_act!W$13</f>
        <v>2945.6570021881657</v>
      </c>
      <c r="X8" s="102">
        <f>TrRoad_act!X$13</f>
        <v>4200</v>
      </c>
      <c r="Y8" s="102">
        <f>TrRoad_act!Y$13</f>
        <v>4292.5851703406806</v>
      </c>
      <c r="DA8" s="175" t="s">
        <v>375</v>
      </c>
    </row>
    <row r="9" spans="1:105" ht="11.45" customHeight="1" x14ac:dyDescent="0.25">
      <c r="A9" s="109" t="s">
        <v>22</v>
      </c>
      <c r="B9" s="110">
        <f t="shared" ref="B9:Q9" si="6">B10+B11+B12</f>
        <v>15335.202402571358</v>
      </c>
      <c r="C9" s="110">
        <f t="shared" si="6"/>
        <v>15076.721012389689</v>
      </c>
      <c r="D9" s="110">
        <f t="shared" si="6"/>
        <v>14951.532077772108</v>
      </c>
      <c r="E9" s="110">
        <f t="shared" si="6"/>
        <v>14534.64863736083</v>
      </c>
      <c r="F9" s="110">
        <f t="shared" si="6"/>
        <v>15236.261977826885</v>
      </c>
      <c r="G9" s="110">
        <f t="shared" si="6"/>
        <v>15899.40641320447</v>
      </c>
      <c r="H9" s="110">
        <f t="shared" si="6"/>
        <v>16666.999930454553</v>
      </c>
      <c r="I9" s="110">
        <f t="shared" si="6"/>
        <v>17119.986084072334</v>
      </c>
      <c r="J9" s="110">
        <f t="shared" si="6"/>
        <v>17168.323264988067</v>
      </c>
      <c r="K9" s="110">
        <f t="shared" si="6"/>
        <v>17279.895338335449</v>
      </c>
      <c r="L9" s="110">
        <f t="shared" si="6"/>
        <v>17753.925061229813</v>
      </c>
      <c r="M9" s="110">
        <f t="shared" si="6"/>
        <v>18368.903459096895</v>
      </c>
      <c r="N9" s="110">
        <f t="shared" si="6"/>
        <v>18587.130470277352</v>
      </c>
      <c r="O9" s="110">
        <f t="shared" si="6"/>
        <v>19897.559565383763</v>
      </c>
      <c r="P9" s="110">
        <f t="shared" si="6"/>
        <v>20858.242537905688</v>
      </c>
      <c r="Q9" s="110">
        <f t="shared" si="6"/>
        <v>18439.445688861662</v>
      </c>
      <c r="R9" s="110">
        <f t="shared" ref="R9:V9" si="7">R10+R11+R12</f>
        <v>18905.426743803149</v>
      </c>
      <c r="S9" s="110">
        <f t="shared" si="7"/>
        <v>19318.602002140862</v>
      </c>
      <c r="T9" s="110">
        <f t="shared" si="7"/>
        <v>19924.494138793405</v>
      </c>
      <c r="U9" s="110">
        <f t="shared" si="7"/>
        <v>20382.494138793405</v>
      </c>
      <c r="V9" s="110">
        <f t="shared" si="7"/>
        <v>9624.3127696155207</v>
      </c>
      <c r="W9" s="110">
        <f t="shared" ref="W9:Y9" si="8">W10+W11+W12</f>
        <v>11407.342997811835</v>
      </c>
      <c r="X9" s="110">
        <f t="shared" si="8"/>
        <v>17895</v>
      </c>
      <c r="Y9" s="110">
        <f t="shared" si="8"/>
        <v>20002.414829659319</v>
      </c>
      <c r="DA9" s="176" t="s">
        <v>376</v>
      </c>
    </row>
    <row r="10" spans="1:105" ht="11.45" customHeight="1" x14ac:dyDescent="0.25">
      <c r="A10" s="128" t="str">
        <f>TrRail_act!$A$5</f>
        <v>Metro and tram, urban light rail</v>
      </c>
      <c r="B10" s="102">
        <f>TrRail_act!B$5</f>
        <v>669.20240257135822</v>
      </c>
      <c r="C10" s="102">
        <f>TrRail_act!C$5</f>
        <v>684.72101238968935</v>
      </c>
      <c r="D10" s="102">
        <f>TrRail_act!D$5</f>
        <v>663.53207777210855</v>
      </c>
      <c r="E10" s="102">
        <f>TrRail_act!E$5</f>
        <v>686.64863736082975</v>
      </c>
      <c r="F10" s="102">
        <f>TrRail_act!F$5</f>
        <v>727.26197782688473</v>
      </c>
      <c r="G10" s="102">
        <f>TrRail_act!G$5</f>
        <v>746.40641320447014</v>
      </c>
      <c r="H10" s="102">
        <f>TrRail_act!H$5</f>
        <v>777.99993045455176</v>
      </c>
      <c r="I10" s="102">
        <f>TrRail_act!I$5</f>
        <v>794.98608407233576</v>
      </c>
      <c r="J10" s="102">
        <f>TrRail_act!J$5</f>
        <v>825.32326498806594</v>
      </c>
      <c r="K10" s="102">
        <f>TrRail_act!K$5</f>
        <v>824.89533833545067</v>
      </c>
      <c r="L10" s="102">
        <f>TrRail_act!L$5</f>
        <v>853.92506122981331</v>
      </c>
      <c r="M10" s="102">
        <f>TrRail_act!M$5</f>
        <v>889.90345909689643</v>
      </c>
      <c r="N10" s="102">
        <f>TrRail_act!N$5</f>
        <v>816.13047027735092</v>
      </c>
      <c r="O10" s="102">
        <f>TrRail_act!O$5</f>
        <v>853.55956538376279</v>
      </c>
      <c r="P10" s="102">
        <f>TrRail_act!P$5</f>
        <v>853.24253790568616</v>
      </c>
      <c r="Q10" s="102">
        <f>TrRail_act!Q$5</f>
        <v>916.44568886166292</v>
      </c>
      <c r="R10" s="102">
        <f>TrRail_act!R$5</f>
        <v>925.42674380315032</v>
      </c>
      <c r="S10" s="102">
        <f>TrRail_act!S$5</f>
        <v>881.60200214086183</v>
      </c>
      <c r="T10" s="102">
        <f>TrRail_act!T$5</f>
        <v>1029.4941387934066</v>
      </c>
      <c r="U10" s="102">
        <f>TrRail_act!U$5</f>
        <v>1029.4941387934066</v>
      </c>
      <c r="V10" s="102">
        <f>TrRail_act!V$5</f>
        <v>459.31276961551993</v>
      </c>
      <c r="W10" s="102">
        <f>TrRail_act!W$5</f>
        <v>554.34299781183415</v>
      </c>
      <c r="X10" s="102">
        <f>TrRail_act!X$5</f>
        <v>790</v>
      </c>
      <c r="Y10" s="102">
        <f>TrRail_act!Y$5</f>
        <v>807.41482965931868</v>
      </c>
      <c r="DA10" s="175" t="s">
        <v>377</v>
      </c>
    </row>
    <row r="11" spans="1:105" ht="11.45" customHeight="1" x14ac:dyDescent="0.25">
      <c r="A11" s="128" t="str">
        <f>TrRail_act!$A$6</f>
        <v>Conventional passenger trains</v>
      </c>
      <c r="B11" s="102">
        <f>TrRail_act!B$6</f>
        <v>14553</v>
      </c>
      <c r="C11" s="102">
        <f>TrRail_act!C$6</f>
        <v>14201</v>
      </c>
      <c r="D11" s="102">
        <f>TrRail_act!D$6</f>
        <v>14087</v>
      </c>
      <c r="E11" s="102">
        <f>TrRail_act!E$6</f>
        <v>13184</v>
      </c>
      <c r="F11" s="102">
        <f>TrRail_act!F$6</f>
        <v>13852</v>
      </c>
      <c r="G11" s="102">
        <f>TrRail_act!G$6</f>
        <v>14466</v>
      </c>
      <c r="H11" s="102">
        <f>TrRail_act!H$6</f>
        <v>15156</v>
      </c>
      <c r="I11" s="102">
        <f>TrRail_act!I$6</f>
        <v>15525</v>
      </c>
      <c r="J11" s="102">
        <f>TrRail_act!J$6</f>
        <v>15476</v>
      </c>
      <c r="K11" s="102">
        <f>TrRail_act!K$6</f>
        <v>16188</v>
      </c>
      <c r="L11" s="102">
        <f>TrRail_act!L$6</f>
        <v>16615</v>
      </c>
      <c r="M11" s="102">
        <f>TrRail_act!M$6</f>
        <v>17174</v>
      </c>
      <c r="N11" s="102">
        <f>TrRail_act!N$6</f>
        <v>17447</v>
      </c>
      <c r="O11" s="102">
        <f>TrRail_act!O$6</f>
        <v>18681</v>
      </c>
      <c r="P11" s="102">
        <f>TrRail_act!P$6</f>
        <v>19763</v>
      </c>
      <c r="Q11" s="102">
        <f>TrRail_act!Q$6</f>
        <v>16527</v>
      </c>
      <c r="R11" s="102">
        <f>TrRail_act!R$6</f>
        <v>17615</v>
      </c>
      <c r="S11" s="102">
        <f>TrRail_act!S$6</f>
        <v>18024</v>
      </c>
      <c r="T11" s="102">
        <f>TrRail_act!T$6</f>
        <v>18500</v>
      </c>
      <c r="U11" s="102">
        <f>TrRail_act!U$6</f>
        <v>18901</v>
      </c>
      <c r="V11" s="102">
        <f>TrRail_act!V$6</f>
        <v>9024</v>
      </c>
      <c r="W11" s="102">
        <f>TrRail_act!W$6</f>
        <v>10710</v>
      </c>
      <c r="X11" s="102">
        <f>TrRail_act!X$6</f>
        <v>16908</v>
      </c>
      <c r="Y11" s="102">
        <f>TrRail_act!Y$6</f>
        <v>18743</v>
      </c>
      <c r="DA11" s="175" t="s">
        <v>378</v>
      </c>
    </row>
    <row r="12" spans="1:105" ht="11.45" customHeight="1" x14ac:dyDescent="0.25">
      <c r="A12" s="128" t="str">
        <f>TrRail_act!$A$9</f>
        <v>High speed passenger trains</v>
      </c>
      <c r="B12" s="102">
        <f>TrRail_act!B$9</f>
        <v>113</v>
      </c>
      <c r="C12" s="102">
        <f>TrRail_act!C$9</f>
        <v>191</v>
      </c>
      <c r="D12" s="102">
        <f>TrRail_act!D$9</f>
        <v>201</v>
      </c>
      <c r="E12" s="102">
        <f>TrRail_act!E$9</f>
        <v>664</v>
      </c>
      <c r="F12" s="102">
        <f>TrRail_act!F$9</f>
        <v>657</v>
      </c>
      <c r="G12" s="102">
        <f>TrRail_act!G$9</f>
        <v>687</v>
      </c>
      <c r="H12" s="102">
        <f>TrRail_act!H$9</f>
        <v>733</v>
      </c>
      <c r="I12" s="102">
        <f>TrRail_act!I$9</f>
        <v>800</v>
      </c>
      <c r="J12" s="102">
        <f>TrRail_act!J$9</f>
        <v>867</v>
      </c>
      <c r="K12" s="102">
        <f>TrRail_act!K$9</f>
        <v>267</v>
      </c>
      <c r="L12" s="102">
        <f>TrRail_act!L$9</f>
        <v>285</v>
      </c>
      <c r="M12" s="102">
        <f>TrRail_act!M$9</f>
        <v>305</v>
      </c>
      <c r="N12" s="102">
        <f>TrRail_act!N$9</f>
        <v>324</v>
      </c>
      <c r="O12" s="102">
        <f>TrRail_act!O$9</f>
        <v>363</v>
      </c>
      <c r="P12" s="102">
        <f>TrRail_act!P$9</f>
        <v>242</v>
      </c>
      <c r="Q12" s="102">
        <f>TrRail_act!Q$9</f>
        <v>996</v>
      </c>
      <c r="R12" s="102">
        <f>TrRail_act!R$9</f>
        <v>365</v>
      </c>
      <c r="S12" s="102">
        <f>TrRail_act!S$9</f>
        <v>413</v>
      </c>
      <c r="T12" s="102">
        <f>TrRail_act!T$9</f>
        <v>395</v>
      </c>
      <c r="U12" s="102">
        <f>TrRail_act!U$9</f>
        <v>452</v>
      </c>
      <c r="V12" s="102">
        <f>TrRail_act!V$9</f>
        <v>141</v>
      </c>
      <c r="W12" s="102">
        <f>TrRail_act!W$9</f>
        <v>143</v>
      </c>
      <c r="X12" s="102">
        <f>TrRail_act!X$9</f>
        <v>197</v>
      </c>
      <c r="Y12" s="102">
        <f>TrRail_act!Y$9</f>
        <v>452</v>
      </c>
      <c r="DA12" s="175" t="s">
        <v>379</v>
      </c>
    </row>
    <row r="13" spans="1:105" ht="11.45" customHeight="1" x14ac:dyDescent="0.25">
      <c r="A13" s="109" t="s">
        <v>26</v>
      </c>
      <c r="B13" s="110">
        <f t="shared" ref="B13" si="9">B14+B15+B16</f>
        <v>62370.612771918029</v>
      </c>
      <c r="C13" s="110">
        <f t="shared" ref="C13:V13" si="10">C14+C15+C16</f>
        <v>61228.091244699841</v>
      </c>
      <c r="D13" s="110">
        <f t="shared" si="10"/>
        <v>62755.963004590034</v>
      </c>
      <c r="E13" s="110">
        <f t="shared" si="10"/>
        <v>61882.082466807762</v>
      </c>
      <c r="F13" s="110">
        <f t="shared" si="10"/>
        <v>69586.660528509237</v>
      </c>
      <c r="G13" s="110">
        <f t="shared" si="10"/>
        <v>73455.132246865629</v>
      </c>
      <c r="H13" s="110">
        <f t="shared" si="10"/>
        <v>74001.22713788609</v>
      </c>
      <c r="I13" s="110">
        <f t="shared" si="10"/>
        <v>75391.173817718198</v>
      </c>
      <c r="J13" s="110">
        <f t="shared" si="10"/>
        <v>75753.411677890952</v>
      </c>
      <c r="K13" s="110">
        <f t="shared" si="10"/>
        <v>69031.863825449502</v>
      </c>
      <c r="L13" s="110">
        <f t="shared" si="10"/>
        <v>72658.936305363692</v>
      </c>
      <c r="M13" s="110">
        <f t="shared" si="10"/>
        <v>79379.352069777742</v>
      </c>
      <c r="N13" s="110">
        <f t="shared" si="10"/>
        <v>81735.573577363655</v>
      </c>
      <c r="O13" s="110">
        <f t="shared" si="10"/>
        <v>85191.184518411988</v>
      </c>
      <c r="P13" s="110">
        <f t="shared" si="10"/>
        <v>88173.988275762269</v>
      </c>
      <c r="Q13" s="110">
        <f t="shared" si="10"/>
        <v>92073.252760929987</v>
      </c>
      <c r="R13" s="110">
        <f t="shared" si="10"/>
        <v>98370.748806146352</v>
      </c>
      <c r="S13" s="110">
        <f t="shared" si="10"/>
        <v>105717.71449823685</v>
      </c>
      <c r="T13" s="110">
        <f t="shared" si="10"/>
        <v>111088.93563713334</v>
      </c>
      <c r="U13" s="110">
        <f t="shared" si="10"/>
        <v>113132.58414510297</v>
      </c>
      <c r="V13" s="110">
        <f t="shared" si="10"/>
        <v>33919.547874073571</v>
      </c>
      <c r="W13" s="110">
        <f t="shared" ref="W13:Y13" si="11">W14+W15+W16</f>
        <v>42495.586462662846</v>
      </c>
      <c r="X13" s="110">
        <f t="shared" si="11"/>
        <v>85846.104708336861</v>
      </c>
      <c r="Y13" s="110">
        <f t="shared" si="11"/>
        <v>101344.80171236319</v>
      </c>
      <c r="DA13" s="176" t="s">
        <v>190</v>
      </c>
    </row>
    <row r="14" spans="1:105" ht="11.45" customHeight="1" x14ac:dyDescent="0.25">
      <c r="A14" s="128" t="s">
        <v>27</v>
      </c>
      <c r="B14" s="102">
        <f>TrAvia_act!B$5</f>
        <v>0</v>
      </c>
      <c r="C14" s="102">
        <f>TrAvia_act!C$5</f>
        <v>0</v>
      </c>
      <c r="D14" s="102">
        <f>TrAvia_act!D$5</f>
        <v>0</v>
      </c>
      <c r="E14" s="102">
        <f>TrAvia_act!E$5</f>
        <v>0</v>
      </c>
      <c r="F14" s="102">
        <f>TrAvia_act!F$5</f>
        <v>0</v>
      </c>
      <c r="G14" s="102">
        <f>TrAvia_act!G$5</f>
        <v>0</v>
      </c>
      <c r="H14" s="102">
        <f>TrAvia_act!H$5</f>
        <v>0</v>
      </c>
      <c r="I14" s="102">
        <f>TrAvia_act!I$5</f>
        <v>0</v>
      </c>
      <c r="J14" s="102">
        <f>TrAvia_act!J$5</f>
        <v>0</v>
      </c>
      <c r="K14" s="102">
        <f>TrAvia_act!K$5</f>
        <v>0</v>
      </c>
      <c r="L14" s="102">
        <f>TrAvia_act!L$5</f>
        <v>0</v>
      </c>
      <c r="M14" s="102">
        <f>TrAvia_act!M$5</f>
        <v>0</v>
      </c>
      <c r="N14" s="102">
        <f>TrAvia_act!N$5</f>
        <v>0</v>
      </c>
      <c r="O14" s="102">
        <f>TrAvia_act!O$5</f>
        <v>0</v>
      </c>
      <c r="P14" s="102">
        <f>TrAvia_act!P$5</f>
        <v>0</v>
      </c>
      <c r="Q14" s="102">
        <f>TrAvia_act!Q$5</f>
        <v>0</v>
      </c>
      <c r="R14" s="102">
        <f>TrAvia_act!R$5</f>
        <v>0</v>
      </c>
      <c r="S14" s="102">
        <f>TrAvia_act!S$5</f>
        <v>0</v>
      </c>
      <c r="T14" s="102">
        <f>TrAvia_act!T$5</f>
        <v>0</v>
      </c>
      <c r="U14" s="102">
        <f>TrAvia_act!U$5</f>
        <v>0</v>
      </c>
      <c r="V14" s="102">
        <f>TrAvia_act!V$5</f>
        <v>0</v>
      </c>
      <c r="W14" s="102">
        <f>TrAvia_act!W$5</f>
        <v>0</v>
      </c>
      <c r="X14" s="102">
        <f>TrAvia_act!X$5</f>
        <v>0</v>
      </c>
      <c r="Y14" s="102">
        <f>TrAvia_act!Y$5</f>
        <v>0</v>
      </c>
      <c r="DA14" s="175" t="s">
        <v>191</v>
      </c>
    </row>
    <row r="15" spans="1:105" ht="11.45" customHeight="1" x14ac:dyDescent="0.25">
      <c r="A15" s="128" t="s">
        <v>181</v>
      </c>
      <c r="B15" s="102">
        <f>TrAvia_act!B$6</f>
        <v>15953.701663510992</v>
      </c>
      <c r="C15" s="102">
        <f>TrAvia_act!C$6</f>
        <v>15760.049269690926</v>
      </c>
      <c r="D15" s="102">
        <f>TrAvia_act!D$6</f>
        <v>16106.93704988213</v>
      </c>
      <c r="E15" s="102">
        <f>TrAvia_act!E$6</f>
        <v>15982.184444591121</v>
      </c>
      <c r="F15" s="102">
        <f>TrAvia_act!F$6</f>
        <v>16783.797030709586</v>
      </c>
      <c r="G15" s="102">
        <f>TrAvia_act!G$6</f>
        <v>17541.507276013548</v>
      </c>
      <c r="H15" s="102">
        <f>TrAvia_act!H$6</f>
        <v>18321.788014855421</v>
      </c>
      <c r="I15" s="102">
        <f>TrAvia_act!I$6</f>
        <v>18244.184448657994</v>
      </c>
      <c r="J15" s="102">
        <f>TrAvia_act!J$6</f>
        <v>17228.022123210587</v>
      </c>
      <c r="K15" s="102">
        <f>TrAvia_act!K$6</f>
        <v>15776.711656963887</v>
      </c>
      <c r="L15" s="102">
        <f>TrAvia_act!L$6</f>
        <v>16505.539114552128</v>
      </c>
      <c r="M15" s="102">
        <f>TrAvia_act!M$6</f>
        <v>18996.356918604779</v>
      </c>
      <c r="N15" s="102">
        <f>TrAvia_act!N$6</f>
        <v>19452.383140136317</v>
      </c>
      <c r="O15" s="102">
        <f>TrAvia_act!O$6</f>
        <v>20371.733524288727</v>
      </c>
      <c r="P15" s="102">
        <f>TrAvia_act!P$6</f>
        <v>21399.586770551381</v>
      </c>
      <c r="Q15" s="102">
        <f>TrAvia_act!Q$6</f>
        <v>22555.045547366204</v>
      </c>
      <c r="R15" s="102">
        <f>TrAvia_act!R$6</f>
        <v>25921.982470582374</v>
      </c>
      <c r="S15" s="102">
        <f>TrAvia_act!S$6</f>
        <v>28795.434257107201</v>
      </c>
      <c r="T15" s="102">
        <f>TrAvia_act!T$6</f>
        <v>29986.194536349409</v>
      </c>
      <c r="U15" s="102">
        <f>TrAvia_act!U$6</f>
        <v>30128.675255017199</v>
      </c>
      <c r="V15" s="102">
        <f>TrAvia_act!V$6</f>
        <v>9370.954238667071</v>
      </c>
      <c r="W15" s="102">
        <f>TrAvia_act!W$6</f>
        <v>13130.453002835669</v>
      </c>
      <c r="X15" s="102">
        <f>TrAvia_act!X$6</f>
        <v>24792.200030472581</v>
      </c>
      <c r="Y15" s="102">
        <f>TrAvia_act!Y$6</f>
        <v>27745.335468082922</v>
      </c>
      <c r="DA15" s="175" t="s">
        <v>192</v>
      </c>
    </row>
    <row r="16" spans="1:105" ht="11.45" customHeight="1" x14ac:dyDescent="0.25">
      <c r="A16" s="128" t="s">
        <v>182</v>
      </c>
      <c r="B16" s="102">
        <f>TrAvia_act!B$7</f>
        <v>46416.911108407039</v>
      </c>
      <c r="C16" s="102">
        <f>TrAvia_act!C$7</f>
        <v>45468.041975008913</v>
      </c>
      <c r="D16" s="102">
        <f>TrAvia_act!D$7</f>
        <v>46649.025954707904</v>
      </c>
      <c r="E16" s="102">
        <f>TrAvia_act!E$7</f>
        <v>45899.898022216643</v>
      </c>
      <c r="F16" s="102">
        <f>TrAvia_act!F$7</f>
        <v>52802.863497799655</v>
      </c>
      <c r="G16" s="102">
        <f>TrAvia_act!G$7</f>
        <v>55913.624970852077</v>
      </c>
      <c r="H16" s="102">
        <f>TrAvia_act!H$7</f>
        <v>55679.439123030672</v>
      </c>
      <c r="I16" s="102">
        <f>TrAvia_act!I$7</f>
        <v>57146.989369060211</v>
      </c>
      <c r="J16" s="102">
        <f>TrAvia_act!J$7</f>
        <v>58525.389554680361</v>
      </c>
      <c r="K16" s="102">
        <f>TrAvia_act!K$7</f>
        <v>53255.152168485612</v>
      </c>
      <c r="L16" s="102">
        <f>TrAvia_act!L$7</f>
        <v>56153.397190811564</v>
      </c>
      <c r="M16" s="102">
        <f>TrAvia_act!M$7</f>
        <v>60382.995151172967</v>
      </c>
      <c r="N16" s="102">
        <f>TrAvia_act!N$7</f>
        <v>62283.190437227342</v>
      </c>
      <c r="O16" s="102">
        <f>TrAvia_act!O$7</f>
        <v>64819.450994123254</v>
      </c>
      <c r="P16" s="102">
        <f>TrAvia_act!P$7</f>
        <v>66774.401505210888</v>
      </c>
      <c r="Q16" s="102">
        <f>TrAvia_act!Q$7</f>
        <v>69518.207213563786</v>
      </c>
      <c r="R16" s="102">
        <f>TrAvia_act!R$7</f>
        <v>72448.766335563982</v>
      </c>
      <c r="S16" s="102">
        <f>TrAvia_act!S$7</f>
        <v>76922.280241129643</v>
      </c>
      <c r="T16" s="102">
        <f>TrAvia_act!T$7</f>
        <v>81102.741100783926</v>
      </c>
      <c r="U16" s="102">
        <f>TrAvia_act!U$7</f>
        <v>83003.908890085775</v>
      </c>
      <c r="V16" s="102">
        <f>TrAvia_act!V$7</f>
        <v>24548.593635406498</v>
      </c>
      <c r="W16" s="102">
        <f>TrAvia_act!W$7</f>
        <v>29365.133459827179</v>
      </c>
      <c r="X16" s="102">
        <f>TrAvia_act!X$7</f>
        <v>61053.904677864281</v>
      </c>
      <c r="Y16" s="102">
        <f>TrAvia_act!Y$7</f>
        <v>73599.466244280266</v>
      </c>
      <c r="DA16" s="175" t="s">
        <v>193</v>
      </c>
    </row>
    <row r="17" spans="1:105" ht="11.45" customHeight="1" x14ac:dyDescent="0.25">
      <c r="A17" s="27" t="s">
        <v>28</v>
      </c>
      <c r="B17" s="28">
        <f t="shared" ref="B17:Q17" si="12">B18+B21+B22+B26</f>
        <v>97903.303855381848</v>
      </c>
      <c r="C17" s="28">
        <f t="shared" si="12"/>
        <v>99003.159478615766</v>
      </c>
      <c r="D17" s="28">
        <f t="shared" si="12"/>
        <v>98174.499869803345</v>
      </c>
      <c r="E17" s="28">
        <f t="shared" si="12"/>
        <v>98941.370524668542</v>
      </c>
      <c r="F17" s="28">
        <f t="shared" si="12"/>
        <v>108951.15839457281</v>
      </c>
      <c r="G17" s="28">
        <f t="shared" si="12"/>
        <v>106915.59952541738</v>
      </c>
      <c r="H17" s="28">
        <f t="shared" si="12"/>
        <v>107989.92776311588</v>
      </c>
      <c r="I17" s="28">
        <f t="shared" si="12"/>
        <v>112974.09296237555</v>
      </c>
      <c r="J17" s="28">
        <f t="shared" si="12"/>
        <v>114083.29558246749</v>
      </c>
      <c r="K17" s="28">
        <f t="shared" si="12"/>
        <v>100870.56511329478</v>
      </c>
      <c r="L17" s="28">
        <f t="shared" si="12"/>
        <v>110969.28110843751</v>
      </c>
      <c r="M17" s="28">
        <f t="shared" si="12"/>
        <v>111341.87373577058</v>
      </c>
      <c r="N17" s="28">
        <f t="shared" si="12"/>
        <v>109492.63270947577</v>
      </c>
      <c r="O17" s="28">
        <f t="shared" si="12"/>
        <v>114525.38214547856</v>
      </c>
      <c r="P17" s="28">
        <f t="shared" si="12"/>
        <v>116178.84626646424</v>
      </c>
      <c r="Q17" s="28">
        <f t="shared" si="12"/>
        <v>116185.02340542077</v>
      </c>
      <c r="R17" s="28">
        <f t="shared" ref="R17:V17" si="13">R18+R21+R22+R26</f>
        <v>119679.9910129787</v>
      </c>
      <c r="S17" s="28">
        <f t="shared" si="13"/>
        <v>119784.56408844955</v>
      </c>
      <c r="T17" s="28">
        <f t="shared" si="13"/>
        <v>119183.5722848954</v>
      </c>
      <c r="U17" s="28">
        <f t="shared" si="13"/>
        <v>120856.23730763505</v>
      </c>
      <c r="V17" s="28">
        <f t="shared" si="13"/>
        <v>117906.14393115969</v>
      </c>
      <c r="W17" s="28">
        <f t="shared" ref="W17:Y17" si="14">W18+W21+W22+W26</f>
        <v>123156.15148412235</v>
      </c>
      <c r="X17" s="28">
        <f t="shared" si="14"/>
        <v>118502.87969658867</v>
      </c>
      <c r="Y17" s="28">
        <f t="shared" si="14"/>
        <v>111114.47885018581</v>
      </c>
      <c r="DA17" s="173" t="s">
        <v>380</v>
      </c>
    </row>
    <row r="18" spans="1:105" ht="11.45" customHeight="1" x14ac:dyDescent="0.25">
      <c r="A18" s="136" t="s">
        <v>19</v>
      </c>
      <c r="B18" s="137">
        <f t="shared" ref="B18:Q18" si="15">B19+B20</f>
        <v>47546.123873074554</v>
      </c>
      <c r="C18" s="137">
        <f t="shared" si="15"/>
        <v>48236.915899972941</v>
      </c>
      <c r="D18" s="137">
        <f t="shared" si="15"/>
        <v>48468.504916313956</v>
      </c>
      <c r="E18" s="137">
        <f t="shared" si="15"/>
        <v>50418.510940531298</v>
      </c>
      <c r="F18" s="137">
        <f t="shared" si="15"/>
        <v>55172.149198540137</v>
      </c>
      <c r="G18" s="137">
        <f t="shared" si="15"/>
        <v>53767.42460362053</v>
      </c>
      <c r="H18" s="137">
        <f t="shared" si="15"/>
        <v>54081.792285039366</v>
      </c>
      <c r="I18" s="137">
        <f t="shared" si="15"/>
        <v>54020.659435817841</v>
      </c>
      <c r="J18" s="137">
        <f t="shared" si="15"/>
        <v>55481.284913188108</v>
      </c>
      <c r="K18" s="137">
        <f t="shared" si="15"/>
        <v>52921.697208990518</v>
      </c>
      <c r="L18" s="137">
        <f t="shared" si="15"/>
        <v>53140.801206992946</v>
      </c>
      <c r="M18" s="137">
        <f t="shared" si="15"/>
        <v>53163.381794509034</v>
      </c>
      <c r="N18" s="137">
        <f t="shared" si="15"/>
        <v>50888.913816559907</v>
      </c>
      <c r="O18" s="137">
        <f t="shared" si="15"/>
        <v>54749.0707896815</v>
      </c>
      <c r="P18" s="137">
        <f t="shared" si="15"/>
        <v>55179.506589047705</v>
      </c>
      <c r="Q18" s="137">
        <f t="shared" si="15"/>
        <v>55492.680211833285</v>
      </c>
      <c r="R18" s="137">
        <f t="shared" ref="R18:V18" si="16">R19+R20</f>
        <v>58700.886505694318</v>
      </c>
      <c r="S18" s="137">
        <f t="shared" si="16"/>
        <v>58229.538168869192</v>
      </c>
      <c r="T18" s="137">
        <f t="shared" si="16"/>
        <v>59145.29886853123</v>
      </c>
      <c r="U18" s="137">
        <f t="shared" si="16"/>
        <v>61091.308384708675</v>
      </c>
      <c r="V18" s="137">
        <f t="shared" si="16"/>
        <v>60867.206908710315</v>
      </c>
      <c r="W18" s="137">
        <f t="shared" ref="W18:Y18" si="17">W19+W20</f>
        <v>62534.255867166779</v>
      </c>
      <c r="X18" s="137">
        <f t="shared" si="17"/>
        <v>61091.400081285326</v>
      </c>
      <c r="Y18" s="137">
        <f t="shared" si="17"/>
        <v>57808.791761097462</v>
      </c>
      <c r="DA18" s="174" t="s">
        <v>381</v>
      </c>
    </row>
    <row r="19" spans="1:105" ht="11.45" customHeight="1" x14ac:dyDescent="0.25">
      <c r="A19" s="128" t="str">
        <f>TrRoad_act!$A$20</f>
        <v>Light commercial vehicles</v>
      </c>
      <c r="B19" s="102">
        <f>TrRoad_act!B$20</f>
        <v>3074.5023836058954</v>
      </c>
      <c r="C19" s="102">
        <f>TrRoad_act!C$20</f>
        <v>3382.7343305923623</v>
      </c>
      <c r="D19" s="102">
        <f>TrRoad_act!D$20</f>
        <v>3540.8283433057627</v>
      </c>
      <c r="E19" s="102">
        <f>TrRoad_act!E$20</f>
        <v>3725.492675104364</v>
      </c>
      <c r="F19" s="102">
        <f>TrRoad_act!F$20</f>
        <v>3930.5992231597374</v>
      </c>
      <c r="G19" s="102">
        <f>TrRoad_act!G$20</f>
        <v>4021.1339866510702</v>
      </c>
      <c r="H19" s="102">
        <f>TrRoad_act!H$20</f>
        <v>3998.5577623247773</v>
      </c>
      <c r="I19" s="102">
        <f>TrRoad_act!I$20</f>
        <v>4035.6065148862413</v>
      </c>
      <c r="J19" s="102">
        <f>TrRoad_act!J$20</f>
        <v>4111.6384770579043</v>
      </c>
      <c r="K19" s="102">
        <f>TrRoad_act!K$20</f>
        <v>3940.5856815477732</v>
      </c>
      <c r="L19" s="102">
        <f>TrRoad_act!L$20</f>
        <v>3970.0811840445517</v>
      </c>
      <c r="M19" s="102">
        <f>TrRoad_act!M$20</f>
        <v>4022.6649877182022</v>
      </c>
      <c r="N19" s="102">
        <f>TrRoad_act!N$20</f>
        <v>3871.3205407909236</v>
      </c>
      <c r="O19" s="102">
        <f>TrRoad_act!O$20</f>
        <v>3751.782584704496</v>
      </c>
      <c r="P19" s="102">
        <f>TrRoad_act!P$20</f>
        <v>3636.7845804831709</v>
      </c>
      <c r="Q19" s="102">
        <f>TrRoad_act!Q$20</f>
        <v>3784.1069228035121</v>
      </c>
      <c r="R19" s="102">
        <f>TrRoad_act!R$20</f>
        <v>3889.6463275295373</v>
      </c>
      <c r="S19" s="102">
        <f>TrRoad_act!S$20</f>
        <v>3977.6461164732091</v>
      </c>
      <c r="T19" s="102">
        <f>TrRoad_act!T$20</f>
        <v>4010.2988685312303</v>
      </c>
      <c r="U19" s="102">
        <f>TrRoad_act!U$20</f>
        <v>4019.3083847086755</v>
      </c>
      <c r="V19" s="102">
        <f>TrRoad_act!V$20</f>
        <v>3924.2069087103177</v>
      </c>
      <c r="W19" s="102">
        <f>TrRoad_act!W$20</f>
        <v>4095.2558671667803</v>
      </c>
      <c r="X19" s="102">
        <f>TrRoad_act!X$20</f>
        <v>4077.4000812853246</v>
      </c>
      <c r="Y19" s="102">
        <f>TrRoad_act!Y$20</f>
        <v>4067.79176109746</v>
      </c>
      <c r="DA19" s="175" t="s">
        <v>382</v>
      </c>
    </row>
    <row r="20" spans="1:105" ht="11.45" customHeight="1" x14ac:dyDescent="0.25">
      <c r="A20" s="128" t="str">
        <f>TrRoad_act!$A$26</f>
        <v>Heavy goods vehicles</v>
      </c>
      <c r="B20" s="102">
        <f>TrRoad_act!B$26</f>
        <v>44471.621489468656</v>
      </c>
      <c r="C20" s="102">
        <f>TrRoad_act!C$26</f>
        <v>44854.181569380577</v>
      </c>
      <c r="D20" s="102">
        <f>TrRoad_act!D$26</f>
        <v>44927.67657300819</v>
      </c>
      <c r="E20" s="102">
        <f>TrRoad_act!E$26</f>
        <v>46693.01826542693</v>
      </c>
      <c r="F20" s="102">
        <f>TrRoad_act!F$26</f>
        <v>51241.549975380403</v>
      </c>
      <c r="G20" s="102">
        <f>TrRoad_act!G$26</f>
        <v>49746.290616969462</v>
      </c>
      <c r="H20" s="102">
        <f>TrRoad_act!H$26</f>
        <v>50083.234522714592</v>
      </c>
      <c r="I20" s="102">
        <f>TrRoad_act!I$26</f>
        <v>49985.052920931601</v>
      </c>
      <c r="J20" s="102">
        <f>TrRoad_act!J$26</f>
        <v>51369.646436130206</v>
      </c>
      <c r="K20" s="102">
        <f>TrRoad_act!K$26</f>
        <v>48981.111527442743</v>
      </c>
      <c r="L20" s="102">
        <f>TrRoad_act!L$26</f>
        <v>49170.720022948393</v>
      </c>
      <c r="M20" s="102">
        <f>TrRoad_act!M$26</f>
        <v>49140.716806790835</v>
      </c>
      <c r="N20" s="102">
        <f>TrRoad_act!N$26</f>
        <v>47017.593275768981</v>
      </c>
      <c r="O20" s="102">
        <f>TrRoad_act!O$26</f>
        <v>50997.288204977005</v>
      </c>
      <c r="P20" s="102">
        <f>TrRoad_act!P$26</f>
        <v>51542.722008564531</v>
      </c>
      <c r="Q20" s="102">
        <f>TrRoad_act!Q$26</f>
        <v>51708.573289029773</v>
      </c>
      <c r="R20" s="102">
        <f>TrRoad_act!R$26</f>
        <v>54811.240178164779</v>
      </c>
      <c r="S20" s="102">
        <f>TrRoad_act!S$26</f>
        <v>54251.892052395982</v>
      </c>
      <c r="T20" s="102">
        <f>TrRoad_act!T$26</f>
        <v>55135</v>
      </c>
      <c r="U20" s="102">
        <f>TrRoad_act!U$26</f>
        <v>57072</v>
      </c>
      <c r="V20" s="102">
        <f>TrRoad_act!V$26</f>
        <v>56943</v>
      </c>
      <c r="W20" s="102">
        <f>TrRoad_act!W$26</f>
        <v>58439</v>
      </c>
      <c r="X20" s="102">
        <f>TrRoad_act!X$26</f>
        <v>57014</v>
      </c>
      <c r="Y20" s="102">
        <f>TrRoad_act!Y$26</f>
        <v>53741</v>
      </c>
      <c r="DA20" s="175" t="s">
        <v>383</v>
      </c>
    </row>
    <row r="21" spans="1:105" ht="11.45" customHeight="1" x14ac:dyDescent="0.25">
      <c r="A21" s="109" t="s">
        <v>29</v>
      </c>
      <c r="B21" s="110">
        <f>TrRail_act!B$10</f>
        <v>4522</v>
      </c>
      <c r="C21" s="110">
        <f>TrRail_act!C$10</f>
        <v>4293</v>
      </c>
      <c r="D21" s="110">
        <f>TrRail_act!D$10</f>
        <v>4024</v>
      </c>
      <c r="E21" s="110">
        <f>TrRail_act!E$10</f>
        <v>4705</v>
      </c>
      <c r="F21" s="110">
        <f>TrRail_act!F$10</f>
        <v>5831</v>
      </c>
      <c r="G21" s="110">
        <f>TrRail_act!G$10</f>
        <v>5865</v>
      </c>
      <c r="H21" s="110">
        <f>TrRail_act!H$10</f>
        <v>6289</v>
      </c>
      <c r="I21" s="110">
        <f>TrRail_act!I$10</f>
        <v>7216</v>
      </c>
      <c r="J21" s="110">
        <f>TrRail_act!J$10</f>
        <v>6984</v>
      </c>
      <c r="K21" s="110">
        <f>TrRail_act!K$10</f>
        <v>5578</v>
      </c>
      <c r="L21" s="110">
        <f>TrRail_act!L$10</f>
        <v>5925</v>
      </c>
      <c r="M21" s="110">
        <f>TrRail_act!M$10</f>
        <v>6378</v>
      </c>
      <c r="N21" s="110">
        <f>TrRail_act!N$10</f>
        <v>6142</v>
      </c>
      <c r="O21" s="110">
        <f>TrRail_act!O$10</f>
        <v>6078</v>
      </c>
      <c r="P21" s="110">
        <f>TrRail_act!P$10</f>
        <v>6169</v>
      </c>
      <c r="Q21" s="110">
        <f>TrRail_act!Q$10</f>
        <v>6545</v>
      </c>
      <c r="R21" s="110">
        <f>TrRail_act!R$10</f>
        <v>6641</v>
      </c>
      <c r="S21" s="110">
        <f>TrRail_act!S$10</f>
        <v>6467</v>
      </c>
      <c r="T21" s="110">
        <f>TrRail_act!T$10</f>
        <v>7023</v>
      </c>
      <c r="U21" s="110">
        <f>TrRail_act!U$10</f>
        <v>7080</v>
      </c>
      <c r="V21" s="110">
        <f>TrRail_act!V$10</f>
        <v>6665</v>
      </c>
      <c r="W21" s="110">
        <f>TrRail_act!W$10</f>
        <v>7188</v>
      </c>
      <c r="X21" s="110">
        <f>TrRail_act!X$10</f>
        <v>7176</v>
      </c>
      <c r="Y21" s="110">
        <f>TrRail_act!Y$10</f>
        <v>6493</v>
      </c>
      <c r="DA21" s="176" t="s">
        <v>384</v>
      </c>
    </row>
    <row r="22" spans="1:105" ht="11.45" customHeight="1" x14ac:dyDescent="0.25">
      <c r="A22" s="109" t="s">
        <v>26</v>
      </c>
      <c r="B22" s="110">
        <f t="shared" ref="B22" si="18">B23+B24+B25</f>
        <v>4549.7709823072964</v>
      </c>
      <c r="C22" s="110">
        <f t="shared" ref="C22:V22" si="19">C23+C24+C25</f>
        <v>4666.5025786428214</v>
      </c>
      <c r="D22" s="110">
        <f t="shared" si="19"/>
        <v>4685.1459534893793</v>
      </c>
      <c r="E22" s="110">
        <f t="shared" si="19"/>
        <v>4772.2915841372505</v>
      </c>
      <c r="F22" s="110">
        <f t="shared" si="19"/>
        <v>4882.1071960326672</v>
      </c>
      <c r="G22" s="110">
        <f t="shared" si="19"/>
        <v>5031.2329217968336</v>
      </c>
      <c r="H22" s="110">
        <f t="shared" si="19"/>
        <v>5383.282478076504</v>
      </c>
      <c r="I22" s="110">
        <f t="shared" si="19"/>
        <v>5227.2085265577007</v>
      </c>
      <c r="J22" s="110">
        <f t="shared" si="19"/>
        <v>5358.2576692793828</v>
      </c>
      <c r="K22" s="110">
        <f t="shared" si="19"/>
        <v>4483.5369043042674</v>
      </c>
      <c r="L22" s="110">
        <f t="shared" si="19"/>
        <v>5312.049901444565</v>
      </c>
      <c r="M22" s="110">
        <f t="shared" si="19"/>
        <v>5308.3229412615456</v>
      </c>
      <c r="N22" s="110">
        <f t="shared" si="19"/>
        <v>4897.1048929158624</v>
      </c>
      <c r="O22" s="110">
        <f t="shared" si="19"/>
        <v>5046.1983557970661</v>
      </c>
      <c r="P22" s="110">
        <f t="shared" si="19"/>
        <v>5504.9856774165473</v>
      </c>
      <c r="Q22" s="110">
        <f t="shared" si="19"/>
        <v>5566.2651935874801</v>
      </c>
      <c r="R22" s="110">
        <f t="shared" si="19"/>
        <v>5488.711507284389</v>
      </c>
      <c r="S22" s="110">
        <f t="shared" si="19"/>
        <v>6015.1879195803594</v>
      </c>
      <c r="T22" s="110">
        <f t="shared" si="19"/>
        <v>6046.6194163641585</v>
      </c>
      <c r="U22" s="110">
        <f t="shared" si="19"/>
        <v>5604.3659229263658</v>
      </c>
      <c r="V22" s="110">
        <f t="shared" si="19"/>
        <v>5129.9310224493856</v>
      </c>
      <c r="W22" s="110">
        <f t="shared" ref="W22:Y22" si="20">W23+W24+W25</f>
        <v>5985.4466169555699</v>
      </c>
      <c r="X22" s="110">
        <f t="shared" si="20"/>
        <v>5615.4366153033516</v>
      </c>
      <c r="Y22" s="110">
        <f t="shared" si="20"/>
        <v>5106.3850890883414</v>
      </c>
      <c r="DA22" s="176" t="s">
        <v>194</v>
      </c>
    </row>
    <row r="23" spans="1:105" ht="11.45" customHeight="1" x14ac:dyDescent="0.25">
      <c r="A23" s="128" t="s">
        <v>27</v>
      </c>
      <c r="B23" s="102">
        <f>TrAvia_act!B$9</f>
        <v>0</v>
      </c>
      <c r="C23" s="102">
        <f>TrAvia_act!C$9</f>
        <v>0</v>
      </c>
      <c r="D23" s="102">
        <f>TrAvia_act!D$9</f>
        <v>0</v>
      </c>
      <c r="E23" s="102">
        <f>TrAvia_act!E$9</f>
        <v>0</v>
      </c>
      <c r="F23" s="102">
        <f>TrAvia_act!F$9</f>
        <v>0</v>
      </c>
      <c r="G23" s="102">
        <f>TrAvia_act!G$9</f>
        <v>0</v>
      </c>
      <c r="H23" s="102">
        <f>TrAvia_act!H$9</f>
        <v>0</v>
      </c>
      <c r="I23" s="102">
        <f>TrAvia_act!I$9</f>
        <v>0</v>
      </c>
      <c r="J23" s="102">
        <f>TrAvia_act!J$9</f>
        <v>0</v>
      </c>
      <c r="K23" s="102">
        <f>TrAvia_act!K$9</f>
        <v>0</v>
      </c>
      <c r="L23" s="102">
        <f>TrAvia_act!L$9</f>
        <v>0</v>
      </c>
      <c r="M23" s="102">
        <f>TrAvia_act!M$9</f>
        <v>0</v>
      </c>
      <c r="N23" s="102">
        <f>TrAvia_act!N$9</f>
        <v>0</v>
      </c>
      <c r="O23" s="102">
        <f>TrAvia_act!O$9</f>
        <v>0</v>
      </c>
      <c r="P23" s="102">
        <f>TrAvia_act!P$9</f>
        <v>0</v>
      </c>
      <c r="Q23" s="102">
        <f>TrAvia_act!Q$9</f>
        <v>0</v>
      </c>
      <c r="R23" s="102">
        <f>TrAvia_act!R$9</f>
        <v>0</v>
      </c>
      <c r="S23" s="102">
        <f>TrAvia_act!S$9</f>
        <v>0</v>
      </c>
      <c r="T23" s="102">
        <f>TrAvia_act!T$9</f>
        <v>0</v>
      </c>
      <c r="U23" s="102">
        <f>TrAvia_act!U$9</f>
        <v>0</v>
      </c>
      <c r="V23" s="102">
        <f>TrAvia_act!V$9</f>
        <v>0</v>
      </c>
      <c r="W23" s="102">
        <f>TrAvia_act!W$9</f>
        <v>0</v>
      </c>
      <c r="X23" s="102">
        <f>TrAvia_act!X$9</f>
        <v>0</v>
      </c>
      <c r="Y23" s="102">
        <f>TrAvia_act!Y$9</f>
        <v>0</v>
      </c>
      <c r="DA23" s="175" t="s">
        <v>195</v>
      </c>
    </row>
    <row r="24" spans="1:105" ht="11.45" customHeight="1" x14ac:dyDescent="0.25">
      <c r="A24" s="128" t="s">
        <v>181</v>
      </c>
      <c r="B24" s="102">
        <f>TrAvia_act!B$10</f>
        <v>61.169847567912811</v>
      </c>
      <c r="C24" s="102">
        <f>TrAvia_act!C$10</f>
        <v>84.889743007706699</v>
      </c>
      <c r="D24" s="102">
        <f>TrAvia_act!D$10</f>
        <v>63.804251283246046</v>
      </c>
      <c r="E24" s="102">
        <f>TrAvia_act!E$10</f>
        <v>69.81313493736306</v>
      </c>
      <c r="F24" s="102">
        <f>TrAvia_act!F$10</f>
        <v>66.7111620126025</v>
      </c>
      <c r="G24" s="102">
        <f>TrAvia_act!G$10</f>
        <v>65.797506781098093</v>
      </c>
      <c r="H24" s="102">
        <f>TrAvia_act!H$10</f>
        <v>62.180607958113484</v>
      </c>
      <c r="I24" s="102">
        <f>TrAvia_act!I$10</f>
        <v>63.34749060095546</v>
      </c>
      <c r="J24" s="102">
        <f>TrAvia_act!J$10</f>
        <v>78.094813443058584</v>
      </c>
      <c r="K24" s="102">
        <f>TrAvia_act!K$10</f>
        <v>76.951243070667857</v>
      </c>
      <c r="L24" s="102">
        <f>TrAvia_act!L$10</f>
        <v>87.986256213073503</v>
      </c>
      <c r="M24" s="102">
        <f>TrAvia_act!M$10</f>
        <v>76.32770002886987</v>
      </c>
      <c r="N24" s="102">
        <f>TrAvia_act!N$10</f>
        <v>62.054689372928955</v>
      </c>
      <c r="O24" s="102">
        <f>TrAvia_act!O$10</f>
        <v>66.225618885580374</v>
      </c>
      <c r="P24" s="102">
        <f>TrAvia_act!P$10</f>
        <v>78.141826521101123</v>
      </c>
      <c r="Q24" s="102">
        <f>TrAvia_act!Q$10</f>
        <v>77.4942719463711</v>
      </c>
      <c r="R24" s="102">
        <f>TrAvia_act!R$10</f>
        <v>90.233605470757681</v>
      </c>
      <c r="S24" s="102">
        <f>TrAvia_act!S$10</f>
        <v>76.06550034942768</v>
      </c>
      <c r="T24" s="102">
        <f>TrAvia_act!T$10</f>
        <v>63.958386928610444</v>
      </c>
      <c r="U24" s="102">
        <f>TrAvia_act!U$10</f>
        <v>63.846314230023118</v>
      </c>
      <c r="V24" s="102">
        <f>TrAvia_act!V$10</f>
        <v>52.594517963816877</v>
      </c>
      <c r="W24" s="102">
        <f>TrAvia_act!W$10</f>
        <v>62.539866231420888</v>
      </c>
      <c r="X24" s="102">
        <f>TrAvia_act!X$10</f>
        <v>55.778463772024566</v>
      </c>
      <c r="Y24" s="102">
        <f>TrAvia_act!Y$10</f>
        <v>48.467406175023108</v>
      </c>
      <c r="DA24" s="175" t="s">
        <v>196</v>
      </c>
    </row>
    <row r="25" spans="1:105" ht="11.45" customHeight="1" x14ac:dyDescent="0.25">
      <c r="A25" s="128" t="s">
        <v>182</v>
      </c>
      <c r="B25" s="102">
        <f>TrAvia_act!B$11</f>
        <v>4488.6011347393833</v>
      </c>
      <c r="C25" s="102">
        <f>TrAvia_act!C$11</f>
        <v>4581.6128356351146</v>
      </c>
      <c r="D25" s="102">
        <f>TrAvia_act!D$11</f>
        <v>4621.341702206133</v>
      </c>
      <c r="E25" s="102">
        <f>TrAvia_act!E$11</f>
        <v>4702.4784491998871</v>
      </c>
      <c r="F25" s="102">
        <f>TrAvia_act!F$11</f>
        <v>4815.3960340200647</v>
      </c>
      <c r="G25" s="102">
        <f>TrAvia_act!G$11</f>
        <v>4965.4354150157351</v>
      </c>
      <c r="H25" s="102">
        <f>TrAvia_act!H$11</f>
        <v>5321.1018701183903</v>
      </c>
      <c r="I25" s="102">
        <f>TrAvia_act!I$11</f>
        <v>5163.8610359567456</v>
      </c>
      <c r="J25" s="102">
        <f>TrAvia_act!J$11</f>
        <v>5280.1628558363245</v>
      </c>
      <c r="K25" s="102">
        <f>TrAvia_act!K$11</f>
        <v>4406.5856612335992</v>
      </c>
      <c r="L25" s="102">
        <f>TrAvia_act!L$11</f>
        <v>5224.0636452314911</v>
      </c>
      <c r="M25" s="102">
        <f>TrAvia_act!M$11</f>
        <v>5231.9952412326757</v>
      </c>
      <c r="N25" s="102">
        <f>TrAvia_act!N$11</f>
        <v>4835.0502035429336</v>
      </c>
      <c r="O25" s="102">
        <f>TrAvia_act!O$11</f>
        <v>4979.9727369114862</v>
      </c>
      <c r="P25" s="102">
        <f>TrAvia_act!P$11</f>
        <v>5426.8438508954459</v>
      </c>
      <c r="Q25" s="102">
        <f>TrAvia_act!Q$11</f>
        <v>5488.7709216411085</v>
      </c>
      <c r="R25" s="102">
        <f>TrAvia_act!R$11</f>
        <v>5398.4779018136314</v>
      </c>
      <c r="S25" s="102">
        <f>TrAvia_act!S$11</f>
        <v>5939.1224192309319</v>
      </c>
      <c r="T25" s="102">
        <f>TrAvia_act!T$11</f>
        <v>5982.6610294355478</v>
      </c>
      <c r="U25" s="102">
        <f>TrAvia_act!U$11</f>
        <v>5540.5196086963424</v>
      </c>
      <c r="V25" s="102">
        <f>TrAvia_act!V$11</f>
        <v>5077.3365044855691</v>
      </c>
      <c r="W25" s="102">
        <f>TrAvia_act!W$11</f>
        <v>5922.9067507241489</v>
      </c>
      <c r="X25" s="102">
        <f>TrAvia_act!X$11</f>
        <v>5559.6581515313273</v>
      </c>
      <c r="Y25" s="102">
        <f>TrAvia_act!Y$11</f>
        <v>5057.9176829133185</v>
      </c>
      <c r="DA25" s="175" t="s">
        <v>197</v>
      </c>
    </row>
    <row r="26" spans="1:105" ht="11.45" customHeight="1" x14ac:dyDescent="0.25">
      <c r="A26" s="109" t="s">
        <v>141</v>
      </c>
      <c r="B26" s="110">
        <f t="shared" ref="B26:Q26" si="21">B27+B28</f>
        <v>41285.409</v>
      </c>
      <c r="C26" s="110">
        <f t="shared" si="21"/>
        <v>41806.741000000002</v>
      </c>
      <c r="D26" s="110">
        <f t="shared" si="21"/>
        <v>40996.849000000002</v>
      </c>
      <c r="E26" s="110">
        <f t="shared" si="21"/>
        <v>39045.567999999999</v>
      </c>
      <c r="F26" s="110">
        <f t="shared" si="21"/>
        <v>43065.902000000002</v>
      </c>
      <c r="G26" s="110">
        <f t="shared" si="21"/>
        <v>42251.942000000003</v>
      </c>
      <c r="H26" s="110">
        <f t="shared" si="21"/>
        <v>42235.853000000003</v>
      </c>
      <c r="I26" s="110">
        <f t="shared" si="21"/>
        <v>46510.224999999999</v>
      </c>
      <c r="J26" s="110">
        <f t="shared" si="21"/>
        <v>46259.752999999997</v>
      </c>
      <c r="K26" s="110">
        <f t="shared" si="21"/>
        <v>37887.330999999998</v>
      </c>
      <c r="L26" s="110">
        <f t="shared" si="21"/>
        <v>46591.43</v>
      </c>
      <c r="M26" s="110">
        <f t="shared" si="21"/>
        <v>46492.169000000002</v>
      </c>
      <c r="N26" s="110">
        <f t="shared" si="21"/>
        <v>47564.614000000001</v>
      </c>
      <c r="O26" s="110">
        <f t="shared" si="21"/>
        <v>48652.112999999998</v>
      </c>
      <c r="P26" s="110">
        <f t="shared" si="21"/>
        <v>49325.353999999999</v>
      </c>
      <c r="Q26" s="110">
        <f t="shared" si="21"/>
        <v>48581.078000000001</v>
      </c>
      <c r="R26" s="110">
        <f t="shared" ref="R26:V26" si="22">R27+R28</f>
        <v>48849.392999999996</v>
      </c>
      <c r="S26" s="110">
        <f t="shared" si="22"/>
        <v>49072.838000000003</v>
      </c>
      <c r="T26" s="110">
        <f t="shared" si="22"/>
        <v>46968.654000000002</v>
      </c>
      <c r="U26" s="110">
        <f t="shared" si="22"/>
        <v>47080.563000000002</v>
      </c>
      <c r="V26" s="110">
        <f t="shared" si="22"/>
        <v>45244.006000000001</v>
      </c>
      <c r="W26" s="110">
        <f t="shared" ref="W26:Y26" si="23">W27+W28</f>
        <v>47448.449000000001</v>
      </c>
      <c r="X26" s="110">
        <f t="shared" si="23"/>
        <v>44620.042999999998</v>
      </c>
      <c r="Y26" s="110">
        <f t="shared" si="23"/>
        <v>41706.302000000003</v>
      </c>
      <c r="DA26" s="176" t="s">
        <v>385</v>
      </c>
    </row>
    <row r="27" spans="1:105" ht="11.45" customHeight="1" x14ac:dyDescent="0.25">
      <c r="A27" s="128" t="str">
        <f>TrNavi_act!$A$4</f>
        <v>Domestic coastal shipping</v>
      </c>
      <c r="B27" s="102">
        <f>TrNavi_act!B4</f>
        <v>14.409000000000001</v>
      </c>
      <c r="C27" s="102">
        <f>TrNavi_act!C4</f>
        <v>13.741</v>
      </c>
      <c r="D27" s="102">
        <f>TrNavi_act!D4</f>
        <v>13.849</v>
      </c>
      <c r="E27" s="102">
        <f>TrNavi_act!E4</f>
        <v>14.568</v>
      </c>
      <c r="F27" s="102">
        <f>TrNavi_act!F4</f>
        <v>16.902000000000001</v>
      </c>
      <c r="G27" s="102">
        <f>TrNavi_act!G4</f>
        <v>18.942</v>
      </c>
      <c r="H27" s="102">
        <f>TrNavi_act!H4</f>
        <v>20.853000000000002</v>
      </c>
      <c r="I27" s="102">
        <f>TrNavi_act!I4</f>
        <v>24.225000000000001</v>
      </c>
      <c r="J27" s="102">
        <f>TrNavi_act!J4</f>
        <v>25.753</v>
      </c>
      <c r="K27" s="102">
        <f>TrNavi_act!K4</f>
        <v>24.331</v>
      </c>
      <c r="L27" s="102">
        <f>TrNavi_act!L4</f>
        <v>29.43</v>
      </c>
      <c r="M27" s="102">
        <f>TrNavi_act!M4</f>
        <v>30.169</v>
      </c>
      <c r="N27" s="102">
        <f>TrNavi_act!N4</f>
        <v>31.614000000000001</v>
      </c>
      <c r="O27" s="102">
        <f>TrNavi_act!O4</f>
        <v>25.113</v>
      </c>
      <c r="P27" s="102">
        <f>TrNavi_act!P4</f>
        <v>30.353999999999999</v>
      </c>
      <c r="Q27" s="102">
        <f>TrNavi_act!Q4</f>
        <v>46.078000000000003</v>
      </c>
      <c r="R27" s="102">
        <f>TrNavi_act!R4</f>
        <v>51.393000000000001</v>
      </c>
      <c r="S27" s="102">
        <f>TrNavi_act!S4</f>
        <v>57.838000000000001</v>
      </c>
      <c r="T27" s="102">
        <f>TrNavi_act!T4</f>
        <v>76.653999999999996</v>
      </c>
      <c r="U27" s="102">
        <f>TrNavi_act!U4</f>
        <v>87.563000000000002</v>
      </c>
      <c r="V27" s="102">
        <f>TrNavi_act!V4</f>
        <v>78.006</v>
      </c>
      <c r="W27" s="102">
        <f>TrNavi_act!W4</f>
        <v>54.448999999999998</v>
      </c>
      <c r="X27" s="102">
        <f>TrNavi_act!X4</f>
        <v>69.043000000000006</v>
      </c>
      <c r="Y27" s="102">
        <f>TrNavi_act!Y4</f>
        <v>75.302000000000007</v>
      </c>
      <c r="DA27" s="175" t="s">
        <v>386</v>
      </c>
    </row>
    <row r="28" spans="1:105" ht="11.45" customHeight="1" x14ac:dyDescent="0.25">
      <c r="A28" s="166" t="str">
        <f>TrNavi_act!$A$5</f>
        <v>Inland waterways</v>
      </c>
      <c r="B28" s="169">
        <f>TrNavi_act!B5</f>
        <v>41271</v>
      </c>
      <c r="C28" s="169">
        <f>TrNavi_act!C5</f>
        <v>41793</v>
      </c>
      <c r="D28" s="169">
        <f>TrNavi_act!D5</f>
        <v>40983</v>
      </c>
      <c r="E28" s="169">
        <f>TrNavi_act!E5</f>
        <v>39031</v>
      </c>
      <c r="F28" s="169">
        <f>TrNavi_act!F5</f>
        <v>43049</v>
      </c>
      <c r="G28" s="169">
        <f>TrNavi_act!G5</f>
        <v>42233</v>
      </c>
      <c r="H28" s="169">
        <f>TrNavi_act!H5</f>
        <v>42215</v>
      </c>
      <c r="I28" s="169">
        <f>TrNavi_act!I5</f>
        <v>46486</v>
      </c>
      <c r="J28" s="169">
        <f>TrNavi_act!J5</f>
        <v>46234</v>
      </c>
      <c r="K28" s="169">
        <f>TrNavi_act!K5</f>
        <v>37863</v>
      </c>
      <c r="L28" s="169">
        <f>TrNavi_act!L5</f>
        <v>46562</v>
      </c>
      <c r="M28" s="169">
        <f>TrNavi_act!M5</f>
        <v>46462</v>
      </c>
      <c r="N28" s="169">
        <f>TrNavi_act!N5</f>
        <v>47533</v>
      </c>
      <c r="O28" s="169">
        <f>TrNavi_act!O5</f>
        <v>48627</v>
      </c>
      <c r="P28" s="169">
        <f>TrNavi_act!P5</f>
        <v>49295</v>
      </c>
      <c r="Q28" s="169">
        <f>TrNavi_act!Q5</f>
        <v>48535</v>
      </c>
      <c r="R28" s="169">
        <f>TrNavi_act!R5</f>
        <v>48798</v>
      </c>
      <c r="S28" s="169">
        <f>TrNavi_act!S5</f>
        <v>49015</v>
      </c>
      <c r="T28" s="169">
        <f>TrNavi_act!T5</f>
        <v>46892</v>
      </c>
      <c r="U28" s="169">
        <f>TrNavi_act!U5</f>
        <v>46993</v>
      </c>
      <c r="V28" s="169">
        <f>TrNavi_act!V5</f>
        <v>45166</v>
      </c>
      <c r="W28" s="169">
        <f>TrNavi_act!W5</f>
        <v>47394</v>
      </c>
      <c r="X28" s="169">
        <f>TrNavi_act!X5</f>
        <v>44551</v>
      </c>
      <c r="Y28" s="169">
        <f>TrNavi_act!Y5</f>
        <v>41631</v>
      </c>
      <c r="DA28" s="177" t="s">
        <v>387</v>
      </c>
    </row>
    <row r="29" spans="1:105" ht="11.45" customHeight="1" x14ac:dyDescent="0.25">
      <c r="A29" s="27" t="s">
        <v>170</v>
      </c>
      <c r="B29" s="28">
        <f t="shared" ref="B29:W29" si="24">B30+B31</f>
        <v>1425829.755079</v>
      </c>
      <c r="C29" s="28">
        <f t="shared" si="24"/>
        <v>1405452.462202</v>
      </c>
      <c r="D29" s="28">
        <f t="shared" si="24"/>
        <v>1418649.3495829999</v>
      </c>
      <c r="E29" s="28">
        <f t="shared" si="24"/>
        <v>1431216.3752230001</v>
      </c>
      <c r="F29" s="28">
        <f t="shared" si="24"/>
        <v>1521083.40711</v>
      </c>
      <c r="G29" s="28">
        <f t="shared" si="24"/>
        <v>1625727.0990980002</v>
      </c>
      <c r="H29" s="28">
        <f t="shared" si="24"/>
        <v>1699342.068885</v>
      </c>
      <c r="I29" s="28">
        <f t="shared" si="24"/>
        <v>1803464.1262359999</v>
      </c>
      <c r="J29" s="28">
        <f t="shared" si="24"/>
        <v>1909604.3617489999</v>
      </c>
      <c r="K29" s="28">
        <f t="shared" si="24"/>
        <v>1660241.7556649998</v>
      </c>
      <c r="L29" s="28">
        <f t="shared" si="24"/>
        <v>1788266.8077160001</v>
      </c>
      <c r="M29" s="28">
        <f t="shared" si="24"/>
        <v>1937410.9227120001</v>
      </c>
      <c r="N29" s="28">
        <f t="shared" si="24"/>
        <v>1958327.812832</v>
      </c>
      <c r="O29" s="28">
        <f t="shared" si="24"/>
        <v>1927767.1762099999</v>
      </c>
      <c r="P29" s="28">
        <f t="shared" si="24"/>
        <v>2007574.2927380002</v>
      </c>
      <c r="Q29" s="28">
        <f t="shared" si="24"/>
        <v>2039927.4794949999</v>
      </c>
      <c r="R29" s="28">
        <f t="shared" si="24"/>
        <v>2014682.214567</v>
      </c>
      <c r="S29" s="28">
        <f t="shared" si="24"/>
        <v>2041435.3229779999</v>
      </c>
      <c r="T29" s="28">
        <f t="shared" si="24"/>
        <v>2020853.3803590001</v>
      </c>
      <c r="U29" s="28">
        <f t="shared" si="24"/>
        <v>1991035.6287749999</v>
      </c>
      <c r="V29" s="28">
        <f t="shared" si="24"/>
        <v>1791629.7819119999</v>
      </c>
      <c r="W29" s="28">
        <f t="shared" si="24"/>
        <v>1927887.881363</v>
      </c>
      <c r="X29" s="28">
        <f t="shared" ref="X29:Y29" si="25">X30+X31</f>
        <v>2014600.682633</v>
      </c>
      <c r="Y29" s="28">
        <f t="shared" si="25"/>
        <v>1867808.6822589999</v>
      </c>
      <c r="DA29" s="173" t="s">
        <v>388</v>
      </c>
    </row>
    <row r="30" spans="1:105" ht="11.45" customHeight="1" x14ac:dyDescent="0.25">
      <c r="A30" s="128" t="s">
        <v>166</v>
      </c>
      <c r="B30" s="102">
        <f>MBunk_act!B$4</f>
        <v>94601.033876000001</v>
      </c>
      <c r="C30" s="102">
        <f>MBunk_act!C$4</f>
        <v>92289.525219000003</v>
      </c>
      <c r="D30" s="102">
        <f>MBunk_act!D$4</f>
        <v>94843.520669000005</v>
      </c>
      <c r="E30" s="102">
        <f>MBunk_act!E$4</f>
        <v>92337.272712999998</v>
      </c>
      <c r="F30" s="102">
        <f>MBunk_act!F$4</f>
        <v>97763.616949999996</v>
      </c>
      <c r="G30" s="102">
        <f>MBunk_act!G$4</f>
        <v>91424.384980999996</v>
      </c>
      <c r="H30" s="102">
        <f>MBunk_act!H$4</f>
        <v>89925.031071000005</v>
      </c>
      <c r="I30" s="102">
        <f>MBunk_act!I$4</f>
        <v>93735.807945000008</v>
      </c>
      <c r="J30" s="102">
        <f>MBunk_act!J$4</f>
        <v>91687.35349400001</v>
      </c>
      <c r="K30" s="102">
        <f>MBunk_act!K$4</f>
        <v>98345.730855000002</v>
      </c>
      <c r="L30" s="102">
        <f>MBunk_act!L$4</f>
        <v>112189.20738399999</v>
      </c>
      <c r="M30" s="102">
        <f>MBunk_act!M$4</f>
        <v>107291.387323</v>
      </c>
      <c r="N30" s="102">
        <f>MBunk_act!N$4</f>
        <v>107789.28956599999</v>
      </c>
      <c r="O30" s="102">
        <f>MBunk_act!O$4</f>
        <v>107857.71390300001</v>
      </c>
      <c r="P30" s="102">
        <f>MBunk_act!P$4</f>
        <v>114307.331582</v>
      </c>
      <c r="Q30" s="102">
        <f>MBunk_act!Q$4</f>
        <v>110636.42813300001</v>
      </c>
      <c r="R30" s="102">
        <f>MBunk_act!R$4</f>
        <v>102711.777433</v>
      </c>
      <c r="S30" s="102">
        <f>MBunk_act!S$4</f>
        <v>102209.260398</v>
      </c>
      <c r="T30" s="102">
        <f>MBunk_act!T$4</f>
        <v>105826.32567199999</v>
      </c>
      <c r="U30" s="102">
        <f>MBunk_act!U$4</f>
        <v>107255.711612</v>
      </c>
      <c r="V30" s="102">
        <f>MBunk_act!V$4</f>
        <v>103578.60172499999</v>
      </c>
      <c r="W30" s="102">
        <f>MBunk_act!W$4</f>
        <v>104064.804672</v>
      </c>
      <c r="X30" s="102">
        <f>MBunk_act!X$4</f>
        <v>109867.10468600001</v>
      </c>
      <c r="Y30" s="102">
        <f>MBunk_act!Y$4</f>
        <v>113857.09896</v>
      </c>
      <c r="DA30" s="175" t="s">
        <v>389</v>
      </c>
    </row>
    <row r="31" spans="1:105" ht="11.45" customHeight="1" x14ac:dyDescent="0.25">
      <c r="A31" s="138" t="s">
        <v>167</v>
      </c>
      <c r="B31" s="86">
        <f>MBunk_act!B$5</f>
        <v>1331228.7212030001</v>
      </c>
      <c r="C31" s="86">
        <f>MBunk_act!C$5</f>
        <v>1313162.936983</v>
      </c>
      <c r="D31" s="86">
        <f>MBunk_act!D$5</f>
        <v>1323805.828914</v>
      </c>
      <c r="E31" s="86">
        <f>MBunk_act!E$5</f>
        <v>1338879.1025100001</v>
      </c>
      <c r="F31" s="86">
        <f>MBunk_act!F$5</f>
        <v>1423319.7901600001</v>
      </c>
      <c r="G31" s="86">
        <f>MBunk_act!G$5</f>
        <v>1534302.7141170001</v>
      </c>
      <c r="H31" s="86">
        <f>MBunk_act!H$5</f>
        <v>1609417.0378139999</v>
      </c>
      <c r="I31" s="86">
        <f>MBunk_act!I$5</f>
        <v>1709728.3182909999</v>
      </c>
      <c r="J31" s="86">
        <f>MBunk_act!J$5</f>
        <v>1817917.008255</v>
      </c>
      <c r="K31" s="86">
        <f>MBunk_act!K$5</f>
        <v>1561896.0248099999</v>
      </c>
      <c r="L31" s="86">
        <f>MBunk_act!L$5</f>
        <v>1676077.6003320001</v>
      </c>
      <c r="M31" s="86">
        <f>MBunk_act!M$5</f>
        <v>1830119.5353890001</v>
      </c>
      <c r="N31" s="86">
        <f>MBunk_act!N$5</f>
        <v>1850538.523266</v>
      </c>
      <c r="O31" s="86">
        <f>MBunk_act!O$5</f>
        <v>1819909.4623069998</v>
      </c>
      <c r="P31" s="86">
        <f>MBunk_act!P$5</f>
        <v>1893266.9611560002</v>
      </c>
      <c r="Q31" s="86">
        <f>MBunk_act!Q$5</f>
        <v>1929291.0513619999</v>
      </c>
      <c r="R31" s="86">
        <f>MBunk_act!R$5</f>
        <v>1911970.437134</v>
      </c>
      <c r="S31" s="86">
        <f>MBunk_act!S$5</f>
        <v>1939226.0625799999</v>
      </c>
      <c r="T31" s="86">
        <f>MBunk_act!T$5</f>
        <v>1915027.0546870001</v>
      </c>
      <c r="U31" s="86">
        <f>MBunk_act!U$5</f>
        <v>1883779.917163</v>
      </c>
      <c r="V31" s="86">
        <f>MBunk_act!V$5</f>
        <v>1688051.180187</v>
      </c>
      <c r="W31" s="86">
        <f>MBunk_act!W$5</f>
        <v>1823823.076691</v>
      </c>
      <c r="X31" s="86">
        <f>MBunk_act!X$5</f>
        <v>1904733.577947</v>
      </c>
      <c r="Y31" s="86">
        <f>MBunk_act!Y$5</f>
        <v>1753951.5832989998</v>
      </c>
      <c r="DA31" s="178" t="s">
        <v>390</v>
      </c>
    </row>
    <row r="32" spans="1:105" ht="11.45" customHeight="1" x14ac:dyDescent="0.25">
      <c r="A32" s="106"/>
      <c r="B32" s="106"/>
      <c r="C32" s="106"/>
      <c r="D32" s="106"/>
      <c r="E32" s="106"/>
      <c r="F32" s="106"/>
      <c r="G32" s="106"/>
      <c r="H32" s="106"/>
      <c r="I32" s="106"/>
      <c r="J32" s="106"/>
      <c r="K32" s="106"/>
      <c r="L32" s="106"/>
      <c r="M32" s="106"/>
      <c r="N32" s="106"/>
      <c r="O32" s="106"/>
      <c r="P32" s="106"/>
      <c r="Q32" s="106"/>
      <c r="R32" s="106"/>
      <c r="S32" s="106"/>
      <c r="T32" s="106"/>
      <c r="U32" s="106"/>
      <c r="V32" s="106"/>
      <c r="W32" s="106"/>
      <c r="X32" s="106"/>
      <c r="Y32" s="106"/>
      <c r="DA32" s="171"/>
    </row>
    <row r="33" spans="1:105" ht="11.45" customHeight="1" x14ac:dyDescent="0.25">
      <c r="A33" s="53" t="s">
        <v>32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27" t="s">
        <v>33</v>
      </c>
      <c r="B34" s="28">
        <f t="shared" ref="B34:Q34" si="26">B35+B39+B43</f>
        <v>9204.1980404031601</v>
      </c>
      <c r="C34" s="28">
        <f t="shared" si="26"/>
        <v>9169.4365948632167</v>
      </c>
      <c r="D34" s="28">
        <f t="shared" si="26"/>
        <v>9386.034227085338</v>
      </c>
      <c r="E34" s="28">
        <f t="shared" si="26"/>
        <v>9308.027259260456</v>
      </c>
      <c r="F34" s="28">
        <f t="shared" si="26"/>
        <v>9540.835932612863</v>
      </c>
      <c r="G34" s="28">
        <f t="shared" si="26"/>
        <v>9608.9842658721554</v>
      </c>
      <c r="H34" s="28">
        <f t="shared" si="26"/>
        <v>9742.0837942754661</v>
      </c>
      <c r="I34" s="28">
        <f t="shared" si="26"/>
        <v>9831.7206019821242</v>
      </c>
      <c r="J34" s="28">
        <f t="shared" si="26"/>
        <v>9915.0915003260889</v>
      </c>
      <c r="K34" s="28">
        <f t="shared" si="26"/>
        <v>9797.9984104594168</v>
      </c>
      <c r="L34" s="28">
        <f t="shared" si="26"/>
        <v>9608.4871531706831</v>
      </c>
      <c r="M34" s="28">
        <f t="shared" si="26"/>
        <v>9797.4413280397494</v>
      </c>
      <c r="N34" s="28">
        <f t="shared" si="26"/>
        <v>9484.4182897286228</v>
      </c>
      <c r="O34" s="28">
        <f t="shared" si="26"/>
        <v>9365.7292149335608</v>
      </c>
      <c r="P34" s="28">
        <f t="shared" si="26"/>
        <v>9301.1683698617744</v>
      </c>
      <c r="Q34" s="28">
        <f t="shared" si="26"/>
        <v>9399.0185402721254</v>
      </c>
      <c r="R34" s="28">
        <f t="shared" ref="R34:V34" si="27">R35+R39+R43</f>
        <v>9582.6230193885385</v>
      </c>
      <c r="S34" s="28">
        <f t="shared" si="27"/>
        <v>9736.1138081588415</v>
      </c>
      <c r="T34" s="28">
        <f t="shared" si="27"/>
        <v>9775.5076756545404</v>
      </c>
      <c r="U34" s="28">
        <f t="shared" si="27"/>
        <v>9705.8475215157159</v>
      </c>
      <c r="V34" s="28">
        <f t="shared" si="27"/>
        <v>6521.6825923924398</v>
      </c>
      <c r="W34" s="28">
        <f t="shared" ref="W34:Y34" si="28">W35+W39+W43</f>
        <v>7129.6775091013124</v>
      </c>
      <c r="X34" s="28">
        <f t="shared" si="28"/>
        <v>7983.220770537353</v>
      </c>
      <c r="Y34" s="28">
        <f t="shared" si="28"/>
        <v>8622.7135327654269</v>
      </c>
      <c r="DA34" s="173"/>
    </row>
    <row r="35" spans="1:105" ht="11.45" customHeight="1" x14ac:dyDescent="0.25">
      <c r="A35" s="136" t="str">
        <f>$A$5</f>
        <v>Road transport</v>
      </c>
      <c r="B35" s="137">
        <f t="shared" ref="B35:Q35" si="29">B36+B37+B38</f>
        <v>6296.6066703294955</v>
      </c>
      <c r="C35" s="137">
        <f t="shared" si="29"/>
        <v>6343.792835121897</v>
      </c>
      <c r="D35" s="137">
        <f t="shared" si="29"/>
        <v>6457.0033494891213</v>
      </c>
      <c r="E35" s="137">
        <f t="shared" si="29"/>
        <v>6479.6519312505252</v>
      </c>
      <c r="F35" s="137">
        <f t="shared" si="29"/>
        <v>6503.1710173560214</v>
      </c>
      <c r="G35" s="137">
        <f t="shared" si="29"/>
        <v>6525.9221776497498</v>
      </c>
      <c r="H35" s="137">
        <f t="shared" si="29"/>
        <v>6687.3575082942834</v>
      </c>
      <c r="I35" s="137">
        <f t="shared" si="29"/>
        <v>6751.8941456748289</v>
      </c>
      <c r="J35" s="137">
        <f t="shared" si="29"/>
        <v>6800.5886787244017</v>
      </c>
      <c r="K35" s="137">
        <f t="shared" si="29"/>
        <v>6790.0036118779335</v>
      </c>
      <c r="L35" s="137">
        <f t="shared" si="29"/>
        <v>6735.6481079670657</v>
      </c>
      <c r="M35" s="137">
        <f t="shared" si="29"/>
        <v>6742.4681265241406</v>
      </c>
      <c r="N35" s="137">
        <f t="shared" si="29"/>
        <v>6453.2275724366691</v>
      </c>
      <c r="O35" s="137">
        <f t="shared" si="29"/>
        <v>6267.5144250385847</v>
      </c>
      <c r="P35" s="137">
        <f t="shared" si="29"/>
        <v>6057.0371646036247</v>
      </c>
      <c r="Q35" s="137">
        <f t="shared" si="29"/>
        <v>5986.6629806677647</v>
      </c>
      <c r="R35" s="137">
        <f t="shared" ref="R35:V35" si="30">R36+R37+R38</f>
        <v>6020.7380980378375</v>
      </c>
      <c r="S35" s="137">
        <f t="shared" si="30"/>
        <v>6103.739358726808</v>
      </c>
      <c r="T35" s="137">
        <f t="shared" si="30"/>
        <v>6086.336125326593</v>
      </c>
      <c r="U35" s="137">
        <f t="shared" si="30"/>
        <v>6033.6340981640478</v>
      </c>
      <c r="V35" s="137">
        <f t="shared" si="30"/>
        <v>4815.1002194827142</v>
      </c>
      <c r="W35" s="137">
        <f t="shared" ref="W35:Y35" si="31">W36+W37+W38</f>
        <v>5218.2308253269721</v>
      </c>
      <c r="X35" s="137">
        <f t="shared" si="31"/>
        <v>5244.4646357498614</v>
      </c>
      <c r="Y35" s="137">
        <f t="shared" si="31"/>
        <v>5594.2874612821552</v>
      </c>
      <c r="DA35" s="174" t="s">
        <v>391</v>
      </c>
    </row>
    <row r="36" spans="1:105" ht="11.45" customHeight="1" x14ac:dyDescent="0.25">
      <c r="A36" s="128" t="str">
        <f>$A$6</f>
        <v>Powered two-wheelers</v>
      </c>
      <c r="B36" s="102">
        <f>TrRoad_ene!B$19</f>
        <v>126.94039428765539</v>
      </c>
      <c r="C36" s="102">
        <f>TrRoad_ene!C$19</f>
        <v>131.43010885359126</v>
      </c>
      <c r="D36" s="102">
        <f>TrRoad_ene!D$19</f>
        <v>134.69180979040689</v>
      </c>
      <c r="E36" s="102">
        <f>TrRoad_ene!E$19</f>
        <v>134.99136428171059</v>
      </c>
      <c r="F36" s="102">
        <f>TrRoad_ene!F$19</f>
        <v>128.10390076855765</v>
      </c>
      <c r="G36" s="102">
        <f>TrRoad_ene!G$19</f>
        <v>131.60135439648414</v>
      </c>
      <c r="H36" s="102">
        <f>TrRoad_ene!H$19</f>
        <v>137.41439891050555</v>
      </c>
      <c r="I36" s="102">
        <f>TrRoad_ene!I$19</f>
        <v>149.43198386809021</v>
      </c>
      <c r="J36" s="102">
        <f>TrRoad_ene!J$19</f>
        <v>160.25784936048382</v>
      </c>
      <c r="K36" s="102">
        <f>TrRoad_ene!K$19</f>
        <v>163.87683578522282</v>
      </c>
      <c r="L36" s="102">
        <f>TrRoad_ene!L$19</f>
        <v>164.51935773336461</v>
      </c>
      <c r="M36" s="102">
        <f>TrRoad_ene!M$19</f>
        <v>166.60225858033417</v>
      </c>
      <c r="N36" s="102">
        <f>TrRoad_ene!N$19</f>
        <v>160.74117367566163</v>
      </c>
      <c r="O36" s="102">
        <f>TrRoad_ene!O$19</f>
        <v>157.70573579876569</v>
      </c>
      <c r="P36" s="102">
        <f>TrRoad_ene!P$19</f>
        <v>150.20576569846256</v>
      </c>
      <c r="Q36" s="102">
        <f>TrRoad_ene!Q$19</f>
        <v>153.17494626930156</v>
      </c>
      <c r="R36" s="102">
        <f>TrRoad_ene!R$19</f>
        <v>154.15789032006228</v>
      </c>
      <c r="S36" s="102">
        <f>TrRoad_ene!S$19</f>
        <v>143.67968538716087</v>
      </c>
      <c r="T36" s="102">
        <f>TrRoad_ene!T$19</f>
        <v>135.35364078039763</v>
      </c>
      <c r="U36" s="102">
        <f>TrRoad_ene!U$19</f>
        <v>141.23536753641883</v>
      </c>
      <c r="V36" s="102">
        <f>TrRoad_ene!V$19</f>
        <v>125.10663494059187</v>
      </c>
      <c r="W36" s="102">
        <f>TrRoad_ene!W$19</f>
        <v>125.39159861022242</v>
      </c>
      <c r="X36" s="102">
        <f>TrRoad_ene!X$19</f>
        <v>125.6234004398997</v>
      </c>
      <c r="Y36" s="102">
        <f>TrRoad_ene!Y$19</f>
        <v>132.84137858468907</v>
      </c>
      <c r="DA36" s="175" t="s">
        <v>392</v>
      </c>
    </row>
    <row r="37" spans="1:105" ht="11.45" customHeight="1" x14ac:dyDescent="0.25">
      <c r="A37" s="128" t="str">
        <f>$A$7</f>
        <v>Passenger cars</v>
      </c>
      <c r="B37" s="102">
        <f>TrRoad_ene!B$21</f>
        <v>5806.2720643993089</v>
      </c>
      <c r="C37" s="102">
        <f>TrRoad_ene!C$21</f>
        <v>5860.0254827132885</v>
      </c>
      <c r="D37" s="102">
        <f>TrRoad_ene!D$21</f>
        <v>5973.8201029089905</v>
      </c>
      <c r="E37" s="102">
        <f>TrRoad_ene!E$21</f>
        <v>6004.835397002731</v>
      </c>
      <c r="F37" s="102">
        <f>TrRoad_ene!F$21</f>
        <v>6042.5173537022447</v>
      </c>
      <c r="G37" s="102">
        <f>TrRoad_ene!G$21</f>
        <v>6062.3474427888541</v>
      </c>
      <c r="H37" s="102">
        <f>TrRoad_ene!H$21</f>
        <v>6221.2510165273825</v>
      </c>
      <c r="I37" s="102">
        <f>TrRoad_ene!I$21</f>
        <v>6274.7466359010914</v>
      </c>
      <c r="J37" s="102">
        <f>TrRoad_ene!J$21</f>
        <v>6300.4727202689746</v>
      </c>
      <c r="K37" s="102">
        <f>TrRoad_ene!K$21</f>
        <v>6274.1346054107435</v>
      </c>
      <c r="L37" s="102">
        <f>TrRoad_ene!L$21</f>
        <v>6203.113363213688</v>
      </c>
      <c r="M37" s="102">
        <f>TrRoad_ene!M$21</f>
        <v>6213.8876387104719</v>
      </c>
      <c r="N37" s="102">
        <f>TrRoad_ene!N$21</f>
        <v>5940.4980680226272</v>
      </c>
      <c r="O37" s="102">
        <f>TrRoad_ene!O$21</f>
        <v>5790.7736816334464</v>
      </c>
      <c r="P37" s="102">
        <f>TrRoad_ene!P$21</f>
        <v>5600.8758480624338</v>
      </c>
      <c r="Q37" s="102">
        <f>TrRoad_ene!Q$21</f>
        <v>5532.6563426098737</v>
      </c>
      <c r="R37" s="102">
        <f>TrRoad_ene!R$21</f>
        <v>5559.8622117082368</v>
      </c>
      <c r="S37" s="102">
        <f>TrRoad_ene!S$21</f>
        <v>5628.7870227968278</v>
      </c>
      <c r="T37" s="102">
        <f>TrRoad_ene!T$21</f>
        <v>5642.7192011291045</v>
      </c>
      <c r="U37" s="102">
        <f>TrRoad_ene!U$21</f>
        <v>5601.2573051011177</v>
      </c>
      <c r="V37" s="102">
        <f>TrRoad_ene!V$21</f>
        <v>4462.1423644308243</v>
      </c>
      <c r="W37" s="102">
        <f>TrRoad_ene!W$21</f>
        <v>4877.2127543996166</v>
      </c>
      <c r="X37" s="102">
        <f>TrRoad_ene!X$21</f>
        <v>4905.3273566736507</v>
      </c>
      <c r="Y37" s="102">
        <f>TrRoad_ene!Y$21</f>
        <v>5250.1332940650655</v>
      </c>
      <c r="DA37" s="175" t="s">
        <v>393</v>
      </c>
    </row>
    <row r="38" spans="1:105" ht="11.45" customHeight="1" x14ac:dyDescent="0.25">
      <c r="A38" s="128" t="str">
        <f>$A$8</f>
        <v>Motor coaches, buses and trolley buses</v>
      </c>
      <c r="B38" s="102">
        <f>TrRoad_ene!B$33</f>
        <v>363.39421164253116</v>
      </c>
      <c r="C38" s="102">
        <f>TrRoad_ene!C$33</f>
        <v>352.33724355501698</v>
      </c>
      <c r="D38" s="102">
        <f>TrRoad_ene!D$33</f>
        <v>348.4914367897232</v>
      </c>
      <c r="E38" s="102">
        <f>TrRoad_ene!E$33</f>
        <v>339.8251699660828</v>
      </c>
      <c r="F38" s="102">
        <f>TrRoad_ene!F$33</f>
        <v>332.54976288521925</v>
      </c>
      <c r="G38" s="102">
        <f>TrRoad_ene!G$33</f>
        <v>331.97338046441121</v>
      </c>
      <c r="H38" s="102">
        <f>TrRoad_ene!H$33</f>
        <v>328.69209285639465</v>
      </c>
      <c r="I38" s="102">
        <f>TrRoad_ene!I$33</f>
        <v>327.7155259056467</v>
      </c>
      <c r="J38" s="102">
        <f>TrRoad_ene!J$33</f>
        <v>339.85810909494302</v>
      </c>
      <c r="K38" s="102">
        <f>TrRoad_ene!K$33</f>
        <v>351.99217068196714</v>
      </c>
      <c r="L38" s="102">
        <f>TrRoad_ene!L$33</f>
        <v>368.01538702001284</v>
      </c>
      <c r="M38" s="102">
        <f>TrRoad_ene!M$33</f>
        <v>361.97822923333479</v>
      </c>
      <c r="N38" s="102">
        <f>TrRoad_ene!N$33</f>
        <v>351.9883307383808</v>
      </c>
      <c r="O38" s="102">
        <f>TrRoad_ene!O$33</f>
        <v>319.03500760637223</v>
      </c>
      <c r="P38" s="102">
        <f>TrRoad_ene!P$33</f>
        <v>305.9555508427282</v>
      </c>
      <c r="Q38" s="102">
        <f>TrRoad_ene!Q$33</f>
        <v>300.83169178858958</v>
      </c>
      <c r="R38" s="102">
        <f>TrRoad_ene!R$33</f>
        <v>306.71799600953779</v>
      </c>
      <c r="S38" s="102">
        <f>TrRoad_ene!S$33</f>
        <v>331.27265054281929</v>
      </c>
      <c r="T38" s="102">
        <f>TrRoad_ene!T$33</f>
        <v>308.2632834170908</v>
      </c>
      <c r="U38" s="102">
        <f>TrRoad_ene!U$33</f>
        <v>291.14142552651208</v>
      </c>
      <c r="V38" s="102">
        <f>TrRoad_ene!V$33</f>
        <v>227.8512201112984</v>
      </c>
      <c r="W38" s="102">
        <f>TrRoad_ene!W$33</f>
        <v>215.62647231713308</v>
      </c>
      <c r="X38" s="102">
        <f>TrRoad_ene!X$33</f>
        <v>213.51387863631112</v>
      </c>
      <c r="Y38" s="102">
        <f>TrRoad_ene!Y$33</f>
        <v>211.31278863240072</v>
      </c>
      <c r="DA38" s="175" t="s">
        <v>394</v>
      </c>
    </row>
    <row r="39" spans="1:105" ht="11.45" customHeight="1" x14ac:dyDescent="0.25">
      <c r="A39" s="109" t="str">
        <f>$A$9</f>
        <v>Rail, metro and tram</v>
      </c>
      <c r="B39" s="110">
        <f t="shared" ref="B39:Q39" si="32">B40+B41+B42</f>
        <v>153.86490132292627</v>
      </c>
      <c r="C39" s="110">
        <f t="shared" si="32"/>
        <v>147.92613234163403</v>
      </c>
      <c r="D39" s="110">
        <f t="shared" si="32"/>
        <v>147.91085804437344</v>
      </c>
      <c r="E39" s="110">
        <f t="shared" si="32"/>
        <v>149.25415294866059</v>
      </c>
      <c r="F39" s="110">
        <f t="shared" si="32"/>
        <v>151.49463827355314</v>
      </c>
      <c r="G39" s="110">
        <f t="shared" si="32"/>
        <v>146.23725348593939</v>
      </c>
      <c r="H39" s="110">
        <f t="shared" si="32"/>
        <v>145.57312185301572</v>
      </c>
      <c r="I39" s="110">
        <f t="shared" si="32"/>
        <v>140.25061695979167</v>
      </c>
      <c r="J39" s="110">
        <f t="shared" si="32"/>
        <v>144.34996300913079</v>
      </c>
      <c r="K39" s="110">
        <f t="shared" si="32"/>
        <v>151.29448881743383</v>
      </c>
      <c r="L39" s="110">
        <f t="shared" si="32"/>
        <v>157.65878832193266</v>
      </c>
      <c r="M39" s="110">
        <f t="shared" si="32"/>
        <v>154.18601158857939</v>
      </c>
      <c r="N39" s="110">
        <f t="shared" si="32"/>
        <v>152.55150743102064</v>
      </c>
      <c r="O39" s="110">
        <f t="shared" si="32"/>
        <v>150.96127712035721</v>
      </c>
      <c r="P39" s="110">
        <f t="shared" si="32"/>
        <v>146.43628016528328</v>
      </c>
      <c r="Q39" s="110">
        <f t="shared" si="32"/>
        <v>145.81229766267771</v>
      </c>
      <c r="R39" s="110">
        <f t="shared" ref="R39:V39" si="33">R40+R41+R42</f>
        <v>151.56355820179428</v>
      </c>
      <c r="S39" s="110">
        <f t="shared" si="33"/>
        <v>153.00798895706595</v>
      </c>
      <c r="T39" s="110">
        <f t="shared" si="33"/>
        <v>152.4397167790259</v>
      </c>
      <c r="U39" s="110">
        <f t="shared" si="33"/>
        <v>153.30482312300168</v>
      </c>
      <c r="V39" s="110">
        <f t="shared" si="33"/>
        <v>135.46317997210829</v>
      </c>
      <c r="W39" s="110">
        <f t="shared" ref="W39:Y39" si="34">W40+W41+W42</f>
        <v>133.56446572809159</v>
      </c>
      <c r="X39" s="110">
        <f t="shared" si="34"/>
        <v>142.17230666679342</v>
      </c>
      <c r="Y39" s="110">
        <f t="shared" si="34"/>
        <v>145.11384657914235</v>
      </c>
      <c r="DA39" s="176" t="s">
        <v>395</v>
      </c>
    </row>
    <row r="40" spans="1:105" ht="11.45" customHeight="1" x14ac:dyDescent="0.25">
      <c r="A40" s="128" t="str">
        <f>$A$10</f>
        <v>Metro and tram, urban light rail</v>
      </c>
      <c r="B40" s="102">
        <f>TrRail_ene!B$12</f>
        <v>2.8761168700280972</v>
      </c>
      <c r="C40" s="102">
        <f>TrRail_ene!C$12</f>
        <v>2.919439873185075</v>
      </c>
      <c r="D40" s="102">
        <f>TrRail_ene!D$12</f>
        <v>2.8055777413836802</v>
      </c>
      <c r="E40" s="102">
        <f>TrRail_ene!E$12</f>
        <v>2.8555526635910708</v>
      </c>
      <c r="F40" s="102">
        <f>TrRail_ene!F$12</f>
        <v>2.9906315094960858</v>
      </c>
      <c r="G40" s="102">
        <f>TrRail_ene!G$12</f>
        <v>2.9942707451046395</v>
      </c>
      <c r="H40" s="102">
        <f>TrRail_ene!H$12</f>
        <v>3.0652487360045391</v>
      </c>
      <c r="I40" s="102">
        <f>TrRail_ene!I$12</f>
        <v>3.1679164816016514</v>
      </c>
      <c r="J40" s="102">
        <f>TrRail_ene!J$12</f>
        <v>3.2494318725002489</v>
      </c>
      <c r="K40" s="102">
        <f>TrRail_ene!K$12</f>
        <v>3.2030824694420681</v>
      </c>
      <c r="L40" s="102">
        <f>TrRail_ene!L$12</f>
        <v>3.2572063108303633</v>
      </c>
      <c r="M40" s="102">
        <f>TrRail_ene!M$12</f>
        <v>3.3289586793417532</v>
      </c>
      <c r="N40" s="102">
        <f>TrRail_ene!N$12</f>
        <v>3.0315924183822069</v>
      </c>
      <c r="O40" s="102">
        <f>TrRail_ene!O$12</f>
        <v>3.101408221296988</v>
      </c>
      <c r="P40" s="102">
        <f>TrRail_ene!P$12</f>
        <v>3.0481598238441054</v>
      </c>
      <c r="Q40" s="102">
        <f>TrRail_ene!Q$12</f>
        <v>3.3772572032453163</v>
      </c>
      <c r="R40" s="102">
        <f>TrRail_ene!R$12</f>
        <v>3.3857087433451021</v>
      </c>
      <c r="S40" s="102">
        <f>TrRail_ene!S$12</f>
        <v>3.2069604954206032</v>
      </c>
      <c r="T40" s="102">
        <f>TrRail_ene!T$12</f>
        <v>3.7278948938783869</v>
      </c>
      <c r="U40" s="102">
        <f>TrRail_ene!U$12</f>
        <v>3.714326471319747</v>
      </c>
      <c r="V40" s="102">
        <f>TrRail_ene!V$12</f>
        <v>2.4192348567230475</v>
      </c>
      <c r="W40" s="102">
        <f>TrRail_ene!W$12</f>
        <v>2.5006697930424777</v>
      </c>
      <c r="X40" s="102">
        <f>TrRail_ene!X$12</f>
        <v>2.9490018045415076</v>
      </c>
      <c r="Y40" s="102">
        <f>TrRail_ene!Y$12</f>
        <v>2.4845331619720179</v>
      </c>
      <c r="DA40" s="175" t="s">
        <v>396</v>
      </c>
    </row>
    <row r="41" spans="1:105" ht="11.45" customHeight="1" x14ac:dyDescent="0.25">
      <c r="A41" s="128" t="str">
        <f>$A$11</f>
        <v>Conventional passenger trains</v>
      </c>
      <c r="B41" s="102">
        <f>TrRail_ene!B$13</f>
        <v>150.28762266969201</v>
      </c>
      <c r="C41" s="102">
        <f>TrRail_ene!C$13</f>
        <v>143.83423900633551</v>
      </c>
      <c r="D41" s="102">
        <f>TrRail_ene!D$13</f>
        <v>143.88396238910224</v>
      </c>
      <c r="E41" s="102">
        <f>TrRail_ene!E$13</f>
        <v>142.38011871588674</v>
      </c>
      <c r="F41" s="102">
        <f>TrRail_ene!F$13</f>
        <v>144.56278407170109</v>
      </c>
      <c r="G41" s="102">
        <f>TrRail_ene!G$13</f>
        <v>139.14472828036583</v>
      </c>
      <c r="H41" s="102">
        <f>TrRail_ene!H$13</f>
        <v>138.19193692756753</v>
      </c>
      <c r="I41" s="102">
        <f>TrRail_ene!I$13</f>
        <v>132.44077158271625</v>
      </c>
      <c r="J41" s="102">
        <f>TrRail_ene!J$13</f>
        <v>136.0842564833884</v>
      </c>
      <c r="K41" s="102">
        <f>TrRail_ene!K$13</f>
        <v>146.5545186822369</v>
      </c>
      <c r="L41" s="102">
        <f>TrRail_ene!L$13</f>
        <v>152.7728465009576</v>
      </c>
      <c r="M41" s="102">
        <f>TrRail_ene!M$13</f>
        <v>149.15682122773052</v>
      </c>
      <c r="N41" s="102">
        <f>TrRail_ene!N$13</f>
        <v>147.74593508705502</v>
      </c>
      <c r="O41" s="102">
        <f>TrRail_ene!O$13</f>
        <v>145.90987463855322</v>
      </c>
      <c r="P41" s="102">
        <f>TrRail_ene!P$13</f>
        <v>142.117527181464</v>
      </c>
      <c r="Q41" s="102">
        <f>TrRail_ene!Q$13</f>
        <v>137.36309251880223</v>
      </c>
      <c r="R41" s="102">
        <f>TrRail_ene!R$13</f>
        <v>146.35856210365185</v>
      </c>
      <c r="S41" s="102">
        <f>TrRail_ene!S$13</f>
        <v>147.76980007498918</v>
      </c>
      <c r="T41" s="102">
        <f>TrRail_ene!T$13</f>
        <v>146.80896010266576</v>
      </c>
      <c r="U41" s="102">
        <f>TrRail_ene!U$13</f>
        <v>147.42146401853006</v>
      </c>
      <c r="V41" s="102">
        <f>TrRail_ene!V$13</f>
        <v>132.22831702805124</v>
      </c>
      <c r="W41" s="102">
        <f>TrRail_ene!W$13</f>
        <v>130.28425467003427</v>
      </c>
      <c r="X41" s="102">
        <f>TrRail_ene!X$13</f>
        <v>138.22267427198312</v>
      </c>
      <c r="Y41" s="102">
        <f>TrRail_ene!Y$13</f>
        <v>140.47674927187467</v>
      </c>
      <c r="DA41" s="175" t="s">
        <v>397</v>
      </c>
    </row>
    <row r="42" spans="1:105" ht="11.45" customHeight="1" x14ac:dyDescent="0.25">
      <c r="A42" s="128" t="str">
        <f>$A$12</f>
        <v>High speed passenger trains</v>
      </c>
      <c r="B42" s="102">
        <f>TrRail_ene!B$16</f>
        <v>0.70116178320616929</v>
      </c>
      <c r="C42" s="102">
        <f>TrRail_ene!C$16</f>
        <v>1.1724534621134626</v>
      </c>
      <c r="D42" s="102">
        <f>TrRail_ene!D$16</f>
        <v>1.2213179138875279</v>
      </c>
      <c r="E42" s="102">
        <f>TrRail_ene!E$16</f>
        <v>4.0184815691827822</v>
      </c>
      <c r="F42" s="102">
        <f>TrRail_ene!F$16</f>
        <v>3.9412226923559368</v>
      </c>
      <c r="G42" s="102">
        <f>TrRail_ene!G$16</f>
        <v>4.098254460468933</v>
      </c>
      <c r="H42" s="102">
        <f>TrRail_ene!H$16</f>
        <v>4.3159361894436614</v>
      </c>
      <c r="I42" s="102">
        <f>TrRail_ene!I$16</f>
        <v>4.6419288954737761</v>
      </c>
      <c r="J42" s="102">
        <f>TrRail_ene!J$16</f>
        <v>5.0162746532421414</v>
      </c>
      <c r="K42" s="102">
        <f>TrRail_ene!K$16</f>
        <v>1.5368876657548498</v>
      </c>
      <c r="L42" s="102">
        <f>TrRail_ene!L$16</f>
        <v>1.6287355101447041</v>
      </c>
      <c r="M42" s="102">
        <f>TrRail_ene!M$16</f>
        <v>1.7002316815071259</v>
      </c>
      <c r="N42" s="102">
        <f>TrRail_ene!N$16</f>
        <v>1.7739799255834019</v>
      </c>
      <c r="O42" s="102">
        <f>TrRail_ene!O$16</f>
        <v>1.9499942605069955</v>
      </c>
      <c r="P42" s="102">
        <f>TrRail_ene!P$16</f>
        <v>1.2705931599751537</v>
      </c>
      <c r="Q42" s="102">
        <f>TrRail_ene!Q$16</f>
        <v>5.0719479406301557</v>
      </c>
      <c r="R42" s="102">
        <f>TrRail_ene!R$16</f>
        <v>1.8192873547973281</v>
      </c>
      <c r="S42" s="102">
        <f>TrRail_ene!S$16</f>
        <v>2.0312283866561529</v>
      </c>
      <c r="T42" s="102">
        <f>TrRail_ene!T$16</f>
        <v>1.9028617824817395</v>
      </c>
      <c r="U42" s="102">
        <f>TrRail_ene!U$16</f>
        <v>2.1690326331518985</v>
      </c>
      <c r="V42" s="102">
        <f>TrRail_ene!V$16</f>
        <v>0.81562808733399506</v>
      </c>
      <c r="W42" s="102">
        <f>TrRail_ene!W$16</f>
        <v>0.77954126501484589</v>
      </c>
      <c r="X42" s="102">
        <f>TrRail_ene!X$16</f>
        <v>1.0006305902688051</v>
      </c>
      <c r="Y42" s="102">
        <f>TrRail_ene!Y$16</f>
        <v>2.1525641452956514</v>
      </c>
      <c r="DA42" s="175" t="s">
        <v>398</v>
      </c>
    </row>
    <row r="43" spans="1:105" ht="11.45" customHeight="1" x14ac:dyDescent="0.25">
      <c r="A43" s="109" t="str">
        <f>$A$13</f>
        <v>Aviation</v>
      </c>
      <c r="B43" s="110">
        <f t="shared" ref="B43:Q43" si="35">B44+B45+B46</f>
        <v>2753.7264687507377</v>
      </c>
      <c r="C43" s="110">
        <f t="shared" si="35"/>
        <v>2677.7176273996852</v>
      </c>
      <c r="D43" s="110">
        <f t="shared" si="35"/>
        <v>2781.1200195518436</v>
      </c>
      <c r="E43" s="110">
        <f t="shared" si="35"/>
        <v>2679.1211750612711</v>
      </c>
      <c r="F43" s="110">
        <f t="shared" si="35"/>
        <v>2886.1702769832887</v>
      </c>
      <c r="G43" s="110">
        <f t="shared" si="35"/>
        <v>2936.8248347364656</v>
      </c>
      <c r="H43" s="110">
        <f t="shared" si="35"/>
        <v>2909.1531641281672</v>
      </c>
      <c r="I43" s="110">
        <f t="shared" si="35"/>
        <v>2939.5758393475035</v>
      </c>
      <c r="J43" s="110">
        <f t="shared" si="35"/>
        <v>2970.1528585925571</v>
      </c>
      <c r="K43" s="110">
        <f t="shared" si="35"/>
        <v>2856.7003097640504</v>
      </c>
      <c r="L43" s="110">
        <f t="shared" si="35"/>
        <v>2715.1802568816843</v>
      </c>
      <c r="M43" s="110">
        <f t="shared" si="35"/>
        <v>2900.7871899270294</v>
      </c>
      <c r="N43" s="110">
        <f t="shared" si="35"/>
        <v>2878.6392098609331</v>
      </c>
      <c r="O43" s="110">
        <f t="shared" si="35"/>
        <v>2947.2535127746187</v>
      </c>
      <c r="P43" s="110">
        <f t="shared" si="35"/>
        <v>3097.6949250928669</v>
      </c>
      <c r="Q43" s="110">
        <f t="shared" si="35"/>
        <v>3266.5432619416838</v>
      </c>
      <c r="R43" s="110">
        <f t="shared" ref="R43:V43" si="36">R44+R45+R46</f>
        <v>3410.321363148907</v>
      </c>
      <c r="S43" s="110">
        <f t="shared" si="36"/>
        <v>3479.366460474967</v>
      </c>
      <c r="T43" s="110">
        <f t="shared" si="36"/>
        <v>3536.7318335489217</v>
      </c>
      <c r="U43" s="110">
        <f t="shared" si="36"/>
        <v>3518.9086002286658</v>
      </c>
      <c r="V43" s="110">
        <f t="shared" si="36"/>
        <v>1571.1191929376175</v>
      </c>
      <c r="W43" s="110">
        <f t="shared" ref="W43:Y43" si="37">W44+W45+W46</f>
        <v>1777.8822180462487</v>
      </c>
      <c r="X43" s="110">
        <f t="shared" si="37"/>
        <v>2596.5838281206984</v>
      </c>
      <c r="Y43" s="110">
        <f t="shared" si="37"/>
        <v>2883.3122249041289</v>
      </c>
      <c r="DA43" s="176" t="s">
        <v>280</v>
      </c>
    </row>
    <row r="44" spans="1:105" ht="11.45" customHeight="1" x14ac:dyDescent="0.25">
      <c r="A44" s="128" t="str">
        <f>$A$14</f>
        <v>Domestic</v>
      </c>
      <c r="B44" s="102">
        <f>TrAvia_ene!B$7</f>
        <v>0</v>
      </c>
      <c r="C44" s="102">
        <f>TrAvia_ene!C$7</f>
        <v>0</v>
      </c>
      <c r="D44" s="102">
        <f>TrAvia_ene!D$7</f>
        <v>0</v>
      </c>
      <c r="E44" s="102">
        <f>TrAvia_ene!E$7</f>
        <v>0</v>
      </c>
      <c r="F44" s="102">
        <f>TrAvia_ene!F$7</f>
        <v>0</v>
      </c>
      <c r="G44" s="102">
        <f>TrAvia_ene!G$7</f>
        <v>0</v>
      </c>
      <c r="H44" s="102">
        <f>TrAvia_ene!H$7</f>
        <v>0</v>
      </c>
      <c r="I44" s="102">
        <f>TrAvia_ene!I$7</f>
        <v>0</v>
      </c>
      <c r="J44" s="102">
        <f>TrAvia_ene!J$7</f>
        <v>0</v>
      </c>
      <c r="K44" s="102">
        <f>TrAvia_ene!K$7</f>
        <v>0</v>
      </c>
      <c r="L44" s="102">
        <f>TrAvia_ene!L$7</f>
        <v>0</v>
      </c>
      <c r="M44" s="102">
        <f>TrAvia_ene!M$7</f>
        <v>0</v>
      </c>
      <c r="N44" s="102">
        <f>TrAvia_ene!N$7</f>
        <v>0</v>
      </c>
      <c r="O44" s="102">
        <f>TrAvia_ene!O$7</f>
        <v>0</v>
      </c>
      <c r="P44" s="102">
        <f>TrAvia_ene!P$7</f>
        <v>0</v>
      </c>
      <c r="Q44" s="102">
        <f>TrAvia_ene!Q$7</f>
        <v>0</v>
      </c>
      <c r="R44" s="102">
        <f>TrAvia_ene!R$7</f>
        <v>0</v>
      </c>
      <c r="S44" s="102">
        <f>TrAvia_ene!S$7</f>
        <v>0</v>
      </c>
      <c r="T44" s="102">
        <f>TrAvia_ene!T$7</f>
        <v>0</v>
      </c>
      <c r="U44" s="102">
        <f>TrAvia_ene!U$7</f>
        <v>0</v>
      </c>
      <c r="V44" s="102">
        <f>TrAvia_ene!V$7</f>
        <v>0</v>
      </c>
      <c r="W44" s="102">
        <f>TrAvia_ene!W$7</f>
        <v>0</v>
      </c>
      <c r="X44" s="102">
        <f>TrAvia_ene!X$7</f>
        <v>0</v>
      </c>
      <c r="Y44" s="102">
        <f>TrAvia_ene!Y$7</f>
        <v>0</v>
      </c>
      <c r="DA44" s="175" t="s">
        <v>281</v>
      </c>
    </row>
    <row r="45" spans="1:105" ht="11.45" customHeight="1" x14ac:dyDescent="0.25">
      <c r="A45" s="128" t="str">
        <f>$A$15</f>
        <v>International - Intra-EEAwCHUK</v>
      </c>
      <c r="B45" s="102">
        <f>TrAvia_ene!B$8</f>
        <v>626.94093043702196</v>
      </c>
      <c r="C45" s="102">
        <f>TrAvia_ene!C$8</f>
        <v>609.62995735453615</v>
      </c>
      <c r="D45" s="102">
        <f>TrAvia_ene!D$8</f>
        <v>629.46392233075778</v>
      </c>
      <c r="E45" s="102">
        <f>TrAvia_ene!E$8</f>
        <v>616.67121678777437</v>
      </c>
      <c r="F45" s="102">
        <f>TrAvia_ene!F$8</f>
        <v>627.42172023534874</v>
      </c>
      <c r="G45" s="102">
        <f>TrAvia_ene!G$8</f>
        <v>637.29924012892945</v>
      </c>
      <c r="H45" s="102">
        <f>TrAvia_ene!H$8</f>
        <v>649.21404109595755</v>
      </c>
      <c r="I45" s="102">
        <f>TrAvia_ene!I$8</f>
        <v>670.59751831127255</v>
      </c>
      <c r="J45" s="102">
        <f>TrAvia_ene!J$8</f>
        <v>654.83549366078739</v>
      </c>
      <c r="K45" s="102">
        <f>TrAvia_ene!K$8</f>
        <v>604.12981025146689</v>
      </c>
      <c r="L45" s="102">
        <f>TrAvia_ene!L$8</f>
        <v>568.18005333075041</v>
      </c>
      <c r="M45" s="102">
        <f>TrAvia_ene!M$8</f>
        <v>617.23782008983801</v>
      </c>
      <c r="N45" s="102">
        <f>TrAvia_ene!N$8</f>
        <v>604.35432678264431</v>
      </c>
      <c r="O45" s="102">
        <f>TrAvia_ene!O$8</f>
        <v>619.15844907127621</v>
      </c>
      <c r="P45" s="102">
        <f>TrAvia_ene!P$8</f>
        <v>658.28850366771348</v>
      </c>
      <c r="Q45" s="102">
        <f>TrAvia_ene!Q$8</f>
        <v>702.09597343636915</v>
      </c>
      <c r="R45" s="102">
        <f>TrAvia_ene!R$8</f>
        <v>771.66733154355563</v>
      </c>
      <c r="S45" s="102">
        <f>TrAvia_ene!S$8</f>
        <v>807.25126987177237</v>
      </c>
      <c r="T45" s="102">
        <f>TrAvia_ene!T$8</f>
        <v>808.03606026978503</v>
      </c>
      <c r="U45" s="102">
        <f>TrAvia_ene!U$8</f>
        <v>777.16987061545706</v>
      </c>
      <c r="V45" s="102">
        <f>TrAvia_ene!V$8</f>
        <v>271.43462116371933</v>
      </c>
      <c r="W45" s="102">
        <f>TrAvia_ene!W$8</f>
        <v>343.33625932904005</v>
      </c>
      <c r="X45" s="102">
        <f>TrAvia_ene!X$8</f>
        <v>600.07767372204228</v>
      </c>
      <c r="Y45" s="102">
        <f>TrAvia_ene!Y$8</f>
        <v>652.32387410479919</v>
      </c>
      <c r="DA45" s="175" t="s">
        <v>282</v>
      </c>
    </row>
    <row r="46" spans="1:105" ht="11.45" customHeight="1" x14ac:dyDescent="0.25">
      <c r="A46" s="128" t="str">
        <f>$A$16</f>
        <v>International - Extra-EEAwCHUK</v>
      </c>
      <c r="B46" s="102">
        <f>TrAvia_ene!B$9</f>
        <v>2126.7855383137157</v>
      </c>
      <c r="C46" s="102">
        <f>TrAvia_ene!C$9</f>
        <v>2068.087670045149</v>
      </c>
      <c r="D46" s="102">
        <f>TrAvia_ene!D$9</f>
        <v>2151.6560972210859</v>
      </c>
      <c r="E46" s="102">
        <f>TrAvia_ene!E$9</f>
        <v>2062.4499582734966</v>
      </c>
      <c r="F46" s="102">
        <f>TrAvia_ene!F$9</f>
        <v>2258.7485567479398</v>
      </c>
      <c r="G46" s="102">
        <f>TrAvia_ene!G$9</f>
        <v>2299.5255946075363</v>
      </c>
      <c r="H46" s="102">
        <f>TrAvia_ene!H$9</f>
        <v>2259.9391230322094</v>
      </c>
      <c r="I46" s="102">
        <f>TrAvia_ene!I$9</f>
        <v>2268.9783210362311</v>
      </c>
      <c r="J46" s="102">
        <f>TrAvia_ene!J$9</f>
        <v>2315.3173649317696</v>
      </c>
      <c r="K46" s="102">
        <f>TrAvia_ene!K$9</f>
        <v>2252.5704995125834</v>
      </c>
      <c r="L46" s="102">
        <f>TrAvia_ene!L$9</f>
        <v>2147.0002035509337</v>
      </c>
      <c r="M46" s="102">
        <f>TrAvia_ene!M$9</f>
        <v>2283.5493698371915</v>
      </c>
      <c r="N46" s="102">
        <f>TrAvia_ene!N$9</f>
        <v>2274.2848830782887</v>
      </c>
      <c r="O46" s="102">
        <f>TrAvia_ene!O$9</f>
        <v>2328.0950637033425</v>
      </c>
      <c r="P46" s="102">
        <f>TrAvia_ene!P$9</f>
        <v>2439.4064214251534</v>
      </c>
      <c r="Q46" s="102">
        <f>TrAvia_ene!Q$9</f>
        <v>2564.4472885053146</v>
      </c>
      <c r="R46" s="102">
        <f>TrAvia_ene!R$9</f>
        <v>2638.6540316053515</v>
      </c>
      <c r="S46" s="102">
        <f>TrAvia_ene!S$9</f>
        <v>2672.1151906031946</v>
      </c>
      <c r="T46" s="102">
        <f>TrAvia_ene!T$9</f>
        <v>2728.6957732791366</v>
      </c>
      <c r="U46" s="102">
        <f>TrAvia_ene!U$9</f>
        <v>2741.7387296132088</v>
      </c>
      <c r="V46" s="102">
        <f>TrAvia_ene!V$9</f>
        <v>1299.6845717738981</v>
      </c>
      <c r="W46" s="102">
        <f>TrAvia_ene!W$9</f>
        <v>1434.5459587172086</v>
      </c>
      <c r="X46" s="102">
        <f>TrAvia_ene!X$9</f>
        <v>1996.506154398656</v>
      </c>
      <c r="Y46" s="102">
        <f>TrAvia_ene!Y$9</f>
        <v>2230.98835079933</v>
      </c>
      <c r="DA46" s="175" t="s">
        <v>283</v>
      </c>
    </row>
    <row r="47" spans="1:105" ht="11.45" customHeight="1" x14ac:dyDescent="0.25">
      <c r="A47" s="27" t="s">
        <v>34</v>
      </c>
      <c r="B47" s="28">
        <f t="shared" ref="B47:Q47" si="38">B48+B51+B52+B56</f>
        <v>4721.4574305369706</v>
      </c>
      <c r="C47" s="28">
        <f t="shared" si="38"/>
        <v>4748.7200768897192</v>
      </c>
      <c r="D47" s="28">
        <f t="shared" si="38"/>
        <v>4918.1419717469144</v>
      </c>
      <c r="E47" s="28">
        <f t="shared" si="38"/>
        <v>5109.4120170210699</v>
      </c>
      <c r="F47" s="28">
        <f t="shared" si="38"/>
        <v>5294.9127173671723</v>
      </c>
      <c r="G47" s="28">
        <f t="shared" si="38"/>
        <v>5402.2083246423563</v>
      </c>
      <c r="H47" s="28">
        <f t="shared" si="38"/>
        <v>5667.5893795994907</v>
      </c>
      <c r="I47" s="28">
        <f t="shared" si="38"/>
        <v>5723.1133450402931</v>
      </c>
      <c r="J47" s="28">
        <f t="shared" si="38"/>
        <v>5803.1366415232233</v>
      </c>
      <c r="K47" s="28">
        <f t="shared" si="38"/>
        <v>5280.4131734512421</v>
      </c>
      <c r="L47" s="28">
        <f t="shared" si="38"/>
        <v>5444.9771335668083</v>
      </c>
      <c r="M47" s="28">
        <f t="shared" si="38"/>
        <v>5523.8034210760788</v>
      </c>
      <c r="N47" s="28">
        <f t="shared" si="38"/>
        <v>5191.1237107315028</v>
      </c>
      <c r="O47" s="28">
        <f t="shared" si="38"/>
        <v>4870.9149204488713</v>
      </c>
      <c r="P47" s="28">
        <f t="shared" si="38"/>
        <v>4227.3025272222931</v>
      </c>
      <c r="Q47" s="28">
        <f t="shared" si="38"/>
        <v>4360.0671782424988</v>
      </c>
      <c r="R47" s="28">
        <f t="shared" ref="R47:V47" si="39">R48+R51+R52+R56</f>
        <v>4266.3025293230312</v>
      </c>
      <c r="S47" s="28">
        <f t="shared" si="39"/>
        <v>4576.994533048206</v>
      </c>
      <c r="T47" s="28">
        <f t="shared" si="39"/>
        <v>4831.6606793882347</v>
      </c>
      <c r="U47" s="28">
        <f t="shared" si="39"/>
        <v>4811.4077511171863</v>
      </c>
      <c r="V47" s="28">
        <f t="shared" si="39"/>
        <v>4680.9233159995401</v>
      </c>
      <c r="W47" s="28">
        <f t="shared" ref="W47:Y47" si="40">W48+W51+W52+W56</f>
        <v>4442.5556927128391</v>
      </c>
      <c r="X47" s="28">
        <f t="shared" si="40"/>
        <v>4287.9368341922636</v>
      </c>
      <c r="Y47" s="28">
        <f t="shared" si="40"/>
        <v>4259.4229969517282</v>
      </c>
      <c r="DA47" s="173"/>
    </row>
    <row r="48" spans="1:105" ht="11.45" customHeight="1" x14ac:dyDescent="0.25">
      <c r="A48" s="136" t="str">
        <f>$A$18</f>
        <v>Road transport</v>
      </c>
      <c r="B48" s="137">
        <f t="shared" ref="B48:Q48" si="41">B49+B50</f>
        <v>3905.6156105848386</v>
      </c>
      <c r="C48" s="137">
        <f t="shared" si="41"/>
        <v>3935.568049872656</v>
      </c>
      <c r="D48" s="137">
        <f t="shared" si="41"/>
        <v>4060.5362199364235</v>
      </c>
      <c r="E48" s="137">
        <f t="shared" si="41"/>
        <v>4214.0914722880952</v>
      </c>
      <c r="F48" s="137">
        <f t="shared" si="41"/>
        <v>4363.5845973703599</v>
      </c>
      <c r="G48" s="137">
        <f t="shared" si="41"/>
        <v>4394.1053225810138</v>
      </c>
      <c r="H48" s="137">
        <f t="shared" si="41"/>
        <v>4568.240945030373</v>
      </c>
      <c r="I48" s="137">
        <f t="shared" si="41"/>
        <v>4604.3944015195584</v>
      </c>
      <c r="J48" s="137">
        <f t="shared" si="41"/>
        <v>4657.3284571059958</v>
      </c>
      <c r="K48" s="137">
        <f t="shared" si="41"/>
        <v>4297.8447734084784</v>
      </c>
      <c r="L48" s="137">
        <f t="shared" si="41"/>
        <v>4362.5711228804848</v>
      </c>
      <c r="M48" s="137">
        <f t="shared" si="41"/>
        <v>4482.7605434859279</v>
      </c>
      <c r="N48" s="137">
        <f t="shared" si="41"/>
        <v>4297.3908682642141</v>
      </c>
      <c r="O48" s="137">
        <f t="shared" si="41"/>
        <v>3952.1238633962976</v>
      </c>
      <c r="P48" s="137">
        <f t="shared" si="41"/>
        <v>3373.8962432285089</v>
      </c>
      <c r="Q48" s="137">
        <f t="shared" si="41"/>
        <v>3428.7794016473772</v>
      </c>
      <c r="R48" s="137">
        <f t="shared" ref="R48:V48" si="42">R49+R50</f>
        <v>3404.6660405275611</v>
      </c>
      <c r="S48" s="137">
        <f t="shared" si="42"/>
        <v>3681.0105130047446</v>
      </c>
      <c r="T48" s="137">
        <f t="shared" si="42"/>
        <v>3942.7149468271032</v>
      </c>
      <c r="U48" s="137">
        <f t="shared" si="42"/>
        <v>4019.1856628609444</v>
      </c>
      <c r="V48" s="137">
        <f t="shared" si="42"/>
        <v>3763.2713810846735</v>
      </c>
      <c r="W48" s="137">
        <f t="shared" ref="W48:Y48" si="43">W49+W50</f>
        <v>3484.4778708981858</v>
      </c>
      <c r="X48" s="137">
        <f t="shared" si="43"/>
        <v>3381.4681194526693</v>
      </c>
      <c r="Y48" s="137">
        <f t="shared" si="43"/>
        <v>3414.0594725622586</v>
      </c>
      <c r="DA48" s="174" t="s">
        <v>399</v>
      </c>
    </row>
    <row r="49" spans="1:105" ht="11.45" customHeight="1" x14ac:dyDescent="0.25">
      <c r="A49" s="128" t="str">
        <f>$A$19</f>
        <v>Light commercial vehicles</v>
      </c>
      <c r="B49" s="102">
        <f>TrRoad_ene!B$43</f>
        <v>1779.1506139426808</v>
      </c>
      <c r="C49" s="102">
        <f>TrRoad_ene!C$43</f>
        <v>1844.777653626348</v>
      </c>
      <c r="D49" s="102">
        <f>TrRoad_ene!D$43</f>
        <v>1890.4237274093794</v>
      </c>
      <c r="E49" s="102">
        <f>TrRoad_ene!E$43</f>
        <v>1961.9869770890562</v>
      </c>
      <c r="F49" s="102">
        <f>TrRoad_ene!F$43</f>
        <v>2055.3060940336923</v>
      </c>
      <c r="G49" s="102">
        <f>TrRoad_ene!G$43</f>
        <v>2073.0697616512657</v>
      </c>
      <c r="H49" s="102">
        <f>TrRoad_ene!H$43</f>
        <v>2056.274479302785</v>
      </c>
      <c r="I49" s="102">
        <f>TrRoad_ene!I$43</f>
        <v>2075.4353399718111</v>
      </c>
      <c r="J49" s="102">
        <f>TrRoad_ene!J$43</f>
        <v>2105.2153137350192</v>
      </c>
      <c r="K49" s="102">
        <f>TrRoad_ene!K$43</f>
        <v>1977.4743294916414</v>
      </c>
      <c r="L49" s="102">
        <f>TrRoad_ene!L$43</f>
        <v>2000.2982073542769</v>
      </c>
      <c r="M49" s="102">
        <f>TrRoad_ene!M$43</f>
        <v>2034.6336264632716</v>
      </c>
      <c r="N49" s="102">
        <f>TrRoad_ene!N$43</f>
        <v>1929.3157521784988</v>
      </c>
      <c r="O49" s="102">
        <f>TrRoad_ene!O$43</f>
        <v>1857.6399020990827</v>
      </c>
      <c r="P49" s="102">
        <f>TrRoad_ene!P$43</f>
        <v>1768.701914241625</v>
      </c>
      <c r="Q49" s="102">
        <f>TrRoad_ene!Q$43</f>
        <v>1827.3912147834496</v>
      </c>
      <c r="R49" s="102">
        <f>TrRoad_ene!R$43</f>
        <v>1839.4488760215145</v>
      </c>
      <c r="S49" s="102">
        <f>TrRoad_ene!S$43</f>
        <v>1840.2835456496464</v>
      </c>
      <c r="T49" s="102">
        <f>TrRoad_ene!T$43</f>
        <v>1815.9337016900668</v>
      </c>
      <c r="U49" s="102">
        <f>TrRoad_ene!U$43</f>
        <v>1782.1370259731934</v>
      </c>
      <c r="V49" s="102">
        <f>TrRoad_ene!V$43</f>
        <v>1709.1697457863424</v>
      </c>
      <c r="W49" s="102">
        <f>TrRoad_ene!W$43</f>
        <v>1776.9458534126502</v>
      </c>
      <c r="X49" s="102">
        <f>TrRoad_ene!X$43</f>
        <v>1741.5956348544244</v>
      </c>
      <c r="Y49" s="102">
        <f>TrRoad_ene!Y$43</f>
        <v>1707.3561159452722</v>
      </c>
      <c r="DA49" s="175" t="s">
        <v>400</v>
      </c>
    </row>
    <row r="50" spans="1:105" ht="11.45" customHeight="1" x14ac:dyDescent="0.25">
      <c r="A50" s="128" t="str">
        <f>$A$20</f>
        <v>Heavy goods vehicles</v>
      </c>
      <c r="B50" s="102">
        <f>TrRoad_ene!B$52</f>
        <v>2126.4649966421575</v>
      </c>
      <c r="C50" s="102">
        <f>TrRoad_ene!C$52</f>
        <v>2090.7903962463079</v>
      </c>
      <c r="D50" s="102">
        <f>TrRoad_ene!D$52</f>
        <v>2170.1124925270442</v>
      </c>
      <c r="E50" s="102">
        <f>TrRoad_ene!E$52</f>
        <v>2252.1044951990389</v>
      </c>
      <c r="F50" s="102">
        <f>TrRoad_ene!F$52</f>
        <v>2308.2785033366681</v>
      </c>
      <c r="G50" s="102">
        <f>TrRoad_ene!G$52</f>
        <v>2321.0355609297485</v>
      </c>
      <c r="H50" s="102">
        <f>TrRoad_ene!H$52</f>
        <v>2511.9664657275885</v>
      </c>
      <c r="I50" s="102">
        <f>TrRoad_ene!I$52</f>
        <v>2528.9590615477473</v>
      </c>
      <c r="J50" s="102">
        <f>TrRoad_ene!J$52</f>
        <v>2552.1131433709761</v>
      </c>
      <c r="K50" s="102">
        <f>TrRoad_ene!K$52</f>
        <v>2320.3704439168373</v>
      </c>
      <c r="L50" s="102">
        <f>TrRoad_ene!L$52</f>
        <v>2362.2729155262077</v>
      </c>
      <c r="M50" s="102">
        <f>TrRoad_ene!M$52</f>
        <v>2448.126917022656</v>
      </c>
      <c r="N50" s="102">
        <f>TrRoad_ene!N$52</f>
        <v>2368.0751160857149</v>
      </c>
      <c r="O50" s="102">
        <f>TrRoad_ene!O$52</f>
        <v>2094.483961297215</v>
      </c>
      <c r="P50" s="102">
        <f>TrRoad_ene!P$52</f>
        <v>1605.1943289868836</v>
      </c>
      <c r="Q50" s="102">
        <f>TrRoad_ene!Q$52</f>
        <v>1601.3881868639273</v>
      </c>
      <c r="R50" s="102">
        <f>TrRoad_ene!R$52</f>
        <v>1565.2171645060466</v>
      </c>
      <c r="S50" s="102">
        <f>TrRoad_ene!S$52</f>
        <v>1840.7269673550982</v>
      </c>
      <c r="T50" s="102">
        <f>TrRoad_ene!T$52</f>
        <v>2126.7812451370364</v>
      </c>
      <c r="U50" s="102">
        <f>TrRoad_ene!U$52</f>
        <v>2237.0486368877509</v>
      </c>
      <c r="V50" s="102">
        <f>TrRoad_ene!V$52</f>
        <v>2054.1016352983311</v>
      </c>
      <c r="W50" s="102">
        <f>TrRoad_ene!W$52</f>
        <v>1707.5320174855358</v>
      </c>
      <c r="X50" s="102">
        <f>TrRoad_ene!X$52</f>
        <v>1639.8724845982449</v>
      </c>
      <c r="Y50" s="102">
        <f>TrRoad_ene!Y$52</f>
        <v>1706.7033566169866</v>
      </c>
      <c r="DA50" s="175" t="s">
        <v>401</v>
      </c>
    </row>
    <row r="51" spans="1:105" ht="11.45" customHeight="1" x14ac:dyDescent="0.25">
      <c r="A51" s="109" t="str">
        <f>$A$21</f>
        <v>Rail transport</v>
      </c>
      <c r="B51" s="110">
        <f>TrRail_ene!B$17</f>
        <v>23.693138229954197</v>
      </c>
      <c r="C51" s="110">
        <f>TrRail_ene!C$17</f>
        <v>23.015914090008259</v>
      </c>
      <c r="D51" s="110">
        <f>TrRail_ene!D$17</f>
        <v>20.282005240235293</v>
      </c>
      <c r="E51" s="110">
        <f>TrRail_ene!E$17</f>
        <v>21.346276973953351</v>
      </c>
      <c r="F51" s="110">
        <f>TrRail_ene!F$17</f>
        <v>25.466324753102128</v>
      </c>
      <c r="G51" s="110">
        <f>TrRail_ene!G$17</f>
        <v>26.340820460750145</v>
      </c>
      <c r="H51" s="110">
        <f>TrRail_ene!H$17</f>
        <v>26.661014002530354</v>
      </c>
      <c r="I51" s="110">
        <f>TrRail_ene!I$17</f>
        <v>29.919890348892757</v>
      </c>
      <c r="J51" s="110">
        <f>TrRail_ene!J$17</f>
        <v>28.736881358882954</v>
      </c>
      <c r="K51" s="110">
        <f>TrRail_ene!K$17</f>
        <v>23.254092437940137</v>
      </c>
      <c r="L51" s="110">
        <f>TrRail_ene!L$17</f>
        <v>26.520059485461964</v>
      </c>
      <c r="M51" s="110">
        <f>TrRail_ene!M$17</f>
        <v>27.413300535238314</v>
      </c>
      <c r="N51" s="110">
        <f>TrRail_ene!N$17</f>
        <v>25.030435819194274</v>
      </c>
      <c r="O51" s="110">
        <f>TrRail_ene!O$17</f>
        <v>24.299084014638517</v>
      </c>
      <c r="P51" s="110">
        <f>TrRail_ene!P$17</f>
        <v>23.836978648130312</v>
      </c>
      <c r="Q51" s="110">
        <f>TrRail_ene!Q$17</f>
        <v>24.992689439643843</v>
      </c>
      <c r="R51" s="110">
        <f>TrRail_ene!R$17</f>
        <v>24.860173526494599</v>
      </c>
      <c r="S51" s="110">
        <f>TrRail_ene!S$17</f>
        <v>24.135175273372617</v>
      </c>
      <c r="T51" s="110">
        <f>TrRail_ene!T$17</f>
        <v>24.300523977637887</v>
      </c>
      <c r="U51" s="110">
        <f>TrRail_ene!U$17</f>
        <v>23.870585303481519</v>
      </c>
      <c r="V51" s="110">
        <f>TrRail_ene!V$17</f>
        <v>25.5602938026122</v>
      </c>
      <c r="W51" s="110">
        <f>TrRail_ene!W$17</f>
        <v>26.005181735364992</v>
      </c>
      <c r="X51" s="110">
        <f>TrRail_ene!X$17</f>
        <v>24.929670977230607</v>
      </c>
      <c r="Y51" s="110">
        <f>TrRail_ene!Y$17</f>
        <v>22.714184375285793</v>
      </c>
      <c r="DA51" s="176" t="s">
        <v>402</v>
      </c>
    </row>
    <row r="52" spans="1:105" ht="11.45" customHeight="1" x14ac:dyDescent="0.25">
      <c r="A52" s="109" t="str">
        <f>$A$22</f>
        <v>Aviation</v>
      </c>
      <c r="B52" s="110">
        <f t="shared" ref="B52:V52" si="44">B53+B54+B55</f>
        <v>548.17473503258145</v>
      </c>
      <c r="C52" s="110">
        <f t="shared" si="44"/>
        <v>536.89733390727872</v>
      </c>
      <c r="D52" s="110">
        <f t="shared" si="44"/>
        <v>574.82013522029774</v>
      </c>
      <c r="E52" s="110">
        <f t="shared" si="44"/>
        <v>626.91210094904761</v>
      </c>
      <c r="F52" s="110">
        <f t="shared" si="44"/>
        <v>655.71132232883383</v>
      </c>
      <c r="G52" s="110">
        <f t="shared" si="44"/>
        <v>709.99373792045481</v>
      </c>
      <c r="H52" s="110">
        <f t="shared" si="44"/>
        <v>787.53643174457568</v>
      </c>
      <c r="I52" s="110">
        <f t="shared" si="44"/>
        <v>779.97128017098225</v>
      </c>
      <c r="J52" s="110">
        <f t="shared" si="44"/>
        <v>800.30432111509458</v>
      </c>
      <c r="K52" s="110">
        <f t="shared" si="44"/>
        <v>637.38825429441908</v>
      </c>
      <c r="L52" s="110">
        <f t="shared" si="44"/>
        <v>694.75095550008689</v>
      </c>
      <c r="M52" s="110">
        <f t="shared" si="44"/>
        <v>648.36732426041544</v>
      </c>
      <c r="N52" s="110">
        <f t="shared" si="44"/>
        <v>532.33095350965993</v>
      </c>
      <c r="O52" s="110">
        <f t="shared" si="44"/>
        <v>537.48423443088461</v>
      </c>
      <c r="P52" s="110">
        <f t="shared" si="44"/>
        <v>518.99320904298816</v>
      </c>
      <c r="Q52" s="110">
        <f t="shared" si="44"/>
        <v>534.8451301477395</v>
      </c>
      <c r="R52" s="110">
        <f t="shared" si="44"/>
        <v>489.88577356648256</v>
      </c>
      <c r="S52" s="110">
        <f t="shared" si="44"/>
        <v>533.98977340293527</v>
      </c>
      <c r="T52" s="110">
        <f t="shared" si="44"/>
        <v>524.74090935735444</v>
      </c>
      <c r="U52" s="110">
        <f t="shared" si="44"/>
        <v>452.87170931561542</v>
      </c>
      <c r="V52" s="110">
        <f t="shared" si="44"/>
        <v>644.1165766238621</v>
      </c>
      <c r="W52" s="110">
        <f t="shared" ref="W52:Y52" si="45">W53+W54+W55</f>
        <v>658.17195220310646</v>
      </c>
      <c r="X52" s="110">
        <f t="shared" si="45"/>
        <v>591.4848735130081</v>
      </c>
      <c r="Y52" s="110">
        <f t="shared" si="45"/>
        <v>516.25897028073643</v>
      </c>
      <c r="DA52" s="176" t="s">
        <v>284</v>
      </c>
    </row>
    <row r="53" spans="1:105" ht="11.45" customHeight="1" x14ac:dyDescent="0.25">
      <c r="A53" s="128" t="s">
        <v>27</v>
      </c>
      <c r="B53" s="102">
        <f>TrAvia_ene!B$11</f>
        <v>0</v>
      </c>
      <c r="C53" s="102">
        <f>TrAvia_ene!C$11</f>
        <v>0</v>
      </c>
      <c r="D53" s="102">
        <f>TrAvia_ene!D$11</f>
        <v>0</v>
      </c>
      <c r="E53" s="102">
        <f>TrAvia_ene!E$11</f>
        <v>0</v>
      </c>
      <c r="F53" s="102">
        <f>TrAvia_ene!F$11</f>
        <v>0</v>
      </c>
      <c r="G53" s="102">
        <f>TrAvia_ene!G$11</f>
        <v>0</v>
      </c>
      <c r="H53" s="102">
        <f>TrAvia_ene!H$11</f>
        <v>0</v>
      </c>
      <c r="I53" s="102">
        <f>TrAvia_ene!I$11</f>
        <v>0</v>
      </c>
      <c r="J53" s="102">
        <f>TrAvia_ene!J$11</f>
        <v>0</v>
      </c>
      <c r="K53" s="102">
        <f>TrAvia_ene!K$11</f>
        <v>0</v>
      </c>
      <c r="L53" s="102">
        <f>TrAvia_ene!L$11</f>
        <v>0</v>
      </c>
      <c r="M53" s="102">
        <f>TrAvia_ene!M$11</f>
        <v>0</v>
      </c>
      <c r="N53" s="102">
        <f>TrAvia_ene!N$11</f>
        <v>0</v>
      </c>
      <c r="O53" s="102">
        <f>TrAvia_ene!O$11</f>
        <v>0</v>
      </c>
      <c r="P53" s="102">
        <f>TrAvia_ene!P$11</f>
        <v>0</v>
      </c>
      <c r="Q53" s="102">
        <f>TrAvia_ene!Q$11</f>
        <v>0</v>
      </c>
      <c r="R53" s="102">
        <f>TrAvia_ene!R$11</f>
        <v>0</v>
      </c>
      <c r="S53" s="102">
        <f>TrAvia_ene!S$11</f>
        <v>0</v>
      </c>
      <c r="T53" s="102">
        <f>TrAvia_ene!T$11</f>
        <v>0</v>
      </c>
      <c r="U53" s="102">
        <f>TrAvia_ene!U$11</f>
        <v>0</v>
      </c>
      <c r="V53" s="102">
        <f>TrAvia_ene!V$11</f>
        <v>0</v>
      </c>
      <c r="W53" s="102">
        <f>TrAvia_ene!W$11</f>
        <v>0</v>
      </c>
      <c r="X53" s="102">
        <f>TrAvia_ene!X$11</f>
        <v>0</v>
      </c>
      <c r="Y53" s="102">
        <f>TrAvia_ene!Y$11</f>
        <v>0</v>
      </c>
      <c r="DA53" s="175" t="s">
        <v>285</v>
      </c>
    </row>
    <row r="54" spans="1:105" ht="11.45" customHeight="1" x14ac:dyDescent="0.25">
      <c r="A54" s="128" t="str">
        <f>$A$24</f>
        <v>International - Intra-EEAwCHUK</v>
      </c>
      <c r="B54" s="102">
        <f>TrAvia_ene!B$12</f>
        <v>11.92628019177511</v>
      </c>
      <c r="C54" s="102">
        <f>TrAvia_ene!C$12</f>
        <v>15.717892389784136</v>
      </c>
      <c r="D54" s="102">
        <f>TrAvia_ene!D$12</f>
        <v>12.690823025980881</v>
      </c>
      <c r="E54" s="102">
        <f>TrAvia_ene!E$12</f>
        <v>13.326530475907177</v>
      </c>
      <c r="F54" s="102">
        <f>TrAvia_ene!F$12</f>
        <v>14.15243372110386</v>
      </c>
      <c r="G54" s="102">
        <f>TrAvia_ene!G$12</f>
        <v>14.218534320769482</v>
      </c>
      <c r="H54" s="102">
        <f>TrAvia_ene!H$12</f>
        <v>14.61710466641907</v>
      </c>
      <c r="I54" s="102">
        <f>TrAvia_ene!I$12</f>
        <v>15.080277726925374</v>
      </c>
      <c r="J54" s="102">
        <f>TrAvia_ene!J$12</f>
        <v>19.038203983559924</v>
      </c>
      <c r="K54" s="102">
        <f>TrAvia_ene!K$12</f>
        <v>18.471743108119995</v>
      </c>
      <c r="L54" s="102">
        <f>TrAvia_ene!L$12</f>
        <v>19.814473962531533</v>
      </c>
      <c r="M54" s="102">
        <f>TrAvia_ene!M$12</f>
        <v>15.509895222729261</v>
      </c>
      <c r="N54" s="102">
        <f>TrAvia_ene!N$12</f>
        <v>11.776754609677408</v>
      </c>
      <c r="O54" s="102">
        <f>TrAvia_ene!O$12</f>
        <v>12.382915982831566</v>
      </c>
      <c r="P54" s="102">
        <f>TrAvia_ene!P$12</f>
        <v>12.826984831417732</v>
      </c>
      <c r="Q54" s="102">
        <f>TrAvia_ene!Q$12</f>
        <v>13.315397377263846</v>
      </c>
      <c r="R54" s="102">
        <f>TrAvia_ene!R$12</f>
        <v>13.818607243044452</v>
      </c>
      <c r="S54" s="102">
        <f>TrAvia_ene!S$12</f>
        <v>12.608451443086034</v>
      </c>
      <c r="T54" s="102">
        <f>TrAvia_ene!T$12</f>
        <v>10.092718970659309</v>
      </c>
      <c r="U54" s="102">
        <f>TrAvia_ene!U$12</f>
        <v>9.1531200753649316</v>
      </c>
      <c r="V54" s="102">
        <f>TrAvia_ene!V$12</f>
        <v>8.0434189204507032</v>
      </c>
      <c r="W54" s="102">
        <f>TrAvia_ene!W$12</f>
        <v>9.3199598001155159</v>
      </c>
      <c r="X54" s="102">
        <f>TrAvia_ene!X$12</f>
        <v>8.7062430499401557</v>
      </c>
      <c r="Y54" s="102">
        <f>TrAvia_ene!Y$12</f>
        <v>7.4736691880001107</v>
      </c>
      <c r="DA54" s="175" t="s">
        <v>286</v>
      </c>
    </row>
    <row r="55" spans="1:105" ht="11.45" customHeight="1" x14ac:dyDescent="0.25">
      <c r="A55" s="128" t="str">
        <f>$A$25</f>
        <v>International - Extra-EEAwCHUK</v>
      </c>
      <c r="B55" s="102">
        <f>TrAvia_ene!B$13</f>
        <v>536.24845484080629</v>
      </c>
      <c r="C55" s="102">
        <f>TrAvia_ene!C$13</f>
        <v>521.17944151749464</v>
      </c>
      <c r="D55" s="102">
        <f>TrAvia_ene!D$13</f>
        <v>562.12931219431687</v>
      </c>
      <c r="E55" s="102">
        <f>TrAvia_ene!E$13</f>
        <v>613.58557047314048</v>
      </c>
      <c r="F55" s="102">
        <f>TrAvia_ene!F$13</f>
        <v>641.55888860772995</v>
      </c>
      <c r="G55" s="102">
        <f>TrAvia_ene!G$13</f>
        <v>695.77520359968537</v>
      </c>
      <c r="H55" s="102">
        <f>TrAvia_ene!H$13</f>
        <v>772.91932707815658</v>
      </c>
      <c r="I55" s="102">
        <f>TrAvia_ene!I$13</f>
        <v>764.89100244405688</v>
      </c>
      <c r="J55" s="102">
        <f>TrAvia_ene!J$13</f>
        <v>781.26611713153466</v>
      </c>
      <c r="K55" s="102">
        <f>TrAvia_ene!K$13</f>
        <v>618.91651118629909</v>
      </c>
      <c r="L55" s="102">
        <f>TrAvia_ene!L$13</f>
        <v>674.93648153755532</v>
      </c>
      <c r="M55" s="102">
        <f>TrAvia_ene!M$13</f>
        <v>632.85742903768619</v>
      </c>
      <c r="N55" s="102">
        <f>TrAvia_ene!N$13</f>
        <v>520.55419889998257</v>
      </c>
      <c r="O55" s="102">
        <f>TrAvia_ene!O$13</f>
        <v>525.10131844805301</v>
      </c>
      <c r="P55" s="102">
        <f>TrAvia_ene!P$13</f>
        <v>506.16622421157041</v>
      </c>
      <c r="Q55" s="102">
        <f>TrAvia_ene!Q$13</f>
        <v>521.52973277047568</v>
      </c>
      <c r="R55" s="102">
        <f>TrAvia_ene!R$13</f>
        <v>476.06716632343813</v>
      </c>
      <c r="S55" s="102">
        <f>TrAvia_ene!S$13</f>
        <v>521.38132195984929</v>
      </c>
      <c r="T55" s="102">
        <f>TrAvia_ene!T$13</f>
        <v>514.64819038669509</v>
      </c>
      <c r="U55" s="102">
        <f>TrAvia_ene!U$13</f>
        <v>443.71858924025048</v>
      </c>
      <c r="V55" s="102">
        <f>TrAvia_ene!V$13</f>
        <v>636.07315770341143</v>
      </c>
      <c r="W55" s="102">
        <f>TrAvia_ene!W$13</f>
        <v>648.85199240299096</v>
      </c>
      <c r="X55" s="102">
        <f>TrAvia_ene!X$13</f>
        <v>582.77863046306788</v>
      </c>
      <c r="Y55" s="102">
        <f>TrAvia_ene!Y$13</f>
        <v>508.78530109273629</v>
      </c>
      <c r="DA55" s="175" t="s">
        <v>287</v>
      </c>
    </row>
    <row r="56" spans="1:105" ht="11.45" customHeight="1" x14ac:dyDescent="0.25">
      <c r="A56" s="109" t="s">
        <v>141</v>
      </c>
      <c r="B56" s="110">
        <f t="shared" ref="B56:Q56" si="46">B57+B58</f>
        <v>243.97394668959589</v>
      </c>
      <c r="C56" s="110">
        <f t="shared" si="46"/>
        <v>253.23877901977642</v>
      </c>
      <c r="D56" s="110">
        <f t="shared" si="46"/>
        <v>262.50361134995705</v>
      </c>
      <c r="E56" s="110">
        <f t="shared" si="46"/>
        <v>247.0621668099742</v>
      </c>
      <c r="F56" s="110">
        <f t="shared" si="46"/>
        <v>250.15047291487531</v>
      </c>
      <c r="G56" s="110">
        <f t="shared" si="46"/>
        <v>271.76844368013752</v>
      </c>
      <c r="H56" s="110">
        <f t="shared" si="46"/>
        <v>285.15098882201198</v>
      </c>
      <c r="I56" s="110">
        <f t="shared" si="46"/>
        <v>308.82777300085979</v>
      </c>
      <c r="J56" s="110">
        <f t="shared" si="46"/>
        <v>316.76698194325019</v>
      </c>
      <c r="K56" s="110">
        <f t="shared" si="46"/>
        <v>321.92605331040409</v>
      </c>
      <c r="L56" s="110">
        <f t="shared" si="46"/>
        <v>361.13499570077397</v>
      </c>
      <c r="M56" s="110">
        <f t="shared" si="46"/>
        <v>365.26225279449699</v>
      </c>
      <c r="N56" s="110">
        <f t="shared" si="46"/>
        <v>336.37145313843507</v>
      </c>
      <c r="O56" s="110">
        <f t="shared" si="46"/>
        <v>357.00773860705073</v>
      </c>
      <c r="P56" s="110">
        <f t="shared" si="46"/>
        <v>310.57609630266552</v>
      </c>
      <c r="Q56" s="110">
        <f t="shared" si="46"/>
        <v>371.44995700773859</v>
      </c>
      <c r="R56" s="110">
        <f t="shared" ref="R56:V56" si="47">R57+R58</f>
        <v>346.89054170249346</v>
      </c>
      <c r="S56" s="110">
        <f t="shared" si="47"/>
        <v>337.85907136715389</v>
      </c>
      <c r="T56" s="110">
        <f t="shared" si="47"/>
        <v>339.90429922613924</v>
      </c>
      <c r="U56" s="110">
        <f t="shared" si="47"/>
        <v>315.47979363714529</v>
      </c>
      <c r="V56" s="110">
        <f t="shared" si="47"/>
        <v>247.97506448839212</v>
      </c>
      <c r="W56" s="110">
        <f t="shared" ref="W56:Y56" si="48">W57+W58</f>
        <v>273.9006878761823</v>
      </c>
      <c r="X56" s="110">
        <f t="shared" si="48"/>
        <v>290.05417024935514</v>
      </c>
      <c r="Y56" s="110">
        <f t="shared" si="48"/>
        <v>306.39036973344793</v>
      </c>
      <c r="DA56" s="176" t="s">
        <v>993</v>
      </c>
    </row>
    <row r="57" spans="1:105" ht="11.45" customHeight="1" x14ac:dyDescent="0.25">
      <c r="A57" s="128" t="str">
        <f>$A$27</f>
        <v>Domestic coastal shipping</v>
      </c>
      <c r="B57" s="102">
        <f>TrNavi_ene!B4</f>
        <v>0.28288372402280343</v>
      </c>
      <c r="C57" s="102">
        <f>TrNavi_ene!C4</f>
        <v>0.24352752332015293</v>
      </c>
      <c r="D57" s="102">
        <f>TrNavi_ene!D4</f>
        <v>0.26538927181296607</v>
      </c>
      <c r="E57" s="102">
        <f>TrNavi_ene!E4</f>
        <v>0.25930176608648303</v>
      </c>
      <c r="F57" s="102">
        <f>TrNavi_ene!F4</f>
        <v>0.29367614268320891</v>
      </c>
      <c r="G57" s="102">
        <f>TrNavi_ene!G4</f>
        <v>0.37206647254624958</v>
      </c>
      <c r="H57" s="102">
        <f>TrNavi_ene!H4</f>
        <v>0.38530431712015034</v>
      </c>
      <c r="I57" s="102">
        <f>TrNavi_ene!I4</f>
        <v>0.43592506783058538</v>
      </c>
      <c r="J57" s="102">
        <f>TrNavi_ene!J4</f>
        <v>0.54044272264223736</v>
      </c>
      <c r="K57" s="102">
        <f>TrNavi_ene!K4</f>
        <v>0.54397426054004505</v>
      </c>
      <c r="L57" s="102">
        <f>TrNavi_ene!L4</f>
        <v>0.75955060925916085</v>
      </c>
      <c r="M57" s="102">
        <f>TrNavi_ene!M4</f>
        <v>0.75233566970031707</v>
      </c>
      <c r="N57" s="102">
        <f>TrNavi_ene!N4</f>
        <v>0.69319290320888993</v>
      </c>
      <c r="O57" s="102">
        <f>TrNavi_ene!O4</f>
        <v>0.55915194711339022</v>
      </c>
      <c r="P57" s="102">
        <f>TrNavi_ene!P4</f>
        <v>0.6386138863818297</v>
      </c>
      <c r="Q57" s="102">
        <f>TrNavi_ene!Q4</f>
        <v>1.0027025646927923</v>
      </c>
      <c r="R57" s="102">
        <f>TrNavi_ene!R4</f>
        <v>1.0796030347765477</v>
      </c>
      <c r="S57" s="102">
        <f>TrNavi_ene!S4</f>
        <v>1.2829843042357232</v>
      </c>
      <c r="T57" s="102">
        <f>TrNavi_ene!T4</f>
        <v>1.7149032235263164</v>
      </c>
      <c r="U57" s="102">
        <f>TrNavi_ene!U4</f>
        <v>1.9358145414900225</v>
      </c>
      <c r="V57" s="102">
        <f>TrNavi_ene!V4</f>
        <v>1.3774009089269055</v>
      </c>
      <c r="W57" s="102">
        <f>TrNavi_ene!W4</f>
        <v>1.0125088003457758</v>
      </c>
      <c r="X57" s="102">
        <f>TrNavi_ene!X4</f>
        <v>1.4877637486466591</v>
      </c>
      <c r="Y57" s="102">
        <f>TrNavi_ene!Y4</f>
        <v>1.7367721947860169</v>
      </c>
      <c r="DA57" s="175" t="s">
        <v>994</v>
      </c>
    </row>
    <row r="58" spans="1:105" ht="11.45" customHeight="1" x14ac:dyDescent="0.25">
      <c r="A58" s="166" t="str">
        <f>$A$28</f>
        <v>Inland waterways</v>
      </c>
      <c r="B58" s="169">
        <f>TrNavi_ene!B10</f>
        <v>243.69106296557308</v>
      </c>
      <c r="C58" s="169">
        <f>TrNavi_ene!C10</f>
        <v>252.99525149645626</v>
      </c>
      <c r="D58" s="169">
        <f>TrNavi_ene!D10</f>
        <v>262.23822207814408</v>
      </c>
      <c r="E58" s="169">
        <f>TrNavi_ene!E10</f>
        <v>246.80286504388772</v>
      </c>
      <c r="F58" s="169">
        <f>TrNavi_ene!F10</f>
        <v>249.8567967721921</v>
      </c>
      <c r="G58" s="169">
        <f>TrNavi_ene!G10</f>
        <v>271.39637720759129</v>
      </c>
      <c r="H58" s="169">
        <f>TrNavi_ene!H10</f>
        <v>284.76568450489185</v>
      </c>
      <c r="I58" s="169">
        <f>TrNavi_ene!I10</f>
        <v>308.39184793302923</v>
      </c>
      <c r="J58" s="169">
        <f>TrNavi_ene!J10</f>
        <v>316.22653922060795</v>
      </c>
      <c r="K58" s="169">
        <f>TrNavi_ene!K10</f>
        <v>321.38207904986405</v>
      </c>
      <c r="L58" s="169">
        <f>TrNavi_ene!L10</f>
        <v>360.37544509151479</v>
      </c>
      <c r="M58" s="169">
        <f>TrNavi_ene!M10</f>
        <v>364.50991712479669</v>
      </c>
      <c r="N58" s="169">
        <f>TrNavi_ene!N10</f>
        <v>335.67826023522616</v>
      </c>
      <c r="O58" s="169">
        <f>TrNavi_ene!O10</f>
        <v>356.44858665993735</v>
      </c>
      <c r="P58" s="169">
        <f>TrNavi_ene!P10</f>
        <v>309.93748241628367</v>
      </c>
      <c r="Q58" s="169">
        <f>TrNavi_ene!Q10</f>
        <v>370.44725444304578</v>
      </c>
      <c r="R58" s="169">
        <f>TrNavi_ene!R10</f>
        <v>345.81093866771693</v>
      </c>
      <c r="S58" s="169">
        <f>TrNavi_ene!S10</f>
        <v>336.57608706291819</v>
      </c>
      <c r="T58" s="169">
        <f>TrNavi_ene!T10</f>
        <v>338.18939600261291</v>
      </c>
      <c r="U58" s="169">
        <f>TrNavi_ene!U10</f>
        <v>313.54397909565529</v>
      </c>
      <c r="V58" s="169">
        <f>TrNavi_ene!V10</f>
        <v>246.59766357946521</v>
      </c>
      <c r="W58" s="169">
        <f>TrNavi_ene!W10</f>
        <v>272.88817907583655</v>
      </c>
      <c r="X58" s="169">
        <f>TrNavi_ene!X10</f>
        <v>288.56640650070847</v>
      </c>
      <c r="Y58" s="169">
        <f>TrNavi_ene!Y10</f>
        <v>304.65359753866193</v>
      </c>
      <c r="DA58" s="177" t="s">
        <v>995</v>
      </c>
    </row>
    <row r="59" spans="1:105" ht="11.45" customHeight="1" x14ac:dyDescent="0.25">
      <c r="A59" s="27" t="s">
        <v>169</v>
      </c>
      <c r="B59" s="28">
        <f>B60+B61</f>
        <v>13160.272742906278</v>
      </c>
      <c r="C59" s="28">
        <f t="shared" ref="C59:W59" si="49">C60+C61</f>
        <v>14389.196990541701</v>
      </c>
      <c r="D59" s="28">
        <f t="shared" si="49"/>
        <v>14266.351418744627</v>
      </c>
      <c r="E59" s="28">
        <f t="shared" si="49"/>
        <v>13387.759157351677</v>
      </c>
      <c r="F59" s="28">
        <f t="shared" si="49"/>
        <v>14583.703525365429</v>
      </c>
      <c r="G59" s="28">
        <f t="shared" si="49"/>
        <v>15618.524935511614</v>
      </c>
      <c r="H59" s="28">
        <f t="shared" si="49"/>
        <v>16655.612897678413</v>
      </c>
      <c r="I59" s="28">
        <f t="shared" si="49"/>
        <v>17072.327343078243</v>
      </c>
      <c r="J59" s="28">
        <f t="shared" si="49"/>
        <v>16397.043078245923</v>
      </c>
      <c r="K59" s="28">
        <f t="shared" si="49"/>
        <v>14637.900085984522</v>
      </c>
      <c r="L59" s="28">
        <f t="shared" si="49"/>
        <v>13859.893035253659</v>
      </c>
      <c r="M59" s="28">
        <f t="shared" si="49"/>
        <v>14919.198452278588</v>
      </c>
      <c r="N59" s="28">
        <f t="shared" si="49"/>
        <v>13829.793637145312</v>
      </c>
      <c r="O59" s="28">
        <f t="shared" si="49"/>
        <v>13135.267239896821</v>
      </c>
      <c r="P59" s="28">
        <f t="shared" si="49"/>
        <v>12937.835597592426</v>
      </c>
      <c r="Q59" s="28">
        <f t="shared" si="49"/>
        <v>11947.705245055888</v>
      </c>
      <c r="R59" s="28">
        <f t="shared" si="49"/>
        <v>11869.917712811692</v>
      </c>
      <c r="S59" s="28">
        <f t="shared" si="49"/>
        <v>11656.214875322443</v>
      </c>
      <c r="T59" s="28">
        <f t="shared" si="49"/>
        <v>11218.956491831472</v>
      </c>
      <c r="U59" s="28">
        <f t="shared" si="49"/>
        <v>11427.211607910576</v>
      </c>
      <c r="V59" s="28">
        <f t="shared" si="49"/>
        <v>11880.531900257951</v>
      </c>
      <c r="W59" s="28">
        <f t="shared" si="49"/>
        <v>11425.604041272569</v>
      </c>
      <c r="X59" s="28">
        <f t="shared" ref="X59:Y59" si="50">X60+X61</f>
        <v>11563.47815993121</v>
      </c>
      <c r="Y59" s="28">
        <f t="shared" si="50"/>
        <v>10703.630352536542</v>
      </c>
      <c r="DA59" s="173" t="s">
        <v>956</v>
      </c>
    </row>
    <row r="60" spans="1:105" ht="11.45" customHeight="1" x14ac:dyDescent="0.25">
      <c r="A60" s="128" t="str">
        <f>$A$30</f>
        <v>Intra-EEA</v>
      </c>
      <c r="B60" s="102">
        <f>MBunk_ene!B$4</f>
        <v>3184.9670953726586</v>
      </c>
      <c r="C60" s="102">
        <f>MBunk_ene!C$4</f>
        <v>3464.4491615626248</v>
      </c>
      <c r="D60" s="102">
        <f>MBunk_ene!D$4</f>
        <v>3469.467370817039</v>
      </c>
      <c r="E60" s="102">
        <f>MBunk_ene!E$4</f>
        <v>3167.8797672119022</v>
      </c>
      <c r="F60" s="102">
        <f>MBunk_ene!F$4</f>
        <v>3444.3233880156913</v>
      </c>
      <c r="G60" s="102">
        <f>MBunk_ene!G$4</f>
        <v>3356.5623593253231</v>
      </c>
      <c r="H60" s="102">
        <f>MBunk_ene!H$4</f>
        <v>3425.1070046459154</v>
      </c>
      <c r="I60" s="102">
        <f>MBunk_ene!I$4</f>
        <v>3455.1979741245868</v>
      </c>
      <c r="J60" s="102">
        <f>MBunk_ene!J$4</f>
        <v>3131.1330508737346</v>
      </c>
      <c r="K60" s="102">
        <f>MBunk_ene!K$4</f>
        <v>3252.1801887013562</v>
      </c>
      <c r="L60" s="102">
        <f>MBunk_ene!L$4</f>
        <v>3240.6058442076824</v>
      </c>
      <c r="M60" s="102">
        <f>MBunk_ene!M$4</f>
        <v>3229.8449179061413</v>
      </c>
      <c r="N60" s="102">
        <f>MBunk_ene!N$4</f>
        <v>2995.8520858050397</v>
      </c>
      <c r="O60" s="102">
        <f>MBunk_ene!O$4</f>
        <v>2881.941964421977</v>
      </c>
      <c r="P60" s="102">
        <f>MBunk_ene!P$4</f>
        <v>2891.6086950113845</v>
      </c>
      <c r="Q60" s="102">
        <f>MBunk_ene!Q$4</f>
        <v>2570.4362916463333</v>
      </c>
      <c r="R60" s="102">
        <f>MBunk_ene!R$4</f>
        <v>2421.5186640827105</v>
      </c>
      <c r="S60" s="102">
        <f>MBunk_ene!S$4</f>
        <v>2350.3476501785667</v>
      </c>
      <c r="T60" s="102">
        <f>MBunk_ene!T$4</f>
        <v>2346.1939028845477</v>
      </c>
      <c r="U60" s="102">
        <f>MBunk_ene!U$4</f>
        <v>2463.7313113168138</v>
      </c>
      <c r="V60" s="102">
        <f>MBunk_ene!V$4</f>
        <v>2304.956801109282</v>
      </c>
      <c r="W60" s="102">
        <f>MBunk_ene!W$4</f>
        <v>2214.278301843271</v>
      </c>
      <c r="X60" s="102">
        <f>MBunk_ene!X$4</f>
        <v>2414.4096829291598</v>
      </c>
      <c r="Y60" s="102">
        <f>MBunk_ene!Y$4</f>
        <v>2413.869798971828</v>
      </c>
      <c r="DA60" s="175" t="s">
        <v>957</v>
      </c>
    </row>
    <row r="61" spans="1:105" ht="11.45" customHeight="1" x14ac:dyDescent="0.25">
      <c r="A61" s="138" t="str">
        <f>$A$31</f>
        <v>Extra-EEA</v>
      </c>
      <c r="B61" s="86">
        <f>MBunk_ene!B$10</f>
        <v>9975.3056475336198</v>
      </c>
      <c r="C61" s="86">
        <f>MBunk_ene!C$10</f>
        <v>10924.747828979076</v>
      </c>
      <c r="D61" s="86">
        <f>MBunk_ene!D$10</f>
        <v>10796.884047927588</v>
      </c>
      <c r="E61" s="86">
        <f>MBunk_ene!E$10</f>
        <v>10219.879390139775</v>
      </c>
      <c r="F61" s="86">
        <f>MBunk_ene!F$10</f>
        <v>11139.380137349737</v>
      </c>
      <c r="G61" s="86">
        <f>MBunk_ene!G$10</f>
        <v>12261.96257618629</v>
      </c>
      <c r="H61" s="86">
        <f>MBunk_ene!H$10</f>
        <v>13230.505893032498</v>
      </c>
      <c r="I61" s="86">
        <f>MBunk_ene!I$10</f>
        <v>13617.129368953656</v>
      </c>
      <c r="J61" s="86">
        <f>MBunk_ene!J$10</f>
        <v>13265.910027372189</v>
      </c>
      <c r="K61" s="86">
        <f>MBunk_ene!K$10</f>
        <v>11385.719897283165</v>
      </c>
      <c r="L61" s="86">
        <f>MBunk_ene!L$10</f>
        <v>10619.287191045976</v>
      </c>
      <c r="M61" s="86">
        <f>MBunk_ene!M$10</f>
        <v>11689.353534372447</v>
      </c>
      <c r="N61" s="86">
        <f>MBunk_ene!N$10</f>
        <v>10833.941551340273</v>
      </c>
      <c r="O61" s="86">
        <f>MBunk_ene!O$10</f>
        <v>10253.325275474843</v>
      </c>
      <c r="P61" s="86">
        <f>MBunk_ene!P$10</f>
        <v>10046.226902581042</v>
      </c>
      <c r="Q61" s="86">
        <f>MBunk_ene!Q$10</f>
        <v>9377.2689534095553</v>
      </c>
      <c r="R61" s="86">
        <f>MBunk_ene!R$10</f>
        <v>9448.3990487289811</v>
      </c>
      <c r="S61" s="86">
        <f>MBunk_ene!S$10</f>
        <v>9305.8672251438766</v>
      </c>
      <c r="T61" s="86">
        <f>MBunk_ene!T$10</f>
        <v>8872.7625889469236</v>
      </c>
      <c r="U61" s="86">
        <f>MBunk_ene!U$10</f>
        <v>8963.4802965937615</v>
      </c>
      <c r="V61" s="86">
        <f>MBunk_ene!V$10</f>
        <v>9575.5750991486693</v>
      </c>
      <c r="W61" s="86">
        <f>MBunk_ene!W$10</f>
        <v>9211.3257394292978</v>
      </c>
      <c r="X61" s="86">
        <f>MBunk_ene!X$10</f>
        <v>9149.0684770020507</v>
      </c>
      <c r="Y61" s="86">
        <f>MBunk_ene!Y$10</f>
        <v>8289.7605535647144</v>
      </c>
      <c r="DA61" s="178" t="s">
        <v>958</v>
      </c>
    </row>
    <row r="62" spans="1:105" ht="11.45" customHeight="1" x14ac:dyDescent="0.25">
      <c r="A62" s="106"/>
      <c r="B62" s="106"/>
      <c r="C62" s="106"/>
      <c r="D62" s="106"/>
      <c r="E62" s="106"/>
      <c r="F62" s="106"/>
      <c r="G62" s="106"/>
      <c r="H62" s="106"/>
      <c r="I62" s="106"/>
      <c r="J62" s="106"/>
      <c r="K62" s="106"/>
      <c r="L62" s="106"/>
      <c r="M62" s="106"/>
      <c r="N62" s="106"/>
      <c r="O62" s="106"/>
      <c r="P62" s="106"/>
      <c r="Q62" s="106"/>
      <c r="R62" s="106"/>
      <c r="S62" s="106"/>
      <c r="T62" s="106"/>
      <c r="U62" s="106"/>
      <c r="V62" s="106"/>
      <c r="W62" s="106"/>
      <c r="X62" s="106"/>
      <c r="Y62" s="106"/>
      <c r="DA62" s="171"/>
    </row>
    <row r="63" spans="1:105" ht="11.45" customHeight="1" x14ac:dyDescent="0.25">
      <c r="A63" s="53" t="s">
        <v>35</v>
      </c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DA63" s="172"/>
    </row>
    <row r="64" spans="1:105" ht="11.45" customHeight="1" x14ac:dyDescent="0.25">
      <c r="A64" s="27" t="s">
        <v>33</v>
      </c>
      <c r="B64" s="28">
        <f t="shared" ref="B64:Q64" si="51">B65+B69+B73</f>
        <v>26852.710775980719</v>
      </c>
      <c r="C64" s="28">
        <f t="shared" si="51"/>
        <v>26768.127665925553</v>
      </c>
      <c r="D64" s="28">
        <f t="shared" si="51"/>
        <v>27428.17443537771</v>
      </c>
      <c r="E64" s="28">
        <f t="shared" si="51"/>
        <v>27214.075966694902</v>
      </c>
      <c r="F64" s="28">
        <f t="shared" si="51"/>
        <v>27916.24188887154</v>
      </c>
      <c r="G64" s="28">
        <f t="shared" si="51"/>
        <v>28151.79786153321</v>
      </c>
      <c r="H64" s="28">
        <f t="shared" si="51"/>
        <v>28480.363188313408</v>
      </c>
      <c r="I64" s="28">
        <f t="shared" si="51"/>
        <v>28357.918922959474</v>
      </c>
      <c r="J64" s="28">
        <f t="shared" si="51"/>
        <v>28610.548082675166</v>
      </c>
      <c r="K64" s="28">
        <f t="shared" si="51"/>
        <v>28073.758336281702</v>
      </c>
      <c r="L64" s="28">
        <f t="shared" si="51"/>
        <v>27658.718083989574</v>
      </c>
      <c r="M64" s="28">
        <f t="shared" si="51"/>
        <v>28110.848588520697</v>
      </c>
      <c r="N64" s="28">
        <f t="shared" si="51"/>
        <v>27226.212001181273</v>
      </c>
      <c r="O64" s="28">
        <f t="shared" si="51"/>
        <v>26880.905421945317</v>
      </c>
      <c r="P64" s="28">
        <f t="shared" si="51"/>
        <v>26644.033808030727</v>
      </c>
      <c r="Q64" s="28">
        <f t="shared" si="51"/>
        <v>26969.204604028979</v>
      </c>
      <c r="R64" s="28">
        <f t="shared" ref="R64:V64" si="52">R65+R69+R73</f>
        <v>27578.743357471598</v>
      </c>
      <c r="S64" s="28">
        <f t="shared" si="52"/>
        <v>27930.277977269776</v>
      </c>
      <c r="T64" s="28">
        <f t="shared" si="52"/>
        <v>27750.089775819677</v>
      </c>
      <c r="U64" s="28">
        <f t="shared" si="52"/>
        <v>27310.804411648627</v>
      </c>
      <c r="V64" s="28">
        <f t="shared" si="52"/>
        <v>17849.67551224594</v>
      </c>
      <c r="W64" s="28">
        <f t="shared" ref="W64:Y64" si="53">W65+W69+W73</f>
        <v>19458.354274470534</v>
      </c>
      <c r="X64" s="28">
        <f t="shared" si="53"/>
        <v>21844.853974287304</v>
      </c>
      <c r="Y64" s="28">
        <f t="shared" si="53"/>
        <v>23472.033206255648</v>
      </c>
      <c r="DA64" s="173"/>
    </row>
    <row r="65" spans="1:105" ht="11.45" customHeight="1" x14ac:dyDescent="0.25">
      <c r="A65" s="136" t="str">
        <f>$A$5</f>
        <v>Road transport</v>
      </c>
      <c r="B65" s="137">
        <f t="shared" ref="B65:Q65" si="54">B66+B67+B68</f>
        <v>18492.722658715033</v>
      </c>
      <c r="C65" s="137">
        <f t="shared" si="54"/>
        <v>18639.577077119207</v>
      </c>
      <c r="D65" s="137">
        <f t="shared" si="54"/>
        <v>18987.510717787936</v>
      </c>
      <c r="E65" s="137">
        <f t="shared" si="54"/>
        <v>19083.969527231038</v>
      </c>
      <c r="F65" s="137">
        <f t="shared" si="54"/>
        <v>19165.358818138167</v>
      </c>
      <c r="G65" s="137">
        <f t="shared" si="54"/>
        <v>19249.919287596611</v>
      </c>
      <c r="H65" s="137">
        <f t="shared" si="54"/>
        <v>19664.189463835861</v>
      </c>
      <c r="I65" s="137">
        <f t="shared" si="54"/>
        <v>19454.45727340092</v>
      </c>
      <c r="J65" s="137">
        <f t="shared" si="54"/>
        <v>19611.062016877346</v>
      </c>
      <c r="K65" s="137">
        <f t="shared" si="54"/>
        <v>19414.836491645699</v>
      </c>
      <c r="L65" s="137">
        <f t="shared" si="54"/>
        <v>19420.868160627833</v>
      </c>
      <c r="M65" s="137">
        <f t="shared" si="54"/>
        <v>19316.116877049437</v>
      </c>
      <c r="N65" s="137">
        <f t="shared" si="54"/>
        <v>18509.013839183779</v>
      </c>
      <c r="O65" s="137">
        <f t="shared" si="54"/>
        <v>17956.410646074924</v>
      </c>
      <c r="P65" s="137">
        <f t="shared" si="54"/>
        <v>17264.881120148915</v>
      </c>
      <c r="Q65" s="137">
        <f t="shared" si="54"/>
        <v>17080.323546876174</v>
      </c>
      <c r="R65" s="137">
        <f t="shared" ref="R65:V65" si="55">R66+R67+R68</f>
        <v>17258.136987324615</v>
      </c>
      <c r="S65" s="137">
        <f t="shared" si="55"/>
        <v>17400.842025789891</v>
      </c>
      <c r="T65" s="137">
        <f t="shared" si="55"/>
        <v>17061.146148474898</v>
      </c>
      <c r="U65" s="137">
        <f t="shared" si="55"/>
        <v>16681.368193475955</v>
      </c>
      <c r="V65" s="137">
        <f t="shared" si="55"/>
        <v>13089.453088425953</v>
      </c>
      <c r="W65" s="137">
        <f t="shared" ref="W65:Y65" si="56">W66+W67+W68</f>
        <v>14079.652073645335</v>
      </c>
      <c r="X65" s="137">
        <f t="shared" si="56"/>
        <v>14046.688392773911</v>
      </c>
      <c r="Y65" s="137">
        <f t="shared" si="56"/>
        <v>14914.159508204471</v>
      </c>
      <c r="DA65" s="174" t="s">
        <v>403</v>
      </c>
    </row>
    <row r="66" spans="1:105" ht="11.45" customHeight="1" x14ac:dyDescent="0.25">
      <c r="A66" s="128" t="str">
        <f>$A$6</f>
        <v>Powered two-wheelers</v>
      </c>
      <c r="B66" s="102">
        <f>TrRoad_emi!B$19</f>
        <v>368.31151166286406</v>
      </c>
      <c r="C66" s="102">
        <f>TrRoad_emi!C$19</f>
        <v>381.33820476551364</v>
      </c>
      <c r="D66" s="102">
        <f>TrRoad_emi!D$19</f>
        <v>390.80187477671961</v>
      </c>
      <c r="E66" s="102">
        <f>TrRoad_emi!E$19</f>
        <v>391.67101787444346</v>
      </c>
      <c r="F66" s="102">
        <f>TrRoad_emi!F$19</f>
        <v>371.68737033429346</v>
      </c>
      <c r="G66" s="102">
        <f>TrRoad_emi!G$19</f>
        <v>381.83506555692946</v>
      </c>
      <c r="H66" s="102">
        <f>TrRoad_emi!H$19</f>
        <v>396.88720781654541</v>
      </c>
      <c r="I66" s="102">
        <f>TrRoad_emi!I$19</f>
        <v>424.39656256271144</v>
      </c>
      <c r="J66" s="102">
        <f>TrRoad_emi!J$19</f>
        <v>452.95500454277419</v>
      </c>
      <c r="K66" s="102">
        <f>TrRoad_emi!K$19</f>
        <v>459.7570477290044</v>
      </c>
      <c r="L66" s="102">
        <f>TrRoad_emi!L$19</f>
        <v>462.03549790086419</v>
      </c>
      <c r="M66" s="102">
        <f>TrRoad_emi!M$19</f>
        <v>466.45173321735501</v>
      </c>
      <c r="N66" s="102">
        <f>TrRoad_emi!N$19</f>
        <v>452.03920283328682</v>
      </c>
      <c r="O66" s="102">
        <f>TrRoad_emi!O$19</f>
        <v>443.07697735468128</v>
      </c>
      <c r="P66" s="102">
        <f>TrRoad_emi!P$19</f>
        <v>421.22910750263662</v>
      </c>
      <c r="Q66" s="102">
        <f>TrRoad_emi!Q$19</f>
        <v>427.94870087294197</v>
      </c>
      <c r="R66" s="102">
        <f>TrRoad_emi!R$19</f>
        <v>433.5698094581856</v>
      </c>
      <c r="S66" s="102">
        <f>TrRoad_emi!S$19</f>
        <v>403.67432066251678</v>
      </c>
      <c r="T66" s="102">
        <f>TrRoad_emi!T$19</f>
        <v>376.66785444441564</v>
      </c>
      <c r="U66" s="102">
        <f>TrRoad_emi!U$19</f>
        <v>390.79097830095611</v>
      </c>
      <c r="V66" s="102">
        <f>TrRoad_emi!V$19</f>
        <v>340.29047026427287</v>
      </c>
      <c r="W66" s="102">
        <f>TrRoad_emi!W$19</f>
        <v>341.09171683021333</v>
      </c>
      <c r="X66" s="102">
        <f>TrRoad_emi!X$19</f>
        <v>340.64996385381454</v>
      </c>
      <c r="Y66" s="102">
        <f>TrRoad_emi!Y$19</f>
        <v>362.23917921804849</v>
      </c>
      <c r="DA66" s="175" t="s">
        <v>404</v>
      </c>
    </row>
    <row r="67" spans="1:105" ht="11.45" customHeight="1" x14ac:dyDescent="0.25">
      <c r="A67" s="128" t="str">
        <f>$A$7</f>
        <v>Passenger cars</v>
      </c>
      <c r="B67" s="102">
        <f>TrRoad_emi!B$20</f>
        <v>17001.148475436556</v>
      </c>
      <c r="C67" s="102">
        <f>TrRoad_emi!C$20</f>
        <v>17168.940828251656</v>
      </c>
      <c r="D67" s="102">
        <f>TrRoad_emi!D$20</f>
        <v>17519.57278185957</v>
      </c>
      <c r="E67" s="102">
        <f>TrRoad_emi!E$20</f>
        <v>17641.585250847107</v>
      </c>
      <c r="F67" s="102">
        <f>TrRoad_emi!F$20</f>
        <v>17765.778690313819</v>
      </c>
      <c r="G67" s="102">
        <f>TrRoad_emi!G$20</f>
        <v>17842.315677803716</v>
      </c>
      <c r="H67" s="102">
        <f>TrRoad_emi!H$20</f>
        <v>18255.379908165134</v>
      </c>
      <c r="I67" s="102">
        <f>TrRoad_emi!I$20</f>
        <v>18053.691825809798</v>
      </c>
      <c r="J67" s="102">
        <f>TrRoad_emi!J$20</f>
        <v>18135.568338116187</v>
      </c>
      <c r="K67" s="102">
        <f>TrRoad_emi!K$20</f>
        <v>17908.851149725804</v>
      </c>
      <c r="L67" s="102">
        <f>TrRoad_emi!L$20</f>
        <v>17843.635535951697</v>
      </c>
      <c r="M67" s="102">
        <f>TrRoad_emi!M$20</f>
        <v>17769.826715630166</v>
      </c>
      <c r="N67" s="102">
        <f>TrRoad_emi!N$20</f>
        <v>17010.653752091428</v>
      </c>
      <c r="O67" s="102">
        <f>TrRoad_emi!O$20</f>
        <v>16566.55000382342</v>
      </c>
      <c r="P67" s="102">
        <f>TrRoad_emi!P$20</f>
        <v>15947.638658216041</v>
      </c>
      <c r="Q67" s="102">
        <f>TrRoad_emi!Q$20</f>
        <v>15764.615689639344</v>
      </c>
      <c r="R67" s="102">
        <f>TrRoad_emi!R$20</f>
        <v>15929.66112246004</v>
      </c>
      <c r="S67" s="102">
        <f>TrRoad_emi!S$20</f>
        <v>16049.130451820094</v>
      </c>
      <c r="T67" s="102">
        <f>TrRoad_emi!T$20</f>
        <v>15825.780033966228</v>
      </c>
      <c r="U67" s="102">
        <f>TrRoad_emi!U$20</f>
        <v>15511.636308747384</v>
      </c>
      <c r="V67" s="102">
        <f>TrRoad_emi!V$20</f>
        <v>12157.582074209251</v>
      </c>
      <c r="W67" s="102">
        <f>TrRoad_emi!W$20</f>
        <v>13202.308898808376</v>
      </c>
      <c r="X67" s="102">
        <f>TrRoad_emi!X$20</f>
        <v>13176.645645466804</v>
      </c>
      <c r="Y67" s="102">
        <f>TrRoad_emi!Y$20</f>
        <v>14038.44663079032</v>
      </c>
      <c r="DA67" s="175" t="s">
        <v>405</v>
      </c>
    </row>
    <row r="68" spans="1:105" ht="11.45" customHeight="1" x14ac:dyDescent="0.25">
      <c r="A68" s="128" t="str">
        <f>$A$8</f>
        <v>Motor coaches, buses and trolley buses</v>
      </c>
      <c r="B68" s="102">
        <f>TrRoad_emi!B$27</f>
        <v>1123.2626716156119</v>
      </c>
      <c r="C68" s="102">
        <f>TrRoad_emi!C$27</f>
        <v>1089.2980441020368</v>
      </c>
      <c r="D68" s="102">
        <f>TrRoad_emi!D$27</f>
        <v>1077.1360611516452</v>
      </c>
      <c r="E68" s="102">
        <f>TrRoad_emi!E$27</f>
        <v>1050.7132585094894</v>
      </c>
      <c r="F68" s="102">
        <f>TrRoad_emi!F$27</f>
        <v>1027.892757490054</v>
      </c>
      <c r="G68" s="102">
        <f>TrRoad_emi!G$27</f>
        <v>1025.7685442359648</v>
      </c>
      <c r="H68" s="102">
        <f>TrRoad_emi!H$27</f>
        <v>1011.9223478541821</v>
      </c>
      <c r="I68" s="102">
        <f>TrRoad_emi!I$27</f>
        <v>976.36888502841327</v>
      </c>
      <c r="J68" s="102">
        <f>TrRoad_emi!J$27</f>
        <v>1022.5386742183841</v>
      </c>
      <c r="K68" s="102">
        <f>TrRoad_emi!K$27</f>
        <v>1046.2282941908936</v>
      </c>
      <c r="L68" s="102">
        <f>TrRoad_emi!L$27</f>
        <v>1115.1971267752745</v>
      </c>
      <c r="M68" s="102">
        <f>TrRoad_emi!M$27</f>
        <v>1079.8384282019142</v>
      </c>
      <c r="N68" s="102">
        <f>TrRoad_emi!N$27</f>
        <v>1046.3208842590632</v>
      </c>
      <c r="O68" s="102">
        <f>TrRoad_emi!O$27</f>
        <v>946.78366489682116</v>
      </c>
      <c r="P68" s="102">
        <f>TrRoad_emi!P$27</f>
        <v>896.01335443023595</v>
      </c>
      <c r="Q68" s="102">
        <f>TrRoad_emi!Q$27</f>
        <v>887.759156363888</v>
      </c>
      <c r="R68" s="102">
        <f>TrRoad_emi!R$27</f>
        <v>894.90605540638944</v>
      </c>
      <c r="S68" s="102">
        <f>TrRoad_emi!S$27</f>
        <v>948.03725330728128</v>
      </c>
      <c r="T68" s="102">
        <f>TrRoad_emi!T$27</f>
        <v>858.69826006425558</v>
      </c>
      <c r="U68" s="102">
        <f>TrRoad_emi!U$27</f>
        <v>778.94090642761478</v>
      </c>
      <c r="V68" s="102">
        <f>TrRoad_emi!V$27</f>
        <v>591.58054395242903</v>
      </c>
      <c r="W68" s="102">
        <f>TrRoad_emi!W$27</f>
        <v>536.25145800674591</v>
      </c>
      <c r="X68" s="102">
        <f>TrRoad_emi!X$27</f>
        <v>529.3927834532924</v>
      </c>
      <c r="Y68" s="102">
        <f>TrRoad_emi!Y$27</f>
        <v>513.47369819610276</v>
      </c>
      <c r="DA68" s="175" t="s">
        <v>406</v>
      </c>
    </row>
    <row r="69" spans="1:105" ht="11.45" customHeight="1" x14ac:dyDescent="0.25">
      <c r="A69" s="109" t="str">
        <f>$A$9</f>
        <v>Rail, metro and tram</v>
      </c>
      <c r="B69" s="110">
        <f t="shared" ref="B69:Q69" si="57">B70+B71+B72</f>
        <v>70.55943337206611</v>
      </c>
      <c r="C69" s="110">
        <f t="shared" si="57"/>
        <v>67.862216103893473</v>
      </c>
      <c r="D69" s="110">
        <f t="shared" si="57"/>
        <v>68.840380195164926</v>
      </c>
      <c r="E69" s="110">
        <f t="shared" si="57"/>
        <v>65.123318262111354</v>
      </c>
      <c r="F69" s="110">
        <f t="shared" si="57"/>
        <v>62.618133164030937</v>
      </c>
      <c r="G69" s="110">
        <f t="shared" si="57"/>
        <v>61.127755140935939</v>
      </c>
      <c r="H69" s="110">
        <f t="shared" si="57"/>
        <v>58.723190293415968</v>
      </c>
      <c r="I69" s="110">
        <f t="shared" si="57"/>
        <v>54.429456273040344</v>
      </c>
      <c r="J69" s="110">
        <f t="shared" si="57"/>
        <v>58.407590170342786</v>
      </c>
      <c r="K69" s="110">
        <f t="shared" si="57"/>
        <v>59.370620510434605</v>
      </c>
      <c r="L69" s="110">
        <f t="shared" si="57"/>
        <v>64.317816412440607</v>
      </c>
      <c r="M69" s="110">
        <f t="shared" si="57"/>
        <v>62.465346391773181</v>
      </c>
      <c r="N69" s="110">
        <f t="shared" si="57"/>
        <v>51.604065072395684</v>
      </c>
      <c r="O69" s="110">
        <f t="shared" si="57"/>
        <v>52.350411632636238</v>
      </c>
      <c r="P69" s="110">
        <f t="shared" si="57"/>
        <v>54.133156081440582</v>
      </c>
      <c r="Q69" s="110">
        <f t="shared" si="57"/>
        <v>55.575823531742124</v>
      </c>
      <c r="R69" s="110">
        <f t="shared" ref="R69:V69" si="58">R70+R71+R72</f>
        <v>54.484595703279581</v>
      </c>
      <c r="S69" s="110">
        <f t="shared" si="58"/>
        <v>55.467085340654698</v>
      </c>
      <c r="T69" s="110">
        <f t="shared" si="58"/>
        <v>42.287250879590282</v>
      </c>
      <c r="U69" s="110">
        <f t="shared" si="58"/>
        <v>36.433284945194423</v>
      </c>
      <c r="V69" s="110">
        <f t="shared" si="58"/>
        <v>30.667863023301052</v>
      </c>
      <c r="W69" s="110">
        <f t="shared" ref="W69:Y69" si="59">W70+W71+W72</f>
        <v>26.727003324171136</v>
      </c>
      <c r="X69" s="110">
        <f t="shared" si="59"/>
        <v>33.062448462656576</v>
      </c>
      <c r="Y69" s="110">
        <f t="shared" si="59"/>
        <v>39.594710669678655</v>
      </c>
      <c r="DA69" s="176" t="s">
        <v>407</v>
      </c>
    </row>
    <row r="70" spans="1:105" ht="11.45" customHeight="1" x14ac:dyDescent="0.25">
      <c r="A70" s="128" t="str">
        <f>$A$10</f>
        <v>Metro and tram, urban light rail</v>
      </c>
      <c r="B70" s="102">
        <f>TrRail_emi!B$10</f>
        <v>0</v>
      </c>
      <c r="C70" s="102">
        <f>TrRail_emi!C$10</f>
        <v>0</v>
      </c>
      <c r="D70" s="102">
        <f>TrRail_emi!D$10</f>
        <v>0</v>
      </c>
      <c r="E70" s="102">
        <f>TrRail_emi!E$10</f>
        <v>0</v>
      </c>
      <c r="F70" s="102">
        <f>TrRail_emi!F$10</f>
        <v>0</v>
      </c>
      <c r="G70" s="102">
        <f>TrRail_emi!G$10</f>
        <v>0</v>
      </c>
      <c r="H70" s="102">
        <f>TrRail_emi!H$10</f>
        <v>0</v>
      </c>
      <c r="I70" s="102">
        <f>TrRail_emi!I$10</f>
        <v>0</v>
      </c>
      <c r="J70" s="102">
        <f>TrRail_emi!J$10</f>
        <v>0</v>
      </c>
      <c r="K70" s="102">
        <f>TrRail_emi!K$10</f>
        <v>0</v>
      </c>
      <c r="L70" s="102">
        <f>TrRail_emi!L$10</f>
        <v>0</v>
      </c>
      <c r="M70" s="102">
        <f>TrRail_emi!M$10</f>
        <v>0</v>
      </c>
      <c r="N70" s="102">
        <f>TrRail_emi!N$10</f>
        <v>0</v>
      </c>
      <c r="O70" s="102">
        <f>TrRail_emi!O$10</f>
        <v>0</v>
      </c>
      <c r="P70" s="102">
        <f>TrRail_emi!P$10</f>
        <v>0</v>
      </c>
      <c r="Q70" s="102">
        <f>TrRail_emi!Q$10</f>
        <v>0</v>
      </c>
      <c r="R70" s="102">
        <f>TrRail_emi!R$10</f>
        <v>0</v>
      </c>
      <c r="S70" s="102">
        <f>TrRail_emi!S$10</f>
        <v>0</v>
      </c>
      <c r="T70" s="102">
        <f>TrRail_emi!T$10</f>
        <v>0</v>
      </c>
      <c r="U70" s="102">
        <f>TrRail_emi!U$10</f>
        <v>0</v>
      </c>
      <c r="V70" s="102">
        <f>TrRail_emi!V$10</f>
        <v>0</v>
      </c>
      <c r="W70" s="102">
        <f>TrRail_emi!W$10</f>
        <v>0</v>
      </c>
      <c r="X70" s="102">
        <f>TrRail_emi!X$10</f>
        <v>0</v>
      </c>
      <c r="Y70" s="102">
        <f>TrRail_emi!Y$10</f>
        <v>0</v>
      </c>
      <c r="DA70" s="175" t="s">
        <v>408</v>
      </c>
    </row>
    <row r="71" spans="1:105" ht="11.45" customHeight="1" x14ac:dyDescent="0.25">
      <c r="A71" s="128" t="str">
        <f>$A$11</f>
        <v>Conventional passenger trains</v>
      </c>
      <c r="B71" s="102">
        <f>TrRail_emi!B$11</f>
        <v>70.55943337206611</v>
      </c>
      <c r="C71" s="102">
        <f>TrRail_emi!C$11</f>
        <v>67.862216103893473</v>
      </c>
      <c r="D71" s="102">
        <f>TrRail_emi!D$11</f>
        <v>68.840380195164926</v>
      </c>
      <c r="E71" s="102">
        <f>TrRail_emi!E$11</f>
        <v>65.123318262111354</v>
      </c>
      <c r="F71" s="102">
        <f>TrRail_emi!F$11</f>
        <v>62.618133164030937</v>
      </c>
      <c r="G71" s="102">
        <f>TrRail_emi!G$11</f>
        <v>61.127755140935939</v>
      </c>
      <c r="H71" s="102">
        <f>TrRail_emi!H$11</f>
        <v>58.723190293415968</v>
      </c>
      <c r="I71" s="102">
        <f>TrRail_emi!I$11</f>
        <v>54.429456273040344</v>
      </c>
      <c r="J71" s="102">
        <f>TrRail_emi!J$11</f>
        <v>58.407590170342786</v>
      </c>
      <c r="K71" s="102">
        <f>TrRail_emi!K$11</f>
        <v>59.370620510434605</v>
      </c>
      <c r="L71" s="102">
        <f>TrRail_emi!L$11</f>
        <v>64.317816412440607</v>
      </c>
      <c r="M71" s="102">
        <f>TrRail_emi!M$11</f>
        <v>62.465346391773181</v>
      </c>
      <c r="N71" s="102">
        <f>TrRail_emi!N$11</f>
        <v>51.604065072395684</v>
      </c>
      <c r="O71" s="102">
        <f>TrRail_emi!O$11</f>
        <v>52.350411632636238</v>
      </c>
      <c r="P71" s="102">
        <f>TrRail_emi!P$11</f>
        <v>54.133156081440582</v>
      </c>
      <c r="Q71" s="102">
        <f>TrRail_emi!Q$11</f>
        <v>55.575823531742124</v>
      </c>
      <c r="R71" s="102">
        <f>TrRail_emi!R$11</f>
        <v>54.484595703279581</v>
      </c>
      <c r="S71" s="102">
        <f>TrRail_emi!S$11</f>
        <v>55.467085340654698</v>
      </c>
      <c r="T71" s="102">
        <f>TrRail_emi!T$11</f>
        <v>42.287250879590282</v>
      </c>
      <c r="U71" s="102">
        <f>TrRail_emi!U$11</f>
        <v>36.433284945194423</v>
      </c>
      <c r="V71" s="102">
        <f>TrRail_emi!V$11</f>
        <v>30.667863023301052</v>
      </c>
      <c r="W71" s="102">
        <f>TrRail_emi!W$11</f>
        <v>26.727003324171136</v>
      </c>
      <c r="X71" s="102">
        <f>TrRail_emi!X$11</f>
        <v>33.062448462656576</v>
      </c>
      <c r="Y71" s="102">
        <f>TrRail_emi!Y$11</f>
        <v>39.594710669678655</v>
      </c>
      <c r="DA71" s="175" t="s">
        <v>409</v>
      </c>
    </row>
    <row r="72" spans="1:105" ht="11.45" customHeight="1" x14ac:dyDescent="0.25">
      <c r="A72" s="128" t="str">
        <f>$A$12</f>
        <v>High speed passenger trains</v>
      </c>
      <c r="B72" s="102">
        <f>TrRail_emi!B$14</f>
        <v>0</v>
      </c>
      <c r="C72" s="102">
        <f>TrRail_emi!C$14</f>
        <v>0</v>
      </c>
      <c r="D72" s="102">
        <f>TrRail_emi!D$14</f>
        <v>0</v>
      </c>
      <c r="E72" s="102">
        <f>TrRail_emi!E$14</f>
        <v>0</v>
      </c>
      <c r="F72" s="102">
        <f>TrRail_emi!F$14</f>
        <v>0</v>
      </c>
      <c r="G72" s="102">
        <f>TrRail_emi!G$14</f>
        <v>0</v>
      </c>
      <c r="H72" s="102">
        <f>TrRail_emi!H$14</f>
        <v>0</v>
      </c>
      <c r="I72" s="102">
        <f>TrRail_emi!I$14</f>
        <v>0</v>
      </c>
      <c r="J72" s="102">
        <f>TrRail_emi!J$14</f>
        <v>0</v>
      </c>
      <c r="K72" s="102">
        <f>TrRail_emi!K$14</f>
        <v>0</v>
      </c>
      <c r="L72" s="102">
        <f>TrRail_emi!L$14</f>
        <v>0</v>
      </c>
      <c r="M72" s="102">
        <f>TrRail_emi!M$14</f>
        <v>0</v>
      </c>
      <c r="N72" s="102">
        <f>TrRail_emi!N$14</f>
        <v>0</v>
      </c>
      <c r="O72" s="102">
        <f>TrRail_emi!O$14</f>
        <v>0</v>
      </c>
      <c r="P72" s="102">
        <f>TrRail_emi!P$14</f>
        <v>0</v>
      </c>
      <c r="Q72" s="102">
        <f>TrRail_emi!Q$14</f>
        <v>0</v>
      </c>
      <c r="R72" s="102">
        <f>TrRail_emi!R$14</f>
        <v>0</v>
      </c>
      <c r="S72" s="102">
        <f>TrRail_emi!S$14</f>
        <v>0</v>
      </c>
      <c r="T72" s="102">
        <f>TrRail_emi!T$14</f>
        <v>0</v>
      </c>
      <c r="U72" s="102">
        <f>TrRail_emi!U$14</f>
        <v>0</v>
      </c>
      <c r="V72" s="102">
        <f>TrRail_emi!V$14</f>
        <v>0</v>
      </c>
      <c r="W72" s="102">
        <f>TrRail_emi!W$14</f>
        <v>0</v>
      </c>
      <c r="X72" s="102">
        <f>TrRail_emi!X$14</f>
        <v>0</v>
      </c>
      <c r="Y72" s="102">
        <f>TrRail_emi!Y$14</f>
        <v>0</v>
      </c>
      <c r="DA72" s="175" t="s">
        <v>410</v>
      </c>
    </row>
    <row r="73" spans="1:105" ht="11.45" customHeight="1" x14ac:dyDescent="0.25">
      <c r="A73" s="109" t="str">
        <f>$A$13</f>
        <v>Aviation</v>
      </c>
      <c r="B73" s="110">
        <f t="shared" ref="B73:Q73" si="60">B74+B75+B76</f>
        <v>8289.4286838936223</v>
      </c>
      <c r="C73" s="110">
        <f t="shared" si="60"/>
        <v>8060.6883727024524</v>
      </c>
      <c r="D73" s="110">
        <f t="shared" si="60"/>
        <v>8371.8233373946114</v>
      </c>
      <c r="E73" s="110">
        <f t="shared" si="60"/>
        <v>8064.9831212017534</v>
      </c>
      <c r="F73" s="110">
        <f t="shared" si="60"/>
        <v>8688.2649375693436</v>
      </c>
      <c r="G73" s="110">
        <f t="shared" si="60"/>
        <v>8840.7508187956646</v>
      </c>
      <c r="H73" s="110">
        <f t="shared" si="60"/>
        <v>8757.4505341841323</v>
      </c>
      <c r="I73" s="110">
        <f t="shared" si="60"/>
        <v>8849.0321932855149</v>
      </c>
      <c r="J73" s="110">
        <f t="shared" si="60"/>
        <v>8941.0784756274752</v>
      </c>
      <c r="K73" s="110">
        <f t="shared" si="60"/>
        <v>8599.5512241255692</v>
      </c>
      <c r="L73" s="110">
        <f t="shared" si="60"/>
        <v>8173.5321069492984</v>
      </c>
      <c r="M73" s="110">
        <f t="shared" si="60"/>
        <v>8732.2663650794875</v>
      </c>
      <c r="N73" s="110">
        <f t="shared" si="60"/>
        <v>8665.5940969251005</v>
      </c>
      <c r="O73" s="110">
        <f t="shared" si="60"/>
        <v>8872.1443642377544</v>
      </c>
      <c r="P73" s="110">
        <f t="shared" si="60"/>
        <v>9325.0195318003698</v>
      </c>
      <c r="Q73" s="110">
        <f t="shared" si="60"/>
        <v>9833.305233621064</v>
      </c>
      <c r="R73" s="110">
        <f t="shared" ref="R73:V73" si="61">R74+R75+R76</f>
        <v>10266.121774443704</v>
      </c>
      <c r="S73" s="110">
        <f t="shared" si="61"/>
        <v>10473.96886613923</v>
      </c>
      <c r="T73" s="110">
        <f t="shared" si="61"/>
        <v>10646.656376465187</v>
      </c>
      <c r="U73" s="110">
        <f t="shared" si="61"/>
        <v>10593.002933227479</v>
      </c>
      <c r="V73" s="110">
        <f t="shared" si="61"/>
        <v>4729.5545607966851</v>
      </c>
      <c r="W73" s="110">
        <f t="shared" ref="W73:Y73" si="62">W74+W75+W76</f>
        <v>5351.9751975010295</v>
      </c>
      <c r="X73" s="110">
        <f t="shared" si="62"/>
        <v>7765.1031330507376</v>
      </c>
      <c r="Y73" s="110">
        <f t="shared" si="62"/>
        <v>8518.2789873814982</v>
      </c>
      <c r="DA73" s="176" t="s">
        <v>327</v>
      </c>
    </row>
    <row r="74" spans="1:105" ht="11.45" customHeight="1" x14ac:dyDescent="0.25">
      <c r="A74" s="128" t="str">
        <f>$A$14</f>
        <v>Domestic</v>
      </c>
      <c r="B74" s="102">
        <f>TrAvia_emi!B$7</f>
        <v>0</v>
      </c>
      <c r="C74" s="102">
        <f>TrAvia_emi!C$7</f>
        <v>0</v>
      </c>
      <c r="D74" s="102">
        <f>TrAvia_emi!D$7</f>
        <v>0</v>
      </c>
      <c r="E74" s="102">
        <f>TrAvia_emi!E$7</f>
        <v>0</v>
      </c>
      <c r="F74" s="102">
        <f>TrAvia_emi!F$7</f>
        <v>0</v>
      </c>
      <c r="G74" s="102">
        <f>TrAvia_emi!G$7</f>
        <v>0</v>
      </c>
      <c r="H74" s="102">
        <f>TrAvia_emi!H$7</f>
        <v>0</v>
      </c>
      <c r="I74" s="102">
        <f>TrAvia_emi!I$7</f>
        <v>0</v>
      </c>
      <c r="J74" s="102">
        <f>TrAvia_emi!J$7</f>
        <v>0</v>
      </c>
      <c r="K74" s="102">
        <f>TrAvia_emi!K$7</f>
        <v>0</v>
      </c>
      <c r="L74" s="102">
        <f>TrAvia_emi!L$7</f>
        <v>0</v>
      </c>
      <c r="M74" s="102">
        <f>TrAvia_emi!M$7</f>
        <v>0</v>
      </c>
      <c r="N74" s="102">
        <f>TrAvia_emi!N$7</f>
        <v>0</v>
      </c>
      <c r="O74" s="102">
        <f>TrAvia_emi!O$7</f>
        <v>0</v>
      </c>
      <c r="P74" s="102">
        <f>TrAvia_emi!P$7</f>
        <v>0</v>
      </c>
      <c r="Q74" s="102">
        <f>TrAvia_emi!Q$7</f>
        <v>0</v>
      </c>
      <c r="R74" s="102">
        <f>TrAvia_emi!R$7</f>
        <v>0</v>
      </c>
      <c r="S74" s="102">
        <f>TrAvia_emi!S$7</f>
        <v>0</v>
      </c>
      <c r="T74" s="102">
        <f>TrAvia_emi!T$7</f>
        <v>0</v>
      </c>
      <c r="U74" s="102">
        <f>TrAvia_emi!U$7</f>
        <v>0</v>
      </c>
      <c r="V74" s="102">
        <f>TrAvia_emi!V$7</f>
        <v>0</v>
      </c>
      <c r="W74" s="102">
        <f>TrAvia_emi!W$7</f>
        <v>0</v>
      </c>
      <c r="X74" s="102">
        <f>TrAvia_emi!X$7</f>
        <v>0</v>
      </c>
      <c r="Y74" s="102">
        <f>TrAvia_emi!Y$7</f>
        <v>0</v>
      </c>
      <c r="DA74" s="175" t="s">
        <v>328</v>
      </c>
    </row>
    <row r="75" spans="1:105" ht="11.45" customHeight="1" x14ac:dyDescent="0.25">
      <c r="A75" s="128" t="str">
        <f>$A$15</f>
        <v>International - Intra-EEAwCHUK</v>
      </c>
      <c r="B75" s="102">
        <f>TrAvia_emi!B$8</f>
        <v>1887.2543046111916</v>
      </c>
      <c r="C75" s="102">
        <f>TrAvia_emi!C$8</f>
        <v>1835.1588153343832</v>
      </c>
      <c r="D75" s="102">
        <f>TrAvia_emi!D$8</f>
        <v>1894.8339942070425</v>
      </c>
      <c r="E75" s="102">
        <f>TrAvia_emi!E$8</f>
        <v>1856.3710372714313</v>
      </c>
      <c r="F75" s="102">
        <f>TrAvia_emi!F$8</f>
        <v>1888.7333767042969</v>
      </c>
      <c r="G75" s="102">
        <f>TrAvia_emi!G$8</f>
        <v>1918.4677657131265</v>
      </c>
      <c r="H75" s="102">
        <f>TrAvia_emi!H$8</f>
        <v>1954.3350006803394</v>
      </c>
      <c r="I75" s="102">
        <f>TrAvia_emi!I$8</f>
        <v>2018.7058788695927</v>
      </c>
      <c r="J75" s="102">
        <f>TrAvia_emi!J$8</f>
        <v>1971.2573110536105</v>
      </c>
      <c r="K75" s="102">
        <f>TrAvia_emi!K$8</f>
        <v>1818.6175257942448</v>
      </c>
      <c r="L75" s="102">
        <f>TrAvia_emi!L$8</f>
        <v>1710.3976417980489</v>
      </c>
      <c r="M75" s="102">
        <f>TrAvia_emi!M$8</f>
        <v>1858.0766884043846</v>
      </c>
      <c r="N75" s="102">
        <f>TrAvia_emi!N$8</f>
        <v>1819.2933899736013</v>
      </c>
      <c r="O75" s="102">
        <f>TrAvia_emi!O$8</f>
        <v>1863.8583754969948</v>
      </c>
      <c r="P75" s="102">
        <f>TrAvia_emi!P$8</f>
        <v>1981.651938845152</v>
      </c>
      <c r="Q75" s="102">
        <f>TrAvia_emi!Q$8</f>
        <v>2113.5259681184584</v>
      </c>
      <c r="R75" s="102">
        <f>TrAvia_emi!R$8</f>
        <v>2322.9572674850174</v>
      </c>
      <c r="S75" s="102">
        <f>TrAvia_emi!S$8</f>
        <v>2430.0759244066794</v>
      </c>
      <c r="T75" s="102">
        <f>TrAvia_emi!T$8</f>
        <v>2432.4383861618885</v>
      </c>
      <c r="U75" s="102">
        <f>TrAvia_emi!U$8</f>
        <v>2339.5216114765212</v>
      </c>
      <c r="V75" s="102">
        <f>TrAvia_emi!V$8</f>
        <v>817.10213728765882</v>
      </c>
      <c r="W75" s="102">
        <f>TrAvia_emi!W$8</f>
        <v>1033.5483001517953</v>
      </c>
      <c r="X75" s="102">
        <f>TrAvia_emi!X$8</f>
        <v>1794.5367192960241</v>
      </c>
      <c r="Y75" s="102">
        <f>TrAvia_emi!Y$8</f>
        <v>1927.1852357019595</v>
      </c>
      <c r="DA75" s="175" t="s">
        <v>329</v>
      </c>
    </row>
    <row r="76" spans="1:105" ht="11.45" customHeight="1" x14ac:dyDescent="0.25">
      <c r="A76" s="128" t="str">
        <f>$A$16</f>
        <v>International - Extra-EEAwCHUK</v>
      </c>
      <c r="B76" s="102">
        <f>TrAvia_emi!B$9</f>
        <v>6402.1743792824309</v>
      </c>
      <c r="C76" s="102">
        <f>TrAvia_emi!C$9</f>
        <v>6225.5295573680687</v>
      </c>
      <c r="D76" s="102">
        <f>TrAvia_emi!D$9</f>
        <v>6476.9893431875689</v>
      </c>
      <c r="E76" s="102">
        <f>TrAvia_emi!E$9</f>
        <v>6208.6120839303221</v>
      </c>
      <c r="F76" s="102">
        <f>TrAvia_emi!F$9</f>
        <v>6799.5315608650471</v>
      </c>
      <c r="G76" s="102">
        <f>TrAvia_emi!G$9</f>
        <v>6922.2830530825386</v>
      </c>
      <c r="H76" s="102">
        <f>TrAvia_emi!H$9</f>
        <v>6803.1155335037929</v>
      </c>
      <c r="I76" s="102">
        <f>TrAvia_emi!I$9</f>
        <v>6830.3263144159218</v>
      </c>
      <c r="J76" s="102">
        <f>TrAvia_emi!J$9</f>
        <v>6969.8211645738647</v>
      </c>
      <c r="K76" s="102">
        <f>TrAvia_emi!K$9</f>
        <v>6780.9336983313242</v>
      </c>
      <c r="L76" s="102">
        <f>TrAvia_emi!L$9</f>
        <v>6463.1344651512491</v>
      </c>
      <c r="M76" s="102">
        <f>TrAvia_emi!M$9</f>
        <v>6874.1896766751024</v>
      </c>
      <c r="N76" s="102">
        <f>TrAvia_emi!N$9</f>
        <v>6846.3007069514997</v>
      </c>
      <c r="O76" s="102">
        <f>TrAvia_emi!O$9</f>
        <v>7008.2859887407603</v>
      </c>
      <c r="P76" s="102">
        <f>TrAvia_emi!P$9</f>
        <v>7343.3675929552173</v>
      </c>
      <c r="Q76" s="102">
        <f>TrAvia_emi!Q$9</f>
        <v>7719.7792655026051</v>
      </c>
      <c r="R76" s="102">
        <f>TrAvia_emi!R$9</f>
        <v>7943.1645069586857</v>
      </c>
      <c r="S76" s="102">
        <f>TrAvia_emi!S$9</f>
        <v>8043.8929417325508</v>
      </c>
      <c r="T76" s="102">
        <f>TrAvia_emi!T$9</f>
        <v>8214.2179903032993</v>
      </c>
      <c r="U76" s="102">
        <f>TrAvia_emi!U$9</f>
        <v>8253.4813217509582</v>
      </c>
      <c r="V76" s="102">
        <f>TrAvia_emi!V$9</f>
        <v>3912.4524235090262</v>
      </c>
      <c r="W76" s="102">
        <f>TrAvia_emi!W$9</f>
        <v>4318.4268973492344</v>
      </c>
      <c r="X76" s="102">
        <f>TrAvia_emi!X$9</f>
        <v>5970.5664137547137</v>
      </c>
      <c r="Y76" s="102">
        <f>TrAvia_emi!Y$9</f>
        <v>6591.0937516795393</v>
      </c>
      <c r="DA76" s="175" t="s">
        <v>330</v>
      </c>
    </row>
    <row r="77" spans="1:105" ht="11.45" customHeight="1" x14ac:dyDescent="0.25">
      <c r="A77" s="27" t="s">
        <v>34</v>
      </c>
      <c r="B77" s="28">
        <f t="shared" ref="B77:Y77" si="63">B78+B81+B82+B86+B92</f>
        <v>14533.396769548679</v>
      </c>
      <c r="C77" s="28">
        <f t="shared" si="63"/>
        <v>14618.742278320435</v>
      </c>
      <c r="D77" s="28">
        <f t="shared" si="63"/>
        <v>15147.429684193852</v>
      </c>
      <c r="E77" s="28">
        <f t="shared" si="63"/>
        <v>15738.332858217651</v>
      </c>
      <c r="F77" s="28">
        <f t="shared" si="63"/>
        <v>16305.298432532947</v>
      </c>
      <c r="G77" s="28">
        <f t="shared" si="63"/>
        <v>16631.903163392752</v>
      </c>
      <c r="H77" s="28">
        <f t="shared" si="63"/>
        <v>17405.192634318082</v>
      </c>
      <c r="I77" s="28">
        <f t="shared" si="63"/>
        <v>17117.078677496676</v>
      </c>
      <c r="J77" s="28">
        <f t="shared" si="63"/>
        <v>17493.594589611239</v>
      </c>
      <c r="K77" s="28">
        <f t="shared" si="63"/>
        <v>15790.103763202016</v>
      </c>
      <c r="L77" s="28">
        <f t="shared" si="63"/>
        <v>16571.046824542987</v>
      </c>
      <c r="M77" s="28">
        <f t="shared" si="63"/>
        <v>16652.296898453686</v>
      </c>
      <c r="N77" s="28">
        <f t="shared" si="63"/>
        <v>15599.986635065161</v>
      </c>
      <c r="O77" s="28">
        <f t="shared" si="63"/>
        <v>14642.882467475836</v>
      </c>
      <c r="P77" s="28">
        <f t="shared" si="63"/>
        <v>12577.268976566593</v>
      </c>
      <c r="Q77" s="28">
        <f t="shared" si="63"/>
        <v>13106.262631318863</v>
      </c>
      <c r="R77" s="28">
        <f t="shared" si="63"/>
        <v>12892.522481751901</v>
      </c>
      <c r="S77" s="28">
        <f t="shared" si="63"/>
        <v>13722.388766258358</v>
      </c>
      <c r="T77" s="28">
        <f t="shared" si="63"/>
        <v>14168.709329754549</v>
      </c>
      <c r="U77" s="28">
        <f t="shared" si="63"/>
        <v>13883.518718647847</v>
      </c>
      <c r="V77" s="28">
        <f t="shared" si="63"/>
        <v>13660.631221699676</v>
      </c>
      <c r="W77" s="28">
        <f t="shared" si="63"/>
        <v>12818.961132381048</v>
      </c>
      <c r="X77" s="28">
        <f t="shared" si="63"/>
        <v>12451.273241099134</v>
      </c>
      <c r="Y77" s="28">
        <f t="shared" si="63"/>
        <v>12352.489720171685</v>
      </c>
      <c r="DA77" s="173"/>
    </row>
    <row r="78" spans="1:105" ht="11.45" customHeight="1" x14ac:dyDescent="0.25">
      <c r="A78" s="136" t="str">
        <f>$A$18</f>
        <v>Road transport</v>
      </c>
      <c r="B78" s="137">
        <f t="shared" ref="B78:Q78" si="64">B79+B80</f>
        <v>12081.925593614367</v>
      </c>
      <c r="C78" s="137">
        <f t="shared" si="64"/>
        <v>12176.152465646781</v>
      </c>
      <c r="D78" s="137">
        <f t="shared" si="64"/>
        <v>12566.138201503629</v>
      </c>
      <c r="E78" s="137">
        <f t="shared" si="64"/>
        <v>13044.374259241515</v>
      </c>
      <c r="F78" s="137">
        <f t="shared" si="64"/>
        <v>13509.364950986324</v>
      </c>
      <c r="G78" s="137">
        <f t="shared" si="64"/>
        <v>13607.198367329353</v>
      </c>
      <c r="H78" s="137">
        <f t="shared" si="64"/>
        <v>14103.137529155632</v>
      </c>
      <c r="I78" s="137">
        <f t="shared" si="64"/>
        <v>13760.047983335229</v>
      </c>
      <c r="J78" s="137">
        <f t="shared" si="64"/>
        <v>14054.457919129058</v>
      </c>
      <c r="K78" s="137">
        <f t="shared" si="64"/>
        <v>12835.955617838023</v>
      </c>
      <c r="L78" s="137">
        <f t="shared" si="64"/>
        <v>13317.920487904725</v>
      </c>
      <c r="M78" s="137">
        <f t="shared" si="64"/>
        <v>13527.343803644948</v>
      </c>
      <c r="N78" s="137">
        <f t="shared" si="64"/>
        <v>12922.315693342654</v>
      </c>
      <c r="O78" s="137">
        <f t="shared" si="64"/>
        <v>11886.422503346224</v>
      </c>
      <c r="P78" s="137">
        <f t="shared" si="64"/>
        <v>10019.104740728402</v>
      </c>
      <c r="Q78" s="137">
        <f t="shared" si="64"/>
        <v>10316.374420191667</v>
      </c>
      <c r="R78" s="137">
        <f t="shared" ref="R78:V78" si="65">R79+R80</f>
        <v>10312.945091458882</v>
      </c>
      <c r="S78" s="137">
        <f t="shared" si="65"/>
        <v>11040.073383058241</v>
      </c>
      <c r="T78" s="137">
        <f t="shared" si="65"/>
        <v>11518.181862099329</v>
      </c>
      <c r="U78" s="137">
        <f t="shared" si="65"/>
        <v>11532.898114620519</v>
      </c>
      <c r="V78" s="137">
        <f t="shared" si="65"/>
        <v>10933.38369655966</v>
      </c>
      <c r="W78" s="137">
        <f t="shared" ref="W78:Y78" si="66">W79+W80</f>
        <v>9968.1154054062463</v>
      </c>
      <c r="X78" s="137">
        <f t="shared" si="66"/>
        <v>9766.1450120125301</v>
      </c>
      <c r="Y78" s="137">
        <f t="shared" si="66"/>
        <v>9858.2253751428616</v>
      </c>
      <c r="DA78" s="174" t="s">
        <v>411</v>
      </c>
    </row>
    <row r="79" spans="1:105" ht="11.45" customHeight="1" x14ac:dyDescent="0.25">
      <c r="A79" s="128" t="str">
        <f>$A$19</f>
        <v>Light commercial vehicles</v>
      </c>
      <c r="B79" s="102">
        <f>TrRoad_emi!B$34</f>
        <v>5484.7406104897991</v>
      </c>
      <c r="C79" s="102">
        <f>TrRoad_emi!C$34</f>
        <v>5689.6450334727861</v>
      </c>
      <c r="D79" s="102">
        <f>TrRoad_emi!D$34</f>
        <v>5833.5404065728671</v>
      </c>
      <c r="E79" s="102">
        <f>TrRoad_emi!E$34</f>
        <v>6057.4029337715046</v>
      </c>
      <c r="F79" s="102">
        <f>TrRoad_emi!F$34</f>
        <v>6348.1183265987829</v>
      </c>
      <c r="G79" s="102">
        <f>TrRoad_emi!G$34</f>
        <v>6406.3740076323547</v>
      </c>
      <c r="H79" s="102">
        <f>TrRoad_emi!H$34</f>
        <v>6335.6359493055852</v>
      </c>
      <c r="I79" s="102">
        <f>TrRoad_emi!I$34</f>
        <v>6192.8007659331624</v>
      </c>
      <c r="J79" s="102">
        <f>TrRoad_emi!J$34</f>
        <v>6342.1120971552564</v>
      </c>
      <c r="K79" s="102">
        <f>TrRoad_emi!K$34</f>
        <v>5896.3756232695096</v>
      </c>
      <c r="L79" s="102">
        <f>TrRoad_emi!L$34</f>
        <v>6094.7692094737549</v>
      </c>
      <c r="M79" s="102">
        <f>TrRoad_emi!M$34</f>
        <v>6129.1988870572295</v>
      </c>
      <c r="N79" s="102">
        <f>TrRoad_emi!N$34</f>
        <v>5791.5292473764866</v>
      </c>
      <c r="O79" s="102">
        <f>TrRoad_emi!O$34</f>
        <v>5577.5098641193963</v>
      </c>
      <c r="P79" s="102">
        <f>TrRoad_emi!P$34</f>
        <v>5244.4158180586674</v>
      </c>
      <c r="Q79" s="102">
        <f>TrRoad_emi!Q$34</f>
        <v>5489.1190366182072</v>
      </c>
      <c r="R79" s="102">
        <f>TrRoad_emi!R$34</f>
        <v>5563.0684247180752</v>
      </c>
      <c r="S79" s="102">
        <f>TrRoad_emi!S$34</f>
        <v>5510.1856590183088</v>
      </c>
      <c r="T79" s="102">
        <f>TrRoad_emi!T$34</f>
        <v>5296.1056531700033</v>
      </c>
      <c r="U79" s="102">
        <f>TrRoad_emi!U$34</f>
        <v>5105.0119490204306</v>
      </c>
      <c r="V79" s="102">
        <f>TrRoad_emi!V$34</f>
        <v>4954.5354015900912</v>
      </c>
      <c r="W79" s="102">
        <f>TrRoad_emi!W$34</f>
        <v>5073.1849835328185</v>
      </c>
      <c r="X79" s="102">
        <f>TrRoad_emi!X$34</f>
        <v>5016.2962147404032</v>
      </c>
      <c r="Y79" s="102">
        <f>TrRoad_emi!Y$34</f>
        <v>4910.9567574288021</v>
      </c>
      <c r="DA79" s="175" t="s">
        <v>412</v>
      </c>
    </row>
    <row r="80" spans="1:105" ht="11.45" customHeight="1" x14ac:dyDescent="0.25">
      <c r="A80" s="128" t="str">
        <f>$A$20</f>
        <v>Heavy goods vehicles</v>
      </c>
      <c r="B80" s="102">
        <f>TrRoad_emi!B$40</f>
        <v>6597.1849831245672</v>
      </c>
      <c r="C80" s="102">
        <f>TrRoad_emi!C$40</f>
        <v>6486.5074321739949</v>
      </c>
      <c r="D80" s="102">
        <f>TrRoad_emi!D$40</f>
        <v>6732.5977949307617</v>
      </c>
      <c r="E80" s="102">
        <f>TrRoad_emi!E$40</f>
        <v>6986.9713254700091</v>
      </c>
      <c r="F80" s="102">
        <f>TrRoad_emi!F$40</f>
        <v>7161.2466243875424</v>
      </c>
      <c r="G80" s="102">
        <f>TrRoad_emi!G$40</f>
        <v>7200.8243596969978</v>
      </c>
      <c r="H80" s="102">
        <f>TrRoad_emi!H$40</f>
        <v>7767.5015798500463</v>
      </c>
      <c r="I80" s="102">
        <f>TrRoad_emi!I$40</f>
        <v>7567.2472174020677</v>
      </c>
      <c r="J80" s="102">
        <f>TrRoad_emi!J$40</f>
        <v>7712.3458219738022</v>
      </c>
      <c r="K80" s="102">
        <f>TrRoad_emi!K$40</f>
        <v>6939.5799945685121</v>
      </c>
      <c r="L80" s="102">
        <f>TrRoad_emi!L$40</f>
        <v>7223.1512784309707</v>
      </c>
      <c r="M80" s="102">
        <f>TrRoad_emi!M$40</f>
        <v>7398.1449165877193</v>
      </c>
      <c r="N80" s="102">
        <f>TrRoad_emi!N$40</f>
        <v>7130.7864459661687</v>
      </c>
      <c r="O80" s="102">
        <f>TrRoad_emi!O$40</f>
        <v>6308.9126392268281</v>
      </c>
      <c r="P80" s="102">
        <f>TrRoad_emi!P$40</f>
        <v>4774.688922669734</v>
      </c>
      <c r="Q80" s="102">
        <f>TrRoad_emi!Q$40</f>
        <v>4827.2553835734589</v>
      </c>
      <c r="R80" s="102">
        <f>TrRoad_emi!R$40</f>
        <v>4749.8766667408072</v>
      </c>
      <c r="S80" s="102">
        <f>TrRoad_emi!S$40</f>
        <v>5529.8877240399324</v>
      </c>
      <c r="T80" s="102">
        <f>TrRoad_emi!T$40</f>
        <v>6222.0762089293248</v>
      </c>
      <c r="U80" s="102">
        <f>TrRoad_emi!U$40</f>
        <v>6427.886165600089</v>
      </c>
      <c r="V80" s="102">
        <f>TrRoad_emi!V$40</f>
        <v>5978.8482949695699</v>
      </c>
      <c r="W80" s="102">
        <f>TrRoad_emi!W$40</f>
        <v>4894.9304218734287</v>
      </c>
      <c r="X80" s="102">
        <f>TrRoad_emi!X$40</f>
        <v>4749.8487972721259</v>
      </c>
      <c r="Y80" s="102">
        <f>TrRoad_emi!Y$40</f>
        <v>4947.2686177140586</v>
      </c>
      <c r="DA80" s="175" t="s">
        <v>413</v>
      </c>
    </row>
    <row r="81" spans="1:105" ht="11.45" customHeight="1" x14ac:dyDescent="0.25">
      <c r="A81" s="109" t="str">
        <f>$A$21</f>
        <v>Rail transport</v>
      </c>
      <c r="B81" s="110">
        <f>TrRail_emi!B$15</f>
        <v>44.414126627933911</v>
      </c>
      <c r="C81" s="110">
        <f>TrRail_emi!C$15</f>
        <v>40.724042456106517</v>
      </c>
      <c r="D81" s="110">
        <f>TrRail_emi!D$15</f>
        <v>36.551960884835104</v>
      </c>
      <c r="E81" s="110">
        <f>TrRail_emi!E$15</f>
        <v>40.26902281788869</v>
      </c>
      <c r="F81" s="110">
        <f>TrRail_emi!F$15</f>
        <v>45.968125395969039</v>
      </c>
      <c r="G81" s="110">
        <f>TrRail_emi!G$15</f>
        <v>44.264585939064091</v>
      </c>
      <c r="H81" s="110">
        <f>TrRail_emi!H$15</f>
        <v>46.669150786584055</v>
      </c>
      <c r="I81" s="110">
        <f>TrRail_emi!I$15</f>
        <v>50.962884806959686</v>
      </c>
      <c r="J81" s="110">
        <f>TrRail_emi!J$15</f>
        <v>47.229369829657223</v>
      </c>
      <c r="K81" s="110">
        <f>TrRail_emi!K$15</f>
        <v>36.662979489565387</v>
      </c>
      <c r="L81" s="110">
        <f>TrRail_emi!L$15</f>
        <v>41.319143587559402</v>
      </c>
      <c r="M81" s="110">
        <f>TrRail_emi!M$15</f>
        <v>39.970493608226818</v>
      </c>
      <c r="N81" s="110">
        <f>TrRail_emi!N$15</f>
        <v>31.625054927604303</v>
      </c>
      <c r="O81" s="110">
        <f>TrRail_emi!O$15</f>
        <v>30.878708367363757</v>
      </c>
      <c r="P81" s="110">
        <f>TrRail_emi!P$15</f>
        <v>32.297083918559437</v>
      </c>
      <c r="Q81" s="110">
        <f>TrRail_emi!Q$15</f>
        <v>33.868537708257868</v>
      </c>
      <c r="R81" s="110">
        <f>TrRail_emi!R$15</f>
        <v>35.215855136720428</v>
      </c>
      <c r="S81" s="110">
        <f>TrRail_emi!S$15</f>
        <v>33.357325659345285</v>
      </c>
      <c r="T81" s="110">
        <f>TrRail_emi!T$15</f>
        <v>27.600934760409718</v>
      </c>
      <c r="U81" s="110">
        <f>TrRail_emi!U$15</f>
        <v>24.319437734805582</v>
      </c>
      <c r="V81" s="110">
        <f>TrRail_emi!V$15</f>
        <v>30.828853296698949</v>
      </c>
      <c r="W81" s="110">
        <f>TrRail_emi!W$15</f>
        <v>30.079271915828873</v>
      </c>
      <c r="X81" s="110">
        <f>TrRail_emi!X$15</f>
        <v>27.922888937343423</v>
      </c>
      <c r="Y81" s="110">
        <f>TrRail_emi!Y$15</f>
        <v>29.217898650321359</v>
      </c>
      <c r="DA81" s="176" t="s">
        <v>414</v>
      </c>
    </row>
    <row r="82" spans="1:105" ht="11.45" customHeight="1" x14ac:dyDescent="0.25">
      <c r="A82" s="109" t="str">
        <f>$A$22</f>
        <v>Aviation</v>
      </c>
      <c r="B82" s="110">
        <f t="shared" ref="B82:V82" si="67">B83+B84+B85</f>
        <v>1650.1476903863781</v>
      </c>
      <c r="C82" s="110">
        <f t="shared" si="67"/>
        <v>1616.2130212975485</v>
      </c>
      <c r="D82" s="110">
        <f t="shared" si="67"/>
        <v>1730.3433828853886</v>
      </c>
      <c r="E82" s="110">
        <f t="shared" si="67"/>
        <v>1887.1992650782465</v>
      </c>
      <c r="F82" s="110">
        <f t="shared" si="67"/>
        <v>1973.8938261506544</v>
      </c>
      <c r="G82" s="110">
        <f t="shared" si="67"/>
        <v>2137.300681204335</v>
      </c>
      <c r="H82" s="110">
        <f t="shared" si="67"/>
        <v>2370.7281658158686</v>
      </c>
      <c r="I82" s="110">
        <f t="shared" si="67"/>
        <v>2347.9547204344863</v>
      </c>
      <c r="J82" s="110">
        <f t="shared" si="67"/>
        <v>2409.163460652524</v>
      </c>
      <c r="K82" s="110">
        <f t="shared" si="67"/>
        <v>1918.7357258744291</v>
      </c>
      <c r="L82" s="110">
        <f t="shared" si="67"/>
        <v>2091.4151930507023</v>
      </c>
      <c r="M82" s="110">
        <f t="shared" si="67"/>
        <v>1951.7861212005125</v>
      </c>
      <c r="N82" s="110">
        <f t="shared" si="67"/>
        <v>1602.4807667949021</v>
      </c>
      <c r="O82" s="110">
        <f t="shared" si="67"/>
        <v>1617.9937357622493</v>
      </c>
      <c r="P82" s="110">
        <f t="shared" si="67"/>
        <v>1562.3300319196305</v>
      </c>
      <c r="Q82" s="110">
        <f t="shared" si="67"/>
        <v>1610.0492158589382</v>
      </c>
      <c r="R82" s="110">
        <f t="shared" si="67"/>
        <v>1474.7076511163002</v>
      </c>
      <c r="S82" s="110">
        <f t="shared" si="67"/>
        <v>1607.4743275807716</v>
      </c>
      <c r="T82" s="110">
        <f t="shared" si="67"/>
        <v>1579.6323870548101</v>
      </c>
      <c r="U82" s="110">
        <f t="shared" si="67"/>
        <v>1363.2838729725233</v>
      </c>
      <c r="V82" s="110">
        <f t="shared" si="67"/>
        <v>1938.9900564833172</v>
      </c>
      <c r="W82" s="110">
        <f t="shared" ref="W82:Y82" si="68">W83+W84+W85</f>
        <v>1981.301082898972</v>
      </c>
      <c r="X82" s="110">
        <f t="shared" si="68"/>
        <v>1768.839886749261</v>
      </c>
      <c r="Y82" s="110">
        <f t="shared" si="68"/>
        <v>1525.2035144185015</v>
      </c>
      <c r="DA82" s="176" t="s">
        <v>331</v>
      </c>
    </row>
    <row r="83" spans="1:105" ht="11.45" customHeight="1" x14ac:dyDescent="0.25">
      <c r="A83" s="128" t="s">
        <v>27</v>
      </c>
      <c r="B83" s="102">
        <f>TrAvia_emi!B$11</f>
        <v>0</v>
      </c>
      <c r="C83" s="102">
        <f>TrAvia_emi!C$11</f>
        <v>0</v>
      </c>
      <c r="D83" s="102">
        <f>TrAvia_emi!D$11</f>
        <v>0</v>
      </c>
      <c r="E83" s="102">
        <f>TrAvia_emi!E$11</f>
        <v>0</v>
      </c>
      <c r="F83" s="102">
        <f>TrAvia_emi!F$11</f>
        <v>0</v>
      </c>
      <c r="G83" s="102">
        <f>TrAvia_emi!G$11</f>
        <v>0</v>
      </c>
      <c r="H83" s="102">
        <f>TrAvia_emi!H$11</f>
        <v>0</v>
      </c>
      <c r="I83" s="102">
        <f>TrAvia_emi!I$11</f>
        <v>0</v>
      </c>
      <c r="J83" s="102">
        <f>TrAvia_emi!J$11</f>
        <v>0</v>
      </c>
      <c r="K83" s="102">
        <f>TrAvia_emi!K$11</f>
        <v>0</v>
      </c>
      <c r="L83" s="102">
        <f>TrAvia_emi!L$11</f>
        <v>0</v>
      </c>
      <c r="M83" s="102">
        <f>TrAvia_emi!M$11</f>
        <v>0</v>
      </c>
      <c r="N83" s="102">
        <f>TrAvia_emi!N$11</f>
        <v>0</v>
      </c>
      <c r="O83" s="102">
        <f>TrAvia_emi!O$11</f>
        <v>0</v>
      </c>
      <c r="P83" s="102">
        <f>TrAvia_emi!P$11</f>
        <v>0</v>
      </c>
      <c r="Q83" s="102">
        <f>TrAvia_emi!Q$11</f>
        <v>0</v>
      </c>
      <c r="R83" s="102">
        <f>TrAvia_emi!R$11</f>
        <v>0</v>
      </c>
      <c r="S83" s="102">
        <f>TrAvia_emi!S$11</f>
        <v>0</v>
      </c>
      <c r="T83" s="102">
        <f>TrAvia_emi!T$11</f>
        <v>0</v>
      </c>
      <c r="U83" s="102">
        <f>TrAvia_emi!U$11</f>
        <v>0</v>
      </c>
      <c r="V83" s="102">
        <f>TrAvia_emi!V$11</f>
        <v>0</v>
      </c>
      <c r="W83" s="102">
        <f>TrAvia_emi!W$11</f>
        <v>0</v>
      </c>
      <c r="X83" s="102">
        <f>TrAvia_emi!X$11</f>
        <v>0</v>
      </c>
      <c r="Y83" s="102">
        <f>TrAvia_emi!Y$11</f>
        <v>0</v>
      </c>
      <c r="DA83" s="175" t="s">
        <v>332</v>
      </c>
    </row>
    <row r="84" spans="1:105" ht="11.45" customHeight="1" x14ac:dyDescent="0.25">
      <c r="A84" s="128" t="str">
        <f>$A$24</f>
        <v>International - Intra-EEAwCHUK</v>
      </c>
      <c r="B84" s="102">
        <f>TrAvia_emi!B$12</f>
        <v>35.901187077125691</v>
      </c>
      <c r="C84" s="102">
        <f>TrAvia_emi!C$12</f>
        <v>47.315307309963089</v>
      </c>
      <c r="D84" s="102">
        <f>TrAvia_emi!D$12</f>
        <v>38.202352876799708</v>
      </c>
      <c r="E84" s="102">
        <f>TrAvia_emi!E$12</f>
        <v>40.116977295703748</v>
      </c>
      <c r="F84" s="102">
        <f>TrAvia_emi!F$12</f>
        <v>42.603201433029199</v>
      </c>
      <c r="G84" s="102">
        <f>TrAvia_emi!G$12</f>
        <v>42.802184676328132</v>
      </c>
      <c r="H84" s="102">
        <f>TrAvia_emi!H$12</f>
        <v>44.002004654684271</v>
      </c>
      <c r="I84" s="102">
        <f>TrAvia_emi!I$12</f>
        <v>45.39629877991856</v>
      </c>
      <c r="J84" s="102">
        <f>TrAvia_emi!J$12</f>
        <v>57.310880603187101</v>
      </c>
      <c r="K84" s="102">
        <f>TrAvia_emi!K$12</f>
        <v>55.60565821841022</v>
      </c>
      <c r="L84" s="102">
        <f>TrAvia_emi!L$12</f>
        <v>59.647693262569128</v>
      </c>
      <c r="M84" s="102">
        <f>TrAvia_emi!M$12</f>
        <v>46.689580280017957</v>
      </c>
      <c r="N84" s="102">
        <f>TrAvia_emi!N$12</f>
        <v>35.451672747654321</v>
      </c>
      <c r="O84" s="102">
        <f>TrAvia_emi!O$12</f>
        <v>37.276405905944905</v>
      </c>
      <c r="P84" s="102">
        <f>TrAvia_emi!P$12</f>
        <v>38.613190446277251</v>
      </c>
      <c r="Q84" s="102">
        <f>TrAvia_emi!Q$12</f>
        <v>40.083463226433238</v>
      </c>
      <c r="R84" s="102">
        <f>TrAvia_emi!R$12</f>
        <v>41.598280514923374</v>
      </c>
      <c r="S84" s="102">
        <f>TrAvia_emi!S$12</f>
        <v>37.955337376875164</v>
      </c>
      <c r="T84" s="102">
        <f>TrAvia_emi!T$12</f>
        <v>30.382204770390253</v>
      </c>
      <c r="U84" s="102">
        <f>TrAvia_emi!U$12</f>
        <v>27.553721571575753</v>
      </c>
      <c r="V84" s="102">
        <f>TrAvia_emi!V$12</f>
        <v>24.213177975686822</v>
      </c>
      <c r="W84" s="102">
        <f>TrAvia_emi!W$12</f>
        <v>28.055960729917903</v>
      </c>
      <c r="X84" s="102">
        <f>TrAvia_emi!X$12</f>
        <v>26.036084201110185</v>
      </c>
      <c r="Y84" s="102">
        <f>TrAvia_emi!Y$12</f>
        <v>22.07974518087395</v>
      </c>
      <c r="DA84" s="175" t="s">
        <v>333</v>
      </c>
    </row>
    <row r="85" spans="1:105" ht="11.45" customHeight="1" x14ac:dyDescent="0.25">
      <c r="A85" s="128" t="str">
        <f>$A$25</f>
        <v>International - Extra-EEAwCHUK</v>
      </c>
      <c r="B85" s="102">
        <f>TrAvia_emi!B$13</f>
        <v>1614.2465033092524</v>
      </c>
      <c r="C85" s="102">
        <f>TrAvia_emi!C$13</f>
        <v>1568.8977139875853</v>
      </c>
      <c r="D85" s="102">
        <f>TrAvia_emi!D$13</f>
        <v>1692.1410300085888</v>
      </c>
      <c r="E85" s="102">
        <f>TrAvia_emi!E$13</f>
        <v>1847.0822877825428</v>
      </c>
      <c r="F85" s="102">
        <f>TrAvia_emi!F$13</f>
        <v>1931.2906247176252</v>
      </c>
      <c r="G85" s="102">
        <f>TrAvia_emi!G$13</f>
        <v>2094.4984965280069</v>
      </c>
      <c r="H85" s="102">
        <f>TrAvia_emi!H$13</f>
        <v>2326.7261611611843</v>
      </c>
      <c r="I85" s="102">
        <f>TrAvia_emi!I$13</f>
        <v>2302.5584216545676</v>
      </c>
      <c r="J85" s="102">
        <f>TrAvia_emi!J$13</f>
        <v>2351.8525800493371</v>
      </c>
      <c r="K85" s="102">
        <f>TrAvia_emi!K$13</f>
        <v>1863.1300676560188</v>
      </c>
      <c r="L85" s="102">
        <f>TrAvia_emi!L$13</f>
        <v>2031.7674997881331</v>
      </c>
      <c r="M85" s="102">
        <f>TrAvia_emi!M$13</f>
        <v>1905.0965409204946</v>
      </c>
      <c r="N85" s="102">
        <f>TrAvia_emi!N$13</f>
        <v>1567.0290940472478</v>
      </c>
      <c r="O85" s="102">
        <f>TrAvia_emi!O$13</f>
        <v>1580.7173298563043</v>
      </c>
      <c r="P85" s="102">
        <f>TrAvia_emi!P$13</f>
        <v>1523.7168414733533</v>
      </c>
      <c r="Q85" s="102">
        <f>TrAvia_emi!Q$13</f>
        <v>1569.965752632505</v>
      </c>
      <c r="R85" s="102">
        <f>TrAvia_emi!R$13</f>
        <v>1433.1093706013769</v>
      </c>
      <c r="S85" s="102">
        <f>TrAvia_emi!S$13</f>
        <v>1569.5189902038965</v>
      </c>
      <c r="T85" s="102">
        <f>TrAvia_emi!T$13</f>
        <v>1549.2501822844199</v>
      </c>
      <c r="U85" s="102">
        <f>TrAvia_emi!U$13</f>
        <v>1335.7301514009475</v>
      </c>
      <c r="V85" s="102">
        <f>TrAvia_emi!V$13</f>
        <v>1914.7768785076303</v>
      </c>
      <c r="W85" s="102">
        <f>TrAvia_emi!W$13</f>
        <v>1953.2451221690542</v>
      </c>
      <c r="X85" s="102">
        <f>TrAvia_emi!X$13</f>
        <v>1742.8038025481508</v>
      </c>
      <c r="Y85" s="102">
        <f>TrAvia_emi!Y$13</f>
        <v>1503.1237692376276</v>
      </c>
      <c r="DA85" s="175" t="s">
        <v>334</v>
      </c>
    </row>
    <row r="86" spans="1:105" ht="11.45" customHeight="1" x14ac:dyDescent="0.25">
      <c r="A86" s="109" t="s">
        <v>141</v>
      </c>
      <c r="B86" s="110">
        <f t="shared" ref="B86:Q86" si="69">B87+B88</f>
        <v>756.90935892000005</v>
      </c>
      <c r="C86" s="110">
        <f t="shared" si="69"/>
        <v>785.65274892000002</v>
      </c>
      <c r="D86" s="110">
        <f t="shared" si="69"/>
        <v>814.39613892000023</v>
      </c>
      <c r="E86" s="110">
        <f t="shared" si="69"/>
        <v>766.49031107999997</v>
      </c>
      <c r="F86" s="110">
        <f t="shared" si="69"/>
        <v>776.07153000000005</v>
      </c>
      <c r="G86" s="110">
        <f t="shared" si="69"/>
        <v>843.13952891999998</v>
      </c>
      <c r="H86" s="110">
        <f t="shared" si="69"/>
        <v>884.65778855999997</v>
      </c>
      <c r="I86" s="110">
        <f t="shared" si="69"/>
        <v>958.11308891999988</v>
      </c>
      <c r="J86" s="110">
        <f t="shared" si="69"/>
        <v>982.74383999999998</v>
      </c>
      <c r="K86" s="110">
        <f t="shared" si="69"/>
        <v>998.74943999999994</v>
      </c>
      <c r="L86" s="110">
        <f t="shared" si="69"/>
        <v>1120.3920000000003</v>
      </c>
      <c r="M86" s="110">
        <f t="shared" si="69"/>
        <v>1133.1964800000001</v>
      </c>
      <c r="N86" s="110">
        <f t="shared" si="69"/>
        <v>1043.56512</v>
      </c>
      <c r="O86" s="110">
        <f t="shared" si="69"/>
        <v>1107.58752</v>
      </c>
      <c r="P86" s="110">
        <f t="shared" si="69"/>
        <v>963.53711999999996</v>
      </c>
      <c r="Q86" s="110">
        <f t="shared" si="69"/>
        <v>1145.9704575599999</v>
      </c>
      <c r="R86" s="110">
        <f t="shared" ref="R86:V86" si="70">R87+R88</f>
        <v>1069.6538840399999</v>
      </c>
      <c r="S86" s="110">
        <f t="shared" si="70"/>
        <v>1041.4837299600001</v>
      </c>
      <c r="T86" s="110">
        <f t="shared" si="70"/>
        <v>1043.2941458399996</v>
      </c>
      <c r="U86" s="110">
        <f t="shared" si="70"/>
        <v>963.01729332000014</v>
      </c>
      <c r="V86" s="110">
        <f t="shared" si="70"/>
        <v>757.42861535999998</v>
      </c>
      <c r="W86" s="110">
        <f t="shared" ref="W86:Y86" si="71">W87+W88</f>
        <v>839.46537216000002</v>
      </c>
      <c r="X86" s="110">
        <f t="shared" si="71"/>
        <v>888.36545340000021</v>
      </c>
      <c r="Y86" s="110">
        <f t="shared" si="71"/>
        <v>939.84293195999987</v>
      </c>
      <c r="DA86" s="176" t="s">
        <v>996</v>
      </c>
    </row>
    <row r="87" spans="1:105" ht="11.45" customHeight="1" x14ac:dyDescent="0.25">
      <c r="A87" s="128" t="str">
        <f>$A$27</f>
        <v>Domestic coastal shipping</v>
      </c>
      <c r="B87" s="102">
        <f>TrNavi_emi!B$4</f>
        <v>0.87762378362235705</v>
      </c>
      <c r="C87" s="102">
        <f>TrNavi_emi!C$4</f>
        <v>0.75552436666588085</v>
      </c>
      <c r="D87" s="102">
        <f>TrNavi_emi!D$4</f>
        <v>0.823348666190856</v>
      </c>
      <c r="E87" s="102">
        <f>TrNavi_emi!E$4</f>
        <v>0.80446267397990745</v>
      </c>
      <c r="F87" s="102">
        <f>TrNavi_emi!F$4</f>
        <v>0.91110638617186979</v>
      </c>
      <c r="G87" s="102">
        <f>TrNavi_emi!G$4</f>
        <v>1.1543060192771686</v>
      </c>
      <c r="H87" s="102">
        <f>TrNavi_emi!H$4</f>
        <v>1.1953753571547163</v>
      </c>
      <c r="I87" s="102">
        <f>TrNavi_emi!I$4</f>
        <v>1.3524221258288833</v>
      </c>
      <c r="J87" s="102">
        <f>TrNavi_emi!J$4</f>
        <v>1.6766796630484628</v>
      </c>
      <c r="K87" s="102">
        <f>TrNavi_emi!K$4</f>
        <v>1.6876359726155341</v>
      </c>
      <c r="L87" s="102">
        <f>TrNavi_emi!L$4</f>
        <v>2.3564440897170749</v>
      </c>
      <c r="M87" s="102">
        <f>TrNavi_emi!M$4</f>
        <v>2.3340603255888541</v>
      </c>
      <c r="N87" s="102">
        <f>TrNavi_emi!N$4</f>
        <v>2.1505746949418407</v>
      </c>
      <c r="O87" s="102">
        <f>TrNavi_emi!O$4</f>
        <v>1.7347235127811877</v>
      </c>
      <c r="P87" s="102">
        <f>TrNavi_emi!P$4</f>
        <v>1.9812477270520525</v>
      </c>
      <c r="Q87" s="102">
        <f>TrNavi_emi!Q$4</f>
        <v>3.0934652035338517</v>
      </c>
      <c r="R87" s="102">
        <f>TrNavi_emi!R$4</f>
        <v>3.3290085503700677</v>
      </c>
      <c r="S87" s="102">
        <f>TrNavi_emi!S$4</f>
        <v>3.9549249728549984</v>
      </c>
      <c r="T87" s="102">
        <f>TrNavi_emi!T$4</f>
        <v>5.2636830362561113</v>
      </c>
      <c r="U87" s="102">
        <f>TrNavi_emi!U$4</f>
        <v>5.9091672991880655</v>
      </c>
      <c r="V87" s="102">
        <f>TrNavi_emi!V$4</f>
        <v>4.2072087586570559</v>
      </c>
      <c r="W87" s="102">
        <f>TrNavi_emi!W$4</f>
        <v>3.10319073489064</v>
      </c>
      <c r="X87" s="102">
        <f>TrNavi_emi!X$4</f>
        <v>4.5566589026537594</v>
      </c>
      <c r="Y87" s="102">
        <f>TrNavi_emi!Y$4</f>
        <v>5.3274947026381696</v>
      </c>
      <c r="DA87" s="175" t="s">
        <v>997</v>
      </c>
    </row>
    <row r="88" spans="1:105" ht="11.45" customHeight="1" x14ac:dyDescent="0.25">
      <c r="A88" s="166" t="str">
        <f>$A$28</f>
        <v>Inland waterways</v>
      </c>
      <c r="B88" s="169">
        <f>TrNavi_emi!B$5</f>
        <v>756.03173513637773</v>
      </c>
      <c r="C88" s="169">
        <f>TrNavi_emi!C$5</f>
        <v>784.89722455333413</v>
      </c>
      <c r="D88" s="169">
        <f>TrNavi_emi!D$5</f>
        <v>813.57279025380933</v>
      </c>
      <c r="E88" s="169">
        <f>TrNavi_emi!E$5</f>
        <v>765.68584840602011</v>
      </c>
      <c r="F88" s="169">
        <f>TrNavi_emi!F$5</f>
        <v>775.16042361382813</v>
      </c>
      <c r="G88" s="169">
        <f>TrNavi_emi!G$5</f>
        <v>841.98522290072276</v>
      </c>
      <c r="H88" s="169">
        <f>TrNavi_emi!H$5</f>
        <v>883.46241320284526</v>
      </c>
      <c r="I88" s="169">
        <f>TrNavi_emi!I$5</f>
        <v>956.76066679417102</v>
      </c>
      <c r="J88" s="169">
        <f>TrNavi_emi!J$5</f>
        <v>981.06716033695147</v>
      </c>
      <c r="K88" s="169">
        <f>TrNavi_emi!K$5</f>
        <v>997.06180402738437</v>
      </c>
      <c r="L88" s="169">
        <f>TrNavi_emi!L$5</f>
        <v>1118.0355559102832</v>
      </c>
      <c r="M88" s="169">
        <f>TrNavi_emi!M$5</f>
        <v>1130.8624196744113</v>
      </c>
      <c r="N88" s="169">
        <f>TrNavi_emi!N$5</f>
        <v>1041.414545305058</v>
      </c>
      <c r="O88" s="169">
        <f>TrNavi_emi!O$5</f>
        <v>1105.8527964872189</v>
      </c>
      <c r="P88" s="169">
        <f>TrNavi_emi!P$5</f>
        <v>961.55587227294791</v>
      </c>
      <c r="Q88" s="169">
        <f>TrNavi_emi!Q$5</f>
        <v>1142.876992356466</v>
      </c>
      <c r="R88" s="169">
        <f>TrNavi_emi!R$5</f>
        <v>1066.3248754896299</v>
      </c>
      <c r="S88" s="169">
        <f>TrNavi_emi!S$5</f>
        <v>1037.5288049871451</v>
      </c>
      <c r="T88" s="169">
        <f>TrNavi_emi!T$5</f>
        <v>1038.0304628037436</v>
      </c>
      <c r="U88" s="169">
        <f>TrNavi_emi!U$5</f>
        <v>957.10812602081205</v>
      </c>
      <c r="V88" s="169">
        <f>TrNavi_emi!V$5</f>
        <v>753.22140660134289</v>
      </c>
      <c r="W88" s="169">
        <f>TrNavi_emi!W$5</f>
        <v>836.36218142510938</v>
      </c>
      <c r="X88" s="169">
        <f>TrNavi_emi!X$5</f>
        <v>883.80879449734641</v>
      </c>
      <c r="Y88" s="169">
        <f>TrNavi_emi!Y$5</f>
        <v>934.51543725736167</v>
      </c>
      <c r="DA88" s="177" t="s">
        <v>998</v>
      </c>
    </row>
    <row r="89" spans="1:105" ht="11.45" customHeight="1" x14ac:dyDescent="0.25">
      <c r="A89" s="27" t="s">
        <v>169</v>
      </c>
      <c r="B89" s="28">
        <f t="shared" ref="B89:W89" si="72">B90+B91</f>
        <v>42379.803333360018</v>
      </c>
      <c r="C89" s="28">
        <f t="shared" si="72"/>
        <v>46355.416924320001</v>
      </c>
      <c r="D89" s="28">
        <f t="shared" si="72"/>
        <v>45974.598690240011</v>
      </c>
      <c r="E89" s="28">
        <f t="shared" si="72"/>
        <v>43142.152084919988</v>
      </c>
      <c r="F89" s="28">
        <f t="shared" si="72"/>
        <v>47023.958070719993</v>
      </c>
      <c r="G89" s="28">
        <f t="shared" si="72"/>
        <v>50372.932830840022</v>
      </c>
      <c r="H89" s="28">
        <f t="shared" si="72"/>
        <v>53738.354703240002</v>
      </c>
      <c r="I89" s="28">
        <f t="shared" si="72"/>
        <v>55083.563188919987</v>
      </c>
      <c r="J89" s="28">
        <f t="shared" si="72"/>
        <v>52909.295909040025</v>
      </c>
      <c r="K89" s="28">
        <f t="shared" si="72"/>
        <v>47220.085861920008</v>
      </c>
      <c r="L89" s="28">
        <f t="shared" si="72"/>
        <v>44683.499463840017</v>
      </c>
      <c r="M89" s="28">
        <f t="shared" si="72"/>
        <v>48127.251121920002</v>
      </c>
      <c r="N89" s="28">
        <f t="shared" si="72"/>
        <v>44598.173399999992</v>
      </c>
      <c r="O89" s="28">
        <f t="shared" si="72"/>
        <v>42369.243922782596</v>
      </c>
      <c r="P89" s="28">
        <f t="shared" si="72"/>
        <v>41730.953660684565</v>
      </c>
      <c r="Q89" s="28">
        <f t="shared" si="72"/>
        <v>38419.459519733813</v>
      </c>
      <c r="R89" s="28">
        <f t="shared" si="72"/>
        <v>38161.760217466697</v>
      </c>
      <c r="S89" s="28">
        <f t="shared" si="72"/>
        <v>37452.214348729896</v>
      </c>
      <c r="T89" s="28">
        <f t="shared" si="72"/>
        <v>35984.836962798603</v>
      </c>
      <c r="U89" s="28">
        <f t="shared" si="72"/>
        <v>36527.099134574775</v>
      </c>
      <c r="V89" s="28">
        <f t="shared" si="72"/>
        <v>37352.45740557609</v>
      </c>
      <c r="W89" s="28">
        <f t="shared" si="72"/>
        <v>36085.394644174521</v>
      </c>
      <c r="X89" s="28">
        <f t="shared" ref="X89:Y89" si="73">X90+X91</f>
        <v>35712.710789824399</v>
      </c>
      <c r="Y89" s="28">
        <f t="shared" si="73"/>
        <v>33202.062370243926</v>
      </c>
      <c r="DA89" s="173" t="s">
        <v>959</v>
      </c>
    </row>
    <row r="90" spans="1:105" ht="11.45" customHeight="1" x14ac:dyDescent="0.25">
      <c r="A90" s="128" t="str">
        <f>$A$30</f>
        <v>Intra-EEA</v>
      </c>
      <c r="B90" s="102">
        <f>MBunk_emi!B$4</f>
        <v>10163.70045271331</v>
      </c>
      <c r="C90" s="102">
        <f>MBunk_emi!C$4</f>
        <v>11066.197522453458</v>
      </c>
      <c r="D90" s="102">
        <f>MBunk_emi!D$4</f>
        <v>11088.435515345633</v>
      </c>
      <c r="E90" s="102">
        <f>MBunk_emi!E$4</f>
        <v>10122.450315615361</v>
      </c>
      <c r="F90" s="102">
        <f>MBunk_emi!F$4</f>
        <v>11021.708366887669</v>
      </c>
      <c r="G90" s="102">
        <f>MBunk_emi!G$4</f>
        <v>10742.766730021309</v>
      </c>
      <c r="H90" s="102">
        <f>MBunk_emi!H$4</f>
        <v>10969.832085863636</v>
      </c>
      <c r="I90" s="102">
        <f>MBunk_emi!I$4</f>
        <v>11064.863700726961</v>
      </c>
      <c r="J90" s="102">
        <f>MBunk_emi!J$4</f>
        <v>10026.83374871719</v>
      </c>
      <c r="K90" s="102">
        <f>MBunk_emi!K$4</f>
        <v>10414.037525360218</v>
      </c>
      <c r="L90" s="102">
        <f>MBunk_emi!L$4</f>
        <v>10363.824864363511</v>
      </c>
      <c r="M90" s="102">
        <f>MBunk_emi!M$4</f>
        <v>10340.1197624092</v>
      </c>
      <c r="N90" s="102">
        <f>MBunk_emi!N$4</f>
        <v>9581.3205232001928</v>
      </c>
      <c r="O90" s="102">
        <f>MBunk_emi!O$4</f>
        <v>9223.2419711623443</v>
      </c>
      <c r="P90" s="102">
        <f>MBunk_emi!P$4</f>
        <v>9252.3061418369689</v>
      </c>
      <c r="Q90" s="102">
        <f>MBunk_emi!Q$4</f>
        <v>8156.7396966980868</v>
      </c>
      <c r="R90" s="102">
        <f>MBunk_emi!R$4</f>
        <v>7677.243293645326</v>
      </c>
      <c r="S90" s="102">
        <f>MBunk_emi!S$4</f>
        <v>7441.9231402869627</v>
      </c>
      <c r="T90" s="102">
        <f>MBunk_emi!T$4</f>
        <v>7419.2387227321688</v>
      </c>
      <c r="U90" s="102">
        <f>MBunk_emi!U$4</f>
        <v>7769.431664362558</v>
      </c>
      <c r="V90" s="102">
        <f>MBunk_emi!V$4</f>
        <v>7152.4534131172895</v>
      </c>
      <c r="W90" s="102">
        <f>MBunk_emi!W$4</f>
        <v>6893.4309948736518</v>
      </c>
      <c r="X90" s="102">
        <f>MBunk_emi!X$4</f>
        <v>7357.3875656539249</v>
      </c>
      <c r="Y90" s="102">
        <f>MBunk_emi!Y$4</f>
        <v>7408.0772968025531</v>
      </c>
      <c r="DA90" s="175" t="s">
        <v>960</v>
      </c>
    </row>
    <row r="91" spans="1:105" ht="11.45" customHeight="1" x14ac:dyDescent="0.25">
      <c r="A91" s="138" t="str">
        <f>$A$31</f>
        <v>Extra-EEA</v>
      </c>
      <c r="B91" s="86">
        <f>MBunk_emi!B$5</f>
        <v>32216.102880646704</v>
      </c>
      <c r="C91" s="86">
        <f>MBunk_emi!C$5</f>
        <v>35289.219401866547</v>
      </c>
      <c r="D91" s="86">
        <f>MBunk_emi!D$5</f>
        <v>34886.163174894376</v>
      </c>
      <c r="E91" s="86">
        <f>MBunk_emi!E$5</f>
        <v>33019.701769304629</v>
      </c>
      <c r="F91" s="86">
        <f>MBunk_emi!F$5</f>
        <v>36002.24970383232</v>
      </c>
      <c r="G91" s="86">
        <f>MBunk_emi!G$5</f>
        <v>39630.166100818715</v>
      </c>
      <c r="H91" s="86">
        <f>MBunk_emi!H$5</f>
        <v>42768.522617376366</v>
      </c>
      <c r="I91" s="86">
        <f>MBunk_emi!I$5</f>
        <v>44018.69948819303</v>
      </c>
      <c r="J91" s="86">
        <f>MBunk_emi!J$5</f>
        <v>42882.462160322837</v>
      </c>
      <c r="K91" s="86">
        <f>MBunk_emi!K$5</f>
        <v>36806.04833655979</v>
      </c>
      <c r="L91" s="86">
        <f>MBunk_emi!L$5</f>
        <v>34319.674599476508</v>
      </c>
      <c r="M91" s="86">
        <f>MBunk_emi!M$5</f>
        <v>37787.1313595108</v>
      </c>
      <c r="N91" s="86">
        <f>MBunk_emi!N$5</f>
        <v>35016.8528767998</v>
      </c>
      <c r="O91" s="86">
        <f>MBunk_emi!O$5</f>
        <v>33146.001951620252</v>
      </c>
      <c r="P91" s="86">
        <f>MBunk_emi!P$5</f>
        <v>32478.647518847592</v>
      </c>
      <c r="Q91" s="86">
        <f>MBunk_emi!Q$5</f>
        <v>30262.719823035724</v>
      </c>
      <c r="R91" s="86">
        <f>MBunk_emi!R$5</f>
        <v>30484.516923821368</v>
      </c>
      <c r="S91" s="86">
        <f>MBunk_emi!S$5</f>
        <v>30010.291208442934</v>
      </c>
      <c r="T91" s="86">
        <f>MBunk_emi!T$5</f>
        <v>28565.598240066436</v>
      </c>
      <c r="U91" s="86">
        <f>MBunk_emi!U$5</f>
        <v>28757.667470212215</v>
      </c>
      <c r="V91" s="86">
        <f>MBunk_emi!V$5</f>
        <v>30200.003992458798</v>
      </c>
      <c r="W91" s="86">
        <f>MBunk_emi!W$5</f>
        <v>29191.963649300869</v>
      </c>
      <c r="X91" s="86">
        <f>MBunk_emi!X$5</f>
        <v>28355.323224170472</v>
      </c>
      <c r="Y91" s="86">
        <f>MBunk_emi!Y$5</f>
        <v>25793.98507344137</v>
      </c>
      <c r="DA91" s="178" t="s">
        <v>961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68" t="s">
        <v>36</v>
      </c>
      <c r="B93" s="69"/>
      <c r="C93" s="69"/>
      <c r="D93" s="69"/>
      <c r="E93" s="69"/>
      <c r="F93" s="69"/>
      <c r="G93" s="69"/>
      <c r="H93" s="69"/>
      <c r="I93" s="69"/>
      <c r="J93" s="69"/>
      <c r="K93" s="69"/>
      <c r="L93" s="69"/>
      <c r="M93" s="69"/>
      <c r="N93" s="69"/>
      <c r="O93" s="69"/>
      <c r="P93" s="69"/>
      <c r="Q93" s="69"/>
      <c r="R93" s="69"/>
      <c r="S93" s="69"/>
      <c r="T93" s="69"/>
      <c r="U93" s="69"/>
      <c r="V93" s="69"/>
      <c r="W93" s="69"/>
      <c r="X93" s="69"/>
      <c r="Y93" s="69"/>
      <c r="DA93" s="179"/>
    </row>
    <row r="94" spans="1:105" x14ac:dyDescent="0.25">
      <c r="A94" s="106"/>
      <c r="B94" s="106"/>
      <c r="C94" s="106"/>
      <c r="D94" s="106"/>
      <c r="E94" s="106"/>
      <c r="F94" s="106"/>
      <c r="G94" s="106"/>
      <c r="H94" s="106"/>
      <c r="I94" s="106"/>
      <c r="J94" s="106"/>
      <c r="K94" s="106"/>
      <c r="L94" s="106"/>
      <c r="M94" s="106"/>
      <c r="N94" s="106"/>
      <c r="O94" s="106"/>
      <c r="P94" s="106"/>
      <c r="Q94" s="106"/>
      <c r="R94" s="106"/>
      <c r="S94" s="106"/>
      <c r="T94" s="106"/>
      <c r="U94" s="106"/>
      <c r="V94" s="106"/>
      <c r="W94" s="106"/>
      <c r="X94" s="106"/>
      <c r="Y94" s="106"/>
      <c r="DA94" s="171"/>
    </row>
    <row r="95" spans="1:105" ht="11.45" customHeight="1" x14ac:dyDescent="0.25">
      <c r="A95" s="53" t="s">
        <v>37</v>
      </c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DA95" s="172"/>
    </row>
    <row r="96" spans="1:105" ht="11.45" customHeight="1" x14ac:dyDescent="0.25">
      <c r="A96" s="27" t="s">
        <v>38</v>
      </c>
      <c r="B96" s="31">
        <f t="shared" ref="B96:Y96" si="74">IF(B4=0,0,B4/B$4)</f>
        <v>1</v>
      </c>
      <c r="C96" s="31">
        <f t="shared" si="74"/>
        <v>1</v>
      </c>
      <c r="D96" s="31">
        <f t="shared" si="74"/>
        <v>1</v>
      </c>
      <c r="E96" s="31">
        <f t="shared" si="74"/>
        <v>1</v>
      </c>
      <c r="F96" s="31">
        <f t="shared" si="74"/>
        <v>1</v>
      </c>
      <c r="G96" s="31">
        <f t="shared" si="74"/>
        <v>1</v>
      </c>
      <c r="H96" s="31">
        <f t="shared" si="74"/>
        <v>1</v>
      </c>
      <c r="I96" s="31">
        <f t="shared" si="74"/>
        <v>1</v>
      </c>
      <c r="J96" s="31">
        <f t="shared" si="74"/>
        <v>1</v>
      </c>
      <c r="K96" s="31">
        <f t="shared" si="74"/>
        <v>1</v>
      </c>
      <c r="L96" s="31">
        <f t="shared" si="74"/>
        <v>1</v>
      </c>
      <c r="M96" s="31">
        <f t="shared" si="74"/>
        <v>1</v>
      </c>
      <c r="N96" s="31">
        <f t="shared" si="74"/>
        <v>1</v>
      </c>
      <c r="O96" s="31">
        <f t="shared" si="74"/>
        <v>1</v>
      </c>
      <c r="P96" s="31">
        <f t="shared" si="74"/>
        <v>1</v>
      </c>
      <c r="Q96" s="31">
        <f t="shared" si="74"/>
        <v>1</v>
      </c>
      <c r="R96" s="31">
        <f t="shared" si="74"/>
        <v>1</v>
      </c>
      <c r="S96" s="31">
        <f t="shared" si="74"/>
        <v>1</v>
      </c>
      <c r="T96" s="31">
        <f t="shared" si="74"/>
        <v>1</v>
      </c>
      <c r="U96" s="31">
        <f t="shared" si="74"/>
        <v>1</v>
      </c>
      <c r="V96" s="31">
        <f t="shared" si="74"/>
        <v>1</v>
      </c>
      <c r="W96" s="31">
        <f t="shared" si="74"/>
        <v>1</v>
      </c>
      <c r="X96" s="31">
        <f t="shared" si="74"/>
        <v>1</v>
      </c>
      <c r="Y96" s="31">
        <f t="shared" si="74"/>
        <v>1</v>
      </c>
      <c r="DA96" s="173"/>
    </row>
    <row r="97" spans="1:105" ht="11.45" customHeight="1" x14ac:dyDescent="0.25">
      <c r="A97" s="136" t="str">
        <f>$A$5</f>
        <v>Road transport</v>
      </c>
      <c r="B97" s="139">
        <f t="shared" ref="B97:Y97" si="75">IF(B5=0,0,B5/B$4)</f>
        <v>0.65745392180052831</v>
      </c>
      <c r="C97" s="139">
        <f t="shared" si="75"/>
        <v>0.66257198542133056</v>
      </c>
      <c r="D97" s="139">
        <f t="shared" si="75"/>
        <v>0.66215300046682291</v>
      </c>
      <c r="E97" s="139">
        <f t="shared" si="75"/>
        <v>0.66895779229467989</v>
      </c>
      <c r="F97" s="139">
        <f t="shared" si="75"/>
        <v>0.6533307103576883</v>
      </c>
      <c r="G97" s="139">
        <f t="shared" si="75"/>
        <v>0.63769974205771018</v>
      </c>
      <c r="H97" s="139">
        <f t="shared" si="75"/>
        <v>0.63366403874358757</v>
      </c>
      <c r="I97" s="139">
        <f t="shared" si="75"/>
        <v>0.63093008795294647</v>
      </c>
      <c r="J97" s="139">
        <f t="shared" si="75"/>
        <v>0.62796441362994393</v>
      </c>
      <c r="K97" s="139">
        <f t="shared" si="75"/>
        <v>0.64403555658555312</v>
      </c>
      <c r="L97" s="139">
        <f t="shared" si="75"/>
        <v>0.63032386392249884</v>
      </c>
      <c r="M97" s="139">
        <f t="shared" si="75"/>
        <v>0.61273334939796398</v>
      </c>
      <c r="N97" s="139">
        <f t="shared" si="75"/>
        <v>0.59803455069517419</v>
      </c>
      <c r="O97" s="139">
        <f t="shared" si="75"/>
        <v>0.59608776588488466</v>
      </c>
      <c r="P97" s="139">
        <f t="shared" si="75"/>
        <v>0.58610134600147279</v>
      </c>
      <c r="Q97" s="139">
        <f t="shared" si="75"/>
        <v>0.57484765725816145</v>
      </c>
      <c r="R97" s="139">
        <f t="shared" si="75"/>
        <v>0.56275620613242539</v>
      </c>
      <c r="S97" s="139">
        <f t="shared" si="75"/>
        <v>0.54238116417932536</v>
      </c>
      <c r="T97" s="139">
        <f t="shared" si="75"/>
        <v>0.54607462663136486</v>
      </c>
      <c r="U97" s="139">
        <f t="shared" si="75"/>
        <v>0.54183564691509789</v>
      </c>
      <c r="V97" s="139">
        <f t="shared" si="75"/>
        <v>0.72017243580257784</v>
      </c>
      <c r="W97" s="139">
        <f t="shared" si="75"/>
        <v>0.69570797435511789</v>
      </c>
      <c r="X97" s="139">
        <f t="shared" si="75"/>
        <v>0.56425350118110451</v>
      </c>
      <c r="Y97" s="139">
        <f t="shared" si="75"/>
        <v>0.54476668684061713</v>
      </c>
      <c r="DA97" s="174"/>
    </row>
    <row r="98" spans="1:105" ht="11.45" customHeight="1" x14ac:dyDescent="0.25">
      <c r="A98" s="128" t="str">
        <f>$A$6</f>
        <v>Powered two-wheelers</v>
      </c>
      <c r="B98" s="140">
        <f t="shared" ref="B98:Y98" si="76">IF(B6=0,0,B6/B$4)</f>
        <v>1.5096824239124054E-2</v>
      </c>
      <c r="C98" s="140">
        <f t="shared" si="76"/>
        <v>1.574052326978009E-2</v>
      </c>
      <c r="D98" s="140">
        <f t="shared" si="76"/>
        <v>1.6038421125712257E-2</v>
      </c>
      <c r="E98" s="140">
        <f t="shared" si="76"/>
        <v>1.6116404175066826E-2</v>
      </c>
      <c r="F98" s="140">
        <f t="shared" si="76"/>
        <v>1.4535506752045615E-2</v>
      </c>
      <c r="G98" s="140">
        <f t="shared" si="76"/>
        <v>1.5008683391673232E-2</v>
      </c>
      <c r="H98" s="140">
        <f t="shared" si="76"/>
        <v>1.604471503048285E-2</v>
      </c>
      <c r="I98" s="140">
        <f t="shared" si="76"/>
        <v>1.7504555788322631E-2</v>
      </c>
      <c r="J98" s="140">
        <f t="shared" si="76"/>
        <v>1.9199747815846668E-2</v>
      </c>
      <c r="K98" s="140">
        <f t="shared" si="76"/>
        <v>2.0650848461946352E-2</v>
      </c>
      <c r="L98" s="140">
        <f t="shared" si="76"/>
        <v>2.0910819715487482E-2</v>
      </c>
      <c r="M98" s="140">
        <f t="shared" si="76"/>
        <v>2.0788794065923346E-2</v>
      </c>
      <c r="N98" s="140">
        <f t="shared" si="76"/>
        <v>2.0329489331388506E-2</v>
      </c>
      <c r="O98" s="140">
        <f t="shared" si="76"/>
        <v>1.9379065963219595E-2</v>
      </c>
      <c r="P98" s="140">
        <f t="shared" si="76"/>
        <v>1.8522655706773122E-2</v>
      </c>
      <c r="Q98" s="140">
        <f t="shared" si="76"/>
        <v>1.9391069645630133E-2</v>
      </c>
      <c r="R98" s="140">
        <f t="shared" si="76"/>
        <v>1.9261100148014396E-2</v>
      </c>
      <c r="S98" s="140">
        <f t="shared" si="76"/>
        <v>1.7851969149285385E-2</v>
      </c>
      <c r="T98" s="140">
        <f t="shared" si="76"/>
        <v>1.6074044964308681E-2</v>
      </c>
      <c r="U98" s="140">
        <f t="shared" si="76"/>
        <v>1.6908921336245001E-2</v>
      </c>
      <c r="V98" s="140">
        <f t="shared" si="76"/>
        <v>2.8437002357942474E-2</v>
      </c>
      <c r="W98" s="140">
        <f t="shared" si="76"/>
        <v>2.5366735624787636E-2</v>
      </c>
      <c r="X98" s="140">
        <f t="shared" si="76"/>
        <v>1.9051137029420705E-2</v>
      </c>
      <c r="Y98" s="140">
        <f t="shared" si="76"/>
        <v>1.8084794075713739E-2</v>
      </c>
      <c r="DA98" s="175"/>
    </row>
    <row r="99" spans="1:105" ht="11.45" customHeight="1" x14ac:dyDescent="0.25">
      <c r="A99" s="128" t="str">
        <f>$A$7</f>
        <v>Passenger cars</v>
      </c>
      <c r="B99" s="140">
        <f t="shared" ref="B99:Y99" si="77">IF(B7=0,0,B7/B$4)</f>
        <v>0.62200301902003774</v>
      </c>
      <c r="C99" s="140">
        <f t="shared" si="77"/>
        <v>0.62617029583085482</v>
      </c>
      <c r="D99" s="140">
        <f t="shared" si="77"/>
        <v>0.62693485719811759</v>
      </c>
      <c r="E99" s="140">
        <f t="shared" si="77"/>
        <v>0.63291462284375188</v>
      </c>
      <c r="F99" s="140">
        <f t="shared" si="77"/>
        <v>0.61958563507227282</v>
      </c>
      <c r="G99" s="140">
        <f t="shared" si="77"/>
        <v>0.60333005116732386</v>
      </c>
      <c r="H99" s="140">
        <f t="shared" si="77"/>
        <v>0.59797929240507519</v>
      </c>
      <c r="I99" s="140">
        <f t="shared" si="77"/>
        <v>0.59363219497952324</v>
      </c>
      <c r="J99" s="140">
        <f t="shared" si="77"/>
        <v>0.58855155072187226</v>
      </c>
      <c r="K99" s="140">
        <f t="shared" si="77"/>
        <v>0.60336619918395218</v>
      </c>
      <c r="L99" s="140">
        <f t="shared" si="77"/>
        <v>0.58959862586620981</v>
      </c>
      <c r="M99" s="140">
        <f t="shared" si="77"/>
        <v>0.57209516471027921</v>
      </c>
      <c r="N99" s="140">
        <f t="shared" si="77"/>
        <v>0.55973943087915201</v>
      </c>
      <c r="O99" s="140">
        <f t="shared" si="77"/>
        <v>0.5588499448952261</v>
      </c>
      <c r="P99" s="140">
        <f t="shared" si="77"/>
        <v>0.55031868580268228</v>
      </c>
      <c r="Q99" s="140">
        <f t="shared" si="77"/>
        <v>0.53666911263986317</v>
      </c>
      <c r="R99" s="140">
        <f t="shared" si="77"/>
        <v>0.52494827604890304</v>
      </c>
      <c r="S99" s="140">
        <f t="shared" si="77"/>
        <v>0.50762637851808323</v>
      </c>
      <c r="T99" s="140">
        <f t="shared" si="77"/>
        <v>0.51104678876345422</v>
      </c>
      <c r="U99" s="140">
        <f t="shared" si="77"/>
        <v>0.50615438307520333</v>
      </c>
      <c r="V99" s="140">
        <f t="shared" si="77"/>
        <v>0.67605075246894353</v>
      </c>
      <c r="W99" s="140">
        <f t="shared" si="77"/>
        <v>0.65371245908843489</v>
      </c>
      <c r="X99" s="140">
        <f t="shared" si="77"/>
        <v>0.52756099335478801</v>
      </c>
      <c r="Y99" s="140">
        <f t="shared" si="77"/>
        <v>0.51057828672597705</v>
      </c>
      <c r="DA99" s="175"/>
    </row>
    <row r="100" spans="1:105" ht="11.45" customHeight="1" x14ac:dyDescent="0.25">
      <c r="A100" s="128" t="str">
        <f>$A$8</f>
        <v>Motor coaches, buses and trolley buses</v>
      </c>
      <c r="B100" s="140">
        <f t="shared" ref="B100:Y100" si="78">IF(B8=0,0,B8/B$4)</f>
        <v>2.0354078541366588E-2</v>
      </c>
      <c r="C100" s="140">
        <f t="shared" si="78"/>
        <v>2.0661166320695659E-2</v>
      </c>
      <c r="D100" s="140">
        <f t="shared" si="78"/>
        <v>1.9179722142993103E-2</v>
      </c>
      <c r="E100" s="140">
        <f t="shared" si="78"/>
        <v>1.9926765275861218E-2</v>
      </c>
      <c r="F100" s="140">
        <f t="shared" si="78"/>
        <v>1.9209568533369893E-2</v>
      </c>
      <c r="G100" s="140">
        <f t="shared" si="78"/>
        <v>1.9361007498713046E-2</v>
      </c>
      <c r="H100" s="140">
        <f t="shared" si="78"/>
        <v>1.9640031308029372E-2</v>
      </c>
      <c r="I100" s="140">
        <f t="shared" si="78"/>
        <v>1.9793337185100582E-2</v>
      </c>
      <c r="J100" s="140">
        <f t="shared" si="78"/>
        <v>2.0213115092225033E-2</v>
      </c>
      <c r="K100" s="140">
        <f t="shared" si="78"/>
        <v>2.0018508939654473E-2</v>
      </c>
      <c r="L100" s="140">
        <f t="shared" si="78"/>
        <v>1.9814418340801523E-2</v>
      </c>
      <c r="M100" s="140">
        <f t="shared" si="78"/>
        <v>1.9849390621761512E-2</v>
      </c>
      <c r="N100" s="140">
        <f t="shared" si="78"/>
        <v>1.7965630484633687E-2</v>
      </c>
      <c r="O100" s="140">
        <f t="shared" si="78"/>
        <v>1.7858755026439022E-2</v>
      </c>
      <c r="P100" s="140">
        <f t="shared" si="78"/>
        <v>1.7260004492017485E-2</v>
      </c>
      <c r="Q100" s="140">
        <f t="shared" si="78"/>
        <v>1.8787474972668028E-2</v>
      </c>
      <c r="R100" s="140">
        <f t="shared" si="78"/>
        <v>1.8546829935507918E-2</v>
      </c>
      <c r="S100" s="140">
        <f t="shared" si="78"/>
        <v>1.6902816511956742E-2</v>
      </c>
      <c r="T100" s="140">
        <f t="shared" si="78"/>
        <v>1.895379290360192E-2</v>
      </c>
      <c r="U100" s="140">
        <f t="shared" si="78"/>
        <v>1.877234250364954E-2</v>
      </c>
      <c r="V100" s="140">
        <f t="shared" si="78"/>
        <v>1.5684680975691725E-2</v>
      </c>
      <c r="W100" s="140">
        <f t="shared" si="78"/>
        <v>1.662877964189545E-2</v>
      </c>
      <c r="X100" s="140">
        <f t="shared" si="78"/>
        <v>1.7641370796895775E-2</v>
      </c>
      <c r="Y100" s="140">
        <f t="shared" si="78"/>
        <v>1.6103606038926382E-2</v>
      </c>
      <c r="DA100" s="175"/>
    </row>
    <row r="101" spans="1:105" ht="11.45" customHeight="1" x14ac:dyDescent="0.25">
      <c r="A101" s="109" t="str">
        <f>$A$9</f>
        <v>Rail, metro and tram</v>
      </c>
      <c r="B101" s="124">
        <f t="shared" ref="B101:Y101" si="79">IF(B9=0,0,B9/B$4)</f>
        <v>6.7601291223832183E-2</v>
      </c>
      <c r="C101" s="124">
        <f t="shared" si="79"/>
        <v>6.6670867630560141E-2</v>
      </c>
      <c r="D101" s="124">
        <f t="shared" si="79"/>
        <v>6.5004414896471088E-2</v>
      </c>
      <c r="E101" s="124">
        <f t="shared" si="79"/>
        <v>6.2965035321572077E-2</v>
      </c>
      <c r="F101" s="124">
        <f t="shared" si="79"/>
        <v>6.2270244417278325E-2</v>
      </c>
      <c r="G101" s="124">
        <f t="shared" si="79"/>
        <v>6.4466328526940397E-2</v>
      </c>
      <c r="H101" s="124">
        <f t="shared" si="79"/>
        <v>6.7341356925193593E-2</v>
      </c>
      <c r="I101" s="124">
        <f t="shared" si="79"/>
        <v>6.829956261496474E-2</v>
      </c>
      <c r="J101" s="124">
        <f t="shared" si="79"/>
        <v>6.8737709393898797E-2</v>
      </c>
      <c r="K101" s="124">
        <f t="shared" si="79"/>
        <v>7.1265241097662038E-2</v>
      </c>
      <c r="L101" s="124">
        <f t="shared" si="79"/>
        <v>7.2591468930879074E-2</v>
      </c>
      <c r="M101" s="124">
        <f t="shared" si="79"/>
        <v>7.2775352146670746E-2</v>
      </c>
      <c r="N101" s="124">
        <f t="shared" si="79"/>
        <v>7.4473513465351374E-2</v>
      </c>
      <c r="O101" s="124">
        <f t="shared" si="79"/>
        <v>7.6476960568529526E-2</v>
      </c>
      <c r="P101" s="124">
        <f t="shared" si="79"/>
        <v>7.9180242821664401E-2</v>
      </c>
      <c r="Q101" s="124">
        <f t="shared" si="79"/>
        <v>7.0938214734138652E-2</v>
      </c>
      <c r="R101" s="124">
        <f t="shared" si="79"/>
        <v>7.0485590746649798E-2</v>
      </c>
      <c r="S101" s="124">
        <f t="shared" si="79"/>
        <v>7.0703907515349357E-2</v>
      </c>
      <c r="T101" s="124">
        <f t="shared" si="79"/>
        <v>6.9032872863502598E-2</v>
      </c>
      <c r="U101" s="124">
        <f t="shared" si="79"/>
        <v>6.9943652517660507E-2</v>
      </c>
      <c r="V101" s="124">
        <f t="shared" si="79"/>
        <v>6.1849086405846347E-2</v>
      </c>
      <c r="W101" s="124">
        <f t="shared" si="79"/>
        <v>6.4396565136138284E-2</v>
      </c>
      <c r="X101" s="124">
        <f t="shared" si="79"/>
        <v>7.5164840573916647E-2</v>
      </c>
      <c r="Y101" s="124">
        <f t="shared" si="79"/>
        <v>7.5038932359366137E-2</v>
      </c>
      <c r="DA101" s="176"/>
    </row>
    <row r="102" spans="1:105" ht="11.45" customHeight="1" x14ac:dyDescent="0.25">
      <c r="A102" s="128" t="str">
        <f>$A$10</f>
        <v>Metro and tram, urban light rail</v>
      </c>
      <c r="B102" s="140">
        <f t="shared" ref="B102:Y102" si="80">IF(B10=0,0,B10/B$4)</f>
        <v>2.950006482883398E-3</v>
      </c>
      <c r="C102" s="140">
        <f t="shared" si="80"/>
        <v>3.0279093141924729E-3</v>
      </c>
      <c r="D102" s="140">
        <f t="shared" si="80"/>
        <v>2.8848223885189123E-3</v>
      </c>
      <c r="E102" s="140">
        <f t="shared" si="80"/>
        <v>2.974606183034946E-3</v>
      </c>
      <c r="F102" s="140">
        <f t="shared" si="80"/>
        <v>2.9723026015553268E-3</v>
      </c>
      <c r="G102" s="140">
        <f t="shared" si="80"/>
        <v>3.0264073889131162E-3</v>
      </c>
      <c r="H102" s="140">
        <f t="shared" si="80"/>
        <v>3.1434314047595309E-3</v>
      </c>
      <c r="I102" s="140">
        <f t="shared" si="80"/>
        <v>3.1715681052825037E-3</v>
      </c>
      <c r="J102" s="140">
        <f t="shared" si="80"/>
        <v>3.3043897105820745E-3</v>
      </c>
      <c r="K102" s="140">
        <f t="shared" si="80"/>
        <v>3.4020093302530503E-3</v>
      </c>
      <c r="L102" s="140">
        <f t="shared" si="80"/>
        <v>3.4914912808170391E-3</v>
      </c>
      <c r="M102" s="140">
        <f t="shared" si="80"/>
        <v>3.5256888227720652E-3</v>
      </c>
      <c r="N102" s="140">
        <f t="shared" si="80"/>
        <v>3.2700100569518897E-3</v>
      </c>
      <c r="O102" s="140">
        <f t="shared" si="80"/>
        <v>3.2806858052235825E-3</v>
      </c>
      <c r="P102" s="140">
        <f t="shared" si="80"/>
        <v>3.2390049743821277E-3</v>
      </c>
      <c r="Q102" s="140">
        <f t="shared" si="80"/>
        <v>3.5256494238280782E-3</v>
      </c>
      <c r="R102" s="140">
        <f t="shared" si="80"/>
        <v>3.4502924273367448E-3</v>
      </c>
      <c r="S102" s="140">
        <f t="shared" si="80"/>
        <v>3.2265640349030786E-3</v>
      </c>
      <c r="T102" s="140">
        <f t="shared" si="80"/>
        <v>3.5669130419062256E-3</v>
      </c>
      <c r="U102" s="140">
        <f t="shared" si="80"/>
        <v>3.5327659030543355E-3</v>
      </c>
      <c r="V102" s="140">
        <f t="shared" si="80"/>
        <v>2.9516990828628025E-3</v>
      </c>
      <c r="W102" s="140">
        <f t="shared" si="80"/>
        <v>3.1293689488603536E-3</v>
      </c>
      <c r="X102" s="140">
        <f t="shared" si="80"/>
        <v>3.3182578403684912E-3</v>
      </c>
      <c r="Y102" s="140">
        <f t="shared" si="80"/>
        <v>3.0290116120837728E-3</v>
      </c>
      <c r="DA102" s="175"/>
    </row>
    <row r="103" spans="1:105" ht="11.45" customHeight="1" x14ac:dyDescent="0.25">
      <c r="A103" s="128" t="str">
        <f>$A$11</f>
        <v>Conventional passenger trains</v>
      </c>
      <c r="B103" s="140">
        <f t="shared" ref="B103:Y103" si="81">IF(B11=0,0,B11/B$4)</f>
        <v>6.4153153336630825E-2</v>
      </c>
      <c r="C103" s="140">
        <f t="shared" si="81"/>
        <v>6.2798335954053458E-2</v>
      </c>
      <c r="D103" s="140">
        <f t="shared" si="81"/>
        <v>6.1245709662620544E-2</v>
      </c>
      <c r="E103" s="140">
        <f t="shared" si="81"/>
        <v>5.7113938313292423E-2</v>
      </c>
      <c r="F103" s="140">
        <f t="shared" si="81"/>
        <v>5.6612798265310835E-2</v>
      </c>
      <c r="G103" s="140">
        <f t="shared" si="81"/>
        <v>5.8654385216307177E-2</v>
      </c>
      <c r="H103" s="140">
        <f t="shared" si="81"/>
        <v>6.123631186277919E-2</v>
      </c>
      <c r="I103" s="140">
        <f t="shared" si="81"/>
        <v>6.1936423568932121E-2</v>
      </c>
      <c r="J103" s="140">
        <f t="shared" si="81"/>
        <v>6.1962066659671397E-2</v>
      </c>
      <c r="K103" s="140">
        <f t="shared" si="81"/>
        <v>6.6762078143471085E-2</v>
      </c>
      <c r="L103" s="140">
        <f t="shared" si="81"/>
        <v>6.7934682168981117E-2</v>
      </c>
      <c r="M103" s="140">
        <f t="shared" si="81"/>
        <v>6.8041290572952468E-2</v>
      </c>
      <c r="N103" s="140">
        <f t="shared" si="81"/>
        <v>6.9905324628121421E-2</v>
      </c>
      <c r="O103" s="140">
        <f t="shared" si="81"/>
        <v>7.1801071668416205E-2</v>
      </c>
      <c r="P103" s="140">
        <f t="shared" si="81"/>
        <v>7.5022578534158432E-2</v>
      </c>
      <c r="Q103" s="140">
        <f t="shared" si="81"/>
        <v>6.3580863258774351E-2</v>
      </c>
      <c r="R103" s="140">
        <f t="shared" si="81"/>
        <v>6.5674459393476048E-2</v>
      </c>
      <c r="S103" s="140">
        <f t="shared" si="81"/>
        <v>6.5965809995745708E-2</v>
      </c>
      <c r="T103" s="140">
        <f t="shared" si="81"/>
        <v>6.4097393844907813E-2</v>
      </c>
      <c r="U103" s="140">
        <f t="shared" si="81"/>
        <v>6.4859823691555379E-2</v>
      </c>
      <c r="V103" s="140">
        <f t="shared" si="81"/>
        <v>5.7991273671860716E-2</v>
      </c>
      <c r="W103" s="140">
        <f t="shared" si="81"/>
        <v>6.0459934687712755E-2</v>
      </c>
      <c r="X103" s="140">
        <f t="shared" si="81"/>
        <v>7.1019118436646128E-2</v>
      </c>
      <c r="Y103" s="140">
        <f t="shared" si="81"/>
        <v>7.0314245614290866E-2</v>
      </c>
      <c r="DA103" s="175"/>
    </row>
    <row r="104" spans="1:105" ht="11.45" customHeight="1" x14ac:dyDescent="0.25">
      <c r="A104" s="128" t="str">
        <f>$A$12</f>
        <v>High speed passenger trains</v>
      </c>
      <c r="B104" s="140">
        <f t="shared" ref="B104:Y104" si="82">IF(B12=0,0,B12/B$4)</f>
        <v>4.9813140431796069E-4</v>
      </c>
      <c r="C104" s="140">
        <f t="shared" si="82"/>
        <v>8.4462236231421797E-4</v>
      </c>
      <c r="D104" s="140">
        <f t="shared" si="82"/>
        <v>8.738828453316341E-4</v>
      </c>
      <c r="E104" s="140">
        <f t="shared" si="82"/>
        <v>2.8764908252447031E-3</v>
      </c>
      <c r="F104" s="140">
        <f t="shared" si="82"/>
        <v>2.6851435504121582E-3</v>
      </c>
      <c r="G104" s="140">
        <f t="shared" si="82"/>
        <v>2.7855359217201043E-3</v>
      </c>
      <c r="H104" s="140">
        <f t="shared" si="82"/>
        <v>2.961613657654866E-3</v>
      </c>
      <c r="I104" s="140">
        <f t="shared" si="82"/>
        <v>3.1915709407501253E-3</v>
      </c>
      <c r="J104" s="140">
        <f t="shared" si="82"/>
        <v>3.4712530236453284E-3</v>
      </c>
      <c r="K104" s="140">
        <f t="shared" si="82"/>
        <v>1.1011536239379034E-3</v>
      </c>
      <c r="L104" s="140">
        <f t="shared" si="82"/>
        <v>1.1652954810809279E-3</v>
      </c>
      <c r="M104" s="140">
        <f t="shared" si="82"/>
        <v>1.208372750946227E-3</v>
      </c>
      <c r="N104" s="140">
        <f t="shared" si="82"/>
        <v>1.2981787802780617E-3</v>
      </c>
      <c r="O104" s="140">
        <f t="shared" si="82"/>
        <v>1.3952030948897322E-3</v>
      </c>
      <c r="P104" s="140">
        <f t="shared" si="82"/>
        <v>9.1865931312383443E-4</v>
      </c>
      <c r="Q104" s="140">
        <f t="shared" si="82"/>
        <v>3.8317020515362286E-3</v>
      </c>
      <c r="R104" s="140">
        <f t="shared" si="82"/>
        <v>1.3608389258370002E-3</v>
      </c>
      <c r="S104" s="140">
        <f t="shared" si="82"/>
        <v>1.5115334847005646E-3</v>
      </c>
      <c r="T104" s="140">
        <f t="shared" si="82"/>
        <v>1.3685659766885722E-3</v>
      </c>
      <c r="U104" s="140">
        <f t="shared" si="82"/>
        <v>1.5510629230507927E-3</v>
      </c>
      <c r="V104" s="140">
        <f t="shared" si="82"/>
        <v>9.0611365112282368E-4</v>
      </c>
      <c r="W104" s="140">
        <f t="shared" si="82"/>
        <v>8.0726149956516569E-4</v>
      </c>
      <c r="X104" s="140">
        <f t="shared" si="82"/>
        <v>8.2746429690201608E-4</v>
      </c>
      <c r="Y104" s="140">
        <f t="shared" si="82"/>
        <v>1.6956751329914887E-3</v>
      </c>
      <c r="DA104" s="175"/>
    </row>
    <row r="105" spans="1:105" ht="11.45" customHeight="1" x14ac:dyDescent="0.25">
      <c r="A105" s="109" t="str">
        <f>$A$13</f>
        <v>Aviation</v>
      </c>
      <c r="B105" s="124">
        <f t="shared" ref="B105:Y105" si="83">IF(B13=0,0,B13/B$4)</f>
        <v>0.27494478697563951</v>
      </c>
      <c r="C105" s="124">
        <f t="shared" si="83"/>
        <v>0.27075714694810926</v>
      </c>
      <c r="D105" s="124">
        <f t="shared" si="83"/>
        <v>0.27284258463670602</v>
      </c>
      <c r="E105" s="124">
        <f t="shared" si="83"/>
        <v>0.26807717238374795</v>
      </c>
      <c r="F105" s="124">
        <f t="shared" si="83"/>
        <v>0.28439904522503334</v>
      </c>
      <c r="G105" s="124">
        <f t="shared" si="83"/>
        <v>0.29783392941534936</v>
      </c>
      <c r="H105" s="124">
        <f t="shared" si="83"/>
        <v>0.29899460433121877</v>
      </c>
      <c r="I105" s="124">
        <f t="shared" si="83"/>
        <v>0.30077034943208886</v>
      </c>
      <c r="J105" s="124">
        <f t="shared" si="83"/>
        <v>0.30329787697615718</v>
      </c>
      <c r="K105" s="124">
        <f t="shared" si="83"/>
        <v>0.28469920231678492</v>
      </c>
      <c r="L105" s="124">
        <f t="shared" si="83"/>
        <v>0.29708466714662207</v>
      </c>
      <c r="M105" s="124">
        <f t="shared" si="83"/>
        <v>0.31449129845536522</v>
      </c>
      <c r="N105" s="124">
        <f t="shared" si="83"/>
        <v>0.32749193583947439</v>
      </c>
      <c r="O105" s="124">
        <f t="shared" si="83"/>
        <v>0.32743527354658575</v>
      </c>
      <c r="P105" s="124">
        <f t="shared" si="83"/>
        <v>0.3347184111768628</v>
      </c>
      <c r="Q105" s="124">
        <f t="shared" si="83"/>
        <v>0.35421412800769991</v>
      </c>
      <c r="R105" s="124">
        <f t="shared" si="83"/>
        <v>0.36675820312092483</v>
      </c>
      <c r="S105" s="124">
        <f t="shared" si="83"/>
        <v>0.38691492830532531</v>
      </c>
      <c r="T105" s="124">
        <f t="shared" si="83"/>
        <v>0.38489250050513246</v>
      </c>
      <c r="U105" s="124">
        <f t="shared" si="83"/>
        <v>0.38822070056724151</v>
      </c>
      <c r="V105" s="124">
        <f t="shared" si="83"/>
        <v>0.217978477791576</v>
      </c>
      <c r="W105" s="124">
        <f t="shared" si="83"/>
        <v>0.2398954605087438</v>
      </c>
      <c r="X105" s="124">
        <f t="shared" si="83"/>
        <v>0.36058165824497873</v>
      </c>
      <c r="Y105" s="124">
        <f t="shared" si="83"/>
        <v>0.38019438080001655</v>
      </c>
      <c r="DA105" s="176"/>
    </row>
    <row r="106" spans="1:105" ht="11.45" customHeight="1" x14ac:dyDescent="0.25">
      <c r="A106" s="128" t="str">
        <f>$A$14</f>
        <v>Domestic</v>
      </c>
      <c r="B106" s="140">
        <f t="shared" ref="B106:Y106" si="84">IF(B14=0,0,B14/B$4)</f>
        <v>0</v>
      </c>
      <c r="C106" s="140">
        <f t="shared" si="84"/>
        <v>0</v>
      </c>
      <c r="D106" s="140">
        <f t="shared" si="84"/>
        <v>0</v>
      </c>
      <c r="E106" s="140">
        <f t="shared" si="84"/>
        <v>0</v>
      </c>
      <c r="F106" s="140">
        <f t="shared" si="84"/>
        <v>0</v>
      </c>
      <c r="G106" s="140">
        <f t="shared" si="84"/>
        <v>0</v>
      </c>
      <c r="H106" s="140">
        <f t="shared" si="84"/>
        <v>0</v>
      </c>
      <c r="I106" s="140">
        <f t="shared" si="84"/>
        <v>0</v>
      </c>
      <c r="J106" s="140">
        <f t="shared" si="84"/>
        <v>0</v>
      </c>
      <c r="K106" s="140">
        <f t="shared" si="84"/>
        <v>0</v>
      </c>
      <c r="L106" s="140">
        <f t="shared" si="84"/>
        <v>0</v>
      </c>
      <c r="M106" s="140">
        <f t="shared" si="84"/>
        <v>0</v>
      </c>
      <c r="N106" s="140">
        <f t="shared" si="84"/>
        <v>0</v>
      </c>
      <c r="O106" s="140">
        <f t="shared" si="84"/>
        <v>0</v>
      </c>
      <c r="P106" s="140">
        <f t="shared" si="84"/>
        <v>0</v>
      </c>
      <c r="Q106" s="140">
        <f t="shared" si="84"/>
        <v>0</v>
      </c>
      <c r="R106" s="140">
        <f t="shared" si="84"/>
        <v>0</v>
      </c>
      <c r="S106" s="140">
        <f t="shared" si="84"/>
        <v>0</v>
      </c>
      <c r="T106" s="140">
        <f t="shared" si="84"/>
        <v>0</v>
      </c>
      <c r="U106" s="140">
        <f t="shared" si="84"/>
        <v>0</v>
      </c>
      <c r="V106" s="140">
        <f t="shared" si="84"/>
        <v>0</v>
      </c>
      <c r="W106" s="140">
        <f t="shared" si="84"/>
        <v>0</v>
      </c>
      <c r="X106" s="140">
        <f t="shared" si="84"/>
        <v>0</v>
      </c>
      <c r="Y106" s="140">
        <f t="shared" si="84"/>
        <v>0</v>
      </c>
      <c r="DA106" s="175"/>
    </row>
    <row r="107" spans="1:105" ht="11.45" customHeight="1" x14ac:dyDescent="0.25">
      <c r="A107" s="128" t="str">
        <f>$A$15</f>
        <v>International - Intra-EEAwCHUK</v>
      </c>
      <c r="B107" s="140">
        <f t="shared" ref="B107:Y107" si="85">IF(B15=0,0,B15/B$4)</f>
        <v>7.0327785962075368E-2</v>
      </c>
      <c r="C107" s="140">
        <f t="shared" si="85"/>
        <v>6.9692618033271286E-2</v>
      </c>
      <c r="D107" s="140">
        <f t="shared" si="85"/>
        <v>7.0027741187704037E-2</v>
      </c>
      <c r="E107" s="140">
        <f t="shared" si="85"/>
        <v>6.9235853798546645E-2</v>
      </c>
      <c r="F107" s="140">
        <f t="shared" si="85"/>
        <v>6.8594983787574698E-2</v>
      </c>
      <c r="G107" s="140">
        <f t="shared" si="85"/>
        <v>7.112445216659434E-2</v>
      </c>
      <c r="H107" s="140">
        <f t="shared" si="85"/>
        <v>7.4027363734588056E-2</v>
      </c>
      <c r="I107" s="140">
        <f t="shared" si="85"/>
        <v>7.2784511155027751E-2</v>
      </c>
      <c r="J107" s="140">
        <f t="shared" si="85"/>
        <v>6.8976728819634792E-2</v>
      </c>
      <c r="K107" s="140">
        <f t="shared" si="85"/>
        <v>6.506585473741254E-2</v>
      </c>
      <c r="L107" s="140">
        <f t="shared" si="85"/>
        <v>6.7487123308744193E-2</v>
      </c>
      <c r="M107" s="140">
        <f t="shared" si="85"/>
        <v>7.5261246123576542E-2</v>
      </c>
      <c r="N107" s="140">
        <f t="shared" si="85"/>
        <v>7.7940342649270661E-2</v>
      </c>
      <c r="O107" s="140">
        <f t="shared" si="85"/>
        <v>7.8299464631836208E-2</v>
      </c>
      <c r="P107" s="140">
        <f t="shared" si="85"/>
        <v>8.1235246627143085E-2</v>
      </c>
      <c r="Q107" s="140">
        <f t="shared" si="85"/>
        <v>8.6771299494313406E-2</v>
      </c>
      <c r="R107" s="140">
        <f t="shared" si="85"/>
        <v>9.6645596659816077E-2</v>
      </c>
      <c r="S107" s="140">
        <f t="shared" si="85"/>
        <v>0.10538804621334445</v>
      </c>
      <c r="T107" s="140">
        <f t="shared" si="85"/>
        <v>0.10389388762737356</v>
      </c>
      <c r="U107" s="140">
        <f t="shared" si="85"/>
        <v>0.10338821041746694</v>
      </c>
      <c r="V107" s="140">
        <f t="shared" si="85"/>
        <v>6.0220918863145532E-2</v>
      </c>
      <c r="W107" s="140">
        <f t="shared" si="85"/>
        <v>7.4123840426846541E-2</v>
      </c>
      <c r="X107" s="140">
        <f t="shared" si="85"/>
        <v>0.10413533181151846</v>
      </c>
      <c r="Y107" s="140">
        <f t="shared" si="85"/>
        <v>0.10408645002153756</v>
      </c>
      <c r="DA107" s="175"/>
    </row>
    <row r="108" spans="1:105" ht="11.45" customHeight="1" x14ac:dyDescent="0.25">
      <c r="A108" s="128" t="str">
        <f>$A$16</f>
        <v>International - Extra-EEAwCHUK</v>
      </c>
      <c r="B108" s="140">
        <f t="shared" ref="B108:Y108" si="86">IF(B16=0,0,B16/B$4)</f>
        <v>0.20461700101356417</v>
      </c>
      <c r="C108" s="140">
        <f t="shared" si="86"/>
        <v>0.20106452891483795</v>
      </c>
      <c r="D108" s="140">
        <f t="shared" si="86"/>
        <v>0.20281484344900194</v>
      </c>
      <c r="E108" s="140">
        <f t="shared" si="86"/>
        <v>0.19884131858520132</v>
      </c>
      <c r="F108" s="140">
        <f t="shared" si="86"/>
        <v>0.21580406143745864</v>
      </c>
      <c r="G108" s="140">
        <f t="shared" si="86"/>
        <v>0.22670947724875498</v>
      </c>
      <c r="H108" s="140">
        <f t="shared" si="86"/>
        <v>0.2249672405966307</v>
      </c>
      <c r="I108" s="140">
        <f t="shared" si="86"/>
        <v>0.22798583827706115</v>
      </c>
      <c r="J108" s="140">
        <f t="shared" si="86"/>
        <v>0.23432114815652241</v>
      </c>
      <c r="K108" s="140">
        <f t="shared" si="86"/>
        <v>0.21963334757937239</v>
      </c>
      <c r="L108" s="140">
        <f t="shared" si="86"/>
        <v>0.22959754383787787</v>
      </c>
      <c r="M108" s="140">
        <f t="shared" si="86"/>
        <v>0.23923005233178871</v>
      </c>
      <c r="N108" s="140">
        <f t="shared" si="86"/>
        <v>0.24955159319020376</v>
      </c>
      <c r="O108" s="140">
        <f t="shared" si="86"/>
        <v>0.24913580891474954</v>
      </c>
      <c r="P108" s="140">
        <f t="shared" si="86"/>
        <v>0.2534831645497197</v>
      </c>
      <c r="Q108" s="140">
        <f t="shared" si="86"/>
        <v>0.26744282851338652</v>
      </c>
      <c r="R108" s="140">
        <f t="shared" si="86"/>
        <v>0.2701126064611088</v>
      </c>
      <c r="S108" s="140">
        <f t="shared" si="86"/>
        <v>0.28152688209198079</v>
      </c>
      <c r="T108" s="140">
        <f t="shared" si="86"/>
        <v>0.2809986128777589</v>
      </c>
      <c r="U108" s="140">
        <f t="shared" si="86"/>
        <v>0.28483249014977458</v>
      </c>
      <c r="V108" s="140">
        <f t="shared" si="86"/>
        <v>0.15775755892843046</v>
      </c>
      <c r="W108" s="140">
        <f t="shared" si="86"/>
        <v>0.16577162008189728</v>
      </c>
      <c r="X108" s="140">
        <f t="shared" si="86"/>
        <v>0.25644632643346033</v>
      </c>
      <c r="Y108" s="140">
        <f t="shared" si="86"/>
        <v>0.276107930778479</v>
      </c>
      <c r="DA108" s="175"/>
    </row>
    <row r="109" spans="1:105" ht="11.45" customHeight="1" x14ac:dyDescent="0.25">
      <c r="A109" s="27" t="s">
        <v>39</v>
      </c>
      <c r="B109" s="31">
        <f t="shared" ref="B109:Y109" si="87">IF(B17=0,0,B17/B$17)</f>
        <v>1</v>
      </c>
      <c r="C109" s="31">
        <f t="shared" si="87"/>
        <v>1</v>
      </c>
      <c r="D109" s="31">
        <f t="shared" si="87"/>
        <v>1</v>
      </c>
      <c r="E109" s="31">
        <f t="shared" si="87"/>
        <v>1</v>
      </c>
      <c r="F109" s="31">
        <f t="shared" si="87"/>
        <v>1</v>
      </c>
      <c r="G109" s="31">
        <f t="shared" si="87"/>
        <v>1</v>
      </c>
      <c r="H109" s="31">
        <f t="shared" si="87"/>
        <v>1</v>
      </c>
      <c r="I109" s="31">
        <f t="shared" si="87"/>
        <v>1</v>
      </c>
      <c r="J109" s="31">
        <f t="shared" si="87"/>
        <v>1</v>
      </c>
      <c r="K109" s="31">
        <f t="shared" si="87"/>
        <v>1</v>
      </c>
      <c r="L109" s="31">
        <f t="shared" si="87"/>
        <v>1</v>
      </c>
      <c r="M109" s="31">
        <f t="shared" si="87"/>
        <v>1</v>
      </c>
      <c r="N109" s="31">
        <f t="shared" si="87"/>
        <v>1</v>
      </c>
      <c r="O109" s="31">
        <f t="shared" si="87"/>
        <v>1</v>
      </c>
      <c r="P109" s="31">
        <f t="shared" si="87"/>
        <v>1</v>
      </c>
      <c r="Q109" s="31">
        <f t="shared" si="87"/>
        <v>1</v>
      </c>
      <c r="R109" s="31">
        <f t="shared" si="87"/>
        <v>1</v>
      </c>
      <c r="S109" s="31">
        <f t="shared" si="87"/>
        <v>1</v>
      </c>
      <c r="T109" s="31">
        <f t="shared" si="87"/>
        <v>1</v>
      </c>
      <c r="U109" s="31">
        <f t="shared" si="87"/>
        <v>1</v>
      </c>
      <c r="V109" s="31">
        <f t="shared" si="87"/>
        <v>1</v>
      </c>
      <c r="W109" s="31">
        <f t="shared" si="87"/>
        <v>1</v>
      </c>
      <c r="X109" s="31">
        <f t="shared" si="87"/>
        <v>1</v>
      </c>
      <c r="Y109" s="31">
        <f t="shared" si="87"/>
        <v>1</v>
      </c>
      <c r="DA109" s="173"/>
    </row>
    <row r="110" spans="1:105" ht="11.45" customHeight="1" x14ac:dyDescent="0.25">
      <c r="A110" s="136" t="str">
        <f>$A$18</f>
        <v>Road transport</v>
      </c>
      <c r="B110" s="139">
        <f t="shared" ref="B110:Y110" si="88">IF(B18=0,0,B18/B$17)</f>
        <v>0.48564371171076565</v>
      </c>
      <c r="C110" s="139">
        <f t="shared" si="88"/>
        <v>0.48722602545216648</v>
      </c>
      <c r="D110" s="139">
        <f t="shared" si="88"/>
        <v>0.49369749762506271</v>
      </c>
      <c r="E110" s="139">
        <f t="shared" si="88"/>
        <v>0.50957966999214666</v>
      </c>
      <c r="F110" s="139">
        <f t="shared" si="88"/>
        <v>0.50639341528367299</v>
      </c>
      <c r="G110" s="139">
        <f t="shared" si="88"/>
        <v>0.50289597441613965</v>
      </c>
      <c r="H110" s="139">
        <f t="shared" si="88"/>
        <v>0.50080404168499759</v>
      </c>
      <c r="I110" s="139">
        <f t="shared" si="88"/>
        <v>0.47816856076736697</v>
      </c>
      <c r="J110" s="139">
        <f t="shared" si="88"/>
        <v>0.48632259990317606</v>
      </c>
      <c r="K110" s="139">
        <f t="shared" si="88"/>
        <v>0.52464955608755104</v>
      </c>
      <c r="L110" s="139">
        <f t="shared" si="88"/>
        <v>0.4788784848940722</v>
      </c>
      <c r="M110" s="139">
        <f t="shared" si="88"/>
        <v>0.47747877784662557</v>
      </c>
      <c r="N110" s="139">
        <f t="shared" si="88"/>
        <v>0.46477020925770335</v>
      </c>
      <c r="O110" s="139">
        <f t="shared" si="88"/>
        <v>0.47805184985224675</v>
      </c>
      <c r="P110" s="139">
        <f t="shared" si="88"/>
        <v>0.47495312926838401</v>
      </c>
      <c r="Q110" s="139">
        <f t="shared" si="88"/>
        <v>0.47762335097351455</v>
      </c>
      <c r="R110" s="139">
        <f t="shared" si="88"/>
        <v>0.49048204306205617</v>
      </c>
      <c r="S110" s="139">
        <f t="shared" si="88"/>
        <v>0.48611888027469213</v>
      </c>
      <c r="T110" s="139">
        <f t="shared" si="88"/>
        <v>0.49625378510346047</v>
      </c>
      <c r="U110" s="139">
        <f t="shared" si="88"/>
        <v>0.50548742659597312</v>
      </c>
      <c r="V110" s="139">
        <f t="shared" si="88"/>
        <v>0.51623439525126058</v>
      </c>
      <c r="W110" s="139">
        <f t="shared" si="88"/>
        <v>0.50776396561262205</v>
      </c>
      <c r="X110" s="139">
        <f t="shared" si="88"/>
        <v>0.51552671325542443</v>
      </c>
      <c r="Y110" s="139">
        <f t="shared" si="88"/>
        <v>0.52026335684875324</v>
      </c>
      <c r="DA110" s="174"/>
    </row>
    <row r="111" spans="1:105" ht="11.45" customHeight="1" x14ac:dyDescent="0.25">
      <c r="A111" s="128" t="str">
        <f>$A$19</f>
        <v>Light commercial vehicles</v>
      </c>
      <c r="B111" s="140">
        <f t="shared" ref="B111:Y111" si="89">IF(B19=0,0,B19/B$17)</f>
        <v>3.1403458949121936E-2</v>
      </c>
      <c r="C111" s="140">
        <f t="shared" si="89"/>
        <v>3.4167943209156046E-2</v>
      </c>
      <c r="D111" s="140">
        <f t="shared" si="89"/>
        <v>3.6066680736866738E-2</v>
      </c>
      <c r="E111" s="140">
        <f t="shared" si="89"/>
        <v>3.7653538204986819E-2</v>
      </c>
      <c r="F111" s="140">
        <f t="shared" si="89"/>
        <v>3.607670887651189E-2</v>
      </c>
      <c r="G111" s="140">
        <f t="shared" si="89"/>
        <v>3.7610358118930189E-2</v>
      </c>
      <c r="H111" s="140">
        <f t="shared" si="89"/>
        <v>3.7027136188996425E-2</v>
      </c>
      <c r="I111" s="140">
        <f t="shared" si="89"/>
        <v>3.5721521714099917E-2</v>
      </c>
      <c r="J111" s="140">
        <f t="shared" si="89"/>
        <v>3.6040670600068006E-2</v>
      </c>
      <c r="K111" s="140">
        <f t="shared" si="89"/>
        <v>3.9065763903690098E-2</v>
      </c>
      <c r="L111" s="140">
        <f t="shared" si="89"/>
        <v>3.5776398156216298E-2</v>
      </c>
      <c r="M111" s="140">
        <f t="shared" si="89"/>
        <v>3.6128949987535991E-2</v>
      </c>
      <c r="N111" s="140">
        <f t="shared" si="89"/>
        <v>3.535690434134469E-2</v>
      </c>
      <c r="O111" s="140">
        <f t="shared" si="89"/>
        <v>3.2759398086432107E-2</v>
      </c>
      <c r="P111" s="140">
        <f t="shared" si="89"/>
        <v>3.1303328422989787E-2</v>
      </c>
      <c r="Q111" s="140">
        <f t="shared" si="89"/>
        <v>3.2569661836698995E-2</v>
      </c>
      <c r="R111" s="140">
        <f t="shared" si="89"/>
        <v>3.2500389535521645E-2</v>
      </c>
      <c r="S111" s="140">
        <f t="shared" si="89"/>
        <v>3.3206666875175123E-2</v>
      </c>
      <c r="T111" s="140">
        <f t="shared" si="89"/>
        <v>3.3648084141537943E-2</v>
      </c>
      <c r="U111" s="140">
        <f t="shared" si="89"/>
        <v>3.3256937947502667E-2</v>
      </c>
      <c r="V111" s="140">
        <f t="shared" si="89"/>
        <v>3.3282463304045398E-2</v>
      </c>
      <c r="W111" s="140">
        <f t="shared" si="89"/>
        <v>3.3252548230972873E-2</v>
      </c>
      <c r="X111" s="140">
        <f t="shared" si="89"/>
        <v>3.4407603357192514E-2</v>
      </c>
      <c r="Y111" s="140">
        <f t="shared" si="89"/>
        <v>3.660901624334674E-2</v>
      </c>
      <c r="DA111" s="175"/>
    </row>
    <row r="112" spans="1:105" ht="11.45" customHeight="1" x14ac:dyDescent="0.25">
      <c r="A112" s="128" t="str">
        <f>$A$20</f>
        <v>Heavy goods vehicles</v>
      </c>
      <c r="B112" s="140">
        <f t="shared" ref="B112:Y112" si="90">IF(B20=0,0,B20/B$17)</f>
        <v>0.4542402527616437</v>
      </c>
      <c r="C112" s="140">
        <f t="shared" si="90"/>
        <v>0.45305808224301042</v>
      </c>
      <c r="D112" s="140">
        <f t="shared" si="90"/>
        <v>0.45763081688819596</v>
      </c>
      <c r="E112" s="140">
        <f t="shared" si="90"/>
        <v>0.47192613178715975</v>
      </c>
      <c r="F112" s="140">
        <f t="shared" si="90"/>
        <v>0.47031670640716111</v>
      </c>
      <c r="G112" s="140">
        <f t="shared" si="90"/>
        <v>0.46528561629720949</v>
      </c>
      <c r="H112" s="140">
        <f t="shared" si="90"/>
        <v>0.46377690549600126</v>
      </c>
      <c r="I112" s="140">
        <f t="shared" si="90"/>
        <v>0.4424470390532671</v>
      </c>
      <c r="J112" s="140">
        <f t="shared" si="90"/>
        <v>0.45028192930310806</v>
      </c>
      <c r="K112" s="140">
        <f t="shared" si="90"/>
        <v>0.48558379218386089</v>
      </c>
      <c r="L112" s="140">
        <f t="shared" si="90"/>
        <v>0.44310208673785589</v>
      </c>
      <c r="M112" s="140">
        <f t="shared" si="90"/>
        <v>0.44134982785908961</v>
      </c>
      <c r="N112" s="140">
        <f t="shared" si="90"/>
        <v>0.4294133049163586</v>
      </c>
      <c r="O112" s="140">
        <f t="shared" si="90"/>
        <v>0.44529245176581467</v>
      </c>
      <c r="P112" s="140">
        <f t="shared" si="90"/>
        <v>0.44364980084539418</v>
      </c>
      <c r="Q112" s="140">
        <f t="shared" si="90"/>
        <v>0.44505368913681553</v>
      </c>
      <c r="R112" s="140">
        <f t="shared" si="90"/>
        <v>0.45798165352653453</v>
      </c>
      <c r="S112" s="140">
        <f t="shared" si="90"/>
        <v>0.45291221339951698</v>
      </c>
      <c r="T112" s="140">
        <f t="shared" si="90"/>
        <v>0.46260570096192255</v>
      </c>
      <c r="U112" s="140">
        <f t="shared" si="90"/>
        <v>0.47223048864847039</v>
      </c>
      <c r="V112" s="140">
        <f t="shared" si="90"/>
        <v>0.48295193194721525</v>
      </c>
      <c r="W112" s="140">
        <f t="shared" si="90"/>
        <v>0.4745114173816492</v>
      </c>
      <c r="X112" s="140">
        <f t="shared" si="90"/>
        <v>0.48111910989823192</v>
      </c>
      <c r="Y112" s="140">
        <f t="shared" si="90"/>
        <v>0.48365434060540646</v>
      </c>
      <c r="DA112" s="175"/>
    </row>
    <row r="113" spans="1:105" ht="11.45" customHeight="1" x14ac:dyDescent="0.25">
      <c r="A113" s="109" t="str">
        <f>$A$21</f>
        <v>Rail transport</v>
      </c>
      <c r="B113" s="124">
        <f t="shared" ref="B113:Y113" si="91">IF(B21=0,0,B21/B$17)</f>
        <v>4.6188431053151034E-2</v>
      </c>
      <c r="C113" s="124">
        <f t="shared" si="91"/>
        <v>4.3362252503944265E-2</v>
      </c>
      <c r="D113" s="124">
        <f t="shared" si="91"/>
        <v>4.098824038153015E-2</v>
      </c>
      <c r="E113" s="124">
        <f t="shared" si="91"/>
        <v>4.7553414462021493E-2</v>
      </c>
      <c r="F113" s="124">
        <f t="shared" si="91"/>
        <v>5.3519394248959726E-2</v>
      </c>
      <c r="G113" s="124">
        <f t="shared" si="91"/>
        <v>5.4856354227389388E-2</v>
      </c>
      <c r="H113" s="124">
        <f t="shared" si="91"/>
        <v>5.82369127405604E-2</v>
      </c>
      <c r="I113" s="124">
        <f t="shared" si="91"/>
        <v>6.387305098703637E-2</v>
      </c>
      <c r="J113" s="124">
        <f t="shared" si="91"/>
        <v>6.121842785433447E-2</v>
      </c>
      <c r="K113" s="124">
        <f t="shared" si="91"/>
        <v>5.5298589769324266E-2</v>
      </c>
      <c r="L113" s="124">
        <f t="shared" si="91"/>
        <v>5.3393154761543236E-2</v>
      </c>
      <c r="M113" s="124">
        <f t="shared" si="91"/>
        <v>5.7283030956851527E-2</v>
      </c>
      <c r="N113" s="124">
        <f t="shared" si="91"/>
        <v>5.6095098345995437E-2</v>
      </c>
      <c r="O113" s="124">
        <f t="shared" si="91"/>
        <v>5.3071204707086483E-2</v>
      </c>
      <c r="P113" s="124">
        <f t="shared" si="91"/>
        <v>5.3099167346273783E-2</v>
      </c>
      <c r="Q113" s="124">
        <f t="shared" si="91"/>
        <v>5.6332561703427209E-2</v>
      </c>
      <c r="R113" s="124">
        <f t="shared" si="91"/>
        <v>5.5489643204266421E-2</v>
      </c>
      <c r="S113" s="124">
        <f t="shared" si="91"/>
        <v>5.3988592346712827E-2</v>
      </c>
      <c r="T113" s="124">
        <f t="shared" si="91"/>
        <v>5.8925906191268376E-2</v>
      </c>
      <c r="U113" s="124">
        <f t="shared" si="91"/>
        <v>5.8581999222581484E-2</v>
      </c>
      <c r="V113" s="124">
        <f t="shared" si="91"/>
        <v>5.6528012686865629E-2</v>
      </c>
      <c r="W113" s="124">
        <f t="shared" si="91"/>
        <v>5.8364928697262008E-2</v>
      </c>
      <c r="X113" s="124">
        <f t="shared" si="91"/>
        <v>6.05554904519892E-2</v>
      </c>
      <c r="Y113" s="124">
        <f t="shared" si="91"/>
        <v>5.8435228848568208E-2</v>
      </c>
      <c r="DA113" s="176"/>
    </row>
    <row r="114" spans="1:105" ht="11.45" customHeight="1" x14ac:dyDescent="0.25">
      <c r="A114" s="109" t="str">
        <f>$A$22</f>
        <v>Aviation</v>
      </c>
      <c r="B114" s="124">
        <f t="shared" ref="B114:Y114" si="92">IF(B22=0,0,B22/B$17)</f>
        <v>4.6472088306927867E-2</v>
      </c>
      <c r="C114" s="124">
        <f t="shared" si="92"/>
        <v>4.7134885424043108E-2</v>
      </c>
      <c r="D114" s="124">
        <f t="shared" si="92"/>
        <v>4.7722636323105354E-2</v>
      </c>
      <c r="E114" s="124">
        <f t="shared" si="92"/>
        <v>4.8233530209159568E-2</v>
      </c>
      <c r="F114" s="124">
        <f t="shared" si="92"/>
        <v>4.4810053128135074E-2</v>
      </c>
      <c r="G114" s="124">
        <f t="shared" si="92"/>
        <v>4.7057987273416944E-2</v>
      </c>
      <c r="H114" s="124">
        <f t="shared" si="92"/>
        <v>4.9849857200433952E-2</v>
      </c>
      <c r="I114" s="124">
        <f t="shared" si="92"/>
        <v>4.6269090456858543E-2</v>
      </c>
      <c r="J114" s="124">
        <f t="shared" si="92"/>
        <v>4.6967942518859426E-2</v>
      </c>
      <c r="K114" s="124">
        <f t="shared" si="92"/>
        <v>4.4448416634411569E-2</v>
      </c>
      <c r="L114" s="124">
        <f t="shared" si="92"/>
        <v>4.7869553162678505E-2</v>
      </c>
      <c r="M114" s="124">
        <f t="shared" si="92"/>
        <v>4.7675890149459117E-2</v>
      </c>
      <c r="N114" s="124">
        <f t="shared" si="92"/>
        <v>4.4725428293515265E-2</v>
      </c>
      <c r="O114" s="124">
        <f t="shared" si="92"/>
        <v>4.406183381590479E-2</v>
      </c>
      <c r="P114" s="124">
        <f t="shared" si="92"/>
        <v>4.7383717899818704E-2</v>
      </c>
      <c r="Q114" s="124">
        <f t="shared" si="92"/>
        <v>4.7908629102430239E-2</v>
      </c>
      <c r="R114" s="124">
        <f t="shared" si="92"/>
        <v>4.5861563498021701E-2</v>
      </c>
      <c r="S114" s="124">
        <f t="shared" si="92"/>
        <v>5.0216720036971654E-2</v>
      </c>
      <c r="T114" s="124">
        <f t="shared" si="92"/>
        <v>5.0733664887224313E-2</v>
      </c>
      <c r="U114" s="124">
        <f t="shared" si="92"/>
        <v>4.6372169511290189E-2</v>
      </c>
      <c r="V114" s="124">
        <f t="shared" si="92"/>
        <v>4.3508598037474033E-2</v>
      </c>
      <c r="W114" s="124">
        <f t="shared" si="92"/>
        <v>4.8600468144112403E-2</v>
      </c>
      <c r="X114" s="124">
        <f t="shared" si="92"/>
        <v>4.7386499211503993E-2</v>
      </c>
      <c r="Y114" s="124">
        <f t="shared" si="92"/>
        <v>4.5956072889233569E-2</v>
      </c>
      <c r="DA114" s="176"/>
    </row>
    <row r="115" spans="1:105" ht="11.45" customHeight="1" x14ac:dyDescent="0.25">
      <c r="A115" s="128" t="s">
        <v>27</v>
      </c>
      <c r="B115" s="140">
        <f t="shared" ref="B115:Q115" si="93">IF(B23=0,0,B23/B$17)</f>
        <v>0</v>
      </c>
      <c r="C115" s="140">
        <f t="shared" si="93"/>
        <v>0</v>
      </c>
      <c r="D115" s="140">
        <f t="shared" si="93"/>
        <v>0</v>
      </c>
      <c r="E115" s="140">
        <f t="shared" si="93"/>
        <v>0</v>
      </c>
      <c r="F115" s="140">
        <f t="shared" si="93"/>
        <v>0</v>
      </c>
      <c r="G115" s="140">
        <f t="shared" si="93"/>
        <v>0</v>
      </c>
      <c r="H115" s="140">
        <f t="shared" si="93"/>
        <v>0</v>
      </c>
      <c r="I115" s="140">
        <f t="shared" si="93"/>
        <v>0</v>
      </c>
      <c r="J115" s="140">
        <f t="shared" si="93"/>
        <v>0</v>
      </c>
      <c r="K115" s="140">
        <f t="shared" si="93"/>
        <v>0</v>
      </c>
      <c r="L115" s="140">
        <f t="shared" si="93"/>
        <v>0</v>
      </c>
      <c r="M115" s="140">
        <f t="shared" si="93"/>
        <v>0</v>
      </c>
      <c r="N115" s="140">
        <f t="shared" si="93"/>
        <v>0</v>
      </c>
      <c r="O115" s="140">
        <f t="shared" si="93"/>
        <v>0</v>
      </c>
      <c r="P115" s="140">
        <f t="shared" si="93"/>
        <v>0</v>
      </c>
      <c r="Q115" s="140">
        <f t="shared" si="93"/>
        <v>0</v>
      </c>
      <c r="R115" s="140">
        <f t="shared" ref="R115:V116" si="94">IF(R23=0,0,R23/R$17)</f>
        <v>0</v>
      </c>
      <c r="S115" s="140">
        <f t="shared" si="94"/>
        <v>0</v>
      </c>
      <c r="T115" s="140">
        <f t="shared" si="94"/>
        <v>0</v>
      </c>
      <c r="U115" s="140">
        <f t="shared" si="94"/>
        <v>0</v>
      </c>
      <c r="V115" s="140">
        <f t="shared" si="94"/>
        <v>0</v>
      </c>
      <c r="W115" s="140">
        <f t="shared" ref="W115:Y120" si="95">IF(W23=0,0,W23/W$17)</f>
        <v>0</v>
      </c>
      <c r="X115" s="140">
        <f t="shared" si="95"/>
        <v>0</v>
      </c>
      <c r="Y115" s="140">
        <f t="shared" si="95"/>
        <v>0</v>
      </c>
      <c r="DA115" s="175"/>
    </row>
    <row r="116" spans="1:105" ht="11.45" customHeight="1" x14ac:dyDescent="0.25">
      <c r="A116" s="128" t="str">
        <f>$A$24</f>
        <v>International - Intra-EEAwCHUK</v>
      </c>
      <c r="B116" s="140">
        <f t="shared" ref="B116:Q116" si="96">IF(B24=0,0,B24/B$17)</f>
        <v>6.2479860391912855E-4</v>
      </c>
      <c r="C116" s="140">
        <f t="shared" si="96"/>
        <v>8.574447871640147E-4</v>
      </c>
      <c r="D116" s="140">
        <f t="shared" si="96"/>
        <v>6.4990655789295287E-4</v>
      </c>
      <c r="E116" s="140">
        <f t="shared" si="96"/>
        <v>7.0560105006789767E-4</v>
      </c>
      <c r="F116" s="140">
        <f t="shared" si="96"/>
        <v>6.1230337516012673E-4</v>
      </c>
      <c r="G116" s="140">
        <f t="shared" si="96"/>
        <v>6.1541540311389124E-4</v>
      </c>
      <c r="H116" s="140">
        <f t="shared" si="96"/>
        <v>5.7580006993347916E-4</v>
      </c>
      <c r="I116" s="140">
        <f t="shared" si="96"/>
        <v>5.6072581721946168E-4</v>
      </c>
      <c r="J116" s="140">
        <f t="shared" si="96"/>
        <v>6.8454205363138482E-4</v>
      </c>
      <c r="K116" s="140">
        <f t="shared" si="96"/>
        <v>7.6287114069638188E-4</v>
      </c>
      <c r="L116" s="140">
        <f t="shared" si="96"/>
        <v>7.9288840419804694E-4</v>
      </c>
      <c r="M116" s="140">
        <f t="shared" si="96"/>
        <v>6.8552555716823926E-4</v>
      </c>
      <c r="N116" s="140">
        <f t="shared" si="96"/>
        <v>5.667476234458886E-4</v>
      </c>
      <c r="O116" s="140">
        <f t="shared" si="96"/>
        <v>5.7826149666504248E-4</v>
      </c>
      <c r="P116" s="140">
        <f t="shared" si="96"/>
        <v>6.7259943640581021E-4</v>
      </c>
      <c r="Q116" s="140">
        <f t="shared" si="96"/>
        <v>6.669901995540288E-4</v>
      </c>
      <c r="R116" s="140">
        <f t="shared" si="94"/>
        <v>7.5395732157911249E-4</v>
      </c>
      <c r="S116" s="140">
        <f t="shared" si="94"/>
        <v>6.3501921911458066E-4</v>
      </c>
      <c r="T116" s="140">
        <f t="shared" si="94"/>
        <v>5.3663760619395481E-4</v>
      </c>
      <c r="U116" s="140">
        <f t="shared" si="94"/>
        <v>5.2828315403784004E-4</v>
      </c>
      <c r="V116" s="140">
        <f t="shared" si="94"/>
        <v>4.4607105457137626E-4</v>
      </c>
      <c r="W116" s="140">
        <f t="shared" si="95"/>
        <v>5.0780952049710409E-4</v>
      </c>
      <c r="X116" s="140">
        <f t="shared" si="95"/>
        <v>4.7069289720923343E-4</v>
      </c>
      <c r="Y116" s="140">
        <f t="shared" si="95"/>
        <v>4.3619343470414034E-4</v>
      </c>
      <c r="DA116" s="175"/>
    </row>
    <row r="117" spans="1:105" ht="11.45" customHeight="1" x14ac:dyDescent="0.25">
      <c r="A117" s="128" t="str">
        <f>$A$25</f>
        <v>International - Extra-EEAwCHUK</v>
      </c>
      <c r="B117" s="140">
        <f t="shared" ref="B117:Q117" si="97">IF(B25=0,0,B25/B$17)</f>
        <v>4.5847289703008734E-2</v>
      </c>
      <c r="C117" s="140">
        <f t="shared" si="97"/>
        <v>4.6277440636879094E-2</v>
      </c>
      <c r="D117" s="140">
        <f t="shared" si="97"/>
        <v>4.7072729765212401E-2</v>
      </c>
      <c r="E117" s="140">
        <f t="shared" si="97"/>
        <v>4.7527929159091667E-2</v>
      </c>
      <c r="F117" s="140">
        <f t="shared" si="97"/>
        <v>4.4197749752974948E-2</v>
      </c>
      <c r="G117" s="140">
        <f t="shared" si="97"/>
        <v>4.6442571870303047E-2</v>
      </c>
      <c r="H117" s="140">
        <f t="shared" si="97"/>
        <v>4.9274057130500468E-2</v>
      </c>
      <c r="I117" s="140">
        <f t="shared" si="97"/>
        <v>4.5708364639639086E-2</v>
      </c>
      <c r="J117" s="140">
        <f t="shared" si="97"/>
        <v>4.6283400465228046E-2</v>
      </c>
      <c r="K117" s="140">
        <f t="shared" si="97"/>
        <v>4.3685545493715186E-2</v>
      </c>
      <c r="L117" s="140">
        <f t="shared" si="97"/>
        <v>4.7076664758480456E-2</v>
      </c>
      <c r="M117" s="140">
        <f t="shared" si="97"/>
        <v>4.6990364592290876E-2</v>
      </c>
      <c r="N117" s="140">
        <f t="shared" si="97"/>
        <v>4.4158680670069374E-2</v>
      </c>
      <c r="O117" s="140">
        <f t="shared" si="97"/>
        <v>4.3483572319239751E-2</v>
      </c>
      <c r="P117" s="140">
        <f t="shared" si="97"/>
        <v>4.6711118463412894E-2</v>
      </c>
      <c r="Q117" s="140">
        <f t="shared" si="97"/>
        <v>4.7241638902876207E-2</v>
      </c>
      <c r="R117" s="140">
        <f t="shared" ref="R117:V120" si="98">IF(R25=0,0,R25/R$17)</f>
        <v>4.5107606176442584E-2</v>
      </c>
      <c r="S117" s="140">
        <f t="shared" si="98"/>
        <v>4.9581700817857073E-2</v>
      </c>
      <c r="T117" s="140">
        <f t="shared" si="98"/>
        <v>5.0197027281030357E-2</v>
      </c>
      <c r="U117" s="140">
        <f t="shared" si="98"/>
        <v>4.5843886357252346E-2</v>
      </c>
      <c r="V117" s="140">
        <f t="shared" si="98"/>
        <v>4.3062526982902659E-2</v>
      </c>
      <c r="W117" s="140">
        <f t="shared" si="95"/>
        <v>4.8092658623615295E-2</v>
      </c>
      <c r="X117" s="140">
        <f t="shared" si="95"/>
        <v>4.6915806314294761E-2</v>
      </c>
      <c r="Y117" s="140">
        <f t="shared" si="95"/>
        <v>4.5519879454529434E-2</v>
      </c>
      <c r="DA117" s="175"/>
    </row>
    <row r="118" spans="1:105" ht="11.45" customHeight="1" x14ac:dyDescent="0.25">
      <c r="A118" s="109" t="s">
        <v>141</v>
      </c>
      <c r="B118" s="124">
        <f t="shared" ref="B118:Q118" si="99">IF(B26=0,0,B26/B$17)</f>
        <v>0.42169576892915545</v>
      </c>
      <c r="C118" s="124">
        <f t="shared" si="99"/>
        <v>0.42227683661984616</v>
      </c>
      <c r="D118" s="124">
        <f t="shared" si="99"/>
        <v>0.41759162567030172</v>
      </c>
      <c r="E118" s="124">
        <f t="shared" si="99"/>
        <v>0.39463338533667236</v>
      </c>
      <c r="F118" s="124">
        <f t="shared" si="99"/>
        <v>0.39527713733923225</v>
      </c>
      <c r="G118" s="124">
        <f t="shared" si="99"/>
        <v>0.39518968408305394</v>
      </c>
      <c r="H118" s="124">
        <f t="shared" si="99"/>
        <v>0.39110918837400799</v>
      </c>
      <c r="I118" s="124">
        <f t="shared" si="99"/>
        <v>0.41168929778873803</v>
      </c>
      <c r="J118" s="124">
        <f t="shared" si="99"/>
        <v>0.40549102972363005</v>
      </c>
      <c r="K118" s="124">
        <f t="shared" si="99"/>
        <v>0.37560343750871317</v>
      </c>
      <c r="L118" s="124">
        <f t="shared" si="99"/>
        <v>0.41985880718170604</v>
      </c>
      <c r="M118" s="124">
        <f t="shared" si="99"/>
        <v>0.41756230104706377</v>
      </c>
      <c r="N118" s="124">
        <f t="shared" si="99"/>
        <v>0.43440926410278596</v>
      </c>
      <c r="O118" s="124">
        <f t="shared" si="99"/>
        <v>0.42481511162476199</v>
      </c>
      <c r="P118" s="124">
        <f t="shared" si="99"/>
        <v>0.4245639854855236</v>
      </c>
      <c r="Q118" s="124">
        <f t="shared" si="99"/>
        <v>0.41813545822062798</v>
      </c>
      <c r="R118" s="124">
        <f t="shared" si="98"/>
        <v>0.40816675023565568</v>
      </c>
      <c r="S118" s="124">
        <f t="shared" si="98"/>
        <v>0.40967580734162345</v>
      </c>
      <c r="T118" s="124">
        <f t="shared" si="98"/>
        <v>0.39408664381804676</v>
      </c>
      <c r="U118" s="124">
        <f t="shared" si="98"/>
        <v>0.38955840467015518</v>
      </c>
      <c r="V118" s="124">
        <f t="shared" si="98"/>
        <v>0.38372899402439981</v>
      </c>
      <c r="W118" s="124">
        <f t="shared" si="95"/>
        <v>0.38527063754600349</v>
      </c>
      <c r="X118" s="124">
        <f t="shared" si="95"/>
        <v>0.37653129708108241</v>
      </c>
      <c r="Y118" s="124">
        <f t="shared" si="95"/>
        <v>0.37534534141344494</v>
      </c>
      <c r="DA118" s="176"/>
    </row>
    <row r="119" spans="1:105" ht="11.45" customHeight="1" x14ac:dyDescent="0.25">
      <c r="A119" s="128" t="str">
        <f>$A$27</f>
        <v>Domestic coastal shipping</v>
      </c>
      <c r="B119" s="140">
        <f t="shared" ref="B119:Q119" si="100">IF(B27=0,0,B27/B$17)</f>
        <v>1.471758299524222E-4</v>
      </c>
      <c r="C119" s="140">
        <f t="shared" si="100"/>
        <v>1.3879355035096625E-4</v>
      </c>
      <c r="D119" s="140">
        <f t="shared" si="100"/>
        <v>1.4106514439458524E-4</v>
      </c>
      <c r="E119" s="140">
        <f t="shared" si="100"/>
        <v>1.4723871240865656E-4</v>
      </c>
      <c r="F119" s="140">
        <f t="shared" si="100"/>
        <v>1.5513373376709267E-4</v>
      </c>
      <c r="G119" s="140">
        <f t="shared" si="100"/>
        <v>1.7716778546891896E-4</v>
      </c>
      <c r="H119" s="140">
        <f t="shared" si="100"/>
        <v>1.9310134224501607E-4</v>
      </c>
      <c r="I119" s="140">
        <f t="shared" si="100"/>
        <v>2.1442969237263804E-4</v>
      </c>
      <c r="J119" s="140">
        <f t="shared" si="100"/>
        <v>2.2573856995026855E-4</v>
      </c>
      <c r="K119" s="140">
        <f t="shared" si="100"/>
        <v>2.4121010894181225E-4</v>
      </c>
      <c r="L119" s="140">
        <f t="shared" si="100"/>
        <v>2.6520853073961476E-4</v>
      </c>
      <c r="M119" s="140">
        <f t="shared" si="100"/>
        <v>2.7095825665369294E-4</v>
      </c>
      <c r="N119" s="140">
        <f t="shared" si="100"/>
        <v>2.8873175498376748E-4</v>
      </c>
      <c r="O119" s="140">
        <f t="shared" si="100"/>
        <v>2.19278901580958E-4</v>
      </c>
      <c r="P119" s="140">
        <f t="shared" si="100"/>
        <v>2.6126959403935716E-4</v>
      </c>
      <c r="Q119" s="140">
        <f t="shared" si="100"/>
        <v>3.9659156274568665E-4</v>
      </c>
      <c r="R119" s="140">
        <f t="shared" si="98"/>
        <v>4.2942015256691225E-4</v>
      </c>
      <c r="S119" s="140">
        <f t="shared" si="98"/>
        <v>4.8285019393059793E-4</v>
      </c>
      <c r="T119" s="140">
        <f t="shared" si="98"/>
        <v>6.4315910767271615E-4</v>
      </c>
      <c r="U119" s="140">
        <f t="shared" si="98"/>
        <v>7.245219771083196E-4</v>
      </c>
      <c r="V119" s="140">
        <f t="shared" si="98"/>
        <v>6.6159402215328436E-4</v>
      </c>
      <c r="W119" s="140">
        <f t="shared" si="95"/>
        <v>4.4211352290445449E-4</v>
      </c>
      <c r="X119" s="140">
        <f t="shared" si="95"/>
        <v>5.8262719164948313E-4</v>
      </c>
      <c r="Y119" s="140">
        <f t="shared" si="95"/>
        <v>6.7769745922607167E-4</v>
      </c>
      <c r="DA119" s="175"/>
    </row>
    <row r="120" spans="1:105" ht="11.45" customHeight="1" x14ac:dyDescent="0.25">
      <c r="A120" s="138" t="str">
        <f>$A$28</f>
        <v>Inland waterways</v>
      </c>
      <c r="B120" s="127">
        <f t="shared" ref="B120:Q120" si="101">IF(B28=0,0,B28/B$17)</f>
        <v>0.42154859309920306</v>
      </c>
      <c r="C120" s="127">
        <f t="shared" si="101"/>
        <v>0.42213804306949515</v>
      </c>
      <c r="D120" s="127">
        <f t="shared" si="101"/>
        <v>0.41745056052590712</v>
      </c>
      <c r="E120" s="127">
        <f t="shared" si="101"/>
        <v>0.39448614662426373</v>
      </c>
      <c r="F120" s="127">
        <f t="shared" si="101"/>
        <v>0.39512200360546512</v>
      </c>
      <c r="G120" s="127">
        <f t="shared" si="101"/>
        <v>0.39501251629758499</v>
      </c>
      <c r="H120" s="127">
        <f t="shared" si="101"/>
        <v>0.39091608703176295</v>
      </c>
      <c r="I120" s="127">
        <f t="shared" si="101"/>
        <v>0.41147486809636535</v>
      </c>
      <c r="J120" s="127">
        <f t="shared" si="101"/>
        <v>0.40526529115367982</v>
      </c>
      <c r="K120" s="127">
        <f t="shared" si="101"/>
        <v>0.37536222739977138</v>
      </c>
      <c r="L120" s="127">
        <f t="shared" si="101"/>
        <v>0.4195935986509664</v>
      </c>
      <c r="M120" s="127">
        <f t="shared" si="101"/>
        <v>0.41729134279041008</v>
      </c>
      <c r="N120" s="127">
        <f t="shared" si="101"/>
        <v>0.43412053234780218</v>
      </c>
      <c r="O120" s="127">
        <f t="shared" si="101"/>
        <v>0.42459583272318102</v>
      </c>
      <c r="P120" s="127">
        <f t="shared" si="101"/>
        <v>0.42430271589148422</v>
      </c>
      <c r="Q120" s="127">
        <f t="shared" si="101"/>
        <v>0.41773886665788229</v>
      </c>
      <c r="R120" s="127">
        <f t="shared" si="98"/>
        <v>0.40773733008308882</v>
      </c>
      <c r="S120" s="127">
        <f t="shared" si="98"/>
        <v>0.40919295714769283</v>
      </c>
      <c r="T120" s="127">
        <f t="shared" si="98"/>
        <v>0.39344348471037399</v>
      </c>
      <c r="U120" s="127">
        <f t="shared" si="98"/>
        <v>0.38883388269304686</v>
      </c>
      <c r="V120" s="127">
        <f t="shared" si="98"/>
        <v>0.38306740000224654</v>
      </c>
      <c r="W120" s="127">
        <f t="shared" si="95"/>
        <v>0.38482852402309903</v>
      </c>
      <c r="X120" s="127">
        <f t="shared" si="95"/>
        <v>0.37594866988943293</v>
      </c>
      <c r="Y120" s="127">
        <f t="shared" si="95"/>
        <v>0.37466764395421887</v>
      </c>
      <c r="DA120" s="178"/>
    </row>
    <row r="121" spans="1:105" ht="11.45" customHeight="1" x14ac:dyDescent="0.25">
      <c r="A121" s="27" t="s">
        <v>171</v>
      </c>
      <c r="B121" s="31">
        <f t="shared" ref="B121:Y121" si="102">IF(B29=0,0,B29/B$29)</f>
        <v>1</v>
      </c>
      <c r="C121" s="31">
        <f t="shared" si="102"/>
        <v>1</v>
      </c>
      <c r="D121" s="31">
        <f t="shared" si="102"/>
        <v>1</v>
      </c>
      <c r="E121" s="31">
        <f t="shared" si="102"/>
        <v>1</v>
      </c>
      <c r="F121" s="31">
        <f t="shared" si="102"/>
        <v>1</v>
      </c>
      <c r="G121" s="31">
        <f t="shared" si="102"/>
        <v>1</v>
      </c>
      <c r="H121" s="31">
        <f t="shared" si="102"/>
        <v>1</v>
      </c>
      <c r="I121" s="31">
        <f t="shared" si="102"/>
        <v>1</v>
      </c>
      <c r="J121" s="31">
        <f t="shared" si="102"/>
        <v>1</v>
      </c>
      <c r="K121" s="31">
        <f t="shared" si="102"/>
        <v>1</v>
      </c>
      <c r="L121" s="31">
        <f t="shared" si="102"/>
        <v>1</v>
      </c>
      <c r="M121" s="31">
        <f t="shared" si="102"/>
        <v>1</v>
      </c>
      <c r="N121" s="31">
        <f t="shared" si="102"/>
        <v>1</v>
      </c>
      <c r="O121" s="31">
        <f t="shared" si="102"/>
        <v>1</v>
      </c>
      <c r="P121" s="31">
        <f t="shared" si="102"/>
        <v>1</v>
      </c>
      <c r="Q121" s="31">
        <f t="shared" si="102"/>
        <v>1</v>
      </c>
      <c r="R121" s="31">
        <f t="shared" si="102"/>
        <v>1</v>
      </c>
      <c r="S121" s="31">
        <f t="shared" si="102"/>
        <v>1</v>
      </c>
      <c r="T121" s="31">
        <f t="shared" si="102"/>
        <v>1</v>
      </c>
      <c r="U121" s="31">
        <f t="shared" si="102"/>
        <v>1</v>
      </c>
      <c r="V121" s="31">
        <f t="shared" si="102"/>
        <v>1</v>
      </c>
      <c r="W121" s="31">
        <f t="shared" si="102"/>
        <v>1</v>
      </c>
      <c r="X121" s="31">
        <f t="shared" si="102"/>
        <v>1</v>
      </c>
      <c r="Y121" s="31">
        <f t="shared" si="102"/>
        <v>1</v>
      </c>
      <c r="DA121" s="173"/>
    </row>
    <row r="122" spans="1:105" ht="11.45" customHeight="1" x14ac:dyDescent="0.25">
      <c r="A122" s="128" t="str">
        <f>$A$30</f>
        <v>Intra-EEA</v>
      </c>
      <c r="B122" s="140">
        <f t="shared" ref="B122:Y122" si="103">IF(B30=0,0,B30/B$29)</f>
        <v>6.6348057009624192E-2</v>
      </c>
      <c r="C122" s="140">
        <f t="shared" si="103"/>
        <v>6.566534813593404E-2</v>
      </c>
      <c r="D122" s="140">
        <f t="shared" si="103"/>
        <v>6.685480150318926E-2</v>
      </c>
      <c r="E122" s="140">
        <f t="shared" si="103"/>
        <v>6.4516640748057949E-2</v>
      </c>
      <c r="F122" s="140">
        <f t="shared" si="103"/>
        <v>6.4272357776715944E-2</v>
      </c>
      <c r="G122" s="140">
        <f t="shared" si="103"/>
        <v>5.6235997438761308E-2</v>
      </c>
      <c r="H122" s="140">
        <f t="shared" si="103"/>
        <v>5.2917557163757546E-2</v>
      </c>
      <c r="I122" s="140">
        <f t="shared" si="103"/>
        <v>5.197542140227402E-2</v>
      </c>
      <c r="J122" s="140">
        <f t="shared" si="103"/>
        <v>4.8013795595870906E-2</v>
      </c>
      <c r="K122" s="140">
        <f t="shared" si="103"/>
        <v>5.9235789317687783E-2</v>
      </c>
      <c r="L122" s="140">
        <f t="shared" si="103"/>
        <v>6.2736280123260602E-2</v>
      </c>
      <c r="M122" s="140">
        <f t="shared" si="103"/>
        <v>5.5378745967227666E-2</v>
      </c>
      <c r="N122" s="140">
        <f t="shared" si="103"/>
        <v>5.5041494513690475E-2</v>
      </c>
      <c r="O122" s="140">
        <f t="shared" si="103"/>
        <v>5.5949554092444308E-2</v>
      </c>
      <c r="P122" s="140">
        <f t="shared" si="103"/>
        <v>5.6938033125590412E-2</v>
      </c>
      <c r="Q122" s="140">
        <f t="shared" si="103"/>
        <v>5.4235471233707255E-2</v>
      </c>
      <c r="R122" s="140">
        <f t="shared" si="103"/>
        <v>5.0981627122307742E-2</v>
      </c>
      <c r="S122" s="140">
        <f t="shared" si="103"/>
        <v>5.0067351753715829E-2</v>
      </c>
      <c r="T122" s="140">
        <f t="shared" si="103"/>
        <v>5.2367146820518067E-2</v>
      </c>
      <c r="U122" s="140">
        <f t="shared" si="103"/>
        <v>5.3869308043467762E-2</v>
      </c>
      <c r="V122" s="140">
        <f t="shared" si="103"/>
        <v>5.7812502767431384E-2</v>
      </c>
      <c r="W122" s="140">
        <f t="shared" si="103"/>
        <v>5.3978660106741828E-2</v>
      </c>
      <c r="X122" s="140">
        <f t="shared" si="103"/>
        <v>5.4535425125741659E-2</v>
      </c>
      <c r="Y122" s="140">
        <f t="shared" si="103"/>
        <v>6.0957580956469713E-2</v>
      </c>
      <c r="DA122" s="175"/>
    </row>
    <row r="123" spans="1:105" ht="11.45" customHeight="1" x14ac:dyDescent="0.25">
      <c r="A123" s="138" t="str">
        <f>$A$31</f>
        <v>Extra-EEA</v>
      </c>
      <c r="B123" s="127">
        <f t="shared" ref="B123:Y123" si="104">IF(B31=0,0,B31/B$29)</f>
        <v>0.93365194299037579</v>
      </c>
      <c r="C123" s="127">
        <f t="shared" si="104"/>
        <v>0.93433465186406606</v>
      </c>
      <c r="D123" s="127">
        <f t="shared" si="104"/>
        <v>0.93314519849681077</v>
      </c>
      <c r="E123" s="127">
        <f t="shared" si="104"/>
        <v>0.93548335925194204</v>
      </c>
      <c r="F123" s="127">
        <f t="shared" si="104"/>
        <v>0.93572764222328408</v>
      </c>
      <c r="G123" s="127">
        <f t="shared" si="104"/>
        <v>0.9437640025612386</v>
      </c>
      <c r="H123" s="127">
        <f t="shared" si="104"/>
        <v>0.94708244283624243</v>
      </c>
      <c r="I123" s="127">
        <f t="shared" si="104"/>
        <v>0.94802457859772593</v>
      </c>
      <c r="J123" s="127">
        <f t="shared" si="104"/>
        <v>0.95198620440412918</v>
      </c>
      <c r="K123" s="127">
        <f t="shared" si="104"/>
        <v>0.9407642106823122</v>
      </c>
      <c r="L123" s="127">
        <f t="shared" si="104"/>
        <v>0.9372637198767394</v>
      </c>
      <c r="M123" s="127">
        <f t="shared" si="104"/>
        <v>0.94462125403277231</v>
      </c>
      <c r="N123" s="127">
        <f t="shared" si="104"/>
        <v>0.94495850548630955</v>
      </c>
      <c r="O123" s="127">
        <f t="shared" si="104"/>
        <v>0.9440504459075556</v>
      </c>
      <c r="P123" s="127">
        <f t="shared" si="104"/>
        <v>0.94306196687440957</v>
      </c>
      <c r="Q123" s="127">
        <f t="shared" si="104"/>
        <v>0.9457645287662928</v>
      </c>
      <c r="R123" s="127">
        <f t="shared" si="104"/>
        <v>0.9490183728776922</v>
      </c>
      <c r="S123" s="127">
        <f t="shared" si="104"/>
        <v>0.94993264824628421</v>
      </c>
      <c r="T123" s="127">
        <f t="shared" si="104"/>
        <v>0.94763285317948198</v>
      </c>
      <c r="U123" s="127">
        <f t="shared" si="104"/>
        <v>0.94613069195653232</v>
      </c>
      <c r="V123" s="127">
        <f t="shared" si="104"/>
        <v>0.94218749723256867</v>
      </c>
      <c r="W123" s="127">
        <f t="shared" si="104"/>
        <v>0.94602133989325821</v>
      </c>
      <c r="X123" s="127">
        <f t="shared" si="104"/>
        <v>0.94546457487425839</v>
      </c>
      <c r="Y123" s="127">
        <f t="shared" si="104"/>
        <v>0.93904241904353025</v>
      </c>
      <c r="DA123" s="178"/>
    </row>
    <row r="124" spans="1:105" x14ac:dyDescent="0.25">
      <c r="A124" s="106"/>
      <c r="B124" s="106"/>
      <c r="C124" s="106"/>
      <c r="D124" s="106"/>
      <c r="E124" s="106"/>
      <c r="F124" s="106"/>
      <c r="G124" s="106"/>
      <c r="H124" s="106"/>
      <c r="I124" s="106"/>
      <c r="J124" s="106"/>
      <c r="K124" s="106"/>
      <c r="L124" s="106"/>
      <c r="M124" s="106"/>
      <c r="N124" s="106"/>
      <c r="O124" s="106"/>
      <c r="P124" s="106"/>
      <c r="Q124" s="106"/>
      <c r="R124" s="106"/>
      <c r="S124" s="106"/>
      <c r="T124" s="106"/>
      <c r="U124" s="106"/>
      <c r="V124" s="106"/>
      <c r="W124" s="106"/>
      <c r="X124" s="106"/>
      <c r="Y124" s="106"/>
      <c r="DA124" s="171"/>
    </row>
    <row r="125" spans="1:105" ht="11.45" customHeight="1" x14ac:dyDescent="0.25">
      <c r="A125" s="53" t="s">
        <v>40</v>
      </c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DA125" s="172"/>
    </row>
    <row r="126" spans="1:105" ht="11.45" customHeight="1" x14ac:dyDescent="0.25">
      <c r="A126" s="27" t="s">
        <v>33</v>
      </c>
      <c r="B126" s="31">
        <f t="shared" ref="B126:B138" si="105">IF(B34=0,0,B34/B$34)</f>
        <v>1</v>
      </c>
      <c r="C126" s="31">
        <f t="shared" ref="C126:Y126" si="106">IF(C34=0,0,C34/C$34)</f>
        <v>1</v>
      </c>
      <c r="D126" s="31">
        <f t="shared" si="106"/>
        <v>1</v>
      </c>
      <c r="E126" s="31">
        <f t="shared" si="106"/>
        <v>1</v>
      </c>
      <c r="F126" s="31">
        <f t="shared" si="106"/>
        <v>1</v>
      </c>
      <c r="G126" s="31">
        <f t="shared" si="106"/>
        <v>1</v>
      </c>
      <c r="H126" s="31">
        <f t="shared" si="106"/>
        <v>1</v>
      </c>
      <c r="I126" s="31">
        <f t="shared" si="106"/>
        <v>1</v>
      </c>
      <c r="J126" s="31">
        <f t="shared" si="106"/>
        <v>1</v>
      </c>
      <c r="K126" s="31">
        <f t="shared" si="106"/>
        <v>1</v>
      </c>
      <c r="L126" s="31">
        <f t="shared" si="106"/>
        <v>1</v>
      </c>
      <c r="M126" s="31">
        <f t="shared" si="106"/>
        <v>1</v>
      </c>
      <c r="N126" s="31">
        <f t="shared" si="106"/>
        <v>1</v>
      </c>
      <c r="O126" s="31">
        <f t="shared" si="106"/>
        <v>1</v>
      </c>
      <c r="P126" s="31">
        <f t="shared" si="106"/>
        <v>1</v>
      </c>
      <c r="Q126" s="31">
        <f t="shared" si="106"/>
        <v>1</v>
      </c>
      <c r="R126" s="31">
        <f t="shared" si="106"/>
        <v>1</v>
      </c>
      <c r="S126" s="31">
        <f t="shared" si="106"/>
        <v>1</v>
      </c>
      <c r="T126" s="31">
        <f t="shared" si="106"/>
        <v>1</v>
      </c>
      <c r="U126" s="31">
        <f t="shared" si="106"/>
        <v>1</v>
      </c>
      <c r="V126" s="31">
        <f t="shared" si="106"/>
        <v>1</v>
      </c>
      <c r="W126" s="31">
        <f t="shared" si="106"/>
        <v>1</v>
      </c>
      <c r="X126" s="31">
        <f t="shared" si="106"/>
        <v>1</v>
      </c>
      <c r="Y126" s="31">
        <f t="shared" si="106"/>
        <v>1</v>
      </c>
      <c r="DA126" s="173"/>
    </row>
    <row r="127" spans="1:105" ht="11.45" customHeight="1" x14ac:dyDescent="0.25">
      <c r="A127" s="136" t="str">
        <f>$A$5</f>
        <v>Road transport</v>
      </c>
      <c r="B127" s="139">
        <f t="shared" si="105"/>
        <v>0.68410160697212608</v>
      </c>
      <c r="C127" s="139">
        <f t="shared" ref="C127:Y127" si="107">IF(C35=0,0,C35/C$34)</f>
        <v>0.69184107109435</v>
      </c>
      <c r="D127" s="139">
        <f t="shared" si="107"/>
        <v>0.68793733255905953</v>
      </c>
      <c r="E127" s="139">
        <f t="shared" si="107"/>
        <v>0.69613589977446499</v>
      </c>
      <c r="F127" s="139">
        <f t="shared" si="107"/>
        <v>0.68161438507988847</v>
      </c>
      <c r="G127" s="139">
        <f t="shared" si="107"/>
        <v>0.67914797205232258</v>
      </c>
      <c r="H127" s="139">
        <f t="shared" si="107"/>
        <v>0.68644015484898968</v>
      </c>
      <c r="I127" s="139">
        <f t="shared" si="107"/>
        <v>0.68674593380060178</v>
      </c>
      <c r="J127" s="139">
        <f t="shared" si="107"/>
        <v>0.68588259407396723</v>
      </c>
      <c r="K127" s="139">
        <f t="shared" si="107"/>
        <v>0.69299905219718827</v>
      </c>
      <c r="L127" s="139">
        <f t="shared" si="107"/>
        <v>0.70101026317596571</v>
      </c>
      <c r="M127" s="139">
        <f t="shared" si="107"/>
        <v>0.68818662962824384</v>
      </c>
      <c r="N127" s="139">
        <f t="shared" si="107"/>
        <v>0.6804030964582557</v>
      </c>
      <c r="O127" s="139">
        <f t="shared" si="107"/>
        <v>0.66919662967034066</v>
      </c>
      <c r="P127" s="139">
        <f t="shared" si="107"/>
        <v>0.65121250618685866</v>
      </c>
      <c r="Q127" s="139">
        <f t="shared" si="107"/>
        <v>0.63694554436897999</v>
      </c>
      <c r="R127" s="139">
        <f t="shared" si="107"/>
        <v>0.62829750120150474</v>
      </c>
      <c r="S127" s="139">
        <f t="shared" si="107"/>
        <v>0.62691742095412728</v>
      </c>
      <c r="T127" s="139">
        <f t="shared" si="107"/>
        <v>0.62261074588323817</v>
      </c>
      <c r="U127" s="139">
        <f t="shared" si="107"/>
        <v>0.62164938041616835</v>
      </c>
      <c r="V127" s="139">
        <f t="shared" si="107"/>
        <v>0.73832176762167812</v>
      </c>
      <c r="W127" s="139">
        <f t="shared" si="107"/>
        <v>0.73190278503700845</v>
      </c>
      <c r="X127" s="139">
        <f t="shared" si="107"/>
        <v>0.65693593932726158</v>
      </c>
      <c r="Y127" s="139">
        <f t="shared" si="107"/>
        <v>0.64878503037639335</v>
      </c>
      <c r="DA127" s="174"/>
    </row>
    <row r="128" spans="1:105" ht="11.45" customHeight="1" x14ac:dyDescent="0.25">
      <c r="A128" s="128" t="str">
        <f>$A$6</f>
        <v>Powered two-wheelers</v>
      </c>
      <c r="B128" s="140">
        <f t="shared" si="105"/>
        <v>1.3791575727774669E-2</v>
      </c>
      <c r="C128" s="140">
        <f t="shared" ref="C128:Y128" si="108">IF(C36=0,0,C36/C$34)</f>
        <v>1.4333498846288914E-2</v>
      </c>
      <c r="D128" s="140">
        <f t="shared" si="108"/>
        <v>1.4350236375840809E-2</v>
      </c>
      <c r="E128" s="140">
        <f t="shared" si="108"/>
        <v>1.4502682525710174E-2</v>
      </c>
      <c r="F128" s="140">
        <f t="shared" si="108"/>
        <v>1.3426905322904446E-2</v>
      </c>
      <c r="G128" s="140">
        <f t="shared" si="108"/>
        <v>1.3695657184483838E-2</v>
      </c>
      <c r="H128" s="140">
        <f t="shared" si="108"/>
        <v>1.4105236806857631E-2</v>
      </c>
      <c r="I128" s="140">
        <f t="shared" si="108"/>
        <v>1.5198965666087376E-2</v>
      </c>
      <c r="J128" s="140">
        <f t="shared" si="108"/>
        <v>1.6163022737128874E-2</v>
      </c>
      <c r="K128" s="140">
        <f t="shared" si="108"/>
        <v>1.6725542189339755E-2</v>
      </c>
      <c r="L128" s="140">
        <f t="shared" si="108"/>
        <v>1.7122295644541215E-2</v>
      </c>
      <c r="M128" s="140">
        <f t="shared" si="108"/>
        <v>1.7004670199302695E-2</v>
      </c>
      <c r="N128" s="140">
        <f t="shared" si="108"/>
        <v>1.6947921186662562E-2</v>
      </c>
      <c r="O128" s="140">
        <f t="shared" si="108"/>
        <v>1.6838596566224173E-2</v>
      </c>
      <c r="P128" s="140">
        <f t="shared" si="108"/>
        <v>1.6149128768076993E-2</v>
      </c>
      <c r="Q128" s="140">
        <f t="shared" si="108"/>
        <v>1.6296908620085215E-2</v>
      </c>
      <c r="R128" s="140">
        <f t="shared" si="108"/>
        <v>1.6087233110198985E-2</v>
      </c>
      <c r="S128" s="140">
        <f t="shared" si="108"/>
        <v>1.4757395837624414E-2</v>
      </c>
      <c r="T128" s="140">
        <f t="shared" si="108"/>
        <v>1.3846200654876446E-2</v>
      </c>
      <c r="U128" s="140">
        <f t="shared" si="108"/>
        <v>1.4551574936998679E-2</v>
      </c>
      <c r="V128" s="140">
        <f t="shared" si="108"/>
        <v>1.9183183659770425E-2</v>
      </c>
      <c r="W128" s="140">
        <f t="shared" si="108"/>
        <v>1.7587274943383503E-2</v>
      </c>
      <c r="X128" s="140">
        <f t="shared" si="108"/>
        <v>1.5735929651791897E-2</v>
      </c>
      <c r="Y128" s="140">
        <f t="shared" si="108"/>
        <v>1.5405983056250849E-2</v>
      </c>
      <c r="DA128" s="175"/>
    </row>
    <row r="129" spans="1:105" ht="11.45" customHeight="1" x14ac:dyDescent="0.25">
      <c r="A129" s="128" t="str">
        <f>$A$7</f>
        <v>Passenger cars</v>
      </c>
      <c r="B129" s="140">
        <f t="shared" si="105"/>
        <v>0.63082867610103965</v>
      </c>
      <c r="C129" s="140">
        <f t="shared" ref="C129:Y129" si="109">IF(C37=0,0,C37/C$34)</f>
        <v>0.63908239313156012</v>
      </c>
      <c r="D129" s="140">
        <f t="shared" si="109"/>
        <v>0.63645837617662848</v>
      </c>
      <c r="E129" s="140">
        <f t="shared" si="109"/>
        <v>0.64512438884711953</v>
      </c>
      <c r="F129" s="140">
        <f t="shared" si="109"/>
        <v>0.63333206821505783</v>
      </c>
      <c r="G129" s="140">
        <f t="shared" si="109"/>
        <v>0.63090408674309628</v>
      </c>
      <c r="H129" s="140">
        <f t="shared" si="109"/>
        <v>0.63859551487157651</v>
      </c>
      <c r="I129" s="140">
        <f t="shared" si="109"/>
        <v>0.63821449875579972</v>
      </c>
      <c r="J129" s="140">
        <f t="shared" si="109"/>
        <v>0.63544272083235576</v>
      </c>
      <c r="K129" s="140">
        <f t="shared" si="109"/>
        <v>0.64034860413052019</v>
      </c>
      <c r="L129" s="140">
        <f t="shared" si="109"/>
        <v>0.64558689253872148</v>
      </c>
      <c r="M129" s="140">
        <f t="shared" si="109"/>
        <v>0.63423575917996677</v>
      </c>
      <c r="N129" s="140">
        <f t="shared" si="109"/>
        <v>0.62634290122526881</v>
      </c>
      <c r="O129" s="140">
        <f t="shared" si="109"/>
        <v>0.61829394687176265</v>
      </c>
      <c r="P129" s="140">
        <f t="shared" si="109"/>
        <v>0.60216906364266465</v>
      </c>
      <c r="Q129" s="140">
        <f t="shared" si="109"/>
        <v>0.58864192244158386</v>
      </c>
      <c r="R129" s="140">
        <f t="shared" si="109"/>
        <v>0.58020253958221646</v>
      </c>
      <c r="S129" s="140">
        <f t="shared" si="109"/>
        <v>0.57813488355897369</v>
      </c>
      <c r="T129" s="140">
        <f t="shared" si="109"/>
        <v>0.5772302972235438</v>
      </c>
      <c r="U129" s="140">
        <f t="shared" si="109"/>
        <v>0.57710130853430053</v>
      </c>
      <c r="V129" s="140">
        <f t="shared" si="109"/>
        <v>0.68420109399925799</v>
      </c>
      <c r="W129" s="140">
        <f t="shared" si="109"/>
        <v>0.68407200019547365</v>
      </c>
      <c r="X129" s="140">
        <f t="shared" si="109"/>
        <v>0.61445467909106455</v>
      </c>
      <c r="Y129" s="140">
        <f t="shared" si="109"/>
        <v>0.60887251723197078</v>
      </c>
      <c r="DA129" s="175"/>
    </row>
    <row r="130" spans="1:105" ht="11.45" customHeight="1" x14ac:dyDescent="0.25">
      <c r="A130" s="128" t="str">
        <f>$A$8</f>
        <v>Motor coaches, buses and trolley buses</v>
      </c>
      <c r="B130" s="140">
        <f t="shared" si="105"/>
        <v>3.948135514331174E-2</v>
      </c>
      <c r="C130" s="140">
        <f t="shared" ref="C130:Y130" si="110">IF(C38=0,0,C38/C$34)</f>
        <v>3.8425179116500875E-2</v>
      </c>
      <c r="D130" s="140">
        <f t="shared" si="110"/>
        <v>3.7128720006590135E-2</v>
      </c>
      <c r="E130" s="140">
        <f t="shared" si="110"/>
        <v>3.6508828401635204E-2</v>
      </c>
      <c r="F130" s="140">
        <f t="shared" si="110"/>
        <v>3.4855411541926271E-2</v>
      </c>
      <c r="G130" s="140">
        <f t="shared" si="110"/>
        <v>3.4548228124742356E-2</v>
      </c>
      <c r="H130" s="140">
        <f t="shared" si="110"/>
        <v>3.373940317055546E-2</v>
      </c>
      <c r="I130" s="140">
        <f t="shared" si="110"/>
        <v>3.3332469378714605E-2</v>
      </c>
      <c r="J130" s="140">
        <f t="shared" si="110"/>
        <v>3.4276850504482557E-2</v>
      </c>
      <c r="K130" s="140">
        <f t="shared" si="110"/>
        <v>3.5924905877328328E-2</v>
      </c>
      <c r="L130" s="140">
        <f t="shared" si="110"/>
        <v>3.830107499270291E-2</v>
      </c>
      <c r="M130" s="140">
        <f t="shared" si="110"/>
        <v>3.6946200248974451E-2</v>
      </c>
      <c r="N130" s="140">
        <f t="shared" si="110"/>
        <v>3.711227404632448E-2</v>
      </c>
      <c r="O130" s="140">
        <f t="shared" si="110"/>
        <v>3.4064086232353817E-2</v>
      </c>
      <c r="P130" s="140">
        <f t="shared" si="110"/>
        <v>3.2894313776117033E-2</v>
      </c>
      <c r="Q130" s="140">
        <f t="shared" si="110"/>
        <v>3.2006713307310884E-2</v>
      </c>
      <c r="R130" s="140">
        <f t="shared" si="110"/>
        <v>3.2007728509089284E-2</v>
      </c>
      <c r="S130" s="140">
        <f t="shared" si="110"/>
        <v>3.4025141557529205E-2</v>
      </c>
      <c r="T130" s="140">
        <f t="shared" si="110"/>
        <v>3.1534248004817855E-2</v>
      </c>
      <c r="U130" s="140">
        <f t="shared" si="110"/>
        <v>2.999649694486916E-2</v>
      </c>
      <c r="V130" s="140">
        <f t="shared" si="110"/>
        <v>3.493748996264974E-2</v>
      </c>
      <c r="W130" s="140">
        <f t="shared" si="110"/>
        <v>3.0243509898151416E-2</v>
      </c>
      <c r="X130" s="140">
        <f t="shared" si="110"/>
        <v>2.674533058440515E-2</v>
      </c>
      <c r="Y130" s="140">
        <f t="shared" si="110"/>
        <v>2.4506530088171642E-2</v>
      </c>
      <c r="DA130" s="175"/>
    </row>
    <row r="131" spans="1:105" ht="11.45" customHeight="1" x14ac:dyDescent="0.25">
      <c r="A131" s="109" t="str">
        <f>$A$9</f>
        <v>Rail, metro and tram</v>
      </c>
      <c r="B131" s="124">
        <f t="shared" si="105"/>
        <v>1.6716817765927462E-2</v>
      </c>
      <c r="C131" s="124">
        <f t="shared" ref="C131:Y131" si="111">IF(C39=0,0,C39/C$34)</f>
        <v>1.613252142716198E-2</v>
      </c>
      <c r="D131" s="124">
        <f t="shared" si="111"/>
        <v>1.5758610555408604E-2</v>
      </c>
      <c r="E131" s="124">
        <f t="shared" si="111"/>
        <v>1.6034993107714553E-2</v>
      </c>
      <c r="F131" s="124">
        <f t="shared" si="111"/>
        <v>1.5878549777353174E-2</v>
      </c>
      <c r="G131" s="124">
        <f t="shared" si="111"/>
        <v>1.5218804552040364E-2</v>
      </c>
      <c r="H131" s="124">
        <f t="shared" si="111"/>
        <v>1.4942708862610662E-2</v>
      </c>
      <c r="I131" s="124">
        <f t="shared" si="111"/>
        <v>1.4265114178642999E-2</v>
      </c>
      <c r="J131" s="124">
        <f t="shared" si="111"/>
        <v>1.4558611285068159E-2</v>
      </c>
      <c r="K131" s="124">
        <f t="shared" si="111"/>
        <v>1.5441366948572489E-2</v>
      </c>
      <c r="L131" s="124">
        <f t="shared" si="111"/>
        <v>1.6408284239616971E-2</v>
      </c>
      <c r="M131" s="124">
        <f t="shared" si="111"/>
        <v>1.5737375343836693E-2</v>
      </c>
      <c r="N131" s="124">
        <f t="shared" si="111"/>
        <v>1.6084434782492663E-2</v>
      </c>
      <c r="O131" s="124">
        <f t="shared" si="111"/>
        <v>1.611847552453801E-2</v>
      </c>
      <c r="P131" s="124">
        <f t="shared" si="111"/>
        <v>1.5743858657561262E-2</v>
      </c>
      <c r="Q131" s="124">
        <f t="shared" si="111"/>
        <v>1.5513566340774138E-2</v>
      </c>
      <c r="R131" s="124">
        <f t="shared" si="111"/>
        <v>1.581650012685832E-2</v>
      </c>
      <c r="S131" s="124">
        <f t="shared" si="111"/>
        <v>1.571550949094757E-2</v>
      </c>
      <c r="T131" s="124">
        <f t="shared" si="111"/>
        <v>1.5594046042096629E-2</v>
      </c>
      <c r="U131" s="124">
        <f t="shared" si="111"/>
        <v>1.5795099066120585E-2</v>
      </c>
      <c r="V131" s="124">
        <f t="shared" si="111"/>
        <v>2.0771200998056308E-2</v>
      </c>
      <c r="W131" s="124">
        <f t="shared" si="111"/>
        <v>1.8733591464353237E-2</v>
      </c>
      <c r="X131" s="124">
        <f t="shared" si="111"/>
        <v>1.780889076642982E-2</v>
      </c>
      <c r="Y131" s="124">
        <f t="shared" si="111"/>
        <v>1.6829255202289235E-2</v>
      </c>
      <c r="DA131" s="176"/>
    </row>
    <row r="132" spans="1:105" ht="11.45" customHeight="1" x14ac:dyDescent="0.25">
      <c r="A132" s="128" t="str">
        <f>$A$10</f>
        <v>Metro and tram, urban light rail</v>
      </c>
      <c r="B132" s="140">
        <f t="shared" si="105"/>
        <v>3.1247881210323436E-4</v>
      </c>
      <c r="C132" s="140">
        <f t="shared" ref="C132:Y132" si="112">IF(C40=0,0,C40/C$34)</f>
        <v>3.1838814118858357E-4</v>
      </c>
      <c r="D132" s="140">
        <f t="shared" si="112"/>
        <v>2.9890981361303868E-4</v>
      </c>
      <c r="E132" s="140">
        <f t="shared" si="112"/>
        <v>3.0678387418237436E-4</v>
      </c>
      <c r="F132" s="140">
        <f t="shared" si="112"/>
        <v>3.1345592048946056E-4</v>
      </c>
      <c r="G132" s="140">
        <f t="shared" si="112"/>
        <v>3.1161157748371709E-4</v>
      </c>
      <c r="H132" s="140">
        <f t="shared" si="112"/>
        <v>3.1463994774975207E-4</v>
      </c>
      <c r="I132" s="140">
        <f t="shared" si="112"/>
        <v>3.2221384331883714E-4</v>
      </c>
      <c r="J132" s="140">
        <f t="shared" si="112"/>
        <v>3.2772585834365533E-4</v>
      </c>
      <c r="K132" s="140">
        <f t="shared" si="112"/>
        <v>3.2691191968583708E-4</v>
      </c>
      <c r="L132" s="140">
        <f t="shared" si="112"/>
        <v>3.3899262796594626E-4</v>
      </c>
      <c r="M132" s="140">
        <f t="shared" si="112"/>
        <v>3.397783735447798E-4</v>
      </c>
      <c r="N132" s="140">
        <f t="shared" si="112"/>
        <v>3.1963925733487973E-4</v>
      </c>
      <c r="O132" s="140">
        <f t="shared" si="112"/>
        <v>3.3114434019209353E-4</v>
      </c>
      <c r="P132" s="140">
        <f t="shared" si="112"/>
        <v>3.2771794925473481E-4</v>
      </c>
      <c r="Q132" s="140">
        <f t="shared" si="112"/>
        <v>3.593201980371385E-4</v>
      </c>
      <c r="R132" s="140">
        <f t="shared" si="112"/>
        <v>3.5331753492700186E-4</v>
      </c>
      <c r="S132" s="140">
        <f t="shared" si="112"/>
        <v>3.2938814794185924E-4</v>
      </c>
      <c r="T132" s="140">
        <f t="shared" si="112"/>
        <v>3.8135051575505799E-4</v>
      </c>
      <c r="U132" s="140">
        <f t="shared" si="112"/>
        <v>3.8268955524861761E-4</v>
      </c>
      <c r="V132" s="140">
        <f t="shared" si="112"/>
        <v>3.7095256054704218E-4</v>
      </c>
      <c r="W132" s="140">
        <f t="shared" si="112"/>
        <v>3.5074094022489446E-4</v>
      </c>
      <c r="X132" s="140">
        <f t="shared" si="112"/>
        <v>3.6940000650176298E-4</v>
      </c>
      <c r="Y132" s="140">
        <f t="shared" si="112"/>
        <v>2.881382006407898E-4</v>
      </c>
      <c r="DA132" s="175"/>
    </row>
    <row r="133" spans="1:105" ht="11.45" customHeight="1" x14ac:dyDescent="0.25">
      <c r="A133" s="128" t="str">
        <f>$A$11</f>
        <v>Conventional passenger trains</v>
      </c>
      <c r="B133" s="140">
        <f t="shared" si="105"/>
        <v>1.6328160477423751E-2</v>
      </c>
      <c r="C133" s="140">
        <f t="shared" ref="C133:Y133" si="113">IF(C41=0,0,C41/C$34)</f>
        <v>1.5686267909515016E-2</v>
      </c>
      <c r="D133" s="140">
        <f t="shared" si="113"/>
        <v>1.5329579981063289E-2</v>
      </c>
      <c r="E133" s="140">
        <f t="shared" si="113"/>
        <v>1.5296487080464261E-2</v>
      </c>
      <c r="F133" s="140">
        <f t="shared" si="113"/>
        <v>1.5152003985054481E-2</v>
      </c>
      <c r="G133" s="140">
        <f t="shared" si="113"/>
        <v>1.4480690615194426E-2</v>
      </c>
      <c r="H133" s="140">
        <f t="shared" si="113"/>
        <v>1.4185049096864711E-2</v>
      </c>
      <c r="I133" s="140">
        <f t="shared" si="113"/>
        <v>1.3470762335945097E-2</v>
      </c>
      <c r="J133" s="140">
        <f t="shared" si="113"/>
        <v>1.3724962243556991E-2</v>
      </c>
      <c r="K133" s="140">
        <f t="shared" si="113"/>
        <v>1.495759771973316E-2</v>
      </c>
      <c r="L133" s="140">
        <f t="shared" si="113"/>
        <v>1.5899781522895041E-2</v>
      </c>
      <c r="M133" s="140">
        <f t="shared" si="113"/>
        <v>1.52240586326199E-2</v>
      </c>
      <c r="N133" s="140">
        <f t="shared" si="113"/>
        <v>1.5577754014398542E-2</v>
      </c>
      <c r="O133" s="140">
        <f t="shared" si="113"/>
        <v>1.5579125905743826E-2</v>
      </c>
      <c r="P133" s="140">
        <f t="shared" si="113"/>
        <v>1.5279534949820076E-2</v>
      </c>
      <c r="Q133" s="140">
        <f t="shared" si="113"/>
        <v>1.461462087027921E-2</v>
      </c>
      <c r="R133" s="140">
        <f t="shared" si="113"/>
        <v>1.5273329839598646E-2</v>
      </c>
      <c r="S133" s="140">
        <f t="shared" si="113"/>
        <v>1.5177493092896923E-2</v>
      </c>
      <c r="T133" s="140">
        <f t="shared" si="113"/>
        <v>1.5018039469017742E-2</v>
      </c>
      <c r="U133" s="140">
        <f t="shared" si="113"/>
        <v>1.5188932619405909E-2</v>
      </c>
      <c r="V133" s="140">
        <f t="shared" si="113"/>
        <v>2.0275184379916912E-2</v>
      </c>
      <c r="W133" s="140">
        <f t="shared" si="113"/>
        <v>1.8273513003038543E-2</v>
      </c>
      <c r="X133" s="140">
        <f t="shared" si="113"/>
        <v>1.7314149043967792E-2</v>
      </c>
      <c r="Y133" s="140">
        <f t="shared" si="113"/>
        <v>1.6291478168453288E-2</v>
      </c>
      <c r="DA133" s="175"/>
    </row>
    <row r="134" spans="1:105" ht="11.45" customHeight="1" x14ac:dyDescent="0.25">
      <c r="A134" s="128" t="str">
        <f>$A$12</f>
        <v>High speed passenger trains</v>
      </c>
      <c r="B134" s="140">
        <f t="shared" si="105"/>
        <v>7.6178476400477052E-5</v>
      </c>
      <c r="C134" s="140">
        <f t="shared" ref="C134:Y134" si="114">IF(C42=0,0,C42/C$34)</f>
        <v>1.2786537645838341E-4</v>
      </c>
      <c r="D134" s="140">
        <f t="shared" si="114"/>
        <v>1.3012076073227636E-4</v>
      </c>
      <c r="E134" s="140">
        <f t="shared" si="114"/>
        <v>4.3172215306791652E-4</v>
      </c>
      <c r="F134" s="140">
        <f t="shared" si="114"/>
        <v>4.1308987180922936E-4</v>
      </c>
      <c r="G134" s="140">
        <f t="shared" si="114"/>
        <v>4.2650235936222096E-4</v>
      </c>
      <c r="H134" s="140">
        <f t="shared" si="114"/>
        <v>4.4301981799620154E-4</v>
      </c>
      <c r="I134" s="140">
        <f t="shared" si="114"/>
        <v>4.7213799937906493E-4</v>
      </c>
      <c r="J134" s="140">
        <f t="shared" si="114"/>
        <v>5.0592318316751439E-4</v>
      </c>
      <c r="K134" s="140">
        <f t="shared" si="114"/>
        <v>1.5685730915349137E-4</v>
      </c>
      <c r="L134" s="140">
        <f t="shared" si="114"/>
        <v>1.6951008875598501E-4</v>
      </c>
      <c r="M134" s="140">
        <f t="shared" si="114"/>
        <v>1.7353833767201591E-4</v>
      </c>
      <c r="N134" s="140">
        <f t="shared" si="114"/>
        <v>1.8704151075923928E-4</v>
      </c>
      <c r="O134" s="140">
        <f t="shared" si="114"/>
        <v>2.0820527860209212E-4</v>
      </c>
      <c r="P134" s="140">
        <f t="shared" si="114"/>
        <v>1.3660575848645088E-4</v>
      </c>
      <c r="Q134" s="140">
        <f t="shared" si="114"/>
        <v>5.3962527245778903E-4</v>
      </c>
      <c r="R134" s="140">
        <f t="shared" si="114"/>
        <v>1.8985275233267141E-4</v>
      </c>
      <c r="S134" s="140">
        <f t="shared" si="114"/>
        <v>2.0862825010878447E-4</v>
      </c>
      <c r="T134" s="140">
        <f t="shared" si="114"/>
        <v>1.946560573238289E-4</v>
      </c>
      <c r="U134" s="140">
        <f t="shared" si="114"/>
        <v>2.2347689146606035E-4</v>
      </c>
      <c r="V134" s="140">
        <f t="shared" si="114"/>
        <v>1.2506405759235009E-4</v>
      </c>
      <c r="W134" s="140">
        <f t="shared" si="114"/>
        <v>1.0933752108980118E-4</v>
      </c>
      <c r="X134" s="140">
        <f t="shared" si="114"/>
        <v>1.2534171596026805E-4</v>
      </c>
      <c r="Y134" s="140">
        <f t="shared" si="114"/>
        <v>2.4963883319515702E-4</v>
      </c>
      <c r="DA134" s="175"/>
    </row>
    <row r="135" spans="1:105" ht="11.45" customHeight="1" x14ac:dyDescent="0.25">
      <c r="A135" s="109" t="str">
        <f>$A$13</f>
        <v>Aviation</v>
      </c>
      <c r="B135" s="124">
        <f t="shared" si="105"/>
        <v>0.29918157526194639</v>
      </c>
      <c r="C135" s="124">
        <f t="shared" ref="C135:Y135" si="115">IF(C43=0,0,C43/C$34)</f>
        <v>0.29202640747848801</v>
      </c>
      <c r="D135" s="124">
        <f t="shared" si="115"/>
        <v>0.29630405688553191</v>
      </c>
      <c r="E135" s="124">
        <f t="shared" si="115"/>
        <v>0.2878291071178205</v>
      </c>
      <c r="F135" s="124">
        <f t="shared" si="115"/>
        <v>0.30250706514275832</v>
      </c>
      <c r="G135" s="124">
        <f t="shared" si="115"/>
        <v>0.30563322339563703</v>
      </c>
      <c r="H135" s="124">
        <f t="shared" si="115"/>
        <v>0.29861713628839975</v>
      </c>
      <c r="I135" s="124">
        <f t="shared" si="115"/>
        <v>0.29898895202075515</v>
      </c>
      <c r="J135" s="124">
        <f t="shared" si="115"/>
        <v>0.29955879464096469</v>
      </c>
      <c r="K135" s="124">
        <f t="shared" si="115"/>
        <v>0.29155958085423928</v>
      </c>
      <c r="L135" s="124">
        <f t="shared" si="115"/>
        <v>0.2825814525844173</v>
      </c>
      <c r="M135" s="124">
        <f t="shared" si="115"/>
        <v>0.29607599502791948</v>
      </c>
      <c r="N135" s="124">
        <f t="shared" si="115"/>
        <v>0.30351246875925159</v>
      </c>
      <c r="O135" s="124">
        <f t="shared" si="115"/>
        <v>0.3146848948051213</v>
      </c>
      <c r="P135" s="124">
        <f t="shared" si="115"/>
        <v>0.33304363515558016</v>
      </c>
      <c r="Q135" s="124">
        <f t="shared" si="115"/>
        <v>0.34754088929024596</v>
      </c>
      <c r="R135" s="124">
        <f t="shared" si="115"/>
        <v>0.35588599867163695</v>
      </c>
      <c r="S135" s="124">
        <f t="shared" si="115"/>
        <v>0.35736706955492503</v>
      </c>
      <c r="T135" s="124">
        <f t="shared" si="115"/>
        <v>0.36179520807466525</v>
      </c>
      <c r="U135" s="124">
        <f t="shared" si="115"/>
        <v>0.36255552051771101</v>
      </c>
      <c r="V135" s="124">
        <f t="shared" si="115"/>
        <v>0.24090703138026562</v>
      </c>
      <c r="W135" s="124">
        <f t="shared" si="115"/>
        <v>0.24936362349863825</v>
      </c>
      <c r="X135" s="124">
        <f t="shared" si="115"/>
        <v>0.32525516990630859</v>
      </c>
      <c r="Y135" s="124">
        <f t="shared" si="115"/>
        <v>0.33438571442131743</v>
      </c>
      <c r="DA135" s="176"/>
    </row>
    <row r="136" spans="1:105" ht="11.45" customHeight="1" x14ac:dyDescent="0.25">
      <c r="A136" s="128" t="str">
        <f>$A$14</f>
        <v>Domestic</v>
      </c>
      <c r="B136" s="140">
        <f t="shared" si="105"/>
        <v>0</v>
      </c>
      <c r="C136" s="140">
        <f t="shared" ref="C136:Y136" si="116">IF(C44=0,0,C44/C$34)</f>
        <v>0</v>
      </c>
      <c r="D136" s="140">
        <f t="shared" si="116"/>
        <v>0</v>
      </c>
      <c r="E136" s="140">
        <f t="shared" si="116"/>
        <v>0</v>
      </c>
      <c r="F136" s="140">
        <f t="shared" si="116"/>
        <v>0</v>
      </c>
      <c r="G136" s="140">
        <f t="shared" si="116"/>
        <v>0</v>
      </c>
      <c r="H136" s="140">
        <f t="shared" si="116"/>
        <v>0</v>
      </c>
      <c r="I136" s="140">
        <f t="shared" si="116"/>
        <v>0</v>
      </c>
      <c r="J136" s="140">
        <f t="shared" si="116"/>
        <v>0</v>
      </c>
      <c r="K136" s="140">
        <f t="shared" si="116"/>
        <v>0</v>
      </c>
      <c r="L136" s="140">
        <f t="shared" si="116"/>
        <v>0</v>
      </c>
      <c r="M136" s="140">
        <f t="shared" si="116"/>
        <v>0</v>
      </c>
      <c r="N136" s="140">
        <f t="shared" si="116"/>
        <v>0</v>
      </c>
      <c r="O136" s="140">
        <f t="shared" si="116"/>
        <v>0</v>
      </c>
      <c r="P136" s="140">
        <f t="shared" si="116"/>
        <v>0</v>
      </c>
      <c r="Q136" s="140">
        <f t="shared" si="116"/>
        <v>0</v>
      </c>
      <c r="R136" s="140">
        <f t="shared" si="116"/>
        <v>0</v>
      </c>
      <c r="S136" s="140">
        <f t="shared" si="116"/>
        <v>0</v>
      </c>
      <c r="T136" s="140">
        <f t="shared" si="116"/>
        <v>0</v>
      </c>
      <c r="U136" s="140">
        <f t="shared" si="116"/>
        <v>0</v>
      </c>
      <c r="V136" s="140">
        <f t="shared" si="116"/>
        <v>0</v>
      </c>
      <c r="W136" s="140">
        <f t="shared" si="116"/>
        <v>0</v>
      </c>
      <c r="X136" s="140">
        <f t="shared" si="116"/>
        <v>0</v>
      </c>
      <c r="Y136" s="140">
        <f t="shared" si="116"/>
        <v>0</v>
      </c>
      <c r="DA136" s="175"/>
    </row>
    <row r="137" spans="1:105" ht="11.45" customHeight="1" x14ac:dyDescent="0.25">
      <c r="A137" s="128" t="str">
        <f>$A$15</f>
        <v>International - Intra-EEAwCHUK</v>
      </c>
      <c r="B137" s="140">
        <f t="shared" si="105"/>
        <v>6.8114671988257311E-2</v>
      </c>
      <c r="C137" s="140">
        <f t="shared" ref="C137:Y137" si="117">IF(C45=0,0,C45/C$34)</f>
        <v>6.6484996220602596E-2</v>
      </c>
      <c r="D137" s="140">
        <f t="shared" si="117"/>
        <v>6.7063885247116373E-2</v>
      </c>
      <c r="E137" s="140">
        <f t="shared" si="117"/>
        <v>6.6251548218689935E-2</v>
      </c>
      <c r="F137" s="140">
        <f t="shared" si="117"/>
        <v>6.5761713613654224E-2</v>
      </c>
      <c r="G137" s="140">
        <f t="shared" si="117"/>
        <v>6.6323268151494391E-2</v>
      </c>
      <c r="H137" s="140">
        <f t="shared" si="117"/>
        <v>6.6640161879683427E-2</v>
      </c>
      <c r="I137" s="140">
        <f t="shared" si="117"/>
        <v>6.8207544280303969E-2</v>
      </c>
      <c r="J137" s="140">
        <f t="shared" si="117"/>
        <v>6.6044321793626515E-2</v>
      </c>
      <c r="K137" s="140">
        <f t="shared" si="117"/>
        <v>6.1658492371927213E-2</v>
      </c>
      <c r="L137" s="140">
        <f t="shared" si="117"/>
        <v>5.9133143883452866E-2</v>
      </c>
      <c r="M137" s="140">
        <f t="shared" si="117"/>
        <v>6.2999899608823032E-2</v>
      </c>
      <c r="N137" s="140">
        <f t="shared" si="117"/>
        <v>6.372075843988706E-2</v>
      </c>
      <c r="O137" s="140">
        <f t="shared" si="117"/>
        <v>6.6108941958735498E-2</v>
      </c>
      <c r="P137" s="140">
        <f t="shared" si="117"/>
        <v>7.0774818548682644E-2</v>
      </c>
      <c r="Q137" s="140">
        <f t="shared" si="117"/>
        <v>7.4698860357396604E-2</v>
      </c>
      <c r="R137" s="140">
        <f t="shared" si="117"/>
        <v>8.0527777204867576E-2</v>
      </c>
      <c r="S137" s="140">
        <f t="shared" si="117"/>
        <v>8.2913088915959221E-2</v>
      </c>
      <c r="T137" s="140">
        <f t="shared" si="117"/>
        <v>8.2659242576440528E-2</v>
      </c>
      <c r="U137" s="140">
        <f t="shared" si="117"/>
        <v>8.0072334630504283E-2</v>
      </c>
      <c r="V137" s="140">
        <f t="shared" si="117"/>
        <v>4.16203360587264E-2</v>
      </c>
      <c r="W137" s="140">
        <f t="shared" si="117"/>
        <v>4.8155931161087982E-2</v>
      </c>
      <c r="X137" s="140">
        <f t="shared" si="117"/>
        <v>7.5167365524535137E-2</v>
      </c>
      <c r="Y137" s="140">
        <f t="shared" si="117"/>
        <v>7.5651808636113843E-2</v>
      </c>
      <c r="DA137" s="175"/>
    </row>
    <row r="138" spans="1:105" ht="11.45" customHeight="1" x14ac:dyDescent="0.25">
      <c r="A138" s="128" t="str">
        <f>$A$16</f>
        <v>International - Extra-EEAwCHUK</v>
      </c>
      <c r="B138" s="140">
        <f t="shared" si="105"/>
        <v>0.23106690327368909</v>
      </c>
      <c r="C138" s="140">
        <f t="shared" ref="C138:Y138" si="118">IF(C46=0,0,C46/C$34)</f>
        <v>0.2255414112578854</v>
      </c>
      <c r="D138" s="140">
        <f t="shared" si="118"/>
        <v>0.22924017163841556</v>
      </c>
      <c r="E138" s="140">
        <f t="shared" si="118"/>
        <v>0.22157755889913056</v>
      </c>
      <c r="F138" s="140">
        <f t="shared" si="118"/>
        <v>0.23674535152910409</v>
      </c>
      <c r="G138" s="140">
        <f t="shared" si="118"/>
        <v>0.23930995524414264</v>
      </c>
      <c r="H138" s="140">
        <f t="shared" si="118"/>
        <v>0.23197697440871629</v>
      </c>
      <c r="I138" s="140">
        <f t="shared" si="118"/>
        <v>0.23078140774045122</v>
      </c>
      <c r="J138" s="140">
        <f t="shared" si="118"/>
        <v>0.23351447284733814</v>
      </c>
      <c r="K138" s="140">
        <f t="shared" si="118"/>
        <v>0.22990108848231208</v>
      </c>
      <c r="L138" s="140">
        <f t="shared" si="118"/>
        <v>0.22344830870096444</v>
      </c>
      <c r="M138" s="140">
        <f t="shared" si="118"/>
        <v>0.23307609541909644</v>
      </c>
      <c r="N138" s="140">
        <f t="shared" si="118"/>
        <v>0.23979171031936453</v>
      </c>
      <c r="O138" s="140">
        <f t="shared" si="118"/>
        <v>0.24857595284638578</v>
      </c>
      <c r="P138" s="140">
        <f t="shared" si="118"/>
        <v>0.26226881660689749</v>
      </c>
      <c r="Q138" s="140">
        <f t="shared" si="118"/>
        <v>0.27284202893284937</v>
      </c>
      <c r="R138" s="140">
        <f t="shared" si="118"/>
        <v>0.27535822146676936</v>
      </c>
      <c r="S138" s="140">
        <f t="shared" si="118"/>
        <v>0.27445398063896581</v>
      </c>
      <c r="T138" s="140">
        <f t="shared" si="118"/>
        <v>0.27913596549822473</v>
      </c>
      <c r="U138" s="140">
        <f t="shared" si="118"/>
        <v>0.28248318588720672</v>
      </c>
      <c r="V138" s="140">
        <f t="shared" si="118"/>
        <v>0.1992866953215392</v>
      </c>
      <c r="W138" s="140">
        <f t="shared" si="118"/>
        <v>0.20120769233755026</v>
      </c>
      <c r="X138" s="140">
        <f t="shared" si="118"/>
        <v>0.25008780438177342</v>
      </c>
      <c r="Y138" s="140">
        <f t="shared" si="118"/>
        <v>0.25873390578520361</v>
      </c>
      <c r="DA138" s="175"/>
    </row>
    <row r="139" spans="1:105" ht="11.45" customHeight="1" x14ac:dyDescent="0.25">
      <c r="A139" s="27" t="s">
        <v>34</v>
      </c>
      <c r="B139" s="31">
        <f t="shared" ref="B139:B150" si="119">IF(B47=0,0,B47/B$47)</f>
        <v>1</v>
      </c>
      <c r="C139" s="31">
        <f t="shared" ref="C139:Y139" si="120">IF(C47=0,0,C47/C$47)</f>
        <v>1</v>
      </c>
      <c r="D139" s="31">
        <f t="shared" si="120"/>
        <v>1</v>
      </c>
      <c r="E139" s="31">
        <f t="shared" si="120"/>
        <v>1</v>
      </c>
      <c r="F139" s="31">
        <f t="shared" si="120"/>
        <v>1</v>
      </c>
      <c r="G139" s="31">
        <f t="shared" si="120"/>
        <v>1</v>
      </c>
      <c r="H139" s="31">
        <f t="shared" si="120"/>
        <v>1</v>
      </c>
      <c r="I139" s="31">
        <f t="shared" si="120"/>
        <v>1</v>
      </c>
      <c r="J139" s="31">
        <f t="shared" si="120"/>
        <v>1</v>
      </c>
      <c r="K139" s="31">
        <f t="shared" si="120"/>
        <v>1</v>
      </c>
      <c r="L139" s="31">
        <f t="shared" si="120"/>
        <v>1</v>
      </c>
      <c r="M139" s="31">
        <f t="shared" si="120"/>
        <v>1</v>
      </c>
      <c r="N139" s="31">
        <f t="shared" si="120"/>
        <v>1</v>
      </c>
      <c r="O139" s="31">
        <f t="shared" si="120"/>
        <v>1</v>
      </c>
      <c r="P139" s="31">
        <f t="shared" si="120"/>
        <v>1</v>
      </c>
      <c r="Q139" s="31">
        <f t="shared" si="120"/>
        <v>1</v>
      </c>
      <c r="R139" s="31">
        <f t="shared" si="120"/>
        <v>1</v>
      </c>
      <c r="S139" s="31">
        <f t="shared" si="120"/>
        <v>1</v>
      </c>
      <c r="T139" s="31">
        <f t="shared" si="120"/>
        <v>1</v>
      </c>
      <c r="U139" s="31">
        <f t="shared" si="120"/>
        <v>1</v>
      </c>
      <c r="V139" s="31">
        <f t="shared" si="120"/>
        <v>1</v>
      </c>
      <c r="W139" s="31">
        <f t="shared" si="120"/>
        <v>1</v>
      </c>
      <c r="X139" s="31">
        <f t="shared" si="120"/>
        <v>1</v>
      </c>
      <c r="Y139" s="31">
        <f t="shared" si="120"/>
        <v>1</v>
      </c>
      <c r="DA139" s="173"/>
    </row>
    <row r="140" spans="1:105" ht="11.45" customHeight="1" x14ac:dyDescent="0.25">
      <c r="A140" s="136" t="str">
        <f>$A$18</f>
        <v>Road transport</v>
      </c>
      <c r="B140" s="139">
        <f t="shared" si="119"/>
        <v>0.82720551186684188</v>
      </c>
      <c r="C140" s="139">
        <f t="shared" ref="C140:Y140" si="121">IF(C48=0,0,C48/C$47)</f>
        <v>0.82876395874029807</v>
      </c>
      <c r="D140" s="139">
        <f t="shared" si="121"/>
        <v>0.82562403510570659</v>
      </c>
      <c r="E140" s="139">
        <f t="shared" si="121"/>
        <v>0.82477033722268267</v>
      </c>
      <c r="F140" s="139">
        <f t="shared" si="121"/>
        <v>0.82410888154169548</v>
      </c>
      <c r="G140" s="139">
        <f t="shared" si="121"/>
        <v>0.81339057261771142</v>
      </c>
      <c r="H140" s="139">
        <f t="shared" si="121"/>
        <v>0.80602891971563317</v>
      </c>
      <c r="I140" s="139">
        <f t="shared" si="121"/>
        <v>0.80452615978849562</v>
      </c>
      <c r="J140" s="139">
        <f t="shared" si="121"/>
        <v>0.80255364379693939</v>
      </c>
      <c r="K140" s="139">
        <f t="shared" si="121"/>
        <v>0.81392206106467169</v>
      </c>
      <c r="L140" s="139">
        <f t="shared" si="121"/>
        <v>0.80121018249762999</v>
      </c>
      <c r="M140" s="139">
        <f t="shared" si="121"/>
        <v>0.81153513290895718</v>
      </c>
      <c r="N140" s="139">
        <f t="shared" si="121"/>
        <v>0.82783441654073986</v>
      </c>
      <c r="O140" s="139">
        <f t="shared" si="121"/>
        <v>0.81137197588992094</v>
      </c>
      <c r="P140" s="139">
        <f t="shared" si="121"/>
        <v>0.79812036671183151</v>
      </c>
      <c r="Q140" s="139">
        <f t="shared" si="121"/>
        <v>0.78640517713983604</v>
      </c>
      <c r="R140" s="139">
        <f t="shared" si="121"/>
        <v>0.79803671144432575</v>
      </c>
      <c r="S140" s="139">
        <f t="shared" si="121"/>
        <v>0.80424184176450164</v>
      </c>
      <c r="T140" s="139">
        <f t="shared" si="121"/>
        <v>0.81601652277583236</v>
      </c>
      <c r="U140" s="139">
        <f t="shared" si="121"/>
        <v>0.83534505299986439</v>
      </c>
      <c r="V140" s="139">
        <f t="shared" si="121"/>
        <v>0.8039592035660349</v>
      </c>
      <c r="W140" s="139">
        <f t="shared" si="121"/>
        <v>0.78434084160471051</v>
      </c>
      <c r="X140" s="139">
        <f t="shared" si="121"/>
        <v>0.78860026399844352</v>
      </c>
      <c r="Y140" s="139">
        <f t="shared" si="121"/>
        <v>0.80153097614525326</v>
      </c>
      <c r="DA140" s="174"/>
    </row>
    <row r="141" spans="1:105" ht="11.45" customHeight="1" x14ac:dyDescent="0.25">
      <c r="A141" s="128" t="str">
        <f>$A$19</f>
        <v>Light commercial vehicles</v>
      </c>
      <c r="B141" s="140">
        <f t="shared" si="119"/>
        <v>0.37682233507723023</v>
      </c>
      <c r="C141" s="140">
        <f t="shared" ref="C141:Y141" si="122">IF(C49=0,0,C49/C$47)</f>
        <v>0.38847892142647128</v>
      </c>
      <c r="D141" s="140">
        <f t="shared" si="122"/>
        <v>0.38437762436896561</v>
      </c>
      <c r="E141" s="140">
        <f t="shared" si="122"/>
        <v>0.38399466916213765</v>
      </c>
      <c r="F141" s="140">
        <f t="shared" si="122"/>
        <v>0.38816618965074595</v>
      </c>
      <c r="G141" s="140">
        <f t="shared" si="122"/>
        <v>0.38374487562704457</v>
      </c>
      <c r="H141" s="140">
        <f t="shared" si="122"/>
        <v>0.36281288949837348</v>
      </c>
      <c r="I141" s="140">
        <f t="shared" si="122"/>
        <v>0.36264096390304834</v>
      </c>
      <c r="J141" s="140">
        <f t="shared" si="122"/>
        <v>0.36277197036367498</v>
      </c>
      <c r="K141" s="140">
        <f t="shared" si="122"/>
        <v>0.37449234833250322</v>
      </c>
      <c r="L141" s="140">
        <f t="shared" si="122"/>
        <v>0.36736576817246497</v>
      </c>
      <c r="M141" s="140">
        <f t="shared" si="122"/>
        <v>0.36833925311319454</v>
      </c>
      <c r="N141" s="140">
        <f t="shared" si="122"/>
        <v>0.37165667005586173</v>
      </c>
      <c r="O141" s="140">
        <f t="shared" si="122"/>
        <v>0.38137391690017342</v>
      </c>
      <c r="P141" s="140">
        <f t="shared" si="122"/>
        <v>0.41839965388136452</v>
      </c>
      <c r="Q141" s="140">
        <f t="shared" si="122"/>
        <v>0.4191199676698682</v>
      </c>
      <c r="R141" s="140">
        <f t="shared" si="122"/>
        <v>0.43115762733155139</v>
      </c>
      <c r="S141" s="140">
        <f t="shared" si="122"/>
        <v>0.40207248061186707</v>
      </c>
      <c r="T141" s="140">
        <f t="shared" si="122"/>
        <v>0.3758404867785527</v>
      </c>
      <c r="U141" s="140">
        <f t="shared" si="122"/>
        <v>0.37039825310157709</v>
      </c>
      <c r="V141" s="140">
        <f t="shared" si="122"/>
        <v>0.36513517321344435</v>
      </c>
      <c r="W141" s="140">
        <f t="shared" si="122"/>
        <v>0.39998279736310099</v>
      </c>
      <c r="X141" s="140">
        <f t="shared" si="122"/>
        <v>0.40616168152637816</v>
      </c>
      <c r="Y141" s="140">
        <f t="shared" si="122"/>
        <v>0.40084211339591019</v>
      </c>
      <c r="DA141" s="175"/>
    </row>
    <row r="142" spans="1:105" ht="11.45" customHeight="1" x14ac:dyDescent="0.25">
      <c r="A142" s="128" t="str">
        <f>$A$20</f>
        <v>Heavy goods vehicles</v>
      </c>
      <c r="B142" s="140">
        <f t="shared" si="119"/>
        <v>0.45038317678961154</v>
      </c>
      <c r="C142" s="140">
        <f t="shared" ref="C142:Y142" si="123">IF(C50=0,0,C50/C$47)</f>
        <v>0.44028503731382668</v>
      </c>
      <c r="D142" s="140">
        <f t="shared" si="123"/>
        <v>0.44124641073674098</v>
      </c>
      <c r="E142" s="140">
        <f t="shared" si="123"/>
        <v>0.44077566806054502</v>
      </c>
      <c r="F142" s="140">
        <f t="shared" si="123"/>
        <v>0.43594269189094964</v>
      </c>
      <c r="G142" s="140">
        <f t="shared" si="123"/>
        <v>0.42964569699066696</v>
      </c>
      <c r="H142" s="140">
        <f t="shared" si="123"/>
        <v>0.44321603021725975</v>
      </c>
      <c r="I142" s="140">
        <f t="shared" si="123"/>
        <v>0.44188519588544728</v>
      </c>
      <c r="J142" s="140">
        <f t="shared" si="123"/>
        <v>0.43978167343326424</v>
      </c>
      <c r="K142" s="140">
        <f t="shared" si="123"/>
        <v>0.43942971273216846</v>
      </c>
      <c r="L142" s="140">
        <f t="shared" si="123"/>
        <v>0.43384441432516502</v>
      </c>
      <c r="M142" s="140">
        <f t="shared" si="123"/>
        <v>0.44319587979576258</v>
      </c>
      <c r="N142" s="140">
        <f t="shared" si="123"/>
        <v>0.45617774648487802</v>
      </c>
      <c r="O142" s="140">
        <f t="shared" si="123"/>
        <v>0.42999805898974752</v>
      </c>
      <c r="P142" s="140">
        <f t="shared" si="123"/>
        <v>0.37972071283046699</v>
      </c>
      <c r="Q142" s="140">
        <f t="shared" si="123"/>
        <v>0.36728520946996773</v>
      </c>
      <c r="R142" s="140">
        <f t="shared" si="123"/>
        <v>0.36687908411277442</v>
      </c>
      <c r="S142" s="140">
        <f t="shared" si="123"/>
        <v>0.40216936115263463</v>
      </c>
      <c r="T142" s="140">
        <f t="shared" si="123"/>
        <v>0.44017603599727967</v>
      </c>
      <c r="U142" s="140">
        <f t="shared" si="123"/>
        <v>0.4649467998982873</v>
      </c>
      <c r="V142" s="140">
        <f t="shared" si="123"/>
        <v>0.43882403035259054</v>
      </c>
      <c r="W142" s="140">
        <f t="shared" si="123"/>
        <v>0.38435804424160958</v>
      </c>
      <c r="X142" s="140">
        <f t="shared" si="123"/>
        <v>0.38243858247206536</v>
      </c>
      <c r="Y142" s="140">
        <f t="shared" si="123"/>
        <v>0.40068886274934307</v>
      </c>
      <c r="DA142" s="175"/>
    </row>
    <row r="143" spans="1:105" ht="11.45" customHeight="1" x14ac:dyDescent="0.25">
      <c r="A143" s="109" t="str">
        <f>$A$21</f>
        <v>Rail transport</v>
      </c>
      <c r="B143" s="124">
        <f t="shared" si="119"/>
        <v>5.0181831729995243E-3</v>
      </c>
      <c r="C143" s="124">
        <f t="shared" ref="C143:Y143" si="124">IF(C51=0,0,C51/C$47)</f>
        <v>4.8467615941437106E-3</v>
      </c>
      <c r="D143" s="124">
        <f t="shared" si="124"/>
        <v>4.1239161774403116E-3</v>
      </c>
      <c r="E143" s="124">
        <f t="shared" si="124"/>
        <v>4.1778343384409281E-3</v>
      </c>
      <c r="F143" s="124">
        <f t="shared" si="124"/>
        <v>4.8095834837037568E-3</v>
      </c>
      <c r="G143" s="124">
        <f t="shared" si="124"/>
        <v>4.8759357058844989E-3</v>
      </c>
      <c r="H143" s="124">
        <f t="shared" si="124"/>
        <v>4.7041188443356138E-3</v>
      </c>
      <c r="I143" s="124">
        <f t="shared" si="124"/>
        <v>5.2279045591193179E-3</v>
      </c>
      <c r="J143" s="124">
        <f t="shared" si="124"/>
        <v>4.9519566975662352E-3</v>
      </c>
      <c r="K143" s="124">
        <f t="shared" si="124"/>
        <v>4.4038395621874074E-3</v>
      </c>
      <c r="L143" s="124">
        <f t="shared" si="124"/>
        <v>4.8705547947984909E-3</v>
      </c>
      <c r="M143" s="124">
        <f t="shared" si="124"/>
        <v>4.962758165984479E-3</v>
      </c>
      <c r="N143" s="124">
        <f t="shared" si="124"/>
        <v>4.8217760188317936E-3</v>
      </c>
      <c r="O143" s="124">
        <f t="shared" si="124"/>
        <v>4.988607769071703E-3</v>
      </c>
      <c r="P143" s="124">
        <f t="shared" si="124"/>
        <v>5.6388154135240684E-3</v>
      </c>
      <c r="Q143" s="124">
        <f t="shared" si="124"/>
        <v>5.7321798995120425E-3</v>
      </c>
      <c r="R143" s="124">
        <f t="shared" si="124"/>
        <v>5.827100482355939E-3</v>
      </c>
      <c r="S143" s="124">
        <f t="shared" si="124"/>
        <v>5.2731492465425715E-3</v>
      </c>
      <c r="T143" s="124">
        <f t="shared" si="124"/>
        <v>5.0294351342393363E-3</v>
      </c>
      <c r="U143" s="124">
        <f t="shared" si="124"/>
        <v>4.9612476302676447E-3</v>
      </c>
      <c r="V143" s="124">
        <f t="shared" si="124"/>
        <v>5.4605239345080336E-3</v>
      </c>
      <c r="W143" s="124">
        <f t="shared" si="124"/>
        <v>5.8536535125539354E-3</v>
      </c>
      <c r="X143" s="124">
        <f t="shared" si="124"/>
        <v>5.8139081663796735E-3</v>
      </c>
      <c r="Y143" s="124">
        <f t="shared" si="124"/>
        <v>5.3326904586704074E-3</v>
      </c>
      <c r="DA143" s="176"/>
    </row>
    <row r="144" spans="1:105" ht="11.45" customHeight="1" x14ac:dyDescent="0.25">
      <c r="A144" s="109" t="str">
        <f>$A$22</f>
        <v>Aviation</v>
      </c>
      <c r="B144" s="124">
        <f t="shared" si="119"/>
        <v>0.11610286507872583</v>
      </c>
      <c r="C144" s="124">
        <f t="shared" ref="C144:Y144" si="125">IF(C52=0,0,C52/C$47)</f>
        <v>0.11306148292887622</v>
      </c>
      <c r="D144" s="124">
        <f t="shared" si="125"/>
        <v>0.11687749937322829</v>
      </c>
      <c r="E144" s="124">
        <f t="shared" si="125"/>
        <v>0.12269750391250595</v>
      </c>
      <c r="F144" s="124">
        <f t="shared" si="125"/>
        <v>0.12383798512449851</v>
      </c>
      <c r="G144" s="124">
        <f t="shared" si="125"/>
        <v>0.13142657506964223</v>
      </c>
      <c r="H144" s="124">
        <f t="shared" si="125"/>
        <v>0.13895439118778014</v>
      </c>
      <c r="I144" s="124">
        <f t="shared" si="125"/>
        <v>0.13628443700960652</v>
      </c>
      <c r="J144" s="124">
        <f t="shared" si="125"/>
        <v>0.1379089224590494</v>
      </c>
      <c r="K144" s="124">
        <f t="shared" si="125"/>
        <v>0.12070802669364346</v>
      </c>
      <c r="L144" s="124">
        <f t="shared" si="125"/>
        <v>0.12759483436893343</v>
      </c>
      <c r="M144" s="124">
        <f t="shared" si="125"/>
        <v>0.11737697286376432</v>
      </c>
      <c r="N144" s="124">
        <f t="shared" si="125"/>
        <v>0.1025463817032877</v>
      </c>
      <c r="O144" s="124">
        <f t="shared" si="125"/>
        <v>0.11034564208346995</v>
      </c>
      <c r="P144" s="124">
        <f t="shared" si="125"/>
        <v>0.12277172161227175</v>
      </c>
      <c r="Q144" s="124">
        <f t="shared" si="125"/>
        <v>0.12266901134384137</v>
      </c>
      <c r="R144" s="124">
        <f t="shared" si="125"/>
        <v>0.11482677803540967</v>
      </c>
      <c r="S144" s="124">
        <f t="shared" si="125"/>
        <v>0.11666821307022766</v>
      </c>
      <c r="T144" s="124">
        <f t="shared" si="125"/>
        <v>0.108604669114263</v>
      </c>
      <c r="U144" s="124">
        <f t="shared" si="125"/>
        <v>9.4124574914786791E-2</v>
      </c>
      <c r="V144" s="124">
        <f t="shared" si="125"/>
        <v>0.13760459916577822</v>
      </c>
      <c r="W144" s="124">
        <f t="shared" si="125"/>
        <v>0.14815164912455939</v>
      </c>
      <c r="X144" s="124">
        <f t="shared" si="125"/>
        <v>0.13794160137725736</v>
      </c>
      <c r="Y144" s="124">
        <f t="shared" si="125"/>
        <v>0.12120396838966195</v>
      </c>
      <c r="DA144" s="176"/>
    </row>
    <row r="145" spans="1:105" ht="11.45" customHeight="1" x14ac:dyDescent="0.25">
      <c r="A145" s="128" t="s">
        <v>27</v>
      </c>
      <c r="B145" s="140">
        <f t="shared" si="119"/>
        <v>0</v>
      </c>
      <c r="C145" s="140">
        <f t="shared" ref="C145:Y145" si="126">IF(C53=0,0,C53/C$47)</f>
        <v>0</v>
      </c>
      <c r="D145" s="140">
        <f t="shared" si="126"/>
        <v>0</v>
      </c>
      <c r="E145" s="140">
        <f t="shared" si="126"/>
        <v>0</v>
      </c>
      <c r="F145" s="140">
        <f t="shared" si="126"/>
        <v>0</v>
      </c>
      <c r="G145" s="140">
        <f t="shared" si="126"/>
        <v>0</v>
      </c>
      <c r="H145" s="140">
        <f t="shared" si="126"/>
        <v>0</v>
      </c>
      <c r="I145" s="140">
        <f t="shared" si="126"/>
        <v>0</v>
      </c>
      <c r="J145" s="140">
        <f t="shared" si="126"/>
        <v>0</v>
      </c>
      <c r="K145" s="140">
        <f t="shared" si="126"/>
        <v>0</v>
      </c>
      <c r="L145" s="140">
        <f t="shared" si="126"/>
        <v>0</v>
      </c>
      <c r="M145" s="140">
        <f t="shared" si="126"/>
        <v>0</v>
      </c>
      <c r="N145" s="140">
        <f t="shared" si="126"/>
        <v>0</v>
      </c>
      <c r="O145" s="140">
        <f t="shared" si="126"/>
        <v>0</v>
      </c>
      <c r="P145" s="140">
        <f t="shared" si="126"/>
        <v>0</v>
      </c>
      <c r="Q145" s="140">
        <f t="shared" si="126"/>
        <v>0</v>
      </c>
      <c r="R145" s="140">
        <f t="shared" si="126"/>
        <v>0</v>
      </c>
      <c r="S145" s="140">
        <f t="shared" si="126"/>
        <v>0</v>
      </c>
      <c r="T145" s="140">
        <f t="shared" si="126"/>
        <v>0</v>
      </c>
      <c r="U145" s="140">
        <f t="shared" si="126"/>
        <v>0</v>
      </c>
      <c r="V145" s="140">
        <f t="shared" si="126"/>
        <v>0</v>
      </c>
      <c r="W145" s="140">
        <f t="shared" si="126"/>
        <v>0</v>
      </c>
      <c r="X145" s="140">
        <f t="shared" si="126"/>
        <v>0</v>
      </c>
      <c r="Y145" s="140">
        <f t="shared" si="126"/>
        <v>0</v>
      </c>
      <c r="DA145" s="175"/>
    </row>
    <row r="146" spans="1:105" ht="11.45" customHeight="1" x14ac:dyDescent="0.25">
      <c r="A146" s="128" t="str">
        <f>$A$24</f>
        <v>International - Intra-EEAwCHUK</v>
      </c>
      <c r="B146" s="140">
        <f t="shared" si="119"/>
        <v>2.5259743134904713E-3</v>
      </c>
      <c r="C146" s="140">
        <f t="shared" ref="C146:Y146" si="127">IF(C54=0,0,C54/C$47)</f>
        <v>3.3099218600560099E-3</v>
      </c>
      <c r="D146" s="140">
        <f t="shared" si="127"/>
        <v>2.580410061133946E-3</v>
      </c>
      <c r="E146" s="140">
        <f t="shared" si="127"/>
        <v>2.6082317165874043E-3</v>
      </c>
      <c r="F146" s="140">
        <f t="shared" si="127"/>
        <v>2.6728360742726233E-3</v>
      </c>
      <c r="G146" s="140">
        <f t="shared" si="127"/>
        <v>2.6319855633688089E-3</v>
      </c>
      <c r="H146" s="140">
        <f t="shared" si="127"/>
        <v>2.5790691045885212E-3</v>
      </c>
      <c r="I146" s="140">
        <f t="shared" si="127"/>
        <v>2.6349779949743773E-3</v>
      </c>
      <c r="J146" s="140">
        <f t="shared" si="127"/>
        <v>3.2806747729039729E-3</v>
      </c>
      <c r="K146" s="140">
        <f t="shared" si="127"/>
        <v>3.498162454595762E-3</v>
      </c>
      <c r="L146" s="140">
        <f t="shared" si="127"/>
        <v>3.6390371302719841E-3</v>
      </c>
      <c r="M146" s="140">
        <f t="shared" si="127"/>
        <v>2.8078289613912102E-3</v>
      </c>
      <c r="N146" s="140">
        <f t="shared" si="127"/>
        <v>2.2686330100998298E-3</v>
      </c>
      <c r="O146" s="140">
        <f t="shared" si="127"/>
        <v>2.5422156176134643E-3</v>
      </c>
      <c r="P146" s="140">
        <f t="shared" si="127"/>
        <v>3.0343191074725805E-3</v>
      </c>
      <c r="Q146" s="140">
        <f t="shared" si="127"/>
        <v>3.0539431694332642E-3</v>
      </c>
      <c r="R146" s="140">
        <f t="shared" si="127"/>
        <v>3.239012505106421E-3</v>
      </c>
      <c r="S146" s="140">
        <f t="shared" si="127"/>
        <v>2.7547447024563092E-3</v>
      </c>
      <c r="T146" s="140">
        <f t="shared" si="127"/>
        <v>2.0888716406999856E-3</v>
      </c>
      <c r="U146" s="140">
        <f t="shared" si="127"/>
        <v>1.9023787940732357E-3</v>
      </c>
      <c r="V146" s="140">
        <f t="shared" si="127"/>
        <v>1.718340245600275E-3</v>
      </c>
      <c r="W146" s="140">
        <f t="shared" si="127"/>
        <v>2.0978824903429174E-3</v>
      </c>
      <c r="X146" s="140">
        <f t="shared" si="127"/>
        <v>2.0304037551383816E-3</v>
      </c>
      <c r="Y146" s="140">
        <f t="shared" si="127"/>
        <v>1.7546200960432128E-3</v>
      </c>
      <c r="DA146" s="175"/>
    </row>
    <row r="147" spans="1:105" ht="11.45" customHeight="1" x14ac:dyDescent="0.25">
      <c r="A147" s="128" t="str">
        <f>$A$25</f>
        <v>International - Extra-EEAwCHUK</v>
      </c>
      <c r="B147" s="140">
        <f t="shared" si="119"/>
        <v>0.11357689076523535</v>
      </c>
      <c r="C147" s="140">
        <f t="shared" ref="C147:Y147" si="128">IF(C55=0,0,C55/C$47)</f>
        <v>0.10975156106882021</v>
      </c>
      <c r="D147" s="140">
        <f t="shared" si="128"/>
        <v>0.11429708931209435</v>
      </c>
      <c r="E147" s="140">
        <f t="shared" si="128"/>
        <v>0.12008927219591854</v>
      </c>
      <c r="F147" s="140">
        <f t="shared" si="128"/>
        <v>0.12116514905022588</v>
      </c>
      <c r="G147" s="140">
        <f t="shared" si="128"/>
        <v>0.12879458950627343</v>
      </c>
      <c r="H147" s="140">
        <f t="shared" si="128"/>
        <v>0.13637532208319159</v>
      </c>
      <c r="I147" s="140">
        <f t="shared" si="128"/>
        <v>0.13364945901463213</v>
      </c>
      <c r="J147" s="140">
        <f t="shared" si="128"/>
        <v>0.13462824768614542</v>
      </c>
      <c r="K147" s="140">
        <f t="shared" si="128"/>
        <v>0.1172098642390477</v>
      </c>
      <c r="L147" s="140">
        <f t="shared" si="128"/>
        <v>0.12395579723866144</v>
      </c>
      <c r="M147" s="140">
        <f t="shared" si="128"/>
        <v>0.11456914390237312</v>
      </c>
      <c r="N147" s="140">
        <f t="shared" si="128"/>
        <v>0.10027774869318788</v>
      </c>
      <c r="O147" s="140">
        <f t="shared" si="128"/>
        <v>0.10780342646585647</v>
      </c>
      <c r="P147" s="140">
        <f t="shared" si="128"/>
        <v>0.11973740250479915</v>
      </c>
      <c r="Q147" s="140">
        <f t="shared" si="128"/>
        <v>0.1196150681744081</v>
      </c>
      <c r="R147" s="140">
        <f t="shared" si="128"/>
        <v>0.11158776553030325</v>
      </c>
      <c r="S147" s="140">
        <f t="shared" si="128"/>
        <v>0.11391346836777137</v>
      </c>
      <c r="T147" s="140">
        <f t="shared" si="128"/>
        <v>0.10651579747356302</v>
      </c>
      <c r="U147" s="140">
        <f t="shared" si="128"/>
        <v>9.2222196120713543E-2</v>
      </c>
      <c r="V147" s="140">
        <f t="shared" si="128"/>
        <v>0.13588625892017794</v>
      </c>
      <c r="W147" s="140">
        <f t="shared" si="128"/>
        <v>0.14605376663421649</v>
      </c>
      <c r="X147" s="140">
        <f t="shared" si="128"/>
        <v>0.13591119762211895</v>
      </c>
      <c r="Y147" s="140">
        <f t="shared" si="128"/>
        <v>0.11944934829361872</v>
      </c>
      <c r="DA147" s="175"/>
    </row>
    <row r="148" spans="1:105" ht="11.45" customHeight="1" x14ac:dyDescent="0.25">
      <c r="A148" s="109" t="s">
        <v>141</v>
      </c>
      <c r="B148" s="124">
        <f t="shared" si="119"/>
        <v>5.1673439881432706E-2</v>
      </c>
      <c r="C148" s="124">
        <f t="shared" ref="C148:Y148" si="129">IF(C56=0,0,C56/C$47)</f>
        <v>5.3327796736682115E-2</v>
      </c>
      <c r="D148" s="124">
        <f t="shared" si="129"/>
        <v>5.3374549343624636E-2</v>
      </c>
      <c r="E148" s="124">
        <f t="shared" si="129"/>
        <v>4.8354324526370521E-2</v>
      </c>
      <c r="F148" s="124">
        <f t="shared" si="129"/>
        <v>4.7243549850102047E-2</v>
      </c>
      <c r="G148" s="124">
        <f t="shared" si="129"/>
        <v>5.0306916606761821E-2</v>
      </c>
      <c r="H148" s="124">
        <f t="shared" si="129"/>
        <v>5.0312570252251165E-2</v>
      </c>
      <c r="I148" s="124">
        <f t="shared" si="129"/>
        <v>5.3961498642778584E-2</v>
      </c>
      <c r="J148" s="124">
        <f t="shared" si="129"/>
        <v>5.4585477046445063E-2</v>
      </c>
      <c r="K148" s="124">
        <f t="shared" si="129"/>
        <v>6.0966072679497427E-2</v>
      </c>
      <c r="L148" s="124">
        <f t="shared" si="129"/>
        <v>6.6324428338637928E-2</v>
      </c>
      <c r="M148" s="124">
        <f t="shared" si="129"/>
        <v>6.6125136061293999E-2</v>
      </c>
      <c r="N148" s="124">
        <f t="shared" si="129"/>
        <v>6.4797425737140743E-2</v>
      </c>
      <c r="O148" s="124">
        <f t="shared" si="129"/>
        <v>7.3293774257537483E-2</v>
      </c>
      <c r="P148" s="124">
        <f t="shared" si="129"/>
        <v>7.346909626237258E-2</v>
      </c>
      <c r="Q148" s="124">
        <f t="shared" si="129"/>
        <v>8.5193631616810664E-2</v>
      </c>
      <c r="R148" s="124">
        <f t="shared" si="129"/>
        <v>8.130941003790873E-2</v>
      </c>
      <c r="S148" s="124">
        <f t="shared" si="129"/>
        <v>7.3816795918728154E-2</v>
      </c>
      <c r="T148" s="124">
        <f t="shared" si="129"/>
        <v>7.0349372975665278E-2</v>
      </c>
      <c r="U148" s="124">
        <f t="shared" si="129"/>
        <v>6.5569124455081229E-2</v>
      </c>
      <c r="V148" s="124">
        <f t="shared" si="129"/>
        <v>5.2975673333678787E-2</v>
      </c>
      <c r="W148" s="124">
        <f t="shared" si="129"/>
        <v>6.1653855758176286E-2</v>
      </c>
      <c r="X148" s="124">
        <f t="shared" si="129"/>
        <v>6.7644226457919329E-2</v>
      </c>
      <c r="Y148" s="124">
        <f t="shared" si="129"/>
        <v>7.1932365006414561E-2</v>
      </c>
      <c r="DA148" s="176"/>
    </row>
    <row r="149" spans="1:105" ht="11.45" customHeight="1" x14ac:dyDescent="0.25">
      <c r="A149" s="128" t="str">
        <f>$A$27</f>
        <v>Domestic coastal shipping</v>
      </c>
      <c r="B149" s="140">
        <f t="shared" si="119"/>
        <v>5.99144921212667E-5</v>
      </c>
      <c r="C149" s="140">
        <f t="shared" ref="C149:Y149" si="130">IF(C57=0,0,C57/C$47)</f>
        <v>5.1282770804982201E-5</v>
      </c>
      <c r="D149" s="140">
        <f t="shared" si="130"/>
        <v>5.3961287278313423E-5</v>
      </c>
      <c r="E149" s="140">
        <f t="shared" si="130"/>
        <v>5.0749825072369717E-5</v>
      </c>
      <c r="F149" s="140">
        <f t="shared" si="130"/>
        <v>5.5463830729439408E-5</v>
      </c>
      <c r="G149" s="140">
        <f t="shared" si="130"/>
        <v>6.8873033061138302E-5</v>
      </c>
      <c r="H149" s="140">
        <f t="shared" si="130"/>
        <v>6.7983809572912021E-5</v>
      </c>
      <c r="I149" s="140">
        <f t="shared" si="130"/>
        <v>7.6169217967413198E-5</v>
      </c>
      <c r="J149" s="140">
        <f t="shared" si="130"/>
        <v>9.3129415353621664E-5</v>
      </c>
      <c r="K149" s="140">
        <f t="shared" si="130"/>
        <v>1.0301736676118987E-4</v>
      </c>
      <c r="L149" s="140">
        <f t="shared" si="130"/>
        <v>1.3949564720423474E-4</v>
      </c>
      <c r="M149" s="140">
        <f t="shared" si="130"/>
        <v>1.3619884929825333E-4</v>
      </c>
      <c r="N149" s="140">
        <f t="shared" si="130"/>
        <v>1.3353426769157256E-4</v>
      </c>
      <c r="O149" s="140">
        <f t="shared" si="130"/>
        <v>1.147940286877075E-4</v>
      </c>
      <c r="P149" s="140">
        <f t="shared" si="130"/>
        <v>1.5106888666457824E-4</v>
      </c>
      <c r="Q149" s="140">
        <f t="shared" si="130"/>
        <v>2.2997410904502901E-4</v>
      </c>
      <c r="R149" s="140">
        <f t="shared" si="130"/>
        <v>2.5305355805319718E-4</v>
      </c>
      <c r="S149" s="140">
        <f t="shared" si="130"/>
        <v>2.8031152210734146E-4</v>
      </c>
      <c r="T149" s="140">
        <f t="shared" si="130"/>
        <v>3.549303929479275E-4</v>
      </c>
      <c r="U149" s="140">
        <f t="shared" si="130"/>
        <v>4.0233849252134898E-4</v>
      </c>
      <c r="V149" s="140">
        <f t="shared" si="130"/>
        <v>2.9425837937120371E-4</v>
      </c>
      <c r="W149" s="140">
        <f t="shared" si="130"/>
        <v>2.2791133536189593E-4</v>
      </c>
      <c r="X149" s="140">
        <f t="shared" si="130"/>
        <v>3.4696494052410994E-4</v>
      </c>
      <c r="Y149" s="140">
        <f t="shared" si="130"/>
        <v>4.077482316334734E-4</v>
      </c>
      <c r="DA149" s="175"/>
    </row>
    <row r="150" spans="1:105" ht="11.45" customHeight="1" x14ac:dyDescent="0.25">
      <c r="A150" s="138" t="str">
        <f>$A$28</f>
        <v>Inland waterways</v>
      </c>
      <c r="B150" s="127">
        <f t="shared" si="119"/>
        <v>5.1613525389311438E-2</v>
      </c>
      <c r="C150" s="127">
        <f t="shared" ref="C150:Y150" si="131">IF(C58=0,0,C58/C$47)</f>
        <v>5.3276513965877133E-2</v>
      </c>
      <c r="D150" s="127">
        <f t="shared" si="131"/>
        <v>5.3320588056346326E-2</v>
      </c>
      <c r="E150" s="127">
        <f t="shared" si="131"/>
        <v>4.8303574701298153E-2</v>
      </c>
      <c r="F150" s="127">
        <f t="shared" si="131"/>
        <v>4.7188086019372612E-2</v>
      </c>
      <c r="G150" s="127">
        <f t="shared" si="131"/>
        <v>5.0238043573700687E-2</v>
      </c>
      <c r="H150" s="127">
        <f t="shared" si="131"/>
        <v>5.0244586442678256E-2</v>
      </c>
      <c r="I150" s="127">
        <f t="shared" si="131"/>
        <v>5.3885329424811175E-2</v>
      </c>
      <c r="J150" s="127">
        <f t="shared" si="131"/>
        <v>5.449234763109144E-2</v>
      </c>
      <c r="K150" s="127">
        <f t="shared" si="131"/>
        <v>6.0863055312736239E-2</v>
      </c>
      <c r="L150" s="127">
        <f t="shared" si="131"/>
        <v>6.618493269143369E-2</v>
      </c>
      <c r="M150" s="127">
        <f t="shared" si="131"/>
        <v>6.5988937211995752E-2</v>
      </c>
      <c r="N150" s="127">
        <f t="shared" si="131"/>
        <v>6.4663891469449175E-2</v>
      </c>
      <c r="O150" s="127">
        <f t="shared" si="131"/>
        <v>7.3178980228849777E-2</v>
      </c>
      <c r="P150" s="127">
        <f t="shared" si="131"/>
        <v>7.3318027375708E-2</v>
      </c>
      <c r="Q150" s="127">
        <f t="shared" si="131"/>
        <v>8.4963657507765633E-2</v>
      </c>
      <c r="R150" s="127">
        <f t="shared" si="131"/>
        <v>8.1056356479855526E-2</v>
      </c>
      <c r="S150" s="127">
        <f t="shared" si="131"/>
        <v>7.3536484396620819E-2</v>
      </c>
      <c r="T150" s="127">
        <f t="shared" si="131"/>
        <v>6.9994442582717351E-2</v>
      </c>
      <c r="U150" s="127">
        <f t="shared" si="131"/>
        <v>6.5166785962559884E-2</v>
      </c>
      <c r="V150" s="127">
        <f t="shared" si="131"/>
        <v>5.268141495430758E-2</v>
      </c>
      <c r="W150" s="127">
        <f t="shared" si="131"/>
        <v>6.1425944422814391E-2</v>
      </c>
      <c r="X150" s="127">
        <f t="shared" si="131"/>
        <v>6.7297261517395207E-2</v>
      </c>
      <c r="Y150" s="127">
        <f t="shared" si="131"/>
        <v>7.1524616774781086E-2</v>
      </c>
      <c r="DA150" s="178"/>
    </row>
    <row r="151" spans="1:105" ht="11.45" customHeight="1" x14ac:dyDescent="0.25">
      <c r="A151" s="27" t="s">
        <v>169</v>
      </c>
      <c r="B151" s="31">
        <f t="shared" ref="B151:Y151" si="132">IF(B59=0,0,B59/B$59)</f>
        <v>1</v>
      </c>
      <c r="C151" s="31">
        <f t="shared" si="132"/>
        <v>1</v>
      </c>
      <c r="D151" s="31">
        <f t="shared" si="132"/>
        <v>1</v>
      </c>
      <c r="E151" s="31">
        <f t="shared" si="132"/>
        <v>1</v>
      </c>
      <c r="F151" s="31">
        <f t="shared" si="132"/>
        <v>1</v>
      </c>
      <c r="G151" s="31">
        <f t="shared" si="132"/>
        <v>1</v>
      </c>
      <c r="H151" s="31">
        <f t="shared" si="132"/>
        <v>1</v>
      </c>
      <c r="I151" s="31">
        <f t="shared" si="132"/>
        <v>1</v>
      </c>
      <c r="J151" s="31">
        <f t="shared" si="132"/>
        <v>1</v>
      </c>
      <c r="K151" s="31">
        <f t="shared" si="132"/>
        <v>1</v>
      </c>
      <c r="L151" s="31">
        <f t="shared" si="132"/>
        <v>1</v>
      </c>
      <c r="M151" s="31">
        <f t="shared" si="132"/>
        <v>1</v>
      </c>
      <c r="N151" s="31">
        <f t="shared" si="132"/>
        <v>1</v>
      </c>
      <c r="O151" s="31">
        <f t="shared" si="132"/>
        <v>1</v>
      </c>
      <c r="P151" s="31">
        <f t="shared" si="132"/>
        <v>1</v>
      </c>
      <c r="Q151" s="31">
        <f t="shared" si="132"/>
        <v>1</v>
      </c>
      <c r="R151" s="31">
        <f t="shared" si="132"/>
        <v>1</v>
      </c>
      <c r="S151" s="31">
        <f t="shared" si="132"/>
        <v>1</v>
      </c>
      <c r="T151" s="31">
        <f t="shared" si="132"/>
        <v>1</v>
      </c>
      <c r="U151" s="31">
        <f t="shared" si="132"/>
        <v>1</v>
      </c>
      <c r="V151" s="31">
        <f t="shared" si="132"/>
        <v>1</v>
      </c>
      <c r="W151" s="31">
        <f t="shared" si="132"/>
        <v>1</v>
      </c>
      <c r="X151" s="31">
        <f t="shared" si="132"/>
        <v>1</v>
      </c>
      <c r="Y151" s="31">
        <f t="shared" si="132"/>
        <v>1</v>
      </c>
      <c r="DA151" s="173"/>
    </row>
    <row r="152" spans="1:105" ht="11.45" customHeight="1" x14ac:dyDescent="0.25">
      <c r="A152" s="128" t="str">
        <f>$A$30</f>
        <v>Intra-EEA</v>
      </c>
      <c r="B152" s="140">
        <f t="shared" ref="B152:Y152" si="133">IF(B60=0,0,B60/B$59)</f>
        <v>0.24201376047388051</v>
      </c>
      <c r="C152" s="140">
        <f t="shared" si="133"/>
        <v>0.24076737317863356</v>
      </c>
      <c r="D152" s="140">
        <f t="shared" si="133"/>
        <v>0.24319233902078771</v>
      </c>
      <c r="E152" s="140">
        <f t="shared" si="133"/>
        <v>0.23662509386212785</v>
      </c>
      <c r="F152" s="140">
        <f t="shared" si="133"/>
        <v>0.23617617994119131</v>
      </c>
      <c r="G152" s="140">
        <f t="shared" si="133"/>
        <v>0.21490905019420597</v>
      </c>
      <c r="H152" s="140">
        <f t="shared" si="133"/>
        <v>0.20564280796435494</v>
      </c>
      <c r="I152" s="140">
        <f t="shared" si="133"/>
        <v>0.20238587889573548</v>
      </c>
      <c r="J152" s="140">
        <f t="shared" si="133"/>
        <v>0.19095717660386169</v>
      </c>
      <c r="K152" s="140">
        <f t="shared" si="133"/>
        <v>0.22217532361866915</v>
      </c>
      <c r="L152" s="140">
        <f t="shared" si="133"/>
        <v>0.2338117499150219</v>
      </c>
      <c r="M152" s="140">
        <f t="shared" si="133"/>
        <v>0.21648917187054723</v>
      </c>
      <c r="N152" s="140">
        <f t="shared" si="133"/>
        <v>0.21662305052466646</v>
      </c>
      <c r="O152" s="140">
        <f t="shared" si="133"/>
        <v>0.21940489765357946</v>
      </c>
      <c r="P152" s="140">
        <f t="shared" si="133"/>
        <v>0.22350018851294398</v>
      </c>
      <c r="Q152" s="140">
        <f t="shared" si="133"/>
        <v>0.21514058464992786</v>
      </c>
      <c r="R152" s="140">
        <f t="shared" si="133"/>
        <v>0.20400467152936247</v>
      </c>
      <c r="S152" s="140">
        <f t="shared" si="133"/>
        <v>0.20163901191925734</v>
      </c>
      <c r="T152" s="140">
        <f t="shared" si="133"/>
        <v>0.20912764075632281</v>
      </c>
      <c r="U152" s="140">
        <f t="shared" si="133"/>
        <v>0.21560214301197297</v>
      </c>
      <c r="V152" s="140">
        <f t="shared" si="133"/>
        <v>0.19401124633647393</v>
      </c>
      <c r="W152" s="140">
        <f t="shared" si="133"/>
        <v>0.19379967079593</v>
      </c>
      <c r="X152" s="140">
        <f t="shared" si="133"/>
        <v>0.20879614675931751</v>
      </c>
      <c r="Y152" s="140">
        <f t="shared" si="133"/>
        <v>0.22551879310740491</v>
      </c>
      <c r="DA152" s="175"/>
    </row>
    <row r="153" spans="1:105" ht="11.45" customHeight="1" x14ac:dyDescent="0.25">
      <c r="A153" s="138" t="str">
        <f>$A$31</f>
        <v>Extra-EEA</v>
      </c>
      <c r="B153" s="127">
        <f t="shared" ref="B153:Y153" si="134">IF(B61=0,0,B61/B$59)</f>
        <v>0.75798623952611954</v>
      </c>
      <c r="C153" s="127">
        <f t="shared" si="134"/>
        <v>0.75923262682136639</v>
      </c>
      <c r="D153" s="127">
        <f t="shared" si="134"/>
        <v>0.75680766097921226</v>
      </c>
      <c r="E153" s="127">
        <f t="shared" si="134"/>
        <v>0.76337490613787218</v>
      </c>
      <c r="F153" s="127">
        <f t="shared" si="134"/>
        <v>0.76382382005880867</v>
      </c>
      <c r="G153" s="127">
        <f t="shared" si="134"/>
        <v>0.78509094980579397</v>
      </c>
      <c r="H153" s="127">
        <f t="shared" si="134"/>
        <v>0.79435719203564503</v>
      </c>
      <c r="I153" s="127">
        <f t="shared" si="134"/>
        <v>0.79761412110426455</v>
      </c>
      <c r="J153" s="127">
        <f t="shared" si="134"/>
        <v>0.80904282339613831</v>
      </c>
      <c r="K153" s="127">
        <f t="shared" si="134"/>
        <v>0.77782467638133079</v>
      </c>
      <c r="L153" s="127">
        <f t="shared" si="134"/>
        <v>0.76618825008497804</v>
      </c>
      <c r="M153" s="127">
        <f t="shared" si="134"/>
        <v>0.78351082812945283</v>
      </c>
      <c r="N153" s="127">
        <f t="shared" si="134"/>
        <v>0.78337694947533354</v>
      </c>
      <c r="O153" s="127">
        <f t="shared" si="134"/>
        <v>0.78059510234642049</v>
      </c>
      <c r="P153" s="127">
        <f t="shared" si="134"/>
        <v>0.77649981148705605</v>
      </c>
      <c r="Q153" s="127">
        <f t="shared" si="134"/>
        <v>0.7848594153500722</v>
      </c>
      <c r="R153" s="127">
        <f t="shared" si="134"/>
        <v>0.79599532847063759</v>
      </c>
      <c r="S153" s="127">
        <f t="shared" si="134"/>
        <v>0.79836098808074274</v>
      </c>
      <c r="T153" s="127">
        <f t="shared" si="134"/>
        <v>0.79087235924367716</v>
      </c>
      <c r="U153" s="127">
        <f t="shared" si="134"/>
        <v>0.78439785698802689</v>
      </c>
      <c r="V153" s="127">
        <f t="shared" si="134"/>
        <v>0.80598875366352607</v>
      </c>
      <c r="W153" s="127">
        <f t="shared" si="134"/>
        <v>0.80620032920407003</v>
      </c>
      <c r="X153" s="127">
        <f t="shared" si="134"/>
        <v>0.79120385324068254</v>
      </c>
      <c r="Y153" s="127">
        <f t="shared" si="134"/>
        <v>0.77448120689259514</v>
      </c>
      <c r="DA153" s="178"/>
    </row>
    <row r="154" spans="1:105" x14ac:dyDescent="0.25">
      <c r="A154" s="106"/>
      <c r="B154" s="106"/>
      <c r="C154" s="106"/>
      <c r="D154" s="106"/>
      <c r="E154" s="106"/>
      <c r="F154" s="106"/>
      <c r="G154" s="106"/>
      <c r="H154" s="106"/>
      <c r="I154" s="106"/>
      <c r="J154" s="106"/>
      <c r="K154" s="106"/>
      <c r="L154" s="106"/>
      <c r="M154" s="106"/>
      <c r="N154" s="106"/>
      <c r="O154" s="106"/>
      <c r="P154" s="106"/>
      <c r="Q154" s="106"/>
      <c r="R154" s="106"/>
      <c r="S154" s="106"/>
      <c r="T154" s="106"/>
      <c r="U154" s="106"/>
      <c r="V154" s="106"/>
      <c r="W154" s="106"/>
      <c r="X154" s="106"/>
      <c r="Y154" s="106"/>
      <c r="DA154" s="171"/>
    </row>
    <row r="155" spans="1:105" ht="11.45" customHeight="1" x14ac:dyDescent="0.25">
      <c r="A155" s="53" t="s">
        <v>41</v>
      </c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DA155" s="172"/>
    </row>
    <row r="156" spans="1:105" ht="11.45" customHeight="1" x14ac:dyDescent="0.25">
      <c r="A156" s="27" t="s">
        <v>33</v>
      </c>
      <c r="B156" s="31">
        <f t="shared" ref="B156:B168" si="135">IF(B64=0,0,B64/B$64)</f>
        <v>1</v>
      </c>
      <c r="C156" s="31">
        <f t="shared" ref="C156:W156" si="136">IF(C64=0,0,C64/C$64)</f>
        <v>1</v>
      </c>
      <c r="D156" s="31">
        <f t="shared" si="136"/>
        <v>1</v>
      </c>
      <c r="E156" s="31">
        <f t="shared" si="136"/>
        <v>1</v>
      </c>
      <c r="F156" s="31">
        <f t="shared" si="136"/>
        <v>1</v>
      </c>
      <c r="G156" s="31">
        <f t="shared" si="136"/>
        <v>1</v>
      </c>
      <c r="H156" s="31">
        <f t="shared" si="136"/>
        <v>1</v>
      </c>
      <c r="I156" s="31">
        <f t="shared" si="136"/>
        <v>1</v>
      </c>
      <c r="J156" s="31">
        <f t="shared" si="136"/>
        <v>1</v>
      </c>
      <c r="K156" s="31">
        <f t="shared" si="136"/>
        <v>1</v>
      </c>
      <c r="L156" s="31">
        <f t="shared" si="136"/>
        <v>1</v>
      </c>
      <c r="M156" s="31">
        <f t="shared" si="136"/>
        <v>1</v>
      </c>
      <c r="N156" s="31">
        <f t="shared" si="136"/>
        <v>1</v>
      </c>
      <c r="O156" s="31">
        <f t="shared" si="136"/>
        <v>1</v>
      </c>
      <c r="P156" s="31">
        <f t="shared" si="136"/>
        <v>1</v>
      </c>
      <c r="Q156" s="31">
        <f t="shared" si="136"/>
        <v>1</v>
      </c>
      <c r="R156" s="31">
        <f t="shared" si="136"/>
        <v>1</v>
      </c>
      <c r="S156" s="31">
        <f t="shared" si="136"/>
        <v>1</v>
      </c>
      <c r="T156" s="31">
        <f t="shared" si="136"/>
        <v>1</v>
      </c>
      <c r="U156" s="31">
        <f t="shared" si="136"/>
        <v>1</v>
      </c>
      <c r="V156" s="31">
        <f t="shared" si="136"/>
        <v>1</v>
      </c>
      <c r="W156" s="31">
        <f t="shared" si="136"/>
        <v>1</v>
      </c>
      <c r="X156" s="31">
        <f t="shared" ref="X156:Y156" si="137">IF(X64=0,0,X64/X$64)</f>
        <v>1</v>
      </c>
      <c r="Y156" s="31">
        <f t="shared" si="137"/>
        <v>1</v>
      </c>
      <c r="DA156" s="173"/>
    </row>
    <row r="157" spans="1:105" ht="11.45" customHeight="1" x14ac:dyDescent="0.25">
      <c r="A157" s="136" t="str">
        <f>$A$5</f>
        <v>Road transport</v>
      </c>
      <c r="B157" s="139">
        <f t="shared" si="135"/>
        <v>0.68867247009029908</v>
      </c>
      <c r="C157" s="139">
        <f t="shared" ref="C157:W157" si="138">IF(C65=0,0,C65/C$64)</f>
        <v>0.69633473471685614</v>
      </c>
      <c r="D157" s="139">
        <f t="shared" si="138"/>
        <v>0.69226301453359784</v>
      </c>
      <c r="E157" s="139">
        <f t="shared" si="138"/>
        <v>0.70125362884216091</v>
      </c>
      <c r="F157" s="139">
        <f t="shared" si="138"/>
        <v>0.68653076207145913</v>
      </c>
      <c r="G157" s="139">
        <f t="shared" si="138"/>
        <v>0.68379005071998689</v>
      </c>
      <c r="H157" s="139">
        <f t="shared" si="138"/>
        <v>0.69044728586554105</v>
      </c>
      <c r="I157" s="139">
        <f t="shared" si="138"/>
        <v>0.68603261495504075</v>
      </c>
      <c r="J157" s="139">
        <f t="shared" si="138"/>
        <v>0.68544866600275411</v>
      </c>
      <c r="K157" s="139">
        <f t="shared" si="138"/>
        <v>0.6915652781179118</v>
      </c>
      <c r="L157" s="139">
        <f t="shared" si="138"/>
        <v>0.70216081966104305</v>
      </c>
      <c r="M157" s="139">
        <f t="shared" si="138"/>
        <v>0.68714100950112678</v>
      </c>
      <c r="N157" s="139">
        <f t="shared" si="138"/>
        <v>0.67982332020263125</v>
      </c>
      <c r="O157" s="139">
        <f t="shared" si="138"/>
        <v>0.66799872862226883</v>
      </c>
      <c r="P157" s="139">
        <f t="shared" si="138"/>
        <v>0.64798300604712267</v>
      </c>
      <c r="Q157" s="139">
        <f t="shared" si="138"/>
        <v>0.63332692964643511</v>
      </c>
      <c r="R157" s="139">
        <f t="shared" si="138"/>
        <v>0.62577677175595681</v>
      </c>
      <c r="S157" s="139">
        <f t="shared" si="138"/>
        <v>0.62300998364395255</v>
      </c>
      <c r="T157" s="139">
        <f t="shared" si="138"/>
        <v>0.61481408839769958</v>
      </c>
      <c r="U157" s="139">
        <f t="shared" si="138"/>
        <v>0.61079739512765885</v>
      </c>
      <c r="V157" s="139">
        <f t="shared" si="138"/>
        <v>0.73331602467763679</v>
      </c>
      <c r="W157" s="139">
        <f t="shared" si="138"/>
        <v>0.72357877110490865</v>
      </c>
      <c r="X157" s="139">
        <f t="shared" ref="X157:Y157" si="139">IF(X65=0,0,X65/X$64)</f>
        <v>0.6430204756373149</v>
      </c>
      <c r="Y157" s="139">
        <f t="shared" si="139"/>
        <v>0.63540126145653308</v>
      </c>
      <c r="DA157" s="174"/>
    </row>
    <row r="158" spans="1:105" ht="11.45" customHeight="1" x14ac:dyDescent="0.25">
      <c r="A158" s="128" t="str">
        <f>$A$6</f>
        <v>Powered two-wheelers</v>
      </c>
      <c r="B158" s="140">
        <f t="shared" si="135"/>
        <v>1.3715989969709587E-2</v>
      </c>
      <c r="C158" s="140">
        <f t="shared" ref="C158:W158" si="140">IF(C66=0,0,C66/C$64)</f>
        <v>1.4245979753411648E-2</v>
      </c>
      <c r="D158" s="140">
        <f t="shared" si="140"/>
        <v>1.4248191242091972E-2</v>
      </c>
      <c r="E158" s="140">
        <f t="shared" si="140"/>
        <v>1.4392221817627681E-2</v>
      </c>
      <c r="F158" s="140">
        <f t="shared" si="140"/>
        <v>1.3314377050245504E-2</v>
      </c>
      <c r="G158" s="140">
        <f t="shared" si="140"/>
        <v>1.3563434471752556E-2</v>
      </c>
      <c r="H158" s="140">
        <f t="shared" si="140"/>
        <v>1.3935468631221795E-2</v>
      </c>
      <c r="I158" s="140">
        <f t="shared" si="140"/>
        <v>1.4965716056798035E-2</v>
      </c>
      <c r="J158" s="140">
        <f t="shared" si="140"/>
        <v>1.5831748599638207E-2</v>
      </c>
      <c r="K158" s="140">
        <f t="shared" si="140"/>
        <v>1.6376754484447774E-2</v>
      </c>
      <c r="L158" s="140">
        <f t="shared" si="140"/>
        <v>1.6704877518105815E-2</v>
      </c>
      <c r="M158" s="140">
        <f t="shared" si="140"/>
        <v>1.6593299620554128E-2</v>
      </c>
      <c r="N158" s="140">
        <f t="shared" si="140"/>
        <v>1.6603088333172242E-2</v>
      </c>
      <c r="O158" s="140">
        <f t="shared" si="140"/>
        <v>1.6482963293080053E-2</v>
      </c>
      <c r="P158" s="140">
        <f t="shared" si="140"/>
        <v>1.5809509571169916E-2</v>
      </c>
      <c r="Q158" s="140">
        <f t="shared" si="140"/>
        <v>1.5868050510062501E-2</v>
      </c>
      <c r="R158" s="140">
        <f t="shared" si="140"/>
        <v>1.5721159004176432E-2</v>
      </c>
      <c r="S158" s="140">
        <f t="shared" si="140"/>
        <v>1.4452928860609088E-2</v>
      </c>
      <c r="T158" s="140">
        <f t="shared" si="140"/>
        <v>1.3573572463633218E-2</v>
      </c>
      <c r="U158" s="140">
        <f t="shared" si="140"/>
        <v>1.4309024824412554E-2</v>
      </c>
      <c r="V158" s="140">
        <f t="shared" si="140"/>
        <v>1.9064238452447684E-2</v>
      </c>
      <c r="W158" s="140">
        <f t="shared" si="140"/>
        <v>1.752931990130982E-2</v>
      </c>
      <c r="X158" s="140">
        <f t="shared" ref="X158:Y158" si="141">IF(X66=0,0,X66/X$64)</f>
        <v>1.559406001316282E-2</v>
      </c>
      <c r="Y158" s="140">
        <f t="shared" si="141"/>
        <v>1.5432799367440667E-2</v>
      </c>
      <c r="DA158" s="175"/>
    </row>
    <row r="159" spans="1:105" ht="11.45" customHeight="1" x14ac:dyDescent="0.25">
      <c r="A159" s="128" t="str">
        <f>$A$7</f>
        <v>Passenger cars</v>
      </c>
      <c r="B159" s="140">
        <f t="shared" si="135"/>
        <v>0.63312596695614753</v>
      </c>
      <c r="C159" s="140">
        <f t="shared" ref="C159:W159" si="142">IF(C67=0,0,C67/C$64)</f>
        <v>0.64139490974211222</v>
      </c>
      <c r="D159" s="140">
        <f t="shared" si="142"/>
        <v>0.6387436693293842</v>
      </c>
      <c r="E159" s="140">
        <f t="shared" si="142"/>
        <v>0.64825222331403831</v>
      </c>
      <c r="F159" s="140">
        <f t="shared" si="142"/>
        <v>0.63639578568761157</v>
      </c>
      <c r="G159" s="140">
        <f t="shared" si="142"/>
        <v>0.63378956347877036</v>
      </c>
      <c r="H159" s="140">
        <f t="shared" si="142"/>
        <v>0.64098128901867446</v>
      </c>
      <c r="I159" s="140">
        <f t="shared" si="142"/>
        <v>0.63663669660868361</v>
      </c>
      <c r="J159" s="140">
        <f t="shared" si="142"/>
        <v>0.63387699829134003</v>
      </c>
      <c r="K159" s="140">
        <f t="shared" si="142"/>
        <v>0.6379213974561051</v>
      </c>
      <c r="L159" s="140">
        <f t="shared" si="142"/>
        <v>0.64513602842210538</v>
      </c>
      <c r="M159" s="140">
        <f t="shared" si="142"/>
        <v>0.63213412642714117</v>
      </c>
      <c r="N159" s="140">
        <f t="shared" si="142"/>
        <v>0.62478958701097975</v>
      </c>
      <c r="O159" s="140">
        <f t="shared" si="142"/>
        <v>0.61629434514131531</v>
      </c>
      <c r="P159" s="140">
        <f t="shared" si="142"/>
        <v>0.59854445363334186</v>
      </c>
      <c r="Q159" s="140">
        <f t="shared" si="142"/>
        <v>0.58454136564651371</v>
      </c>
      <c r="R159" s="140">
        <f t="shared" si="142"/>
        <v>0.57760648902606349</v>
      </c>
      <c r="S159" s="140">
        <f t="shared" si="142"/>
        <v>0.57461406094422696</v>
      </c>
      <c r="T159" s="140">
        <f t="shared" si="142"/>
        <v>0.57029653459918472</v>
      </c>
      <c r="U159" s="140">
        <f t="shared" si="142"/>
        <v>0.56796702414709355</v>
      </c>
      <c r="V159" s="140">
        <f t="shared" si="142"/>
        <v>0.68110941657558011</v>
      </c>
      <c r="W159" s="140">
        <f t="shared" si="142"/>
        <v>0.67849051942331406</v>
      </c>
      <c r="X159" s="140">
        <f t="shared" ref="X159:Y159" si="143">IF(X67=0,0,X67/X$64)</f>
        <v>0.60319220540345575</v>
      </c>
      <c r="Y159" s="140">
        <f t="shared" si="143"/>
        <v>0.59809248340058008</v>
      </c>
      <c r="DA159" s="175"/>
    </row>
    <row r="160" spans="1:105" ht="11.45" customHeight="1" x14ac:dyDescent="0.25">
      <c r="A160" s="128" t="str">
        <f>$A$8</f>
        <v>Motor coaches, buses and trolley buses</v>
      </c>
      <c r="B160" s="140">
        <f t="shared" si="135"/>
        <v>4.1830513164441883E-2</v>
      </c>
      <c r="C160" s="140">
        <f t="shared" ref="C160:W160" si="144">IF(C68=0,0,C68/C$64)</f>
        <v>4.0693845221332271E-2</v>
      </c>
      <c r="D160" s="140">
        <f t="shared" si="144"/>
        <v>3.927115396212158E-2</v>
      </c>
      <c r="E160" s="140">
        <f t="shared" si="144"/>
        <v>3.8609183710494967E-2</v>
      </c>
      <c r="F160" s="140">
        <f t="shared" si="144"/>
        <v>3.682059933360194E-2</v>
      </c>
      <c r="G160" s="140">
        <f t="shared" si="144"/>
        <v>3.6437052769463837E-2</v>
      </c>
      <c r="H160" s="140">
        <f t="shared" si="144"/>
        <v>3.5530528215644841E-2</v>
      </c>
      <c r="I160" s="140">
        <f t="shared" si="144"/>
        <v>3.4430202289559196E-2</v>
      </c>
      <c r="J160" s="140">
        <f t="shared" si="144"/>
        <v>3.5739919111775854E-2</v>
      </c>
      <c r="K160" s="140">
        <f t="shared" si="144"/>
        <v>3.7267126177358979E-2</v>
      </c>
      <c r="L160" s="140">
        <f t="shared" si="144"/>
        <v>4.0319913720831969E-2</v>
      </c>
      <c r="M160" s="140">
        <f t="shared" si="144"/>
        <v>3.8413583453431405E-2</v>
      </c>
      <c r="N160" s="140">
        <f t="shared" si="144"/>
        <v>3.8430644858479253E-2</v>
      </c>
      <c r="O160" s="140">
        <f t="shared" si="144"/>
        <v>3.5221420187873428E-2</v>
      </c>
      <c r="P160" s="140">
        <f t="shared" si="144"/>
        <v>3.3629042842610805E-2</v>
      </c>
      <c r="Q160" s="140">
        <f t="shared" si="144"/>
        <v>3.2917513489858878E-2</v>
      </c>
      <c r="R160" s="140">
        <f t="shared" si="144"/>
        <v>3.2449123725716914E-2</v>
      </c>
      <c r="S160" s="140">
        <f t="shared" si="144"/>
        <v>3.3942993839116573E-2</v>
      </c>
      <c r="T160" s="140">
        <f t="shared" si="144"/>
        <v>3.0943981334881701E-2</v>
      </c>
      <c r="U160" s="140">
        <f t="shared" si="144"/>
        <v>2.8521346156152774E-2</v>
      </c>
      <c r="V160" s="140">
        <f t="shared" si="144"/>
        <v>3.314236964960901E-2</v>
      </c>
      <c r="W160" s="140">
        <f t="shared" si="144"/>
        <v>2.7558931780284766E-2</v>
      </c>
      <c r="X160" s="140">
        <f t="shared" ref="X160:Y160" si="145">IF(X68=0,0,X68/X$64)</f>
        <v>2.4234210220696339E-2</v>
      </c>
      <c r="Y160" s="140">
        <f t="shared" si="145"/>
        <v>2.1875978688512349E-2</v>
      </c>
      <c r="DA160" s="175"/>
    </row>
    <row r="161" spans="1:105" ht="11.45" customHeight="1" x14ac:dyDescent="0.25">
      <c r="A161" s="109" t="str">
        <f>$A$9</f>
        <v>Rail, metro and tram</v>
      </c>
      <c r="B161" s="124">
        <f t="shared" si="135"/>
        <v>2.6276465702367857E-3</v>
      </c>
      <c r="C161" s="124">
        <f t="shared" ref="C161:W161" si="146">IF(C69=0,0,C69/C$64)</f>
        <v>2.535187255187765E-3</v>
      </c>
      <c r="D161" s="124">
        <f t="shared" si="146"/>
        <v>2.5098418546723425E-3</v>
      </c>
      <c r="E161" s="124">
        <f t="shared" si="146"/>
        <v>2.393001266763953E-3</v>
      </c>
      <c r="F161" s="124">
        <f t="shared" si="146"/>
        <v>2.2430717362781154E-3</v>
      </c>
      <c r="G161" s="124">
        <f t="shared" si="146"/>
        <v>2.1713623919011327E-3</v>
      </c>
      <c r="H161" s="124">
        <f t="shared" si="146"/>
        <v>2.0618834775784165E-3</v>
      </c>
      <c r="I161" s="124">
        <f t="shared" si="146"/>
        <v>1.9193741409907383E-3</v>
      </c>
      <c r="J161" s="124">
        <f t="shared" si="146"/>
        <v>2.0414705094625894E-3</v>
      </c>
      <c r="K161" s="124">
        <f t="shared" si="146"/>
        <v>2.1148084199936194E-3</v>
      </c>
      <c r="L161" s="124">
        <f t="shared" si="146"/>
        <v>2.3254084378433789E-3</v>
      </c>
      <c r="M161" s="124">
        <f t="shared" si="146"/>
        <v>2.2221081727600866E-3</v>
      </c>
      <c r="N161" s="124">
        <f t="shared" si="146"/>
        <v>1.8953817398526362E-3</v>
      </c>
      <c r="O161" s="124">
        <f t="shared" si="146"/>
        <v>1.9474943574593233E-3</v>
      </c>
      <c r="P161" s="124">
        <f t="shared" si="146"/>
        <v>2.0317177373166528E-3</v>
      </c>
      <c r="Q161" s="124">
        <f t="shared" si="146"/>
        <v>2.0607142237869169E-3</v>
      </c>
      <c r="R161" s="124">
        <f t="shared" si="146"/>
        <v>1.9756010996243847E-3</v>
      </c>
      <c r="S161" s="124">
        <f t="shared" si="146"/>
        <v>1.9859123989311861E-3</v>
      </c>
      <c r="T161" s="124">
        <f t="shared" si="146"/>
        <v>1.5238599666238812E-3</v>
      </c>
      <c r="U161" s="124">
        <f t="shared" si="146"/>
        <v>1.3340246005223804E-3</v>
      </c>
      <c r="V161" s="124">
        <f t="shared" si="146"/>
        <v>1.7181187973003248E-3</v>
      </c>
      <c r="W161" s="124">
        <f t="shared" si="146"/>
        <v>1.3735490138154752E-3</v>
      </c>
      <c r="X161" s="124">
        <f t="shared" ref="X161:Y161" si="147">IF(X69=0,0,X69/X$64)</f>
        <v>1.5135119924158363E-3</v>
      </c>
      <c r="Y161" s="124">
        <f t="shared" si="147"/>
        <v>1.6868888315617273E-3</v>
      </c>
      <c r="DA161" s="176"/>
    </row>
    <row r="162" spans="1:105" ht="11.45" customHeight="1" x14ac:dyDescent="0.25">
      <c r="A162" s="128" t="str">
        <f>$A$10</f>
        <v>Metro and tram, urban light rail</v>
      </c>
      <c r="B162" s="140">
        <f t="shared" si="135"/>
        <v>0</v>
      </c>
      <c r="C162" s="140">
        <f t="shared" ref="C162:W162" si="148">IF(C70=0,0,C70/C$64)</f>
        <v>0</v>
      </c>
      <c r="D162" s="140">
        <f t="shared" si="148"/>
        <v>0</v>
      </c>
      <c r="E162" s="140">
        <f t="shared" si="148"/>
        <v>0</v>
      </c>
      <c r="F162" s="140">
        <f t="shared" si="148"/>
        <v>0</v>
      </c>
      <c r="G162" s="140">
        <f t="shared" si="148"/>
        <v>0</v>
      </c>
      <c r="H162" s="140">
        <f t="shared" si="148"/>
        <v>0</v>
      </c>
      <c r="I162" s="140">
        <f t="shared" si="148"/>
        <v>0</v>
      </c>
      <c r="J162" s="140">
        <f t="shared" si="148"/>
        <v>0</v>
      </c>
      <c r="K162" s="140">
        <f t="shared" si="148"/>
        <v>0</v>
      </c>
      <c r="L162" s="140">
        <f t="shared" si="148"/>
        <v>0</v>
      </c>
      <c r="M162" s="140">
        <f t="shared" si="148"/>
        <v>0</v>
      </c>
      <c r="N162" s="140">
        <f t="shared" si="148"/>
        <v>0</v>
      </c>
      <c r="O162" s="140">
        <f t="shared" si="148"/>
        <v>0</v>
      </c>
      <c r="P162" s="140">
        <f t="shared" si="148"/>
        <v>0</v>
      </c>
      <c r="Q162" s="140">
        <f t="shared" si="148"/>
        <v>0</v>
      </c>
      <c r="R162" s="140">
        <f t="shared" si="148"/>
        <v>0</v>
      </c>
      <c r="S162" s="140">
        <f t="shared" si="148"/>
        <v>0</v>
      </c>
      <c r="T162" s="140">
        <f t="shared" si="148"/>
        <v>0</v>
      </c>
      <c r="U162" s="140">
        <f t="shared" si="148"/>
        <v>0</v>
      </c>
      <c r="V162" s="140">
        <f t="shared" si="148"/>
        <v>0</v>
      </c>
      <c r="W162" s="140">
        <f t="shared" si="148"/>
        <v>0</v>
      </c>
      <c r="X162" s="140">
        <f t="shared" ref="X162:Y162" si="149">IF(X70=0,0,X70/X$64)</f>
        <v>0</v>
      </c>
      <c r="Y162" s="140">
        <f t="shared" si="149"/>
        <v>0</v>
      </c>
      <c r="DA162" s="175"/>
    </row>
    <row r="163" spans="1:105" ht="11.45" customHeight="1" x14ac:dyDescent="0.25">
      <c r="A163" s="128" t="str">
        <f>$A$11</f>
        <v>Conventional passenger trains</v>
      </c>
      <c r="B163" s="140">
        <f t="shared" si="135"/>
        <v>2.6276465702367857E-3</v>
      </c>
      <c r="C163" s="140">
        <f t="shared" ref="C163:W163" si="150">IF(C71=0,0,C71/C$64)</f>
        <v>2.535187255187765E-3</v>
      </c>
      <c r="D163" s="140">
        <f t="shared" si="150"/>
        <v>2.5098418546723425E-3</v>
      </c>
      <c r="E163" s="140">
        <f t="shared" si="150"/>
        <v>2.393001266763953E-3</v>
      </c>
      <c r="F163" s="140">
        <f t="shared" si="150"/>
        <v>2.2430717362781154E-3</v>
      </c>
      <c r="G163" s="140">
        <f t="shared" si="150"/>
        <v>2.1713623919011327E-3</v>
      </c>
      <c r="H163" s="140">
        <f t="shared" si="150"/>
        <v>2.0618834775784165E-3</v>
      </c>
      <c r="I163" s="140">
        <f t="shared" si="150"/>
        <v>1.9193741409907383E-3</v>
      </c>
      <c r="J163" s="140">
        <f t="shared" si="150"/>
        <v>2.0414705094625894E-3</v>
      </c>
      <c r="K163" s="140">
        <f t="shared" si="150"/>
        <v>2.1148084199936194E-3</v>
      </c>
      <c r="L163" s="140">
        <f t="shared" si="150"/>
        <v>2.3254084378433789E-3</v>
      </c>
      <c r="M163" s="140">
        <f t="shared" si="150"/>
        <v>2.2221081727600866E-3</v>
      </c>
      <c r="N163" s="140">
        <f t="shared" si="150"/>
        <v>1.8953817398526362E-3</v>
      </c>
      <c r="O163" s="140">
        <f t="shared" si="150"/>
        <v>1.9474943574593233E-3</v>
      </c>
      <c r="P163" s="140">
        <f t="shared" si="150"/>
        <v>2.0317177373166528E-3</v>
      </c>
      <c r="Q163" s="140">
        <f t="shared" si="150"/>
        <v>2.0607142237869169E-3</v>
      </c>
      <c r="R163" s="140">
        <f t="shared" si="150"/>
        <v>1.9756010996243847E-3</v>
      </c>
      <c r="S163" s="140">
        <f t="shared" si="150"/>
        <v>1.9859123989311861E-3</v>
      </c>
      <c r="T163" s="140">
        <f t="shared" si="150"/>
        <v>1.5238599666238812E-3</v>
      </c>
      <c r="U163" s="140">
        <f t="shared" si="150"/>
        <v>1.3340246005223804E-3</v>
      </c>
      <c r="V163" s="140">
        <f t="shared" si="150"/>
        <v>1.7181187973003248E-3</v>
      </c>
      <c r="W163" s="140">
        <f t="shared" si="150"/>
        <v>1.3735490138154752E-3</v>
      </c>
      <c r="X163" s="140">
        <f t="shared" ref="X163:Y163" si="151">IF(X71=0,0,X71/X$64)</f>
        <v>1.5135119924158363E-3</v>
      </c>
      <c r="Y163" s="140">
        <f t="shared" si="151"/>
        <v>1.6868888315617273E-3</v>
      </c>
      <c r="DA163" s="175"/>
    </row>
    <row r="164" spans="1:105" ht="11.45" customHeight="1" x14ac:dyDescent="0.25">
      <c r="A164" s="128" t="str">
        <f>$A$12</f>
        <v>High speed passenger trains</v>
      </c>
      <c r="B164" s="140">
        <f t="shared" si="135"/>
        <v>0</v>
      </c>
      <c r="C164" s="140">
        <f t="shared" ref="C164:W164" si="152">IF(C72=0,0,C72/C$64)</f>
        <v>0</v>
      </c>
      <c r="D164" s="140">
        <f t="shared" si="152"/>
        <v>0</v>
      </c>
      <c r="E164" s="140">
        <f t="shared" si="152"/>
        <v>0</v>
      </c>
      <c r="F164" s="140">
        <f t="shared" si="152"/>
        <v>0</v>
      </c>
      <c r="G164" s="140">
        <f t="shared" si="152"/>
        <v>0</v>
      </c>
      <c r="H164" s="140">
        <f t="shared" si="152"/>
        <v>0</v>
      </c>
      <c r="I164" s="140">
        <f t="shared" si="152"/>
        <v>0</v>
      </c>
      <c r="J164" s="140">
        <f t="shared" si="152"/>
        <v>0</v>
      </c>
      <c r="K164" s="140">
        <f t="shared" si="152"/>
        <v>0</v>
      </c>
      <c r="L164" s="140">
        <f t="shared" si="152"/>
        <v>0</v>
      </c>
      <c r="M164" s="140">
        <f t="shared" si="152"/>
        <v>0</v>
      </c>
      <c r="N164" s="140">
        <f t="shared" si="152"/>
        <v>0</v>
      </c>
      <c r="O164" s="140">
        <f t="shared" si="152"/>
        <v>0</v>
      </c>
      <c r="P164" s="140">
        <f t="shared" si="152"/>
        <v>0</v>
      </c>
      <c r="Q164" s="140">
        <f t="shared" si="152"/>
        <v>0</v>
      </c>
      <c r="R164" s="140">
        <f t="shared" si="152"/>
        <v>0</v>
      </c>
      <c r="S164" s="140">
        <f t="shared" si="152"/>
        <v>0</v>
      </c>
      <c r="T164" s="140">
        <f t="shared" si="152"/>
        <v>0</v>
      </c>
      <c r="U164" s="140">
        <f t="shared" si="152"/>
        <v>0</v>
      </c>
      <c r="V164" s="140">
        <f t="shared" si="152"/>
        <v>0</v>
      </c>
      <c r="W164" s="140">
        <f t="shared" si="152"/>
        <v>0</v>
      </c>
      <c r="X164" s="140">
        <f t="shared" ref="X164:Y164" si="153">IF(X72=0,0,X72/X$64)</f>
        <v>0</v>
      </c>
      <c r="Y164" s="140">
        <f t="shared" si="153"/>
        <v>0</v>
      </c>
      <c r="DA164" s="175"/>
    </row>
    <row r="165" spans="1:105" ht="11.45" customHeight="1" x14ac:dyDescent="0.25">
      <c r="A165" s="109" t="str">
        <f>$A$13</f>
        <v>Aviation</v>
      </c>
      <c r="B165" s="124">
        <f t="shared" si="135"/>
        <v>0.30869988333946424</v>
      </c>
      <c r="C165" s="124">
        <f t="shared" ref="C165:W165" si="154">IF(C73=0,0,C73/C$64)</f>
        <v>0.30113007802795611</v>
      </c>
      <c r="D165" s="124">
        <f t="shared" si="154"/>
        <v>0.30522714361172992</v>
      </c>
      <c r="E165" s="124">
        <f t="shared" si="154"/>
        <v>0.29635336989107519</v>
      </c>
      <c r="F165" s="124">
        <f t="shared" si="154"/>
        <v>0.31122616619226284</v>
      </c>
      <c r="G165" s="124">
        <f t="shared" si="154"/>
        <v>0.31403858688811209</v>
      </c>
      <c r="H165" s="124">
        <f t="shared" si="154"/>
        <v>0.30749083065688054</v>
      </c>
      <c r="I165" s="124">
        <f t="shared" si="154"/>
        <v>0.31204801090396861</v>
      </c>
      <c r="J165" s="124">
        <f t="shared" si="154"/>
        <v>0.31250986348778326</v>
      </c>
      <c r="K165" s="124">
        <f t="shared" si="154"/>
        <v>0.30631991346209464</v>
      </c>
      <c r="L165" s="124">
        <f t="shared" si="154"/>
        <v>0.2955137719011135</v>
      </c>
      <c r="M165" s="124">
        <f t="shared" si="154"/>
        <v>0.31063688232611314</v>
      </c>
      <c r="N165" s="124">
        <f t="shared" si="154"/>
        <v>0.31828129805751615</v>
      </c>
      <c r="O165" s="124">
        <f t="shared" si="154"/>
        <v>0.33005377702027178</v>
      </c>
      <c r="P165" s="124">
        <f t="shared" si="154"/>
        <v>0.34998527621556064</v>
      </c>
      <c r="Q165" s="124">
        <f t="shared" si="154"/>
        <v>0.36461235612977805</v>
      </c>
      <c r="R165" s="124">
        <f t="shared" si="154"/>
        <v>0.37224762714441878</v>
      </c>
      <c r="S165" s="124">
        <f t="shared" si="154"/>
        <v>0.37500410395711625</v>
      </c>
      <c r="T165" s="124">
        <f t="shared" si="154"/>
        <v>0.38366205163567652</v>
      </c>
      <c r="U165" s="124">
        <f t="shared" si="154"/>
        <v>0.38786858027181881</v>
      </c>
      <c r="V165" s="124">
        <f t="shared" si="154"/>
        <v>0.26496585652506283</v>
      </c>
      <c r="W165" s="124">
        <f t="shared" si="154"/>
        <v>0.27504767988127599</v>
      </c>
      <c r="X165" s="124">
        <f t="shared" ref="X165:Y165" si="155">IF(X73=0,0,X73/X$64)</f>
        <v>0.35546601237026931</v>
      </c>
      <c r="Y165" s="124">
        <f t="shared" si="155"/>
        <v>0.36291184971190521</v>
      </c>
      <c r="DA165" s="176"/>
    </row>
    <row r="166" spans="1:105" ht="11.45" customHeight="1" x14ac:dyDescent="0.25">
      <c r="A166" s="128" t="str">
        <f>$A$14</f>
        <v>Domestic</v>
      </c>
      <c r="B166" s="140">
        <f t="shared" si="135"/>
        <v>0</v>
      </c>
      <c r="C166" s="140">
        <f t="shared" ref="C166:W166" si="156">IF(C74=0,0,C74/C$64)</f>
        <v>0</v>
      </c>
      <c r="D166" s="140">
        <f t="shared" si="156"/>
        <v>0</v>
      </c>
      <c r="E166" s="140">
        <f t="shared" si="156"/>
        <v>0</v>
      </c>
      <c r="F166" s="140">
        <f t="shared" si="156"/>
        <v>0</v>
      </c>
      <c r="G166" s="140">
        <f t="shared" si="156"/>
        <v>0</v>
      </c>
      <c r="H166" s="140">
        <f t="shared" si="156"/>
        <v>0</v>
      </c>
      <c r="I166" s="140">
        <f t="shared" si="156"/>
        <v>0</v>
      </c>
      <c r="J166" s="140">
        <f t="shared" si="156"/>
        <v>0</v>
      </c>
      <c r="K166" s="140">
        <f t="shared" si="156"/>
        <v>0</v>
      </c>
      <c r="L166" s="140">
        <f t="shared" si="156"/>
        <v>0</v>
      </c>
      <c r="M166" s="140">
        <f t="shared" si="156"/>
        <v>0</v>
      </c>
      <c r="N166" s="140">
        <f t="shared" si="156"/>
        <v>0</v>
      </c>
      <c r="O166" s="140">
        <f t="shared" si="156"/>
        <v>0</v>
      </c>
      <c r="P166" s="140">
        <f t="shared" si="156"/>
        <v>0</v>
      </c>
      <c r="Q166" s="140">
        <f t="shared" si="156"/>
        <v>0</v>
      </c>
      <c r="R166" s="140">
        <f t="shared" si="156"/>
        <v>0</v>
      </c>
      <c r="S166" s="140">
        <f t="shared" si="156"/>
        <v>0</v>
      </c>
      <c r="T166" s="140">
        <f t="shared" si="156"/>
        <v>0</v>
      </c>
      <c r="U166" s="140">
        <f t="shared" si="156"/>
        <v>0</v>
      </c>
      <c r="V166" s="140">
        <f t="shared" si="156"/>
        <v>0</v>
      </c>
      <c r="W166" s="140">
        <f t="shared" si="156"/>
        <v>0</v>
      </c>
      <c r="X166" s="140">
        <f t="shared" ref="X166:Y166" si="157">IF(X74=0,0,X74/X$64)</f>
        <v>0</v>
      </c>
      <c r="Y166" s="140">
        <f t="shared" si="157"/>
        <v>0</v>
      </c>
      <c r="DA166" s="175"/>
    </row>
    <row r="167" spans="1:105" ht="11.45" customHeight="1" x14ac:dyDescent="0.25">
      <c r="A167" s="128" t="str">
        <f>$A$15</f>
        <v>International - Intra-EEAwCHUK</v>
      </c>
      <c r="B167" s="140">
        <f t="shared" si="135"/>
        <v>7.0281705275703779E-2</v>
      </c>
      <c r="C167" s="140">
        <f t="shared" ref="C167:W167" si="158">IF(C75=0,0,C75/C$64)</f>
        <v>6.8557608445302134E-2</v>
      </c>
      <c r="D167" s="140">
        <f t="shared" si="158"/>
        <v>6.9083489266534154E-2</v>
      </c>
      <c r="E167" s="140">
        <f t="shared" si="158"/>
        <v>6.8213634721358649E-2</v>
      </c>
      <c r="F167" s="140">
        <f t="shared" si="158"/>
        <v>6.7657150422429063E-2</v>
      </c>
      <c r="G167" s="140">
        <f t="shared" si="158"/>
        <v>6.8147255644177979E-2</v>
      </c>
      <c r="H167" s="140">
        <f t="shared" si="158"/>
        <v>6.862043815095302E-2</v>
      </c>
      <c r="I167" s="140">
        <f t="shared" si="158"/>
        <v>7.1186672207994225E-2</v>
      </c>
      <c r="J167" s="140">
        <f t="shared" si="158"/>
        <v>6.8899669637831437E-2</v>
      </c>
      <c r="K167" s="140">
        <f t="shared" si="158"/>
        <v>6.477998079237994E-2</v>
      </c>
      <c r="L167" s="140">
        <f t="shared" si="158"/>
        <v>6.1839367847930871E-2</v>
      </c>
      <c r="M167" s="140">
        <f t="shared" si="158"/>
        <v>6.6098206980601287E-2</v>
      </c>
      <c r="N167" s="140">
        <f t="shared" si="158"/>
        <v>6.6821392189801029E-2</v>
      </c>
      <c r="O167" s="140">
        <f t="shared" si="158"/>
        <v>6.9337633767922055E-2</v>
      </c>
      <c r="P167" s="140">
        <f t="shared" si="158"/>
        <v>7.4375072225282432E-2</v>
      </c>
      <c r="Q167" s="140">
        <f t="shared" si="158"/>
        <v>7.8368123908360093E-2</v>
      </c>
      <c r="R167" s="140">
        <f t="shared" si="158"/>
        <v>8.4229989647286979E-2</v>
      </c>
      <c r="S167" s="140">
        <f t="shared" si="158"/>
        <v>8.7005074793180509E-2</v>
      </c>
      <c r="T167" s="140">
        <f t="shared" si="158"/>
        <v>8.76551537603103E-2</v>
      </c>
      <c r="U167" s="140">
        <f t="shared" si="158"/>
        <v>8.5662859878219713E-2</v>
      </c>
      <c r="V167" s="140">
        <f t="shared" si="158"/>
        <v>4.5776862258760848E-2</v>
      </c>
      <c r="W167" s="140">
        <f t="shared" si="158"/>
        <v>5.3115915435243986E-2</v>
      </c>
      <c r="X167" s="140">
        <f t="shared" ref="X167:Y167" si="159">IF(X75=0,0,X75/X$64)</f>
        <v>8.2149174419215654E-2</v>
      </c>
      <c r="Y167" s="140">
        <f t="shared" si="159"/>
        <v>8.2105594294589523E-2</v>
      </c>
      <c r="DA167" s="175"/>
    </row>
    <row r="168" spans="1:105" ht="11.45" customHeight="1" x14ac:dyDescent="0.25">
      <c r="A168" s="128" t="str">
        <f>$A$16</f>
        <v>International - Extra-EEAwCHUK</v>
      </c>
      <c r="B168" s="140">
        <f t="shared" si="135"/>
        <v>0.23841817806376048</v>
      </c>
      <c r="C168" s="140">
        <f t="shared" ref="C168:W168" si="160">IF(C76=0,0,C76/C$64)</f>
        <v>0.23257246958265396</v>
      </c>
      <c r="D168" s="140">
        <f t="shared" si="160"/>
        <v>0.23614365434519577</v>
      </c>
      <c r="E168" s="140">
        <f t="shared" si="160"/>
        <v>0.22813973516971653</v>
      </c>
      <c r="F168" s="140">
        <f t="shared" si="160"/>
        <v>0.24356901576983381</v>
      </c>
      <c r="G168" s="140">
        <f t="shared" si="160"/>
        <v>0.24589133124393411</v>
      </c>
      <c r="H168" s="140">
        <f t="shared" si="160"/>
        <v>0.23887039250592751</v>
      </c>
      <c r="I168" s="140">
        <f t="shared" si="160"/>
        <v>0.24086133869597434</v>
      </c>
      <c r="J168" s="140">
        <f t="shared" si="160"/>
        <v>0.24361019384995183</v>
      </c>
      <c r="K168" s="140">
        <f t="shared" si="160"/>
        <v>0.24153993266971471</v>
      </c>
      <c r="L168" s="140">
        <f t="shared" si="160"/>
        <v>0.23367440405318263</v>
      </c>
      <c r="M168" s="140">
        <f t="shared" si="160"/>
        <v>0.24453867534551182</v>
      </c>
      <c r="N168" s="140">
        <f t="shared" si="160"/>
        <v>0.25145990586771516</v>
      </c>
      <c r="O168" s="140">
        <f t="shared" si="160"/>
        <v>0.26071614325234976</v>
      </c>
      <c r="P168" s="140">
        <f t="shared" si="160"/>
        <v>0.27561020399027819</v>
      </c>
      <c r="Q168" s="140">
        <f t="shared" si="160"/>
        <v>0.28624423222141793</v>
      </c>
      <c r="R168" s="140">
        <f t="shared" si="160"/>
        <v>0.28801763749713177</v>
      </c>
      <c r="S168" s="140">
        <f t="shared" si="160"/>
        <v>0.28799902916393577</v>
      </c>
      <c r="T168" s="140">
        <f t="shared" si="160"/>
        <v>0.29600689787536622</v>
      </c>
      <c r="U168" s="140">
        <f t="shared" si="160"/>
        <v>0.30220572039359911</v>
      </c>
      <c r="V168" s="140">
        <f t="shared" si="160"/>
        <v>0.21918899426630198</v>
      </c>
      <c r="W168" s="140">
        <f t="shared" si="160"/>
        <v>0.22193176444603199</v>
      </c>
      <c r="X168" s="140">
        <f t="shared" ref="X168:Y168" si="161">IF(X76=0,0,X76/X$64)</f>
        <v>0.27331683795105366</v>
      </c>
      <c r="Y168" s="140">
        <f t="shared" si="161"/>
        <v>0.28080625541731569</v>
      </c>
      <c r="DA168" s="175"/>
    </row>
    <row r="169" spans="1:105" ht="11.45" customHeight="1" x14ac:dyDescent="0.25">
      <c r="A169" s="27" t="s">
        <v>34</v>
      </c>
      <c r="B169" s="31">
        <f t="shared" ref="B169:B180" si="162">IF(B77=0,0,B77/B$77)</f>
        <v>1</v>
      </c>
      <c r="C169" s="31">
        <f t="shared" ref="C169:W169" si="163">IF(C77=0,0,C77/C$77)</f>
        <v>1</v>
      </c>
      <c r="D169" s="31">
        <f t="shared" si="163"/>
        <v>1</v>
      </c>
      <c r="E169" s="31">
        <f t="shared" si="163"/>
        <v>1</v>
      </c>
      <c r="F169" s="31">
        <f t="shared" si="163"/>
        <v>1</v>
      </c>
      <c r="G169" s="31">
        <f t="shared" si="163"/>
        <v>1</v>
      </c>
      <c r="H169" s="31">
        <f t="shared" si="163"/>
        <v>1</v>
      </c>
      <c r="I169" s="31">
        <f t="shared" si="163"/>
        <v>1</v>
      </c>
      <c r="J169" s="31">
        <f t="shared" si="163"/>
        <v>1</v>
      </c>
      <c r="K169" s="31">
        <f t="shared" si="163"/>
        <v>1</v>
      </c>
      <c r="L169" s="31">
        <f t="shared" si="163"/>
        <v>1</v>
      </c>
      <c r="M169" s="31">
        <f t="shared" si="163"/>
        <v>1</v>
      </c>
      <c r="N169" s="31">
        <f t="shared" si="163"/>
        <v>1</v>
      </c>
      <c r="O169" s="31">
        <f t="shared" si="163"/>
        <v>1</v>
      </c>
      <c r="P169" s="31">
        <f t="shared" si="163"/>
        <v>1</v>
      </c>
      <c r="Q169" s="31">
        <f t="shared" si="163"/>
        <v>1</v>
      </c>
      <c r="R169" s="31">
        <f t="shared" si="163"/>
        <v>1</v>
      </c>
      <c r="S169" s="31">
        <f t="shared" si="163"/>
        <v>1</v>
      </c>
      <c r="T169" s="31">
        <f t="shared" si="163"/>
        <v>1</v>
      </c>
      <c r="U169" s="31">
        <f t="shared" si="163"/>
        <v>1</v>
      </c>
      <c r="V169" s="31">
        <f t="shared" si="163"/>
        <v>1</v>
      </c>
      <c r="W169" s="31">
        <f t="shared" si="163"/>
        <v>1</v>
      </c>
      <c r="X169" s="31">
        <f t="shared" ref="X169:Y169" si="164">IF(X77=0,0,X77/X$77)</f>
        <v>1</v>
      </c>
      <c r="Y169" s="31">
        <f t="shared" si="164"/>
        <v>1</v>
      </c>
      <c r="DA169" s="173"/>
    </row>
    <row r="170" spans="1:105" ht="11.45" customHeight="1" x14ac:dyDescent="0.25">
      <c r="A170" s="136" t="str">
        <f>$A$18</f>
        <v>Road transport</v>
      </c>
      <c r="B170" s="139">
        <f t="shared" si="162"/>
        <v>0.83132152690754346</v>
      </c>
      <c r="C170" s="139">
        <f t="shared" ref="C170:W170" si="165">IF(C78=0,0,C78/C$77)</f>
        <v>0.83291381938540576</v>
      </c>
      <c r="D170" s="139">
        <f t="shared" si="165"/>
        <v>0.82958881232610915</v>
      </c>
      <c r="E170" s="139">
        <f t="shared" si="165"/>
        <v>0.82882821050709277</v>
      </c>
      <c r="F170" s="139">
        <f t="shared" si="165"/>
        <v>0.82852607739039774</v>
      </c>
      <c r="G170" s="139">
        <f t="shared" si="165"/>
        <v>0.81813838342199752</v>
      </c>
      <c r="H170" s="139">
        <f t="shared" si="165"/>
        <v>0.81028333471864378</v>
      </c>
      <c r="I170" s="139">
        <f t="shared" si="165"/>
        <v>0.80387829270336664</v>
      </c>
      <c r="J170" s="139">
        <f t="shared" si="165"/>
        <v>0.80340594651001285</v>
      </c>
      <c r="K170" s="139">
        <f t="shared" si="165"/>
        <v>0.81291141656405852</v>
      </c>
      <c r="L170" s="139">
        <f t="shared" si="165"/>
        <v>0.80368612972475983</v>
      </c>
      <c r="M170" s="139">
        <f t="shared" si="165"/>
        <v>0.81234101734644681</v>
      </c>
      <c r="N170" s="139">
        <f t="shared" si="165"/>
        <v>0.82835427975920684</v>
      </c>
      <c r="O170" s="139">
        <f t="shared" si="165"/>
        <v>0.81175427923756494</v>
      </c>
      <c r="P170" s="139">
        <f t="shared" si="165"/>
        <v>0.79660415622783864</v>
      </c>
      <c r="Q170" s="139">
        <f t="shared" si="165"/>
        <v>0.78713319810481674</v>
      </c>
      <c r="R170" s="139">
        <f t="shared" si="165"/>
        <v>0.79991678168921887</v>
      </c>
      <c r="S170" s="139">
        <f t="shared" si="165"/>
        <v>0.80452999627910293</v>
      </c>
      <c r="T170" s="139">
        <f t="shared" si="165"/>
        <v>0.81293091657339145</v>
      </c>
      <c r="U170" s="139">
        <f t="shared" si="165"/>
        <v>0.83068985235925397</v>
      </c>
      <c r="V170" s="139">
        <f t="shared" si="165"/>
        <v>0.80035713717182921</v>
      </c>
      <c r="W170" s="139">
        <f t="shared" si="165"/>
        <v>0.77760711671295368</v>
      </c>
      <c r="X170" s="139">
        <f t="shared" ref="X170:Y170" si="166">IF(X78=0,0,X78/X$77)</f>
        <v>0.7843491041363112</v>
      </c>
      <c r="Y170" s="139">
        <f t="shared" si="166"/>
        <v>0.79807598293681026</v>
      </c>
      <c r="DA170" s="174"/>
    </row>
    <row r="171" spans="1:105" ht="11.45" customHeight="1" x14ac:dyDescent="0.25">
      <c r="A171" s="128" t="str">
        <f>$A$19</f>
        <v>Light commercial vehicles</v>
      </c>
      <c r="B171" s="140">
        <f t="shared" si="162"/>
        <v>0.3773887617230533</v>
      </c>
      <c r="C171" s="140">
        <f t="shared" ref="C171:W171" si="167">IF(C79=0,0,C79/C$77)</f>
        <v>0.38920208901353426</v>
      </c>
      <c r="D171" s="140">
        <f t="shared" si="167"/>
        <v>0.3851175102440047</v>
      </c>
      <c r="E171" s="140">
        <f t="shared" si="167"/>
        <v>0.38488212114593051</v>
      </c>
      <c r="F171" s="140">
        <f t="shared" si="167"/>
        <v>0.38932855800619864</v>
      </c>
      <c r="G171" s="140">
        <f t="shared" si="167"/>
        <v>0.38518586506281188</v>
      </c>
      <c r="H171" s="140">
        <f t="shared" si="167"/>
        <v>0.36400837855787449</v>
      </c>
      <c r="I171" s="140">
        <f t="shared" si="167"/>
        <v>0.3617907519508371</v>
      </c>
      <c r="J171" s="140">
        <f t="shared" si="167"/>
        <v>0.36253910336538775</v>
      </c>
      <c r="K171" s="140">
        <f t="shared" si="167"/>
        <v>0.37342222139228082</v>
      </c>
      <c r="L171" s="140">
        <f t="shared" si="167"/>
        <v>0.36779626984379382</v>
      </c>
      <c r="M171" s="140">
        <f t="shared" si="167"/>
        <v>0.3680692774356179</v>
      </c>
      <c r="N171" s="140">
        <f t="shared" si="167"/>
        <v>0.37125219289345213</v>
      </c>
      <c r="O171" s="140">
        <f t="shared" si="167"/>
        <v>0.38090245390604821</v>
      </c>
      <c r="P171" s="140">
        <f t="shared" si="167"/>
        <v>0.41697572245849468</v>
      </c>
      <c r="Q171" s="140">
        <f t="shared" si="167"/>
        <v>0.41881649948791277</v>
      </c>
      <c r="R171" s="140">
        <f t="shared" si="167"/>
        <v>0.43149573193237023</v>
      </c>
      <c r="S171" s="140">
        <f t="shared" si="167"/>
        <v>0.40154711784344482</v>
      </c>
      <c r="T171" s="140">
        <f t="shared" si="167"/>
        <v>0.37378885612735979</v>
      </c>
      <c r="U171" s="140">
        <f t="shared" si="167"/>
        <v>0.36770303353742456</v>
      </c>
      <c r="V171" s="140">
        <f t="shared" si="167"/>
        <v>0.36268714975043742</v>
      </c>
      <c r="W171" s="140">
        <f t="shared" si="167"/>
        <v>0.39575632776651565</v>
      </c>
      <c r="X171" s="140">
        <f t="shared" ref="X171:Y171" si="168">IF(X79=0,0,X79/X$77)</f>
        <v>0.40287415733377568</v>
      </c>
      <c r="Y171" s="140">
        <f t="shared" si="168"/>
        <v>0.39756817197825167</v>
      </c>
      <c r="DA171" s="175"/>
    </row>
    <row r="172" spans="1:105" ht="11.45" customHeight="1" x14ac:dyDescent="0.25">
      <c r="A172" s="128" t="str">
        <f>$A$20</f>
        <v>Heavy goods vehicles</v>
      </c>
      <c r="B172" s="140">
        <f t="shared" si="162"/>
        <v>0.45393276518449011</v>
      </c>
      <c r="C172" s="140">
        <f t="shared" ref="C172:W172" si="169">IF(C80=0,0,C80/C$77)</f>
        <v>0.4437117303718715</v>
      </c>
      <c r="D172" s="140">
        <f t="shared" si="169"/>
        <v>0.44447130208210445</v>
      </c>
      <c r="E172" s="140">
        <f t="shared" si="169"/>
        <v>0.44394608936116225</v>
      </c>
      <c r="F172" s="140">
        <f t="shared" si="169"/>
        <v>0.43919751938419921</v>
      </c>
      <c r="G172" s="140">
        <f t="shared" si="169"/>
        <v>0.43295251835918563</v>
      </c>
      <c r="H172" s="140">
        <f t="shared" si="169"/>
        <v>0.44627495616076929</v>
      </c>
      <c r="I172" s="140">
        <f t="shared" si="169"/>
        <v>0.4420875407525296</v>
      </c>
      <c r="J172" s="140">
        <f t="shared" si="169"/>
        <v>0.44086684314462521</v>
      </c>
      <c r="K172" s="140">
        <f t="shared" si="169"/>
        <v>0.4394891951717777</v>
      </c>
      <c r="L172" s="140">
        <f t="shared" si="169"/>
        <v>0.43588985988096607</v>
      </c>
      <c r="M172" s="140">
        <f t="shared" si="169"/>
        <v>0.44427173991082897</v>
      </c>
      <c r="N172" s="140">
        <f t="shared" si="169"/>
        <v>0.45710208686575476</v>
      </c>
      <c r="O172" s="140">
        <f t="shared" si="169"/>
        <v>0.43085182533151678</v>
      </c>
      <c r="P172" s="140">
        <f t="shared" si="169"/>
        <v>0.37962843376934385</v>
      </c>
      <c r="Q172" s="140">
        <f t="shared" si="169"/>
        <v>0.36831669861690386</v>
      </c>
      <c r="R172" s="140">
        <f t="shared" si="169"/>
        <v>0.36842104975684864</v>
      </c>
      <c r="S172" s="140">
        <f t="shared" si="169"/>
        <v>0.40298287843565811</v>
      </c>
      <c r="T172" s="140">
        <f t="shared" si="169"/>
        <v>0.43914206044603166</v>
      </c>
      <c r="U172" s="140">
        <f t="shared" si="169"/>
        <v>0.46298681882182952</v>
      </c>
      <c r="V172" s="140">
        <f t="shared" si="169"/>
        <v>0.43766998742139185</v>
      </c>
      <c r="W172" s="140">
        <f t="shared" si="169"/>
        <v>0.38185078894643809</v>
      </c>
      <c r="X172" s="140">
        <f t="shared" ref="X172:Y172" si="170">IF(X80=0,0,X80/X$77)</f>
        <v>0.38147494680253552</v>
      </c>
      <c r="Y172" s="140">
        <f t="shared" si="170"/>
        <v>0.40050781095855853</v>
      </c>
      <c r="DA172" s="175"/>
    </row>
    <row r="173" spans="1:105" ht="11.45" customHeight="1" x14ac:dyDescent="0.25">
      <c r="A173" s="109" t="str">
        <f>$A$21</f>
        <v>Rail transport</v>
      </c>
      <c r="B173" s="124">
        <f t="shared" si="162"/>
        <v>3.0560045481585756E-3</v>
      </c>
      <c r="C173" s="124">
        <f t="shared" ref="C173:W173" si="171">IF(C81=0,0,C81/C$77)</f>
        <v>2.785741870318091E-3</v>
      </c>
      <c r="D173" s="124">
        <f t="shared" si="171"/>
        <v>2.4130800833475135E-3</v>
      </c>
      <c r="E173" s="124">
        <f t="shared" si="171"/>
        <v>2.5586587334669648E-3</v>
      </c>
      <c r="F173" s="124">
        <f t="shared" si="171"/>
        <v>2.8192139865561554E-3</v>
      </c>
      <c r="G173" s="124">
        <f t="shared" si="171"/>
        <v>2.6614263866381561E-3</v>
      </c>
      <c r="H173" s="124">
        <f t="shared" si="171"/>
        <v>2.6813349192450638E-3</v>
      </c>
      <c r="I173" s="124">
        <f t="shared" si="171"/>
        <v>2.9773120616638344E-3</v>
      </c>
      <c r="J173" s="124">
        <f t="shared" si="171"/>
        <v>2.6998093266494753E-3</v>
      </c>
      <c r="K173" s="124">
        <f t="shared" si="171"/>
        <v>2.3218960457376146E-3</v>
      </c>
      <c r="L173" s="124">
        <f t="shared" si="171"/>
        <v>2.4934540361302095E-3</v>
      </c>
      <c r="M173" s="124">
        <f t="shared" si="171"/>
        <v>2.400299121014257E-3</v>
      </c>
      <c r="N173" s="124">
        <f t="shared" si="171"/>
        <v>2.0272488475418624E-3</v>
      </c>
      <c r="O173" s="124">
        <f t="shared" si="171"/>
        <v>2.1087861926058797E-3</v>
      </c>
      <c r="P173" s="124">
        <f t="shared" si="171"/>
        <v>2.5678932349092578E-3</v>
      </c>
      <c r="Q173" s="124">
        <f t="shared" si="171"/>
        <v>2.5841491705900395E-3</v>
      </c>
      <c r="R173" s="124">
        <f t="shared" si="171"/>
        <v>2.7314945687754288E-3</v>
      </c>
      <c r="S173" s="124">
        <f t="shared" si="171"/>
        <v>2.4308687231895652E-3</v>
      </c>
      <c r="T173" s="124">
        <f t="shared" si="171"/>
        <v>1.948020396074274E-3</v>
      </c>
      <c r="U173" s="124">
        <f t="shared" si="171"/>
        <v>1.7516768066974679E-3</v>
      </c>
      <c r="V173" s="124">
        <f t="shared" si="171"/>
        <v>2.2567663819024592E-3</v>
      </c>
      <c r="W173" s="124">
        <f t="shared" si="171"/>
        <v>2.3464672062892683E-3</v>
      </c>
      <c r="X173" s="124">
        <f t="shared" ref="X173:Y173" si="172">IF(X81=0,0,X81/X$77)</f>
        <v>2.2425729800206792E-3</v>
      </c>
      <c r="Y173" s="124">
        <f t="shared" si="172"/>
        <v>2.3653449071573294E-3</v>
      </c>
      <c r="DA173" s="176"/>
    </row>
    <row r="174" spans="1:105" ht="11.45" customHeight="1" x14ac:dyDescent="0.25">
      <c r="A174" s="109" t="str">
        <f>$A$22</f>
        <v>Aviation</v>
      </c>
      <c r="B174" s="124">
        <f t="shared" si="162"/>
        <v>0.1135417766783795</v>
      </c>
      <c r="C174" s="124">
        <f t="shared" ref="C174:W174" si="173">IF(C82=0,0,C82/C$77)</f>
        <v>0.11055759726295943</v>
      </c>
      <c r="D174" s="124">
        <f t="shared" si="173"/>
        <v>0.11423346527833561</v>
      </c>
      <c r="E174" s="124">
        <f t="shared" si="173"/>
        <v>0.11991100214231774</v>
      </c>
      <c r="F174" s="124">
        <f t="shared" si="173"/>
        <v>0.12105842982991755</v>
      </c>
      <c r="G174" s="124">
        <f t="shared" si="173"/>
        <v>0.12850608016457124</v>
      </c>
      <c r="H174" s="124">
        <f t="shared" si="173"/>
        <v>0.13620809695271444</v>
      </c>
      <c r="I174" s="124">
        <f t="shared" si="173"/>
        <v>0.13717029434007766</v>
      </c>
      <c r="J174" s="124">
        <f t="shared" si="173"/>
        <v>0.1377168910775623</v>
      </c>
      <c r="K174" s="124">
        <f t="shared" si="173"/>
        <v>0.12151508024576375</v>
      </c>
      <c r="L174" s="124">
        <f t="shared" si="173"/>
        <v>0.12620899664305796</v>
      </c>
      <c r="M174" s="124">
        <f t="shared" si="173"/>
        <v>0.11720822257149122</v>
      </c>
      <c r="N174" s="124">
        <f t="shared" si="173"/>
        <v>0.10272321408230543</v>
      </c>
      <c r="O174" s="124">
        <f t="shared" si="173"/>
        <v>0.11049694207107583</v>
      </c>
      <c r="P174" s="124">
        <f t="shared" si="173"/>
        <v>0.12421854337618876</v>
      </c>
      <c r="Q174" s="124">
        <f t="shared" si="173"/>
        <v>0.12284579221017193</v>
      </c>
      <c r="R174" s="124">
        <f t="shared" si="173"/>
        <v>0.11438472596837461</v>
      </c>
      <c r="S174" s="124">
        <f t="shared" si="173"/>
        <v>0.11714245638728371</v>
      </c>
      <c r="T174" s="124">
        <f t="shared" si="173"/>
        <v>0.11148738747414016</v>
      </c>
      <c r="U174" s="124">
        <f t="shared" si="173"/>
        <v>9.819440594273908E-2</v>
      </c>
      <c r="V174" s="124">
        <f t="shared" si="173"/>
        <v>0.14194000445625565</v>
      </c>
      <c r="W174" s="124">
        <f t="shared" si="173"/>
        <v>0.15456019114483086</v>
      </c>
      <c r="X174" s="124">
        <f t="shared" ref="X174:Y174" si="174">IF(X82=0,0,X82/X$77)</f>
        <v>0.14206096456952519</v>
      </c>
      <c r="Y174" s="124">
        <f t="shared" si="174"/>
        <v>0.12347336844392072</v>
      </c>
      <c r="DA174" s="176"/>
    </row>
    <row r="175" spans="1:105" ht="11.45" customHeight="1" x14ac:dyDescent="0.25">
      <c r="A175" s="128" t="s">
        <v>27</v>
      </c>
      <c r="B175" s="140">
        <f t="shared" si="162"/>
        <v>0</v>
      </c>
      <c r="C175" s="140">
        <f t="shared" ref="C175:W175" si="175">IF(C83=0,0,C83/C$77)</f>
        <v>0</v>
      </c>
      <c r="D175" s="140">
        <f t="shared" si="175"/>
        <v>0</v>
      </c>
      <c r="E175" s="140">
        <f t="shared" si="175"/>
        <v>0</v>
      </c>
      <c r="F175" s="140">
        <f t="shared" si="175"/>
        <v>0</v>
      </c>
      <c r="G175" s="140">
        <f t="shared" si="175"/>
        <v>0</v>
      </c>
      <c r="H175" s="140">
        <f t="shared" si="175"/>
        <v>0</v>
      </c>
      <c r="I175" s="140">
        <f t="shared" si="175"/>
        <v>0</v>
      </c>
      <c r="J175" s="140">
        <f t="shared" si="175"/>
        <v>0</v>
      </c>
      <c r="K175" s="140">
        <f t="shared" si="175"/>
        <v>0</v>
      </c>
      <c r="L175" s="140">
        <f t="shared" si="175"/>
        <v>0</v>
      </c>
      <c r="M175" s="140">
        <f t="shared" si="175"/>
        <v>0</v>
      </c>
      <c r="N175" s="140">
        <f t="shared" si="175"/>
        <v>0</v>
      </c>
      <c r="O175" s="140">
        <f t="shared" si="175"/>
        <v>0</v>
      </c>
      <c r="P175" s="140">
        <f t="shared" si="175"/>
        <v>0</v>
      </c>
      <c r="Q175" s="140">
        <f t="shared" si="175"/>
        <v>0</v>
      </c>
      <c r="R175" s="140">
        <f t="shared" si="175"/>
        <v>0</v>
      </c>
      <c r="S175" s="140">
        <f t="shared" si="175"/>
        <v>0</v>
      </c>
      <c r="T175" s="140">
        <f t="shared" si="175"/>
        <v>0</v>
      </c>
      <c r="U175" s="140">
        <f t="shared" si="175"/>
        <v>0</v>
      </c>
      <c r="V175" s="140">
        <f t="shared" si="175"/>
        <v>0</v>
      </c>
      <c r="W175" s="140">
        <f t="shared" si="175"/>
        <v>0</v>
      </c>
      <c r="X175" s="140">
        <f t="shared" ref="X175:Y175" si="176">IF(X83=0,0,X83/X$77)</f>
        <v>0</v>
      </c>
      <c r="Y175" s="140">
        <f t="shared" si="176"/>
        <v>0</v>
      </c>
      <c r="DA175" s="175"/>
    </row>
    <row r="176" spans="1:105" ht="11.45" customHeight="1" x14ac:dyDescent="0.25">
      <c r="A176" s="128" t="str">
        <f>$A$24</f>
        <v>International - Intra-EEAwCHUK</v>
      </c>
      <c r="B176" s="140">
        <f t="shared" si="162"/>
        <v>2.4702543835002288E-3</v>
      </c>
      <c r="C176" s="140">
        <f t="shared" ref="C176:W176" si="177">IF(C84=0,0,C84/C$77)</f>
        <v>3.2366195674802746E-3</v>
      </c>
      <c r="D176" s="140">
        <f t="shared" si="177"/>
        <v>2.5220353336027281E-3</v>
      </c>
      <c r="E176" s="140">
        <f t="shared" si="177"/>
        <v>2.5489978930491974E-3</v>
      </c>
      <c r="F176" s="140">
        <f t="shared" si="177"/>
        <v>2.6128440156621534E-3</v>
      </c>
      <c r="G176" s="140">
        <f t="shared" si="177"/>
        <v>2.5734989108484496E-3</v>
      </c>
      <c r="H176" s="140">
        <f t="shared" si="177"/>
        <v>2.5280963893456053E-3</v>
      </c>
      <c r="I176" s="140">
        <f t="shared" si="177"/>
        <v>2.6521055160890128E-3</v>
      </c>
      <c r="J176" s="140">
        <f t="shared" si="177"/>
        <v>3.2761065948802648E-3</v>
      </c>
      <c r="K176" s="140">
        <f t="shared" si="177"/>
        <v>3.5215511596571139E-3</v>
      </c>
      <c r="L176" s="140">
        <f t="shared" si="177"/>
        <v>3.5995126858386723E-3</v>
      </c>
      <c r="M176" s="140">
        <f t="shared" si="177"/>
        <v>2.8037922074493822E-3</v>
      </c>
      <c r="N176" s="140">
        <f t="shared" si="177"/>
        <v>2.2725450717994309E-3</v>
      </c>
      <c r="O176" s="140">
        <f t="shared" si="177"/>
        <v>2.545701366431214E-3</v>
      </c>
      <c r="P176" s="140">
        <f t="shared" si="177"/>
        <v>3.0700774960144071E-3</v>
      </c>
      <c r="Q176" s="140">
        <f t="shared" si="177"/>
        <v>3.0583442705206724E-3</v>
      </c>
      <c r="R176" s="140">
        <f t="shared" si="177"/>
        <v>3.2265431822051621E-3</v>
      </c>
      <c r="S176" s="140">
        <f t="shared" si="177"/>
        <v>2.7659424334488033E-3</v>
      </c>
      <c r="T176" s="140">
        <f t="shared" si="177"/>
        <v>2.1443170343389759E-3</v>
      </c>
      <c r="U176" s="140">
        <f t="shared" si="177"/>
        <v>1.9846353168787518E-3</v>
      </c>
      <c r="V176" s="140">
        <f t="shared" si="177"/>
        <v>1.7724787078085096E-3</v>
      </c>
      <c r="W176" s="140">
        <f t="shared" si="177"/>
        <v>2.1886298304663533E-3</v>
      </c>
      <c r="X176" s="140">
        <f t="shared" ref="X176:Y176" si="178">IF(X84=0,0,X84/X$77)</f>
        <v>2.0910378960418553E-3</v>
      </c>
      <c r="Y176" s="140">
        <f t="shared" si="178"/>
        <v>1.7874732690380307E-3</v>
      </c>
      <c r="DA176" s="175"/>
    </row>
    <row r="177" spans="1:105" ht="11.45" customHeight="1" x14ac:dyDescent="0.25">
      <c r="A177" s="128" t="str">
        <f>$A$25</f>
        <v>International - Extra-EEAwCHUK</v>
      </c>
      <c r="B177" s="140">
        <f t="shared" si="162"/>
        <v>0.11107152229487927</v>
      </c>
      <c r="C177" s="140">
        <f t="shared" ref="C177:W177" si="179">IF(C85=0,0,C85/C$77)</f>
        <v>0.10732097769547914</v>
      </c>
      <c r="D177" s="140">
        <f t="shared" si="179"/>
        <v>0.11171142994473288</v>
      </c>
      <c r="E177" s="140">
        <f t="shared" si="179"/>
        <v>0.11736200424926856</v>
      </c>
      <c r="F177" s="140">
        <f t="shared" si="179"/>
        <v>0.11844558581425539</v>
      </c>
      <c r="G177" s="140">
        <f t="shared" si="179"/>
        <v>0.12593258125372278</v>
      </c>
      <c r="H177" s="140">
        <f t="shared" si="179"/>
        <v>0.13368000056336884</v>
      </c>
      <c r="I177" s="140">
        <f t="shared" si="179"/>
        <v>0.13451818882398864</v>
      </c>
      <c r="J177" s="140">
        <f t="shared" si="179"/>
        <v>0.13444078448268204</v>
      </c>
      <c r="K177" s="140">
        <f t="shared" si="179"/>
        <v>0.11799352908610662</v>
      </c>
      <c r="L177" s="140">
        <f t="shared" si="179"/>
        <v>0.1226094839572193</v>
      </c>
      <c r="M177" s="140">
        <f t="shared" si="179"/>
        <v>0.11440443036404184</v>
      </c>
      <c r="N177" s="140">
        <f t="shared" si="179"/>
        <v>0.10045066901050601</v>
      </c>
      <c r="O177" s="140">
        <f t="shared" si="179"/>
        <v>0.10795124070464461</v>
      </c>
      <c r="P177" s="140">
        <f t="shared" si="179"/>
        <v>0.12114846588017435</v>
      </c>
      <c r="Q177" s="140">
        <f t="shared" si="179"/>
        <v>0.11978744793965125</v>
      </c>
      <c r="R177" s="140">
        <f t="shared" si="179"/>
        <v>0.11115818278616946</v>
      </c>
      <c r="S177" s="140">
        <f t="shared" si="179"/>
        <v>0.1143765139538349</v>
      </c>
      <c r="T177" s="140">
        <f t="shared" si="179"/>
        <v>0.10934307043980118</v>
      </c>
      <c r="U177" s="140">
        <f t="shared" si="179"/>
        <v>9.6209770625860322E-2</v>
      </c>
      <c r="V177" s="140">
        <f t="shared" si="179"/>
        <v>0.14016752574844715</v>
      </c>
      <c r="W177" s="140">
        <f t="shared" si="179"/>
        <v>0.1523715613143645</v>
      </c>
      <c r="X177" s="140">
        <f t="shared" ref="X177:Y177" si="180">IF(X85=0,0,X85/X$77)</f>
        <v>0.13996992667348332</v>
      </c>
      <c r="Y177" s="140">
        <f t="shared" si="180"/>
        <v>0.12168589517488268</v>
      </c>
      <c r="DA177" s="175"/>
    </row>
    <row r="178" spans="1:105" ht="11.45" customHeight="1" x14ac:dyDescent="0.25">
      <c r="A178" s="109" t="s">
        <v>141</v>
      </c>
      <c r="B178" s="124">
        <f t="shared" si="162"/>
        <v>5.2080691865918495E-2</v>
      </c>
      <c r="C178" s="124">
        <f t="shared" ref="C178:W178" si="181">IF(C86=0,0,C86/C$77)</f>
        <v>5.3742841481316861E-2</v>
      </c>
      <c r="D178" s="124">
        <f t="shared" si="181"/>
        <v>5.3764642312207733E-2</v>
      </c>
      <c r="E178" s="124">
        <f t="shared" si="181"/>
        <v>4.870212861712242E-2</v>
      </c>
      <c r="F178" s="124">
        <f t="shared" si="181"/>
        <v>4.7596278793128548E-2</v>
      </c>
      <c r="G178" s="124">
        <f t="shared" si="181"/>
        <v>5.0694110026793075E-2</v>
      </c>
      <c r="H178" s="124">
        <f t="shared" si="181"/>
        <v>5.0827233409396849E-2</v>
      </c>
      <c r="I178" s="124">
        <f t="shared" si="181"/>
        <v>5.5974100894891791E-2</v>
      </c>
      <c r="J178" s="124">
        <f t="shared" si="181"/>
        <v>5.6177353085775351E-2</v>
      </c>
      <c r="K178" s="124">
        <f t="shared" si="181"/>
        <v>6.3251607144440156E-2</v>
      </c>
      <c r="L178" s="124">
        <f t="shared" si="181"/>
        <v>6.761141959605195E-2</v>
      </c>
      <c r="M178" s="124">
        <f t="shared" si="181"/>
        <v>6.8050460961047804E-2</v>
      </c>
      <c r="N178" s="124">
        <f t="shared" si="181"/>
        <v>6.6895257310945838E-2</v>
      </c>
      <c r="O178" s="124">
        <f t="shared" si="181"/>
        <v>7.5639992498753403E-2</v>
      </c>
      <c r="P178" s="124">
        <f t="shared" si="181"/>
        <v>7.6609407161063292E-2</v>
      </c>
      <c r="Q178" s="124">
        <f t="shared" si="181"/>
        <v>8.7436860514421316E-2</v>
      </c>
      <c r="R178" s="124">
        <f t="shared" si="181"/>
        <v>8.2966997773631174E-2</v>
      </c>
      <c r="S178" s="124">
        <f t="shared" si="181"/>
        <v>7.5896678610423762E-2</v>
      </c>
      <c r="T178" s="124">
        <f t="shared" si="181"/>
        <v>7.3633675556394038E-2</v>
      </c>
      <c r="U178" s="124">
        <f t="shared" si="181"/>
        <v>6.9364064891309557E-2</v>
      </c>
      <c r="V178" s="124">
        <f t="shared" si="181"/>
        <v>5.5446091990012714E-2</v>
      </c>
      <c r="W178" s="124">
        <f t="shared" si="181"/>
        <v>6.5486224935926166E-2</v>
      </c>
      <c r="X178" s="124">
        <f t="shared" ref="X178:Y178" si="182">IF(X86=0,0,X86/X$77)</f>
        <v>7.1347358314142975E-2</v>
      </c>
      <c r="Y178" s="124">
        <f t="shared" si="182"/>
        <v>7.6085303712111668E-2</v>
      </c>
      <c r="DA178" s="176"/>
    </row>
    <row r="179" spans="1:105" ht="11.45" customHeight="1" x14ac:dyDescent="0.25">
      <c r="A179" s="128" t="str">
        <f>$A$27</f>
        <v>Domestic coastal shipping</v>
      </c>
      <c r="B179" s="140">
        <f t="shared" si="162"/>
        <v>6.0386694008190273E-5</v>
      </c>
      <c r="C179" s="140">
        <f t="shared" ref="C179:W179" si="183">IF(C87=0,0,C87/C$77)</f>
        <v>5.1681899323604737E-5</v>
      </c>
      <c r="D179" s="140">
        <f t="shared" si="183"/>
        <v>5.4355668476877616E-5</v>
      </c>
      <c r="E179" s="140">
        <f t="shared" si="183"/>
        <v>5.1114859574206002E-5</v>
      </c>
      <c r="F179" s="140">
        <f t="shared" si="183"/>
        <v>5.5877933785866556E-5</v>
      </c>
      <c r="G179" s="140">
        <f t="shared" si="183"/>
        <v>6.9403122898035267E-5</v>
      </c>
      <c r="H179" s="140">
        <f t="shared" si="183"/>
        <v>6.8679237413194529E-5</v>
      </c>
      <c r="I179" s="140">
        <f t="shared" si="183"/>
        <v>7.9010101624810147E-5</v>
      </c>
      <c r="J179" s="140">
        <f t="shared" si="183"/>
        <v>9.5845348104967365E-5</v>
      </c>
      <c r="K179" s="140">
        <f t="shared" si="183"/>
        <v>1.0687934657835996E-4</v>
      </c>
      <c r="L179" s="140">
        <f t="shared" si="183"/>
        <v>1.4220248815102019E-4</v>
      </c>
      <c r="M179" s="140">
        <f t="shared" si="183"/>
        <v>1.4016446738981651E-4</v>
      </c>
      <c r="N179" s="140">
        <f t="shared" si="183"/>
        <v>1.3785747034602238E-4</v>
      </c>
      <c r="O179" s="140">
        <f t="shared" si="183"/>
        <v>1.1846871793407369E-4</v>
      </c>
      <c r="P179" s="140">
        <f t="shared" si="183"/>
        <v>1.5752606792010453E-4</v>
      </c>
      <c r="Q179" s="140">
        <f t="shared" si="183"/>
        <v>2.3602954484840512E-4</v>
      </c>
      <c r="R179" s="140">
        <f t="shared" si="183"/>
        <v>2.5821235177847876E-4</v>
      </c>
      <c r="S179" s="140">
        <f t="shared" si="183"/>
        <v>2.8820965797002237E-4</v>
      </c>
      <c r="T179" s="140">
        <f t="shared" si="183"/>
        <v>3.7150053076480865E-4</v>
      </c>
      <c r="U179" s="140">
        <f t="shared" si="183"/>
        <v>4.2562461425942999E-4</v>
      </c>
      <c r="V179" s="140">
        <f t="shared" si="183"/>
        <v>3.0798055304896732E-4</v>
      </c>
      <c r="W179" s="140">
        <f t="shared" si="183"/>
        <v>2.420781764484717E-4</v>
      </c>
      <c r="X179" s="140">
        <f t="shared" ref="X179:Y179" si="184">IF(X87=0,0,X87/X$77)</f>
        <v>3.6595927295315873E-4</v>
      </c>
      <c r="Y179" s="140">
        <f t="shared" si="184"/>
        <v>4.3128914278215032E-4</v>
      </c>
      <c r="DA179" s="175"/>
    </row>
    <row r="180" spans="1:105" ht="11.45" customHeight="1" x14ac:dyDescent="0.25">
      <c r="A180" s="138" t="str">
        <f>$A$28</f>
        <v>Inland waterways</v>
      </c>
      <c r="B180" s="127">
        <f t="shared" si="162"/>
        <v>5.2020305171910308E-2</v>
      </c>
      <c r="C180" s="127">
        <f t="shared" ref="C180:W180" si="185">IF(C88=0,0,C88/C$77)</f>
        <v>5.3691159581993254E-2</v>
      </c>
      <c r="D180" s="127">
        <f t="shared" si="185"/>
        <v>5.3710286643730856E-2</v>
      </c>
      <c r="E180" s="127">
        <f t="shared" si="185"/>
        <v>4.8651013757548218E-2</v>
      </c>
      <c r="F180" s="127">
        <f t="shared" si="185"/>
        <v>4.7540400859342677E-2</v>
      </c>
      <c r="G180" s="127">
        <f t="shared" si="185"/>
        <v>5.0624706903895041E-2</v>
      </c>
      <c r="H180" s="127">
        <f t="shared" si="185"/>
        <v>5.0758554171983654E-2</v>
      </c>
      <c r="I180" s="127">
        <f t="shared" si="185"/>
        <v>5.5895090793266981E-2</v>
      </c>
      <c r="J180" s="127">
        <f t="shared" si="185"/>
        <v>5.6081507737670386E-2</v>
      </c>
      <c r="K180" s="127">
        <f t="shared" si="185"/>
        <v>6.3144727797861788E-2</v>
      </c>
      <c r="L180" s="127">
        <f t="shared" si="185"/>
        <v>6.7469217107900936E-2</v>
      </c>
      <c r="M180" s="127">
        <f t="shared" si="185"/>
        <v>6.7910296493657998E-2</v>
      </c>
      <c r="N180" s="127">
        <f t="shared" si="185"/>
        <v>6.6757399840599807E-2</v>
      </c>
      <c r="O180" s="127">
        <f t="shared" si="185"/>
        <v>7.5521523780819347E-2</v>
      </c>
      <c r="P180" s="127">
        <f t="shared" si="185"/>
        <v>7.6451881093143187E-2</v>
      </c>
      <c r="Q180" s="127">
        <f t="shared" si="185"/>
        <v>8.7200830969572901E-2</v>
      </c>
      <c r="R180" s="127">
        <f t="shared" si="185"/>
        <v>8.2708785421852712E-2</v>
      </c>
      <c r="S180" s="127">
        <f t="shared" si="185"/>
        <v>7.5608468952453739E-2</v>
      </c>
      <c r="T180" s="127">
        <f t="shared" si="185"/>
        <v>7.3262175025629234E-2</v>
      </c>
      <c r="U180" s="127">
        <f t="shared" si="185"/>
        <v>6.8938440277050123E-2</v>
      </c>
      <c r="V180" s="127">
        <f t="shared" si="185"/>
        <v>5.5138111436963747E-2</v>
      </c>
      <c r="W180" s="127">
        <f t="shared" si="185"/>
        <v>6.5244146759477692E-2</v>
      </c>
      <c r="X180" s="127">
        <f t="shared" ref="X180:Y180" si="186">IF(X88=0,0,X88/X$77)</f>
        <v>7.0981399041189816E-2</v>
      </c>
      <c r="Y180" s="127">
        <f t="shared" si="186"/>
        <v>7.5654014569329506E-2</v>
      </c>
      <c r="DA180" s="178"/>
    </row>
    <row r="181" spans="1:105" ht="11.45" customHeight="1" x14ac:dyDescent="0.25">
      <c r="A181" s="27" t="s">
        <v>169</v>
      </c>
      <c r="B181" s="31">
        <f>IF(B89=0,0,B89/B$89)</f>
        <v>1</v>
      </c>
      <c r="C181" s="31">
        <f t="shared" ref="C181:W181" si="187">IF(C89=0,0,C89/C$89)</f>
        <v>1</v>
      </c>
      <c r="D181" s="31">
        <f t="shared" si="187"/>
        <v>1</v>
      </c>
      <c r="E181" s="31">
        <f t="shared" si="187"/>
        <v>1</v>
      </c>
      <c r="F181" s="31">
        <f t="shared" si="187"/>
        <v>1</v>
      </c>
      <c r="G181" s="31">
        <f t="shared" si="187"/>
        <v>1</v>
      </c>
      <c r="H181" s="31">
        <f t="shared" si="187"/>
        <v>1</v>
      </c>
      <c r="I181" s="31">
        <f t="shared" si="187"/>
        <v>1</v>
      </c>
      <c r="J181" s="31">
        <f t="shared" si="187"/>
        <v>1</v>
      </c>
      <c r="K181" s="31">
        <f t="shared" si="187"/>
        <v>1</v>
      </c>
      <c r="L181" s="31">
        <f t="shared" si="187"/>
        <v>1</v>
      </c>
      <c r="M181" s="31">
        <f t="shared" si="187"/>
        <v>1</v>
      </c>
      <c r="N181" s="31">
        <f t="shared" si="187"/>
        <v>1</v>
      </c>
      <c r="O181" s="31">
        <f t="shared" si="187"/>
        <v>1</v>
      </c>
      <c r="P181" s="31">
        <f t="shared" si="187"/>
        <v>1</v>
      </c>
      <c r="Q181" s="31">
        <f t="shared" si="187"/>
        <v>1</v>
      </c>
      <c r="R181" s="31">
        <f t="shared" si="187"/>
        <v>1</v>
      </c>
      <c r="S181" s="31">
        <f t="shared" si="187"/>
        <v>1</v>
      </c>
      <c r="T181" s="31">
        <f t="shared" si="187"/>
        <v>1</v>
      </c>
      <c r="U181" s="31">
        <f t="shared" si="187"/>
        <v>1</v>
      </c>
      <c r="V181" s="31">
        <f t="shared" si="187"/>
        <v>1</v>
      </c>
      <c r="W181" s="31">
        <f t="shared" si="187"/>
        <v>1</v>
      </c>
      <c r="X181" s="31">
        <f t="shared" ref="X181:Y181" si="188">IF(X89=0,0,X89/X$89)</f>
        <v>1</v>
      </c>
      <c r="Y181" s="31">
        <f t="shared" si="188"/>
        <v>1</v>
      </c>
      <c r="DA181" s="173"/>
    </row>
    <row r="182" spans="1:105" ht="11.45" customHeight="1" x14ac:dyDescent="0.25">
      <c r="A182" s="128" t="str">
        <f>$A$30</f>
        <v>Intra-EEA</v>
      </c>
      <c r="B182" s="140">
        <f>IF(B90=0,0,B90/B$89)</f>
        <v>0.23982415332996065</v>
      </c>
      <c r="C182" s="140">
        <f t="shared" ref="C182:W182" si="189">IF(C90=0,0,C90/C$89)</f>
        <v>0.23872501331441301</v>
      </c>
      <c r="D182" s="140">
        <f t="shared" si="189"/>
        <v>0.24118612954199872</v>
      </c>
      <c r="E182" s="140">
        <f t="shared" si="189"/>
        <v>0.23463016623951835</v>
      </c>
      <c r="F182" s="140">
        <f t="shared" si="189"/>
        <v>0.23438495650051336</v>
      </c>
      <c r="G182" s="140">
        <f t="shared" si="189"/>
        <v>0.21326466668314023</v>
      </c>
      <c r="H182" s="140">
        <f t="shared" si="189"/>
        <v>0.20413412629475686</v>
      </c>
      <c r="I182" s="140">
        <f t="shared" si="189"/>
        <v>0.20087414575520141</v>
      </c>
      <c r="J182" s="140">
        <f t="shared" si="189"/>
        <v>0.18950986922893481</v>
      </c>
      <c r="K182" s="140">
        <f t="shared" si="189"/>
        <v>0.22054253683088865</v>
      </c>
      <c r="L182" s="140">
        <f t="shared" si="189"/>
        <v>0.23193852291605771</v>
      </c>
      <c r="M182" s="140">
        <f t="shared" si="189"/>
        <v>0.21484958150247849</v>
      </c>
      <c r="N182" s="140">
        <f t="shared" si="189"/>
        <v>0.21483661308873683</v>
      </c>
      <c r="O182" s="140">
        <f t="shared" si="189"/>
        <v>0.21768719753346519</v>
      </c>
      <c r="P182" s="140">
        <f t="shared" si="189"/>
        <v>0.22171326869420965</v>
      </c>
      <c r="Q182" s="140">
        <f t="shared" si="189"/>
        <v>0.21230750767090958</v>
      </c>
      <c r="R182" s="140">
        <f t="shared" si="189"/>
        <v>0.20117634118280109</v>
      </c>
      <c r="S182" s="140">
        <f t="shared" si="189"/>
        <v>0.19870448969966814</v>
      </c>
      <c r="T182" s="140">
        <f t="shared" si="189"/>
        <v>0.2061768052583435</v>
      </c>
      <c r="U182" s="140">
        <f t="shared" si="189"/>
        <v>0.21270322167490141</v>
      </c>
      <c r="V182" s="140">
        <f t="shared" si="189"/>
        <v>0.19148548475553712</v>
      </c>
      <c r="W182" s="140">
        <f t="shared" si="189"/>
        <v>0.19103105460941658</v>
      </c>
      <c r="X182" s="140">
        <f t="shared" ref="X182:Y182" si="190">IF(X90=0,0,X90/X$89)</f>
        <v>0.20601593670537777</v>
      </c>
      <c r="Y182" s="140">
        <f t="shared" si="190"/>
        <v>0.22312099815346886</v>
      </c>
      <c r="DA182" s="175"/>
    </row>
    <row r="183" spans="1:105" ht="11.45" customHeight="1" x14ac:dyDescent="0.25">
      <c r="A183" s="138" t="str">
        <f>$A$31</f>
        <v>Extra-EEA</v>
      </c>
      <c r="B183" s="127">
        <f>IF(B91=0,0,B91/B$89)</f>
        <v>0.76017584667003923</v>
      </c>
      <c r="C183" s="127">
        <f t="shared" ref="C183:W183" si="191">IF(C91=0,0,C91/C$89)</f>
        <v>0.76127498668558713</v>
      </c>
      <c r="D183" s="127">
        <f t="shared" si="191"/>
        <v>0.75881387045800119</v>
      </c>
      <c r="E183" s="127">
        <f t="shared" si="191"/>
        <v>0.76536983376048173</v>
      </c>
      <c r="F183" s="127">
        <f t="shared" si="191"/>
        <v>0.76561504349948661</v>
      </c>
      <c r="G183" s="127">
        <f t="shared" si="191"/>
        <v>0.78673533331685985</v>
      </c>
      <c r="H183" s="127">
        <f t="shared" si="191"/>
        <v>0.79586587370524309</v>
      </c>
      <c r="I183" s="127">
        <f t="shared" si="191"/>
        <v>0.79912585424479865</v>
      </c>
      <c r="J183" s="127">
        <f t="shared" si="191"/>
        <v>0.81049013077106524</v>
      </c>
      <c r="K183" s="127">
        <f t="shared" si="191"/>
        <v>0.77945746316911135</v>
      </c>
      <c r="L183" s="127">
        <f t="shared" si="191"/>
        <v>0.76806147708394235</v>
      </c>
      <c r="M183" s="127">
        <f t="shared" si="191"/>
        <v>0.78515041849752154</v>
      </c>
      <c r="N183" s="127">
        <f t="shared" si="191"/>
        <v>0.78516338691126319</v>
      </c>
      <c r="O183" s="127">
        <f t="shared" si="191"/>
        <v>0.78231280246653478</v>
      </c>
      <c r="P183" s="127">
        <f t="shared" si="191"/>
        <v>0.77828673130579029</v>
      </c>
      <c r="Q183" s="127">
        <f t="shared" si="191"/>
        <v>0.78769249232909033</v>
      </c>
      <c r="R183" s="127">
        <f t="shared" si="191"/>
        <v>0.79882365881719886</v>
      </c>
      <c r="S183" s="127">
        <f t="shared" si="191"/>
        <v>0.80129551030033186</v>
      </c>
      <c r="T183" s="127">
        <f t="shared" si="191"/>
        <v>0.79382319474165652</v>
      </c>
      <c r="U183" s="127">
        <f t="shared" si="191"/>
        <v>0.78729677832509848</v>
      </c>
      <c r="V183" s="127">
        <f t="shared" si="191"/>
        <v>0.80851451524446283</v>
      </c>
      <c r="W183" s="127">
        <f t="shared" si="191"/>
        <v>0.80896894539058339</v>
      </c>
      <c r="X183" s="127">
        <f t="shared" ref="X183:Y183" si="192">IF(X91=0,0,X91/X$89)</f>
        <v>0.79398406329462212</v>
      </c>
      <c r="Y183" s="127">
        <f t="shared" si="192"/>
        <v>0.77687900184653103</v>
      </c>
      <c r="DA183" s="178"/>
    </row>
    <row r="184" spans="1:105" x14ac:dyDescent="0.25">
      <c r="A184" s="106"/>
      <c r="B184" s="106"/>
      <c r="C184" s="106"/>
      <c r="D184" s="106"/>
      <c r="E184" s="106"/>
      <c r="F184" s="106"/>
      <c r="G184" s="106"/>
      <c r="H184" s="106"/>
      <c r="I184" s="106"/>
      <c r="J184" s="106"/>
      <c r="K184" s="106"/>
      <c r="L184" s="106"/>
      <c r="M184" s="106"/>
      <c r="N184" s="106"/>
      <c r="O184" s="106"/>
      <c r="P184" s="106"/>
      <c r="Q184" s="106"/>
      <c r="R184" s="106"/>
      <c r="S184" s="106"/>
      <c r="T184" s="106"/>
      <c r="U184" s="106"/>
      <c r="V184" s="106"/>
      <c r="W184" s="106"/>
      <c r="X184" s="106"/>
      <c r="Y184" s="106"/>
      <c r="DA184" s="171"/>
    </row>
    <row r="185" spans="1:105" ht="11.45" customHeight="1" x14ac:dyDescent="0.25">
      <c r="A185" s="53" t="s">
        <v>42</v>
      </c>
      <c r="B185" s="59"/>
      <c r="C185" s="59"/>
      <c r="D185" s="59"/>
      <c r="E185" s="59"/>
      <c r="F185" s="59"/>
      <c r="G185" s="59"/>
      <c r="H185" s="59"/>
      <c r="I185" s="5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59"/>
      <c r="W185" s="59"/>
      <c r="X185" s="59"/>
      <c r="Y185" s="59"/>
      <c r="DA185" s="172"/>
    </row>
    <row r="186" spans="1:105" ht="11.45" customHeight="1" x14ac:dyDescent="0.25">
      <c r="A186" s="27" t="s">
        <v>155</v>
      </c>
      <c r="B186" s="32">
        <f t="shared" ref="B186:Y186" si="193">IF(B34=0,0,B34/B4*1000)</f>
        <v>40.574337128200433</v>
      </c>
      <c r="C186" s="32">
        <f t="shared" si="193"/>
        <v>40.548226166721513</v>
      </c>
      <c r="D186" s="32">
        <f t="shared" si="193"/>
        <v>40.807434312166372</v>
      </c>
      <c r="E186" s="32">
        <f t="shared" si="193"/>
        <v>40.322974416250453</v>
      </c>
      <c r="F186" s="32">
        <f t="shared" si="193"/>
        <v>38.993172100450529</v>
      </c>
      <c r="G186" s="32">
        <f t="shared" si="193"/>
        <v>38.960947370931841</v>
      </c>
      <c r="H186" s="32">
        <f t="shared" si="193"/>
        <v>39.361921444944556</v>
      </c>
      <c r="I186" s="32">
        <f t="shared" si="193"/>
        <v>39.223292213575597</v>
      </c>
      <c r="J186" s="32">
        <f t="shared" si="193"/>
        <v>39.697567878001188</v>
      </c>
      <c r="K186" s="32">
        <f t="shared" si="193"/>
        <v>40.408619689195518</v>
      </c>
      <c r="L186" s="32">
        <f t="shared" si="193"/>
        <v>39.286760209171746</v>
      </c>
      <c r="M186" s="32">
        <f t="shared" si="193"/>
        <v>38.816265999336544</v>
      </c>
      <c r="N186" s="32">
        <f t="shared" si="193"/>
        <v>38.001452367305063</v>
      </c>
      <c r="O186" s="32">
        <f t="shared" si="193"/>
        <v>35.997505197174888</v>
      </c>
      <c r="P186" s="32">
        <f t="shared" si="193"/>
        <v>35.308284900439475</v>
      </c>
      <c r="Q186" s="32">
        <f t="shared" si="193"/>
        <v>36.158874119666415</v>
      </c>
      <c r="R186" s="32">
        <f t="shared" si="193"/>
        <v>35.727140866864687</v>
      </c>
      <c r="S186" s="32">
        <f t="shared" si="193"/>
        <v>35.633079980357422</v>
      </c>
      <c r="T186" s="32">
        <f t="shared" si="193"/>
        <v>33.869435974072886</v>
      </c>
      <c r="U186" s="32">
        <f t="shared" si="193"/>
        <v>33.306150945591725</v>
      </c>
      <c r="V186" s="32">
        <f t="shared" si="193"/>
        <v>41.910536349339544</v>
      </c>
      <c r="W186" s="32">
        <f t="shared" si="193"/>
        <v>40.248350751140983</v>
      </c>
      <c r="X186" s="32">
        <f t="shared" si="193"/>
        <v>33.532132801554624</v>
      </c>
      <c r="Y186" s="32">
        <f t="shared" si="193"/>
        <v>32.348055124821961</v>
      </c>
      <c r="DA186" s="173" t="s">
        <v>415</v>
      </c>
    </row>
    <row r="187" spans="1:105" ht="11.45" customHeight="1" x14ac:dyDescent="0.25">
      <c r="A187" s="136" t="str">
        <f>$A$5</f>
        <v>Road transport</v>
      </c>
      <c r="B187" s="141">
        <f t="shared" ref="B187:Y187" si="194">IF(B35=0,0,B35/B5*1000)</f>
        <v>42.218881522851703</v>
      </c>
      <c r="C187" s="141">
        <f t="shared" si="194"/>
        <v>42.339442112575369</v>
      </c>
      <c r="D187" s="141">
        <f t="shared" si="194"/>
        <v>42.39648161300957</v>
      </c>
      <c r="E187" s="141">
        <f t="shared" si="194"/>
        <v>41.961197552616476</v>
      </c>
      <c r="F187" s="141">
        <f t="shared" si="194"/>
        <v>40.681245504304627</v>
      </c>
      <c r="G187" s="141">
        <f t="shared" si="194"/>
        <v>41.493271285988762</v>
      </c>
      <c r="H187" s="141">
        <f t="shared" si="194"/>
        <v>42.640266450018636</v>
      </c>
      <c r="I187" s="141">
        <f t="shared" si="194"/>
        <v>42.69321903056035</v>
      </c>
      <c r="J187" s="141">
        <f t="shared" si="194"/>
        <v>43.358939206762265</v>
      </c>
      <c r="K187" s="141">
        <f t="shared" si="194"/>
        <v>43.480728445602871</v>
      </c>
      <c r="L187" s="141">
        <f t="shared" si="194"/>
        <v>43.692494747349059</v>
      </c>
      <c r="M187" s="141">
        <f t="shared" si="194"/>
        <v>43.59618306900267</v>
      </c>
      <c r="N187" s="141">
        <f t="shared" si="194"/>
        <v>43.23547164719681</v>
      </c>
      <c r="O187" s="141">
        <f t="shared" si="194"/>
        <v>40.412520660828505</v>
      </c>
      <c r="P187" s="141">
        <f t="shared" si="194"/>
        <v>39.230752251364095</v>
      </c>
      <c r="Q187" s="141">
        <f t="shared" si="194"/>
        <v>40.064934542434997</v>
      </c>
      <c r="R187" s="141">
        <f t="shared" si="194"/>
        <v>39.888095568053231</v>
      </c>
      <c r="S187" s="141">
        <f t="shared" si="194"/>
        <v>41.186899688411692</v>
      </c>
      <c r="T187" s="141">
        <f t="shared" si="194"/>
        <v>38.616470654472451</v>
      </c>
      <c r="U187" s="141">
        <f t="shared" si="194"/>
        <v>38.212229515085355</v>
      </c>
      <c r="V187" s="141">
        <f t="shared" si="194"/>
        <v>42.966739271175818</v>
      </c>
      <c r="W187" s="141">
        <f t="shared" si="194"/>
        <v>42.342306102229536</v>
      </c>
      <c r="X187" s="141">
        <f t="shared" si="194"/>
        <v>39.040011472725361</v>
      </c>
      <c r="Y187" s="141">
        <f t="shared" si="194"/>
        <v>38.524627943916514</v>
      </c>
      <c r="DA187" s="174" t="s">
        <v>416</v>
      </c>
    </row>
    <row r="188" spans="1:105" ht="11.45" customHeight="1" x14ac:dyDescent="0.25">
      <c r="A188" s="128" t="str">
        <f>$A$6</f>
        <v>Powered two-wheelers</v>
      </c>
      <c r="B188" s="97">
        <f t="shared" ref="B188:Y188" si="195">IF(B36=0,0,B36/B6*1000)</f>
        <v>37.066341519539584</v>
      </c>
      <c r="C188" s="97">
        <f t="shared" si="195"/>
        <v>36.923674201835134</v>
      </c>
      <c r="D188" s="97">
        <f t="shared" si="195"/>
        <v>36.512093284068719</v>
      </c>
      <c r="E188" s="97">
        <f t="shared" si="195"/>
        <v>36.285469767252792</v>
      </c>
      <c r="F188" s="97">
        <f t="shared" si="195"/>
        <v>36.019220998867958</v>
      </c>
      <c r="G188" s="97">
        <f t="shared" si="195"/>
        <v>35.55247084971068</v>
      </c>
      <c r="H188" s="97">
        <f t="shared" si="195"/>
        <v>34.603869379982513</v>
      </c>
      <c r="I188" s="97">
        <f t="shared" si="195"/>
        <v>34.057046569713272</v>
      </c>
      <c r="J188" s="97">
        <f t="shared" si="195"/>
        <v>33.418808328892389</v>
      </c>
      <c r="K188" s="97">
        <f t="shared" si="195"/>
        <v>32.727762961896481</v>
      </c>
      <c r="L188" s="97">
        <f t="shared" si="195"/>
        <v>32.168969575086535</v>
      </c>
      <c r="M188" s="97">
        <f t="shared" si="195"/>
        <v>31.750653722097365</v>
      </c>
      <c r="N188" s="97">
        <f t="shared" si="195"/>
        <v>31.680363889190197</v>
      </c>
      <c r="O188" s="97">
        <f t="shared" si="195"/>
        <v>31.278466596698756</v>
      </c>
      <c r="P188" s="97">
        <f t="shared" si="195"/>
        <v>30.783816773565739</v>
      </c>
      <c r="Q188" s="97">
        <f t="shared" si="195"/>
        <v>30.389136757402358</v>
      </c>
      <c r="R188" s="97">
        <f t="shared" si="195"/>
        <v>29.839980015130095</v>
      </c>
      <c r="S188" s="97">
        <f t="shared" si="195"/>
        <v>29.456216386353905</v>
      </c>
      <c r="T188" s="97">
        <f t="shared" si="195"/>
        <v>29.175170755451056</v>
      </c>
      <c r="U188" s="97">
        <f t="shared" si="195"/>
        <v>28.662795320295466</v>
      </c>
      <c r="V188" s="97">
        <f t="shared" si="195"/>
        <v>28.272231578737884</v>
      </c>
      <c r="W188" s="97">
        <f t="shared" si="195"/>
        <v>27.905002092045041</v>
      </c>
      <c r="X188" s="97">
        <f t="shared" si="195"/>
        <v>27.696996878713438</v>
      </c>
      <c r="Y188" s="97">
        <f t="shared" si="195"/>
        <v>27.556497855008466</v>
      </c>
      <c r="DA188" s="175" t="s">
        <v>417</v>
      </c>
    </row>
    <row r="189" spans="1:105" ht="11.45" customHeight="1" x14ac:dyDescent="0.25">
      <c r="A189" s="128" t="str">
        <f>$A$7</f>
        <v>Passenger cars</v>
      </c>
      <c r="B189" s="97">
        <f t="shared" ref="B189:Y189" si="196">IF(B37=0,0,B37/B7*1000)</f>
        <v>41.150050066614519</v>
      </c>
      <c r="C189" s="97">
        <f t="shared" si="196"/>
        <v>41.384360753624918</v>
      </c>
      <c r="D189" s="97">
        <f t="shared" si="196"/>
        <v>41.427323875929197</v>
      </c>
      <c r="E189" s="97">
        <f t="shared" si="196"/>
        <v>41.100858295706566</v>
      </c>
      <c r="F189" s="97">
        <f t="shared" si="196"/>
        <v>39.858293889856498</v>
      </c>
      <c r="G189" s="97">
        <f t="shared" si="196"/>
        <v>40.74158227680681</v>
      </c>
      <c r="H189" s="97">
        <f t="shared" si="196"/>
        <v>42.035479841401234</v>
      </c>
      <c r="I189" s="97">
        <f t="shared" si="196"/>
        <v>42.168996209012718</v>
      </c>
      <c r="J189" s="97">
        <f t="shared" si="196"/>
        <v>42.860358641285536</v>
      </c>
      <c r="K189" s="97">
        <f t="shared" si="196"/>
        <v>42.885404001440499</v>
      </c>
      <c r="L189" s="97">
        <f t="shared" si="196"/>
        <v>43.01742970328494</v>
      </c>
      <c r="M189" s="97">
        <f t="shared" si="196"/>
        <v>43.032462871956177</v>
      </c>
      <c r="N189" s="97">
        <f t="shared" si="196"/>
        <v>42.523250307964396</v>
      </c>
      <c r="O189" s="97">
        <f t="shared" si="196"/>
        <v>39.826504000230024</v>
      </c>
      <c r="P189" s="97">
        <f t="shared" si="196"/>
        <v>38.634989881025845</v>
      </c>
      <c r="Q189" s="97">
        <f t="shared" si="196"/>
        <v>39.660618943439964</v>
      </c>
      <c r="R189" s="97">
        <f t="shared" si="196"/>
        <v>39.487657753609632</v>
      </c>
      <c r="S189" s="97">
        <f t="shared" si="196"/>
        <v>40.582458707980003</v>
      </c>
      <c r="T189" s="97">
        <f t="shared" si="196"/>
        <v>38.255723397485454</v>
      </c>
      <c r="U189" s="97">
        <f t="shared" si="196"/>
        <v>37.974625797295715</v>
      </c>
      <c r="V189" s="97">
        <f t="shared" si="196"/>
        <v>42.415801943258792</v>
      </c>
      <c r="W189" s="97">
        <f t="shared" si="196"/>
        <v>42.117554010359385</v>
      </c>
      <c r="X189" s="97">
        <f t="shared" si="196"/>
        <v>39.055154113643717</v>
      </c>
      <c r="Y189" s="97">
        <f t="shared" si="196"/>
        <v>38.575556899816796</v>
      </c>
      <c r="DA189" s="175" t="s">
        <v>418</v>
      </c>
    </row>
    <row r="190" spans="1:105" ht="11.45" customHeight="1" x14ac:dyDescent="0.25">
      <c r="A190" s="128" t="str">
        <f>$A$8</f>
        <v>Motor coaches, buses and trolley buses</v>
      </c>
      <c r="B190" s="97">
        <f t="shared" ref="B190:Y190" si="197">IF(B38=0,0,B38/B8*1000)</f>
        <v>78.703136111382307</v>
      </c>
      <c r="C190" s="97">
        <f t="shared" si="197"/>
        <v>75.410692171428281</v>
      </c>
      <c r="D190" s="97">
        <f t="shared" si="197"/>
        <v>78.996337458270403</v>
      </c>
      <c r="E190" s="97">
        <f t="shared" si="197"/>
        <v>73.877748506915623</v>
      </c>
      <c r="F190" s="97">
        <f t="shared" si="197"/>
        <v>70.752399176762395</v>
      </c>
      <c r="G190" s="97">
        <f t="shared" si="197"/>
        <v>69.522812685058213</v>
      </c>
      <c r="H190" s="97">
        <f t="shared" si="197"/>
        <v>67.619430762097394</v>
      </c>
      <c r="I190" s="97">
        <f t="shared" si="197"/>
        <v>66.052994217950015</v>
      </c>
      <c r="J190" s="97">
        <f t="shared" si="197"/>
        <v>67.318055299115727</v>
      </c>
      <c r="K190" s="97">
        <f t="shared" si="197"/>
        <v>72.51668260324297</v>
      </c>
      <c r="L190" s="97">
        <f t="shared" si="197"/>
        <v>75.940919542075008</v>
      </c>
      <c r="M190" s="97">
        <f t="shared" si="197"/>
        <v>72.249751332752894</v>
      </c>
      <c r="N190" s="97">
        <f t="shared" si="197"/>
        <v>78.501019801116541</v>
      </c>
      <c r="O190" s="97">
        <f t="shared" si="197"/>
        <v>68.662239857750876</v>
      </c>
      <c r="P190" s="97">
        <f t="shared" si="197"/>
        <v>67.290932800668855</v>
      </c>
      <c r="Q190" s="97">
        <f t="shared" si="197"/>
        <v>61.600971878710808</v>
      </c>
      <c r="R190" s="97">
        <f t="shared" si="197"/>
        <v>61.657147299511102</v>
      </c>
      <c r="S190" s="97">
        <f t="shared" si="197"/>
        <v>71.728909179412625</v>
      </c>
      <c r="T190" s="97">
        <f t="shared" si="197"/>
        <v>56.350050843213843</v>
      </c>
      <c r="U190" s="97">
        <f t="shared" si="197"/>
        <v>53.220201735109185</v>
      </c>
      <c r="V190" s="97">
        <f t="shared" si="197"/>
        <v>93.355353883424527</v>
      </c>
      <c r="W190" s="97">
        <f t="shared" si="197"/>
        <v>73.201486852323981</v>
      </c>
      <c r="X190" s="97">
        <f t="shared" si="197"/>
        <v>50.836637770550269</v>
      </c>
      <c r="Y190" s="97">
        <f t="shared" si="197"/>
        <v>49.227395671133507</v>
      </c>
      <c r="DA190" s="175" t="s">
        <v>419</v>
      </c>
    </row>
    <row r="191" spans="1:105" ht="11.45" customHeight="1" x14ac:dyDescent="0.25">
      <c r="A191" s="109" t="str">
        <f>$A$9</f>
        <v>Rail, metro and tram</v>
      </c>
      <c r="B191" s="130">
        <f t="shared" ref="B191:Y191" si="198">IF(B39=0,0,B39/B9*1000)</f>
        <v>10.033444442645679</v>
      </c>
      <c r="C191" s="130">
        <f t="shared" si="198"/>
        <v>9.8115586419667693</v>
      </c>
      <c r="D191" s="130">
        <f t="shared" si="198"/>
        <v>9.8926890752732337</v>
      </c>
      <c r="E191" s="130">
        <f t="shared" si="198"/>
        <v>10.268851808705424</v>
      </c>
      <c r="F191" s="130">
        <f t="shared" si="198"/>
        <v>9.9430318600468492</v>
      </c>
      <c r="G191" s="130">
        <f t="shared" si="198"/>
        <v>9.1976549114745083</v>
      </c>
      <c r="H191" s="130">
        <f t="shared" si="198"/>
        <v>8.7342126633731603</v>
      </c>
      <c r="I191" s="130">
        <f t="shared" si="198"/>
        <v>8.1922155935789291</v>
      </c>
      <c r="J191" s="130">
        <f t="shared" si="198"/>
        <v>8.4079243372303285</v>
      </c>
      <c r="K191" s="130">
        <f t="shared" si="198"/>
        <v>8.7555211333825032</v>
      </c>
      <c r="L191" s="130">
        <f t="shared" si="198"/>
        <v>8.8802215723113829</v>
      </c>
      <c r="M191" s="130">
        <f t="shared" si="198"/>
        <v>8.3938604137102875</v>
      </c>
      <c r="N191" s="130">
        <f t="shared" si="198"/>
        <v>8.2073727128006926</v>
      </c>
      <c r="O191" s="130">
        <f t="shared" si="198"/>
        <v>7.5869242468804048</v>
      </c>
      <c r="P191" s="130">
        <f t="shared" si="198"/>
        <v>7.0205473878810549</v>
      </c>
      <c r="Q191" s="130">
        <f t="shared" si="198"/>
        <v>7.9076291187405667</v>
      </c>
      <c r="R191" s="130">
        <f t="shared" si="198"/>
        <v>8.0169339870349141</v>
      </c>
      <c r="S191" s="130">
        <f t="shared" si="198"/>
        <v>7.9202412752283937</v>
      </c>
      <c r="T191" s="130">
        <f t="shared" si="198"/>
        <v>7.6508701158049783</v>
      </c>
      <c r="U191" s="130">
        <f t="shared" si="198"/>
        <v>7.5213966494522912</v>
      </c>
      <c r="V191" s="130">
        <f t="shared" si="198"/>
        <v>14.075101590606335</v>
      </c>
      <c r="W191" s="130">
        <f t="shared" si="198"/>
        <v>11.708639404786201</v>
      </c>
      <c r="X191" s="130">
        <f t="shared" si="198"/>
        <v>7.9448061842298641</v>
      </c>
      <c r="Y191" s="130">
        <f t="shared" si="198"/>
        <v>7.2548163716697562</v>
      </c>
      <c r="DA191" s="176" t="s">
        <v>420</v>
      </c>
    </row>
    <row r="192" spans="1:105" ht="11.45" customHeight="1" x14ac:dyDescent="0.25">
      <c r="A192" s="128" t="str">
        <f>$A$10</f>
        <v>Metro and tram, urban light rail</v>
      </c>
      <c r="B192" s="97">
        <f t="shared" ref="B192:Y192" si="199">IF(B40=0,0,B40/B10*1000)</f>
        <v>4.2978280696196576</v>
      </c>
      <c r="C192" s="97">
        <f t="shared" si="199"/>
        <v>4.2636925409900517</v>
      </c>
      <c r="D192" s="97">
        <f t="shared" si="199"/>
        <v>4.2282473377982814</v>
      </c>
      <c r="E192" s="97">
        <f t="shared" si="199"/>
        <v>4.1586810316358278</v>
      </c>
      <c r="F192" s="97">
        <f t="shared" si="199"/>
        <v>4.1121791055711787</v>
      </c>
      <c r="G192" s="97">
        <f t="shared" si="199"/>
        <v>4.0115822856473651</v>
      </c>
      <c r="H192" s="97">
        <f t="shared" si="199"/>
        <v>3.9399087532226984</v>
      </c>
      <c r="I192" s="97">
        <f t="shared" si="199"/>
        <v>3.9848703582003866</v>
      </c>
      <c r="J192" s="97">
        <f t="shared" si="199"/>
        <v>3.9371625765901985</v>
      </c>
      <c r="K192" s="97">
        <f t="shared" si="199"/>
        <v>3.8830168150853428</v>
      </c>
      <c r="L192" s="97">
        <f t="shared" si="199"/>
        <v>3.8143936262268392</v>
      </c>
      <c r="M192" s="97">
        <f t="shared" si="199"/>
        <v>3.7408087869667246</v>
      </c>
      <c r="N192" s="97">
        <f t="shared" si="199"/>
        <v>3.7145928608105532</v>
      </c>
      <c r="O192" s="97">
        <f t="shared" si="199"/>
        <v>3.6334994616369696</v>
      </c>
      <c r="P192" s="97">
        <f t="shared" si="199"/>
        <v>3.5724424046249745</v>
      </c>
      <c r="Q192" s="97">
        <f t="shared" si="199"/>
        <v>3.6851689568645152</v>
      </c>
      <c r="R192" s="97">
        <f t="shared" si="199"/>
        <v>3.658537821622847</v>
      </c>
      <c r="S192" s="97">
        <f t="shared" si="199"/>
        <v>3.6376511029159357</v>
      </c>
      <c r="T192" s="97">
        <f t="shared" si="199"/>
        <v>3.6210938493030906</v>
      </c>
      <c r="U192" s="97">
        <f t="shared" si="199"/>
        <v>3.6079141506070469</v>
      </c>
      <c r="V192" s="97">
        <f t="shared" si="199"/>
        <v>5.2670751103831339</v>
      </c>
      <c r="W192" s="97">
        <f t="shared" si="199"/>
        <v>4.5110514661742034</v>
      </c>
      <c r="X192" s="97">
        <f t="shared" si="199"/>
        <v>3.7329136766348197</v>
      </c>
      <c r="Y192" s="97">
        <f t="shared" si="199"/>
        <v>3.077145812420047</v>
      </c>
      <c r="DA192" s="175" t="s">
        <v>421</v>
      </c>
    </row>
    <row r="193" spans="1:105" ht="11.45" customHeight="1" x14ac:dyDescent="0.25">
      <c r="A193" s="128" t="str">
        <f>$A$11</f>
        <v>Conventional passenger trains</v>
      </c>
      <c r="B193" s="97">
        <f t="shared" ref="B193:Y193" si="200">IF(B41=0,0,B41/B11*1000)</f>
        <v>10.32691697036295</v>
      </c>
      <c r="C193" s="97">
        <f t="shared" si="200"/>
        <v>10.128458489284945</v>
      </c>
      <c r="D193" s="97">
        <f t="shared" si="200"/>
        <v>10.213953459863864</v>
      </c>
      <c r="E193" s="97">
        <f t="shared" si="200"/>
        <v>10.799462888037526</v>
      </c>
      <c r="F193" s="97">
        <f t="shared" si="200"/>
        <v>10.436239104223295</v>
      </c>
      <c r="G193" s="97">
        <f t="shared" si="200"/>
        <v>9.6187424499077725</v>
      </c>
      <c r="H193" s="97">
        <f t="shared" si="200"/>
        <v>9.1179689184196047</v>
      </c>
      <c r="I193" s="97">
        <f t="shared" si="200"/>
        <v>8.5308065431701294</v>
      </c>
      <c r="J193" s="97">
        <f t="shared" si="200"/>
        <v>8.7932447973241405</v>
      </c>
      <c r="K193" s="97">
        <f t="shared" si="200"/>
        <v>9.0532813616405292</v>
      </c>
      <c r="L193" s="97">
        <f t="shared" si="200"/>
        <v>9.1948749022544458</v>
      </c>
      <c r="M193" s="97">
        <f t="shared" si="200"/>
        <v>8.6850367548463083</v>
      </c>
      <c r="N193" s="97">
        <f t="shared" si="200"/>
        <v>8.4682716276182148</v>
      </c>
      <c r="O193" s="97">
        <f t="shared" si="200"/>
        <v>7.8106029997619624</v>
      </c>
      <c r="P193" s="97">
        <f t="shared" si="200"/>
        <v>7.191090784873956</v>
      </c>
      <c r="Q193" s="97">
        <f t="shared" si="200"/>
        <v>8.311435379609259</v>
      </c>
      <c r="R193" s="97">
        <f t="shared" si="200"/>
        <v>8.3087460745757511</v>
      </c>
      <c r="S193" s="97">
        <f t="shared" si="200"/>
        <v>8.1985020014974026</v>
      </c>
      <c r="T193" s="97">
        <f t="shared" si="200"/>
        <v>7.9356194650089602</v>
      </c>
      <c r="U193" s="97">
        <f t="shared" si="200"/>
        <v>7.7996647806216632</v>
      </c>
      <c r="V193" s="97">
        <f t="shared" si="200"/>
        <v>14.652960663569507</v>
      </c>
      <c r="W193" s="97">
        <f t="shared" si="200"/>
        <v>12.164729661067625</v>
      </c>
      <c r="X193" s="97">
        <f t="shared" si="200"/>
        <v>8.1749866496323111</v>
      </c>
      <c r="Y193" s="97">
        <f t="shared" si="200"/>
        <v>7.4948913872845679</v>
      </c>
      <c r="DA193" s="175" t="s">
        <v>422</v>
      </c>
    </row>
    <row r="194" spans="1:105" ht="11.45" customHeight="1" x14ac:dyDescent="0.25">
      <c r="A194" s="128" t="str">
        <f>$A$12</f>
        <v>High speed passenger trains</v>
      </c>
      <c r="B194" s="97">
        <f t="shared" ref="B194:Y194" si="201">IF(B42=0,0,B42/B12*1000)</f>
        <v>6.2049715327979582</v>
      </c>
      <c r="C194" s="97">
        <f t="shared" si="201"/>
        <v>6.1384998016411654</v>
      </c>
      <c r="D194" s="97">
        <f t="shared" si="201"/>
        <v>6.0762085268036214</v>
      </c>
      <c r="E194" s="97">
        <f t="shared" si="201"/>
        <v>6.0519300740704551</v>
      </c>
      <c r="F194" s="97">
        <f t="shared" si="201"/>
        <v>5.9988168833423696</v>
      </c>
      <c r="G194" s="97">
        <f t="shared" si="201"/>
        <v>5.9654358958790876</v>
      </c>
      <c r="H194" s="97">
        <f t="shared" si="201"/>
        <v>5.8880439146571097</v>
      </c>
      <c r="I194" s="97">
        <f t="shared" si="201"/>
        <v>5.8024111193422208</v>
      </c>
      <c r="J194" s="97">
        <f t="shared" si="201"/>
        <v>5.7857839137740967</v>
      </c>
      <c r="K194" s="97">
        <f t="shared" si="201"/>
        <v>5.7561335796061792</v>
      </c>
      <c r="L194" s="97">
        <f t="shared" si="201"/>
        <v>5.7148614391042249</v>
      </c>
      <c r="M194" s="97">
        <f t="shared" si="201"/>
        <v>5.5745301033020525</v>
      </c>
      <c r="N194" s="97">
        <f t="shared" si="201"/>
        <v>5.475246683899389</v>
      </c>
      <c r="O194" s="97">
        <f t="shared" si="201"/>
        <v>5.3718850151707862</v>
      </c>
      <c r="P194" s="97">
        <f t="shared" si="201"/>
        <v>5.2503849585750144</v>
      </c>
      <c r="Q194" s="97">
        <f t="shared" si="201"/>
        <v>5.0923172094680282</v>
      </c>
      <c r="R194" s="97">
        <f t="shared" si="201"/>
        <v>4.9843489172529534</v>
      </c>
      <c r="S194" s="97">
        <f t="shared" si="201"/>
        <v>4.9182285391190144</v>
      </c>
      <c r="T194" s="97">
        <f t="shared" si="201"/>
        <v>4.8173716012195937</v>
      </c>
      <c r="U194" s="97">
        <f t="shared" si="201"/>
        <v>4.7987447636103955</v>
      </c>
      <c r="V194" s="97">
        <f t="shared" si="201"/>
        <v>5.7845963640708868</v>
      </c>
      <c r="W194" s="97">
        <f t="shared" si="201"/>
        <v>5.4513375175863343</v>
      </c>
      <c r="X194" s="97">
        <f t="shared" si="201"/>
        <v>5.0793430978111935</v>
      </c>
      <c r="Y194" s="97">
        <f t="shared" si="201"/>
        <v>4.7623100559638303</v>
      </c>
      <c r="DA194" s="175" t="s">
        <v>423</v>
      </c>
    </row>
    <row r="195" spans="1:105" ht="11.45" customHeight="1" x14ac:dyDescent="0.25">
      <c r="A195" s="109" t="str">
        <f>$A$13</f>
        <v>Aviation</v>
      </c>
      <c r="B195" s="130">
        <f t="shared" ref="B195:Y195" si="202">IF(B43=0,0,B43/B13*1000)</f>
        <v>44.151024759381322</v>
      </c>
      <c r="C195" s="130">
        <f t="shared" si="202"/>
        <v>43.733482017234692</v>
      </c>
      <c r="D195" s="130">
        <f t="shared" si="202"/>
        <v>44.316426462110535</v>
      </c>
      <c r="E195" s="130">
        <f t="shared" si="202"/>
        <v>43.293972475769458</v>
      </c>
      <c r="F195" s="130">
        <f t="shared" si="202"/>
        <v>41.475912984800331</v>
      </c>
      <c r="G195" s="130">
        <f t="shared" si="202"/>
        <v>39.981206825228767</v>
      </c>
      <c r="H195" s="130">
        <f t="shared" si="202"/>
        <v>39.312228683823818</v>
      </c>
      <c r="I195" s="130">
        <f t="shared" si="202"/>
        <v>38.990981178444706</v>
      </c>
      <c r="J195" s="130">
        <f t="shared" si="202"/>
        <v>39.208172844041201</v>
      </c>
      <c r="K195" s="130">
        <f t="shared" si="202"/>
        <v>41.382343623045713</v>
      </c>
      <c r="L195" s="130">
        <f t="shared" si="202"/>
        <v>37.368841259533404</v>
      </c>
      <c r="M195" s="130">
        <f t="shared" si="202"/>
        <v>36.543346780874671</v>
      </c>
      <c r="N195" s="130">
        <f t="shared" si="202"/>
        <v>35.21892713135815</v>
      </c>
      <c r="O195" s="130">
        <f t="shared" si="202"/>
        <v>34.595756937006101</v>
      </c>
      <c r="P195" s="130">
        <f t="shared" si="202"/>
        <v>35.131618583531598</v>
      </c>
      <c r="Q195" s="130">
        <f t="shared" si="202"/>
        <v>35.477656800323196</v>
      </c>
      <c r="R195" s="130">
        <f t="shared" si="202"/>
        <v>34.668043138203956</v>
      </c>
      <c r="S195" s="130">
        <f t="shared" si="202"/>
        <v>32.91185849967458</v>
      </c>
      <c r="T195" s="130">
        <f t="shared" si="202"/>
        <v>31.83694049514963</v>
      </c>
      <c r="U195" s="130">
        <f t="shared" si="202"/>
        <v>31.104289067730843</v>
      </c>
      <c r="V195" s="130">
        <f t="shared" si="202"/>
        <v>46.318989827647542</v>
      </c>
      <c r="W195" s="130">
        <f t="shared" si="202"/>
        <v>41.836867449948443</v>
      </c>
      <c r="X195" s="130">
        <f t="shared" si="202"/>
        <v>30.246961547557948</v>
      </c>
      <c r="Y195" s="130">
        <f t="shared" si="202"/>
        <v>28.45051917993333</v>
      </c>
      <c r="DA195" s="176" t="s">
        <v>297</v>
      </c>
    </row>
    <row r="196" spans="1:105" ht="11.45" customHeight="1" x14ac:dyDescent="0.25">
      <c r="A196" s="128" t="str">
        <f>$A$14</f>
        <v>Domestic</v>
      </c>
      <c r="B196" s="97">
        <f t="shared" ref="B196:Y196" si="203">IF(B44=0,0,B44/B14*1000)</f>
        <v>0</v>
      </c>
      <c r="C196" s="97">
        <f t="shared" si="203"/>
        <v>0</v>
      </c>
      <c r="D196" s="97">
        <f t="shared" si="203"/>
        <v>0</v>
      </c>
      <c r="E196" s="97">
        <f t="shared" si="203"/>
        <v>0</v>
      </c>
      <c r="F196" s="97">
        <f t="shared" si="203"/>
        <v>0</v>
      </c>
      <c r="G196" s="97">
        <f t="shared" si="203"/>
        <v>0</v>
      </c>
      <c r="H196" s="97">
        <f t="shared" si="203"/>
        <v>0</v>
      </c>
      <c r="I196" s="97">
        <f t="shared" si="203"/>
        <v>0</v>
      </c>
      <c r="J196" s="97">
        <f t="shared" si="203"/>
        <v>0</v>
      </c>
      <c r="K196" s="97">
        <f t="shared" si="203"/>
        <v>0</v>
      </c>
      <c r="L196" s="97">
        <f t="shared" si="203"/>
        <v>0</v>
      </c>
      <c r="M196" s="97">
        <f t="shared" si="203"/>
        <v>0</v>
      </c>
      <c r="N196" s="97">
        <f t="shared" si="203"/>
        <v>0</v>
      </c>
      <c r="O196" s="97">
        <f t="shared" si="203"/>
        <v>0</v>
      </c>
      <c r="P196" s="97">
        <f t="shared" si="203"/>
        <v>0</v>
      </c>
      <c r="Q196" s="97">
        <f t="shared" si="203"/>
        <v>0</v>
      </c>
      <c r="R196" s="97">
        <f t="shared" si="203"/>
        <v>0</v>
      </c>
      <c r="S196" s="97">
        <f t="shared" si="203"/>
        <v>0</v>
      </c>
      <c r="T196" s="97">
        <f t="shared" si="203"/>
        <v>0</v>
      </c>
      <c r="U196" s="97">
        <f t="shared" si="203"/>
        <v>0</v>
      </c>
      <c r="V196" s="97">
        <f t="shared" si="203"/>
        <v>0</v>
      </c>
      <c r="W196" s="97">
        <f t="shared" si="203"/>
        <v>0</v>
      </c>
      <c r="X196" s="97">
        <f t="shared" si="203"/>
        <v>0</v>
      </c>
      <c r="Y196" s="97">
        <f t="shared" si="203"/>
        <v>0</v>
      </c>
      <c r="DA196" s="175" t="s">
        <v>298</v>
      </c>
    </row>
    <row r="197" spans="1:105" ht="11.45" customHeight="1" x14ac:dyDescent="0.25">
      <c r="A197" s="128" t="str">
        <f>$A$15</f>
        <v>International - Intra-EEAwCHUK</v>
      </c>
      <c r="B197" s="97">
        <f t="shared" ref="B197:Y197" si="204">IF(B45=0,0,B45/B15*1000)</f>
        <v>39.297521268744141</v>
      </c>
      <c r="C197" s="97">
        <f t="shared" si="204"/>
        <v>38.681982963527361</v>
      </c>
      <c r="D197" s="97">
        <f t="shared" si="204"/>
        <v>39.08029940027388</v>
      </c>
      <c r="E197" s="97">
        <f t="shared" si="204"/>
        <v>38.584914279128817</v>
      </c>
      <c r="F197" s="97">
        <f t="shared" si="204"/>
        <v>37.38258506626034</v>
      </c>
      <c r="G197" s="97">
        <f t="shared" si="204"/>
        <v>36.330928129555865</v>
      </c>
      <c r="H197" s="97">
        <f t="shared" si="204"/>
        <v>35.433989333877825</v>
      </c>
      <c r="I197" s="97">
        <f t="shared" si="204"/>
        <v>36.756782425569064</v>
      </c>
      <c r="J197" s="97">
        <f t="shared" si="204"/>
        <v>38.009905546763562</v>
      </c>
      <c r="K197" s="97">
        <f t="shared" si="204"/>
        <v>38.292505015441677</v>
      </c>
      <c r="L197" s="97">
        <f t="shared" si="204"/>
        <v>34.423598610590901</v>
      </c>
      <c r="M197" s="97">
        <f t="shared" si="204"/>
        <v>32.492431192705347</v>
      </c>
      <c r="N197" s="97">
        <f t="shared" si="204"/>
        <v>31.068395189876419</v>
      </c>
      <c r="O197" s="97">
        <f t="shared" si="204"/>
        <v>30.393017282160525</v>
      </c>
      <c r="P197" s="97">
        <f t="shared" si="204"/>
        <v>30.761739033839863</v>
      </c>
      <c r="Q197" s="97">
        <f t="shared" si="204"/>
        <v>31.128111533268626</v>
      </c>
      <c r="R197" s="97">
        <f t="shared" si="204"/>
        <v>29.768839340096161</v>
      </c>
      <c r="S197" s="97">
        <f t="shared" si="204"/>
        <v>28.034002288836088</v>
      </c>
      <c r="T197" s="97">
        <f t="shared" si="204"/>
        <v>26.946935840434165</v>
      </c>
      <c r="U197" s="97">
        <f t="shared" si="204"/>
        <v>25.795022981836492</v>
      </c>
      <c r="V197" s="97">
        <f t="shared" si="204"/>
        <v>28.965526268787791</v>
      </c>
      <c r="W197" s="97">
        <f t="shared" si="204"/>
        <v>26.148089426533318</v>
      </c>
      <c r="X197" s="97">
        <f t="shared" si="204"/>
        <v>24.204293002818428</v>
      </c>
      <c r="Y197" s="97">
        <f t="shared" si="204"/>
        <v>23.511118647500417</v>
      </c>
      <c r="DA197" s="175" t="s">
        <v>299</v>
      </c>
    </row>
    <row r="198" spans="1:105" ht="11.45" customHeight="1" x14ac:dyDescent="0.25">
      <c r="A198" s="128" t="str">
        <f>$A$16</f>
        <v>International - Extra-EEAwCHUK</v>
      </c>
      <c r="B198" s="97">
        <f t="shared" ref="B198:Y198" si="205">IF(B46=0,0,B46/B16*1000)</f>
        <v>45.819195795829508</v>
      </c>
      <c r="C198" s="97">
        <f t="shared" si="205"/>
        <v>45.484423349082284</v>
      </c>
      <c r="D198" s="97">
        <f t="shared" si="205"/>
        <v>46.124352077793745</v>
      </c>
      <c r="E198" s="97">
        <f t="shared" si="205"/>
        <v>44.933650119989849</v>
      </c>
      <c r="F198" s="97">
        <f t="shared" si="205"/>
        <v>42.77700880449531</v>
      </c>
      <c r="G198" s="97">
        <f t="shared" si="205"/>
        <v>41.126390853862276</v>
      </c>
      <c r="H198" s="97">
        <f t="shared" si="205"/>
        <v>40.588395979323565</v>
      </c>
      <c r="I198" s="97">
        <f t="shared" si="205"/>
        <v>39.704249446685154</v>
      </c>
      <c r="J198" s="97">
        <f t="shared" si="205"/>
        <v>39.560904806427047</v>
      </c>
      <c r="K198" s="97">
        <f t="shared" si="205"/>
        <v>42.297700932034317</v>
      </c>
      <c r="L198" s="97">
        <f t="shared" si="205"/>
        <v>38.234555894371596</v>
      </c>
      <c r="M198" s="97">
        <f t="shared" si="205"/>
        <v>37.817755878458314</v>
      </c>
      <c r="N198" s="97">
        <f t="shared" si="205"/>
        <v>36.515227738220098</v>
      </c>
      <c r="O198" s="97">
        <f t="shared" si="205"/>
        <v>35.916611881122158</v>
      </c>
      <c r="P198" s="97">
        <f t="shared" si="205"/>
        <v>36.532059688094535</v>
      </c>
      <c r="Q198" s="97">
        <f t="shared" si="205"/>
        <v>36.888858204113212</v>
      </c>
      <c r="R198" s="97">
        <f t="shared" si="205"/>
        <v>36.420965670882339</v>
      </c>
      <c r="S198" s="97">
        <f t="shared" si="205"/>
        <v>34.737857253150423</v>
      </c>
      <c r="T198" s="97">
        <f t="shared" si="205"/>
        <v>33.644926623235442</v>
      </c>
      <c r="U198" s="97">
        <f t="shared" si="205"/>
        <v>33.031441124584077</v>
      </c>
      <c r="V198" s="97">
        <f t="shared" si="205"/>
        <v>52.943341320350008</v>
      </c>
      <c r="W198" s="97">
        <f t="shared" si="205"/>
        <v>48.852015628661519</v>
      </c>
      <c r="X198" s="97">
        <f t="shared" si="205"/>
        <v>32.700712017236626</v>
      </c>
      <c r="Y198" s="97">
        <f t="shared" si="205"/>
        <v>30.312561553022267</v>
      </c>
      <c r="DA198" s="175" t="s">
        <v>300</v>
      </c>
    </row>
    <row r="199" spans="1:105" ht="11.45" customHeight="1" x14ac:dyDescent="0.25">
      <c r="A199" s="27" t="s">
        <v>156</v>
      </c>
      <c r="B199" s="32">
        <f t="shared" ref="B199:Y199" si="206">IF(B47=0,0,B47/B17*1000)</f>
        <v>48.225721141252656</v>
      </c>
      <c r="C199" s="32">
        <f t="shared" si="206"/>
        <v>47.965338701290854</v>
      </c>
      <c r="D199" s="32">
        <f t="shared" si="206"/>
        <v>50.095920817210541</v>
      </c>
      <c r="E199" s="32">
        <f t="shared" si="206"/>
        <v>51.640804952738819</v>
      </c>
      <c r="F199" s="32">
        <f t="shared" si="206"/>
        <v>48.598957508935754</v>
      </c>
      <c r="G199" s="32">
        <f t="shared" si="206"/>
        <v>50.527784052298863</v>
      </c>
      <c r="H199" s="32">
        <f t="shared" si="206"/>
        <v>52.482574041828968</v>
      </c>
      <c r="I199" s="32">
        <f t="shared" si="206"/>
        <v>50.658635046056943</v>
      </c>
      <c r="J199" s="32">
        <f t="shared" si="206"/>
        <v>50.867540351937897</v>
      </c>
      <c r="K199" s="32">
        <f t="shared" si="206"/>
        <v>52.348404785087112</v>
      </c>
      <c r="L199" s="32">
        <f t="shared" si="206"/>
        <v>49.067427302210405</v>
      </c>
      <c r="M199" s="32">
        <f t="shared" si="206"/>
        <v>49.611195103333863</v>
      </c>
      <c r="N199" s="32">
        <f t="shared" si="206"/>
        <v>47.410712321672491</v>
      </c>
      <c r="O199" s="32">
        <f t="shared" si="206"/>
        <v>42.531313401438609</v>
      </c>
      <c r="P199" s="32">
        <f t="shared" si="206"/>
        <v>36.386163773107896</v>
      </c>
      <c r="Q199" s="32">
        <f t="shared" si="206"/>
        <v>37.526929465154062</v>
      </c>
      <c r="R199" s="32">
        <f t="shared" si="206"/>
        <v>35.647583971328771</v>
      </c>
      <c r="S199" s="32">
        <f t="shared" si="206"/>
        <v>38.21021988833661</v>
      </c>
      <c r="T199" s="32">
        <f t="shared" si="206"/>
        <v>40.539653131378493</v>
      </c>
      <c r="U199" s="32">
        <f t="shared" si="206"/>
        <v>39.811000725348805</v>
      </c>
      <c r="V199" s="32">
        <f t="shared" si="206"/>
        <v>39.700418993708496</v>
      </c>
      <c r="W199" s="32">
        <f t="shared" si="206"/>
        <v>36.072543995381231</v>
      </c>
      <c r="X199" s="32">
        <f t="shared" si="206"/>
        <v>36.184241641814715</v>
      </c>
      <c r="Y199" s="32">
        <f t="shared" si="206"/>
        <v>38.333645093135452</v>
      </c>
      <c r="DA199" s="173" t="s">
        <v>424</v>
      </c>
    </row>
    <row r="200" spans="1:105" ht="11.45" customHeight="1" x14ac:dyDescent="0.25">
      <c r="A200" s="136" t="str">
        <f>$A$18</f>
        <v>Road transport</v>
      </c>
      <c r="B200" s="141">
        <f t="shared" ref="B200:Y200" si="207">IF(B48=0,0,B48/B18*1000)</f>
        <v>82.143722609459559</v>
      </c>
      <c r="C200" s="141">
        <f t="shared" si="207"/>
        <v>81.588301748679243</v>
      </c>
      <c r="D200" s="141">
        <f t="shared" si="207"/>
        <v>83.776799530898941</v>
      </c>
      <c r="E200" s="141">
        <f t="shared" si="207"/>
        <v>83.58222790947994</v>
      </c>
      <c r="F200" s="141">
        <f t="shared" si="207"/>
        <v>79.090350126977128</v>
      </c>
      <c r="G200" s="141">
        <f t="shared" si="207"/>
        <v>81.724303423027038</v>
      </c>
      <c r="H200" s="141">
        <f t="shared" si="207"/>
        <v>84.469111544109907</v>
      </c>
      <c r="I200" s="141">
        <f t="shared" si="207"/>
        <v>85.233954002173135</v>
      </c>
      <c r="J200" s="141">
        <f t="shared" si="207"/>
        <v>83.944134754509477</v>
      </c>
      <c r="K200" s="141">
        <f t="shared" si="207"/>
        <v>81.21139343729034</v>
      </c>
      <c r="L200" s="141">
        <f t="shared" si="207"/>
        <v>82.094568086910996</v>
      </c>
      <c r="M200" s="141">
        <f t="shared" si="207"/>
        <v>84.320455023215402</v>
      </c>
      <c r="N200" s="141">
        <f t="shared" si="207"/>
        <v>84.44650408053684</v>
      </c>
      <c r="O200" s="141">
        <f t="shared" si="207"/>
        <v>72.186135881253165</v>
      </c>
      <c r="P200" s="141">
        <f t="shared" si="207"/>
        <v>61.144008922656369</v>
      </c>
      <c r="Q200" s="141">
        <f t="shared" si="207"/>
        <v>61.787958133552593</v>
      </c>
      <c r="R200" s="141">
        <f t="shared" si="207"/>
        <v>58.000249113738505</v>
      </c>
      <c r="S200" s="141">
        <f t="shared" si="207"/>
        <v>63.215519627334004</v>
      </c>
      <c r="T200" s="141">
        <f t="shared" si="207"/>
        <v>66.661510251068478</v>
      </c>
      <c r="U200" s="141">
        <f t="shared" si="207"/>
        <v>65.789811499060278</v>
      </c>
      <c r="V200" s="141">
        <f t="shared" si="207"/>
        <v>61.827568114451068</v>
      </c>
      <c r="W200" s="141">
        <f t="shared" si="207"/>
        <v>55.72110553773598</v>
      </c>
      <c r="X200" s="141">
        <f t="shared" si="207"/>
        <v>55.350967811401404</v>
      </c>
      <c r="Y200" s="141">
        <f t="shared" si="207"/>
        <v>59.057789802480471</v>
      </c>
      <c r="DA200" s="174" t="s">
        <v>425</v>
      </c>
    </row>
    <row r="201" spans="1:105" ht="11.45" customHeight="1" x14ac:dyDescent="0.25">
      <c r="A201" s="128" t="str">
        <f>$A$19</f>
        <v>Light commercial vehicles</v>
      </c>
      <c r="B201" s="97">
        <f t="shared" ref="B201:Y201" si="208">IF(B49=0,0,B49/B19*1000)</f>
        <v>578.67921112359784</v>
      </c>
      <c r="C201" s="97">
        <f t="shared" si="208"/>
        <v>545.35103065670035</v>
      </c>
      <c r="D201" s="97">
        <f t="shared" si="208"/>
        <v>533.89307363159423</v>
      </c>
      <c r="E201" s="97">
        <f t="shared" si="208"/>
        <v>526.63825920261525</v>
      </c>
      <c r="F201" s="97">
        <f t="shared" si="208"/>
        <v>522.89892134601007</v>
      </c>
      <c r="G201" s="97">
        <f t="shared" si="208"/>
        <v>515.54356769339699</v>
      </c>
      <c r="H201" s="97">
        <f t="shared" si="208"/>
        <v>514.25403896310331</v>
      </c>
      <c r="I201" s="97">
        <f t="shared" si="208"/>
        <v>514.28089738583321</v>
      </c>
      <c r="J201" s="97">
        <f t="shared" si="208"/>
        <v>512.01372043813842</v>
      </c>
      <c r="K201" s="97">
        <f t="shared" si="208"/>
        <v>501.82244196627488</v>
      </c>
      <c r="L201" s="97">
        <f t="shared" si="208"/>
        <v>503.84314945329589</v>
      </c>
      <c r="M201" s="97">
        <f t="shared" si="208"/>
        <v>505.79246163309955</v>
      </c>
      <c r="N201" s="97">
        <f t="shared" si="208"/>
        <v>498.36114882502943</v>
      </c>
      <c r="O201" s="97">
        <f t="shared" si="208"/>
        <v>495.13527507495411</v>
      </c>
      <c r="P201" s="97">
        <f t="shared" si="208"/>
        <v>486.33672825533188</v>
      </c>
      <c r="Q201" s="97">
        <f t="shared" si="208"/>
        <v>482.91215128498527</v>
      </c>
      <c r="R201" s="97">
        <f t="shared" si="208"/>
        <v>472.90903108659205</v>
      </c>
      <c r="S201" s="97">
        <f t="shared" si="208"/>
        <v>462.6564283907033</v>
      </c>
      <c r="T201" s="97">
        <f t="shared" si="208"/>
        <v>452.81754832281399</v>
      </c>
      <c r="U201" s="97">
        <f t="shared" si="208"/>
        <v>443.39395124625776</v>
      </c>
      <c r="V201" s="97">
        <f t="shared" si="208"/>
        <v>435.54526699206525</v>
      </c>
      <c r="W201" s="97">
        <f t="shared" si="208"/>
        <v>433.9034998177035</v>
      </c>
      <c r="X201" s="97">
        <f t="shared" si="208"/>
        <v>427.13385984566389</v>
      </c>
      <c r="Y201" s="97">
        <f t="shared" si="208"/>
        <v>419.72554550939952</v>
      </c>
      <c r="DA201" s="175" t="s">
        <v>426</v>
      </c>
    </row>
    <row r="202" spans="1:105" ht="11.45" customHeight="1" x14ac:dyDescent="0.25">
      <c r="A202" s="128" t="str">
        <f>$A$20</f>
        <v>Heavy goods vehicles</v>
      </c>
      <c r="B202" s="97">
        <f t="shared" ref="B202:Y202" si="209">IF(B50=0,0,B50/B20*1000)</f>
        <v>47.816223592065938</v>
      </c>
      <c r="C202" s="97">
        <f t="shared" si="209"/>
        <v>46.6130541923336</v>
      </c>
      <c r="D202" s="97">
        <f t="shared" si="209"/>
        <v>48.302352982811762</v>
      </c>
      <c r="E202" s="97">
        <f t="shared" si="209"/>
        <v>48.232146450609129</v>
      </c>
      <c r="F202" s="97">
        <f t="shared" si="209"/>
        <v>45.047007837306005</v>
      </c>
      <c r="G202" s="97">
        <f t="shared" si="209"/>
        <v>46.657459926027059</v>
      </c>
      <c r="H202" s="97">
        <f t="shared" si="209"/>
        <v>50.155835374177343</v>
      </c>
      <c r="I202" s="97">
        <f t="shared" si="209"/>
        <v>50.594305972790664</v>
      </c>
      <c r="J202" s="97">
        <f t="shared" si="209"/>
        <v>49.681345316326315</v>
      </c>
      <c r="K202" s="97">
        <f t="shared" si="209"/>
        <v>47.372760061126804</v>
      </c>
      <c r="L202" s="97">
        <f t="shared" si="209"/>
        <v>48.04226813078423</v>
      </c>
      <c r="M202" s="97">
        <f t="shared" si="209"/>
        <v>49.818705873747966</v>
      </c>
      <c r="N202" s="97">
        <f t="shared" si="209"/>
        <v>50.365723787613085</v>
      </c>
      <c r="O202" s="97">
        <f t="shared" si="209"/>
        <v>41.070496785607652</v>
      </c>
      <c r="P202" s="97">
        <f t="shared" si="209"/>
        <v>31.142987146083566</v>
      </c>
      <c r="Q202" s="97">
        <f t="shared" si="209"/>
        <v>30.969490840770689</v>
      </c>
      <c r="R202" s="97">
        <f t="shared" si="209"/>
        <v>28.556499714625765</v>
      </c>
      <c r="S202" s="97">
        <f t="shared" si="209"/>
        <v>33.929267675629468</v>
      </c>
      <c r="T202" s="97">
        <f t="shared" si="209"/>
        <v>38.574068108044557</v>
      </c>
      <c r="U202" s="97">
        <f t="shared" si="209"/>
        <v>39.196955370194686</v>
      </c>
      <c r="V202" s="97">
        <f t="shared" si="209"/>
        <v>36.072943738446007</v>
      </c>
      <c r="W202" s="97">
        <f t="shared" si="209"/>
        <v>29.219049222018441</v>
      </c>
      <c r="X202" s="97">
        <f t="shared" si="209"/>
        <v>28.762628207076244</v>
      </c>
      <c r="Y202" s="97">
        <f t="shared" si="209"/>
        <v>31.757938196479159</v>
      </c>
      <c r="DA202" s="175" t="s">
        <v>427</v>
      </c>
    </row>
    <row r="203" spans="1:105" ht="11.45" customHeight="1" x14ac:dyDescent="0.25">
      <c r="A203" s="109" t="str">
        <f>$A$21</f>
        <v>Rail transport</v>
      </c>
      <c r="B203" s="130">
        <f t="shared" ref="B203:Y203" si="210">IF(B51=0,0,B51/B21*1000)</f>
        <v>5.2395263666417957</v>
      </c>
      <c r="C203" s="130">
        <f t="shared" si="210"/>
        <v>5.3612658024710598</v>
      </c>
      <c r="D203" s="130">
        <f t="shared" si="210"/>
        <v>5.0402597515495255</v>
      </c>
      <c r="E203" s="130">
        <f t="shared" si="210"/>
        <v>4.5369345321898731</v>
      </c>
      <c r="F203" s="130">
        <f t="shared" si="210"/>
        <v>4.3674026330135707</v>
      </c>
      <c r="G203" s="130">
        <f t="shared" si="210"/>
        <v>4.4911884843563765</v>
      </c>
      <c r="H203" s="130">
        <f t="shared" si="210"/>
        <v>4.239308952541001</v>
      </c>
      <c r="I203" s="130">
        <f t="shared" si="210"/>
        <v>4.1463262678620785</v>
      </c>
      <c r="J203" s="130">
        <f t="shared" si="210"/>
        <v>4.1146737340897701</v>
      </c>
      <c r="K203" s="130">
        <f t="shared" si="210"/>
        <v>4.1688943058336561</v>
      </c>
      <c r="L203" s="130">
        <f t="shared" si="210"/>
        <v>4.4759594068290234</v>
      </c>
      <c r="M203" s="130">
        <f t="shared" si="210"/>
        <v>4.2981029374785695</v>
      </c>
      <c r="N203" s="130">
        <f t="shared" si="210"/>
        <v>4.0752907553230671</v>
      </c>
      <c r="O203" s="130">
        <f t="shared" si="210"/>
        <v>3.9978749612764917</v>
      </c>
      <c r="P203" s="130">
        <f t="shared" si="210"/>
        <v>3.8639939452310443</v>
      </c>
      <c r="Q203" s="130">
        <f t="shared" si="210"/>
        <v>3.8185927333298459</v>
      </c>
      <c r="R203" s="130">
        <f t="shared" si="210"/>
        <v>3.7434382662994423</v>
      </c>
      <c r="S203" s="130">
        <f t="shared" si="210"/>
        <v>3.7320512252006521</v>
      </c>
      <c r="T203" s="130">
        <f t="shared" si="210"/>
        <v>3.4601344123078297</v>
      </c>
      <c r="U203" s="130">
        <f t="shared" si="210"/>
        <v>3.3715515965369378</v>
      </c>
      <c r="V203" s="130">
        <f t="shared" si="210"/>
        <v>3.8350028210971043</v>
      </c>
      <c r="W203" s="130">
        <f t="shared" si="210"/>
        <v>3.6178605641854467</v>
      </c>
      <c r="X203" s="130">
        <f t="shared" si="210"/>
        <v>3.4740344171168629</v>
      </c>
      <c r="Y203" s="130">
        <f t="shared" si="210"/>
        <v>3.498257257860125</v>
      </c>
      <c r="DA203" s="176" t="s">
        <v>428</v>
      </c>
    </row>
    <row r="204" spans="1:105" ht="11.45" customHeight="1" x14ac:dyDescent="0.25">
      <c r="A204" s="109" t="str">
        <f>$A$22</f>
        <v>Aviation</v>
      </c>
      <c r="B204" s="130">
        <f t="shared" ref="B204:Y204" si="211">IF(B52=0,0,B52/B22*1000)</f>
        <v>120.48402813334334</v>
      </c>
      <c r="C204" s="130">
        <f t="shared" si="211"/>
        <v>115.05347417239119</v>
      </c>
      <c r="D204" s="130">
        <f t="shared" si="211"/>
        <v>122.68990996794585</v>
      </c>
      <c r="E204" s="130">
        <f t="shared" si="211"/>
        <v>131.36500356199056</v>
      </c>
      <c r="F204" s="130">
        <f t="shared" si="211"/>
        <v>134.30907925612175</v>
      </c>
      <c r="G204" s="130">
        <f t="shared" si="211"/>
        <v>141.11724679740936</v>
      </c>
      <c r="H204" s="130">
        <f t="shared" si="211"/>
        <v>146.29297922816224</v>
      </c>
      <c r="I204" s="130">
        <f t="shared" si="211"/>
        <v>149.21372970070138</v>
      </c>
      <c r="J204" s="130">
        <f t="shared" si="211"/>
        <v>149.35905858045928</v>
      </c>
      <c r="K204" s="130">
        <f t="shared" si="211"/>
        <v>142.16192882956224</v>
      </c>
      <c r="L204" s="130">
        <f t="shared" si="211"/>
        <v>130.78773136358444</v>
      </c>
      <c r="M204" s="130">
        <f t="shared" si="211"/>
        <v>122.14165027916108</v>
      </c>
      <c r="N204" s="130">
        <f t="shared" si="211"/>
        <v>108.70319610260509</v>
      </c>
      <c r="O204" s="130">
        <f t="shared" si="211"/>
        <v>106.51270452209303</v>
      </c>
      <c r="P204" s="130">
        <f t="shared" si="211"/>
        <v>94.276940841478833</v>
      </c>
      <c r="Q204" s="130">
        <f t="shared" si="211"/>
        <v>96.086893374016498</v>
      </c>
      <c r="R204" s="130">
        <f t="shared" si="211"/>
        <v>89.25332893090237</v>
      </c>
      <c r="S204" s="130">
        <f t="shared" si="211"/>
        <v>88.773581231721224</v>
      </c>
      <c r="T204" s="130">
        <f t="shared" si="211"/>
        <v>86.782526437372837</v>
      </c>
      <c r="U204" s="130">
        <f t="shared" si="211"/>
        <v>80.806948643914524</v>
      </c>
      <c r="V204" s="130">
        <f t="shared" si="211"/>
        <v>125.56047514188914</v>
      </c>
      <c r="W204" s="130">
        <f t="shared" si="211"/>
        <v>109.96204532818608</v>
      </c>
      <c r="X204" s="130">
        <f t="shared" si="211"/>
        <v>105.33194727923316</v>
      </c>
      <c r="Y204" s="130">
        <f t="shared" si="211"/>
        <v>101.10067323044485</v>
      </c>
      <c r="DA204" s="176" t="s">
        <v>301</v>
      </c>
    </row>
    <row r="205" spans="1:105" ht="11.45" customHeight="1" x14ac:dyDescent="0.25">
      <c r="A205" s="128" t="s">
        <v>27</v>
      </c>
      <c r="B205" s="97">
        <f t="shared" ref="B205:Y205" si="212">IF(B53=0,0,B53/B23*1000)</f>
        <v>0</v>
      </c>
      <c r="C205" s="97">
        <f t="shared" si="212"/>
        <v>0</v>
      </c>
      <c r="D205" s="97">
        <f t="shared" si="212"/>
        <v>0</v>
      </c>
      <c r="E205" s="97">
        <f t="shared" si="212"/>
        <v>0</v>
      </c>
      <c r="F205" s="97">
        <f t="shared" si="212"/>
        <v>0</v>
      </c>
      <c r="G205" s="97">
        <f t="shared" si="212"/>
        <v>0</v>
      </c>
      <c r="H205" s="97">
        <f t="shared" si="212"/>
        <v>0</v>
      </c>
      <c r="I205" s="97">
        <f t="shared" si="212"/>
        <v>0</v>
      </c>
      <c r="J205" s="97">
        <f t="shared" si="212"/>
        <v>0</v>
      </c>
      <c r="K205" s="97">
        <f t="shared" si="212"/>
        <v>0</v>
      </c>
      <c r="L205" s="97">
        <f t="shared" si="212"/>
        <v>0</v>
      </c>
      <c r="M205" s="97">
        <f t="shared" si="212"/>
        <v>0</v>
      </c>
      <c r="N205" s="97">
        <f t="shared" si="212"/>
        <v>0</v>
      </c>
      <c r="O205" s="97">
        <f t="shared" si="212"/>
        <v>0</v>
      </c>
      <c r="P205" s="97">
        <f t="shared" si="212"/>
        <v>0</v>
      </c>
      <c r="Q205" s="97">
        <f t="shared" si="212"/>
        <v>0</v>
      </c>
      <c r="R205" s="97">
        <f t="shared" si="212"/>
        <v>0</v>
      </c>
      <c r="S205" s="97">
        <f t="shared" si="212"/>
        <v>0</v>
      </c>
      <c r="T205" s="97">
        <f t="shared" si="212"/>
        <v>0</v>
      </c>
      <c r="U205" s="97">
        <f t="shared" si="212"/>
        <v>0</v>
      </c>
      <c r="V205" s="97">
        <f t="shared" si="212"/>
        <v>0</v>
      </c>
      <c r="W205" s="97">
        <f t="shared" si="212"/>
        <v>0</v>
      </c>
      <c r="X205" s="97">
        <f t="shared" si="212"/>
        <v>0</v>
      </c>
      <c r="Y205" s="97">
        <f t="shared" si="212"/>
        <v>0</v>
      </c>
      <c r="DA205" s="175" t="s">
        <v>302</v>
      </c>
    </row>
    <row r="206" spans="1:105" ht="11.45" customHeight="1" x14ac:dyDescent="0.25">
      <c r="A206" s="128" t="str">
        <f>$A$24</f>
        <v>International - Intra-EEAwCHUK</v>
      </c>
      <c r="B206" s="97">
        <f t="shared" ref="B206:Y206" si="213">IF(B54=0,0,B54/B24*1000)</f>
        <v>194.96991844771486</v>
      </c>
      <c r="C206" s="97">
        <f t="shared" si="213"/>
        <v>185.15655523138045</v>
      </c>
      <c r="D206" s="97">
        <f t="shared" si="213"/>
        <v>198.90246763718838</v>
      </c>
      <c r="E206" s="97">
        <f t="shared" si="213"/>
        <v>190.88858404459066</v>
      </c>
      <c r="F206" s="97">
        <f t="shared" si="213"/>
        <v>212.14491389657255</v>
      </c>
      <c r="G206" s="97">
        <f t="shared" si="213"/>
        <v>216.09533577120428</v>
      </c>
      <c r="H206" s="97">
        <f t="shared" si="213"/>
        <v>235.07497186688079</v>
      </c>
      <c r="I206" s="97">
        <f t="shared" si="213"/>
        <v>238.05643418332849</v>
      </c>
      <c r="J206" s="97">
        <f t="shared" si="213"/>
        <v>243.78320587757452</v>
      </c>
      <c r="K206" s="97">
        <f t="shared" si="213"/>
        <v>240.04476563369542</v>
      </c>
      <c r="L206" s="97">
        <f t="shared" si="213"/>
        <v>225.19964839221544</v>
      </c>
      <c r="M206" s="97">
        <f t="shared" si="213"/>
        <v>203.20139630648981</v>
      </c>
      <c r="N206" s="97">
        <f t="shared" si="213"/>
        <v>189.78025236582616</v>
      </c>
      <c r="O206" s="97">
        <f t="shared" si="213"/>
        <v>186.98075142530317</v>
      </c>
      <c r="P206" s="97">
        <f t="shared" si="213"/>
        <v>164.15005129108391</v>
      </c>
      <c r="Q206" s="97">
        <f t="shared" si="213"/>
        <v>171.82427865737731</v>
      </c>
      <c r="R206" s="97">
        <f t="shared" si="213"/>
        <v>153.14258109217076</v>
      </c>
      <c r="S206" s="97">
        <f t="shared" si="213"/>
        <v>165.75781905286451</v>
      </c>
      <c r="T206" s="97">
        <f t="shared" si="213"/>
        <v>157.80133701502942</v>
      </c>
      <c r="U206" s="97">
        <f t="shared" si="213"/>
        <v>143.36176153236366</v>
      </c>
      <c r="V206" s="97">
        <f t="shared" si="213"/>
        <v>152.93264834149227</v>
      </c>
      <c r="W206" s="97">
        <f t="shared" si="213"/>
        <v>149.02430020601867</v>
      </c>
      <c r="X206" s="97">
        <f t="shared" si="213"/>
        <v>156.0861031512799</v>
      </c>
      <c r="Y206" s="97">
        <f t="shared" si="213"/>
        <v>154.19990005265734</v>
      </c>
      <c r="DA206" s="175" t="s">
        <v>303</v>
      </c>
    </row>
    <row r="207" spans="1:105" ht="11.45" customHeight="1" x14ac:dyDescent="0.25">
      <c r="A207" s="128" t="str">
        <f>$A$25</f>
        <v>International - Extra-EEAwCHUK</v>
      </c>
      <c r="B207" s="97">
        <f t="shared" ref="B207:Y207" si="214">IF(B55=0,0,B55/B25*1000)</f>
        <v>119.46894784001383</v>
      </c>
      <c r="C207" s="97">
        <f t="shared" si="214"/>
        <v>113.75457949301983</v>
      </c>
      <c r="D207" s="97">
        <f t="shared" si="214"/>
        <v>121.6376862862073</v>
      </c>
      <c r="E207" s="97">
        <f t="shared" si="214"/>
        <v>130.4813147155497</v>
      </c>
      <c r="F207" s="97">
        <f t="shared" si="214"/>
        <v>133.23076317611483</v>
      </c>
      <c r="G207" s="97">
        <f t="shared" si="214"/>
        <v>140.12370425675562</v>
      </c>
      <c r="H207" s="97">
        <f t="shared" si="214"/>
        <v>145.25550270304444</v>
      </c>
      <c r="I207" s="97">
        <f t="shared" si="214"/>
        <v>148.12385482839395</v>
      </c>
      <c r="J207" s="97">
        <f t="shared" si="214"/>
        <v>147.96250389663217</v>
      </c>
      <c r="K207" s="97">
        <f t="shared" si="214"/>
        <v>140.45262222657823</v>
      </c>
      <c r="L207" s="97">
        <f t="shared" si="214"/>
        <v>129.19759929679174</v>
      </c>
      <c r="M207" s="97">
        <f t="shared" si="214"/>
        <v>120.95909874883274</v>
      </c>
      <c r="N207" s="97">
        <f t="shared" si="214"/>
        <v>107.66262540946133</v>
      </c>
      <c r="O207" s="97">
        <f t="shared" si="214"/>
        <v>105.44260906410382</v>
      </c>
      <c r="P207" s="97">
        <f t="shared" si="214"/>
        <v>93.270828886674408</v>
      </c>
      <c r="Q207" s="97">
        <f t="shared" si="214"/>
        <v>95.017580477660289</v>
      </c>
      <c r="R207" s="97">
        <f t="shared" si="214"/>
        <v>88.185443190107762</v>
      </c>
      <c r="S207" s="97">
        <f t="shared" si="214"/>
        <v>87.787603143456323</v>
      </c>
      <c r="T207" s="97">
        <f t="shared" si="214"/>
        <v>86.023290949387302</v>
      </c>
      <c r="U207" s="97">
        <f t="shared" si="214"/>
        <v>80.086096716234763</v>
      </c>
      <c r="V207" s="97">
        <f t="shared" si="214"/>
        <v>125.27693548408168</v>
      </c>
      <c r="W207" s="97">
        <f t="shared" si="214"/>
        <v>109.54958767899913</v>
      </c>
      <c r="X207" s="97">
        <f t="shared" si="214"/>
        <v>104.82274531619358</v>
      </c>
      <c r="Y207" s="97">
        <f t="shared" si="214"/>
        <v>100.59185083448811</v>
      </c>
      <c r="DA207" s="175" t="s">
        <v>304</v>
      </c>
    </row>
    <row r="208" spans="1:105" ht="11.45" customHeight="1" x14ac:dyDescent="0.25">
      <c r="A208" s="109" t="s">
        <v>141</v>
      </c>
      <c r="B208" s="130">
        <f t="shared" ref="B208:Y208" si="215">IF(B56=0,0,B56/B26*1000)</f>
        <v>5.9094472502281832</v>
      </c>
      <c r="C208" s="130">
        <f t="shared" si="215"/>
        <v>6.0573671365528448</v>
      </c>
      <c r="D208" s="130">
        <f t="shared" si="215"/>
        <v>6.4030192015478322</v>
      </c>
      <c r="E208" s="130">
        <f t="shared" si="215"/>
        <v>6.3275341982468847</v>
      </c>
      <c r="F208" s="130">
        <f t="shared" si="215"/>
        <v>5.8085506467477517</v>
      </c>
      <c r="G208" s="130">
        <f t="shared" si="215"/>
        <v>6.4320935515848605</v>
      </c>
      <c r="H208" s="130">
        <f t="shared" si="215"/>
        <v>6.7513964692985358</v>
      </c>
      <c r="I208" s="130">
        <f t="shared" si="215"/>
        <v>6.6399973984400162</v>
      </c>
      <c r="J208" s="130">
        <f t="shared" si="215"/>
        <v>6.8475718394616205</v>
      </c>
      <c r="K208" s="130">
        <f t="shared" si="215"/>
        <v>8.4969314230765978</v>
      </c>
      <c r="L208" s="130">
        <f t="shared" si="215"/>
        <v>7.7511034905083189</v>
      </c>
      <c r="M208" s="130">
        <f t="shared" si="215"/>
        <v>7.8564253002370563</v>
      </c>
      <c r="N208" s="130">
        <f t="shared" si="215"/>
        <v>7.0718844294297236</v>
      </c>
      <c r="O208" s="130">
        <f t="shared" si="215"/>
        <v>7.3379698556371178</v>
      </c>
      <c r="P208" s="130">
        <f t="shared" si="215"/>
        <v>6.2964798246083653</v>
      </c>
      <c r="Q208" s="130">
        <f t="shared" si="215"/>
        <v>7.645980128471801</v>
      </c>
      <c r="R208" s="130">
        <f t="shared" si="215"/>
        <v>7.1012252230543265</v>
      </c>
      <c r="S208" s="130">
        <f t="shared" si="215"/>
        <v>6.8848488315909888</v>
      </c>
      <c r="T208" s="130">
        <f t="shared" si="215"/>
        <v>7.2368328721137978</v>
      </c>
      <c r="U208" s="130">
        <f t="shared" si="215"/>
        <v>6.7008500649651381</v>
      </c>
      <c r="V208" s="130">
        <f t="shared" si="215"/>
        <v>5.4808379365963331</v>
      </c>
      <c r="W208" s="130">
        <f t="shared" si="215"/>
        <v>5.772595177477398</v>
      </c>
      <c r="X208" s="130">
        <f t="shared" si="215"/>
        <v>6.5005354264081534</v>
      </c>
      <c r="Y208" s="130">
        <f t="shared" si="215"/>
        <v>7.3463806437081836</v>
      </c>
      <c r="DA208" s="176" t="s">
        <v>429</v>
      </c>
    </row>
    <row r="209" spans="1:105" ht="11.45" customHeight="1" x14ac:dyDescent="0.25">
      <c r="A209" s="128" t="str">
        <f>$A$27</f>
        <v>Domestic coastal shipping</v>
      </c>
      <c r="B209" s="97">
        <f t="shared" ref="B209:Y209" si="216">IF(B57=0,0,B57/B27*1000)</f>
        <v>19.63243278664747</v>
      </c>
      <c r="C209" s="97">
        <f t="shared" si="216"/>
        <v>17.722692913190667</v>
      </c>
      <c r="D209" s="97">
        <f t="shared" si="216"/>
        <v>19.163063890025711</v>
      </c>
      <c r="E209" s="97">
        <f t="shared" si="216"/>
        <v>17.799407337073244</v>
      </c>
      <c r="F209" s="97">
        <f t="shared" si="216"/>
        <v>17.375230309029043</v>
      </c>
      <c r="G209" s="97">
        <f t="shared" si="216"/>
        <v>19.642406955244937</v>
      </c>
      <c r="H209" s="97">
        <f t="shared" si="216"/>
        <v>18.477164778216579</v>
      </c>
      <c r="I209" s="97">
        <f t="shared" si="216"/>
        <v>17.994842841303832</v>
      </c>
      <c r="J209" s="97">
        <f t="shared" si="216"/>
        <v>20.985621971895988</v>
      </c>
      <c r="K209" s="97">
        <f t="shared" si="216"/>
        <v>22.357250443469034</v>
      </c>
      <c r="L209" s="97">
        <f t="shared" si="216"/>
        <v>25.80871930883999</v>
      </c>
      <c r="M209" s="97">
        <f t="shared" si="216"/>
        <v>24.937375110222977</v>
      </c>
      <c r="N209" s="97">
        <f t="shared" si="216"/>
        <v>21.92676988704023</v>
      </c>
      <c r="O209" s="97">
        <f t="shared" si="216"/>
        <v>22.265438104304152</v>
      </c>
      <c r="P209" s="97">
        <f t="shared" si="216"/>
        <v>21.038870869797382</v>
      </c>
      <c r="Q209" s="97">
        <f t="shared" si="216"/>
        <v>21.760982783384527</v>
      </c>
      <c r="R209" s="97">
        <f t="shared" si="216"/>
        <v>21.006810942668217</v>
      </c>
      <c r="S209" s="97">
        <f t="shared" si="216"/>
        <v>22.182376711430603</v>
      </c>
      <c r="T209" s="97">
        <f t="shared" si="216"/>
        <v>22.371999158899946</v>
      </c>
      <c r="U209" s="97">
        <f t="shared" si="216"/>
        <v>22.107677232278728</v>
      </c>
      <c r="V209" s="97">
        <f t="shared" si="216"/>
        <v>17.657627732827034</v>
      </c>
      <c r="W209" s="97">
        <f t="shared" si="216"/>
        <v>18.595544460794063</v>
      </c>
      <c r="X209" s="97">
        <f t="shared" si="216"/>
        <v>21.548364767560201</v>
      </c>
      <c r="Y209" s="97">
        <f t="shared" si="216"/>
        <v>23.064091189955334</v>
      </c>
      <c r="DA209" s="175" t="s">
        <v>430</v>
      </c>
    </row>
    <row r="210" spans="1:105" ht="11.45" customHeight="1" x14ac:dyDescent="0.25">
      <c r="A210" s="138" t="str">
        <f>$A$28</f>
        <v>Inland waterways</v>
      </c>
      <c r="B210" s="98">
        <f t="shared" ref="B210:Y210" si="217">IF(B58=0,0,B58/B28*1000)</f>
        <v>5.9046561257438173</v>
      </c>
      <c r="C210" s="98">
        <f t="shared" si="217"/>
        <v>6.0535317277165142</v>
      </c>
      <c r="D210" s="98">
        <f t="shared" si="217"/>
        <v>6.3987073195750455</v>
      </c>
      <c r="E210" s="98">
        <f t="shared" si="217"/>
        <v>6.3232524158716847</v>
      </c>
      <c r="F210" s="98">
        <f t="shared" si="217"/>
        <v>5.8040093096748375</v>
      </c>
      <c r="G210" s="98">
        <f t="shared" si="217"/>
        <v>6.4261685697817175</v>
      </c>
      <c r="H210" s="98">
        <f t="shared" si="217"/>
        <v>6.7456042758472545</v>
      </c>
      <c r="I210" s="98">
        <f t="shared" si="217"/>
        <v>6.6340801087000214</v>
      </c>
      <c r="J210" s="98">
        <f t="shared" si="217"/>
        <v>6.8396967431026505</v>
      </c>
      <c r="K210" s="98">
        <f t="shared" si="217"/>
        <v>8.4880246956095409</v>
      </c>
      <c r="L210" s="98">
        <f t="shared" si="217"/>
        <v>7.7396899852135821</v>
      </c>
      <c r="M210" s="98">
        <f t="shared" si="217"/>
        <v>7.8453341897636069</v>
      </c>
      <c r="N210" s="98">
        <f t="shared" si="217"/>
        <v>7.0620045070840503</v>
      </c>
      <c r="O210" s="98">
        <f t="shared" si="217"/>
        <v>7.3302606917954503</v>
      </c>
      <c r="P210" s="98">
        <f t="shared" si="217"/>
        <v>6.2874020167620177</v>
      </c>
      <c r="Q210" s="98">
        <f t="shared" si="217"/>
        <v>7.6325796732882614</v>
      </c>
      <c r="R210" s="98">
        <f t="shared" si="217"/>
        <v>7.0865801604106098</v>
      </c>
      <c r="S210" s="98">
        <f t="shared" si="217"/>
        <v>6.8667976550631069</v>
      </c>
      <c r="T210" s="98">
        <f t="shared" si="217"/>
        <v>7.2120915295276999</v>
      </c>
      <c r="U210" s="98">
        <f t="shared" si="217"/>
        <v>6.6721422147054943</v>
      </c>
      <c r="V210" s="98">
        <f t="shared" si="217"/>
        <v>5.4598074564819825</v>
      </c>
      <c r="W210" s="98">
        <f t="shared" si="217"/>
        <v>5.7578634231302814</v>
      </c>
      <c r="X210" s="98">
        <f t="shared" si="217"/>
        <v>6.4772150232477035</v>
      </c>
      <c r="Y210" s="98">
        <f t="shared" si="217"/>
        <v>7.3179505065615027</v>
      </c>
      <c r="DA210" s="178" t="s">
        <v>431</v>
      </c>
    </row>
    <row r="211" spans="1:105" ht="11.45" customHeight="1" x14ac:dyDescent="0.25">
      <c r="A211" s="27" t="s">
        <v>172</v>
      </c>
      <c r="B211" s="32">
        <f t="shared" ref="B211:Y211" si="218">IF(B59=0,0,B59/B29*1000)</f>
        <v>9.2299046895518853</v>
      </c>
      <c r="C211" s="32">
        <f t="shared" si="218"/>
        <v>10.238124289168308</v>
      </c>
      <c r="D211" s="32">
        <f t="shared" si="218"/>
        <v>10.056291516249665</v>
      </c>
      <c r="E211" s="32">
        <f t="shared" si="218"/>
        <v>9.3541126199493831</v>
      </c>
      <c r="F211" s="32">
        <f t="shared" si="218"/>
        <v>9.587707983136772</v>
      </c>
      <c r="G211" s="32">
        <f t="shared" si="218"/>
        <v>9.6071013051189311</v>
      </c>
      <c r="H211" s="32">
        <f t="shared" si="218"/>
        <v>9.8012126002428488</v>
      </c>
      <c r="I211" s="32">
        <f t="shared" si="218"/>
        <v>9.4664080614177788</v>
      </c>
      <c r="J211" s="32">
        <f t="shared" si="218"/>
        <v>8.5866179438488128</v>
      </c>
      <c r="K211" s="32">
        <f t="shared" si="218"/>
        <v>8.8167280674864124</v>
      </c>
      <c r="L211" s="32">
        <f t="shared" si="218"/>
        <v>7.7504614945885582</v>
      </c>
      <c r="M211" s="32">
        <f t="shared" si="218"/>
        <v>7.7005854965422618</v>
      </c>
      <c r="N211" s="32">
        <f t="shared" si="218"/>
        <v>7.0620421905490938</v>
      </c>
      <c r="O211" s="32">
        <f t="shared" si="218"/>
        <v>6.813720765658446</v>
      </c>
      <c r="P211" s="32">
        <f t="shared" si="218"/>
        <v>6.4445114905049685</v>
      </c>
      <c r="Q211" s="32">
        <f t="shared" si="218"/>
        <v>5.8569264668240253</v>
      </c>
      <c r="R211" s="32">
        <f t="shared" si="218"/>
        <v>5.8917072017547936</v>
      </c>
      <c r="S211" s="32">
        <f t="shared" si="218"/>
        <v>5.7098134553283906</v>
      </c>
      <c r="T211" s="32">
        <f t="shared" si="218"/>
        <v>5.5515935004836665</v>
      </c>
      <c r="U211" s="32">
        <f t="shared" si="218"/>
        <v>5.7393305487663513</v>
      </c>
      <c r="V211" s="32">
        <f t="shared" si="218"/>
        <v>6.6311310630141618</v>
      </c>
      <c r="W211" s="32">
        <f t="shared" si="218"/>
        <v>5.9264878169132764</v>
      </c>
      <c r="X211" s="32">
        <f t="shared" si="218"/>
        <v>5.7398363157597174</v>
      </c>
      <c r="Y211" s="32">
        <f t="shared" si="218"/>
        <v>5.7305817529401128</v>
      </c>
      <c r="DA211" s="173" t="s">
        <v>432</v>
      </c>
    </row>
    <row r="212" spans="1:105" ht="11.45" customHeight="1" x14ac:dyDescent="0.25">
      <c r="A212" s="128" t="str">
        <f>$A$30</f>
        <v>Intra-EEA</v>
      </c>
      <c r="B212" s="97">
        <f t="shared" ref="B212:Y212" si="219">IF(B60=0,0,B60/B30*1000)</f>
        <v>33.667360332947432</v>
      </c>
      <c r="C212" s="97">
        <f t="shared" si="219"/>
        <v>37.538920623349192</v>
      </c>
      <c r="D212" s="97">
        <f t="shared" si="219"/>
        <v>36.580963531766578</v>
      </c>
      <c r="E212" s="97">
        <f t="shared" si="219"/>
        <v>34.307703423927336</v>
      </c>
      <c r="F212" s="97">
        <f t="shared" si="219"/>
        <v>35.231137057636154</v>
      </c>
      <c r="G212" s="97">
        <f t="shared" si="219"/>
        <v>36.714081916141858</v>
      </c>
      <c r="H212" s="97">
        <f t="shared" si="219"/>
        <v>38.088471739772139</v>
      </c>
      <c r="I212" s="97">
        <f t="shared" si="219"/>
        <v>36.861025150089311</v>
      </c>
      <c r="J212" s="97">
        <f t="shared" si="219"/>
        <v>34.150108292509884</v>
      </c>
      <c r="K212" s="97">
        <f t="shared" si="219"/>
        <v>33.068849663605015</v>
      </c>
      <c r="L212" s="97">
        <f t="shared" si="219"/>
        <v>28.885183519621204</v>
      </c>
      <c r="M212" s="97">
        <f t="shared" si="219"/>
        <v>30.103487320773613</v>
      </c>
      <c r="N212" s="97">
        <f t="shared" si="219"/>
        <v>27.79359709918732</v>
      </c>
      <c r="O212" s="97">
        <f t="shared" si="219"/>
        <v>26.719850255808336</v>
      </c>
      <c r="P212" s="97">
        <f t="shared" si="219"/>
        <v>25.296791159340884</v>
      </c>
      <c r="Q212" s="97">
        <f t="shared" si="219"/>
        <v>23.233182189832807</v>
      </c>
      <c r="R212" s="97">
        <f t="shared" si="219"/>
        <v>23.575861742459804</v>
      </c>
      <c r="S212" s="97">
        <f t="shared" si="219"/>
        <v>22.995447193594579</v>
      </c>
      <c r="T212" s="97">
        <f t="shared" si="219"/>
        <v>22.170229269382205</v>
      </c>
      <c r="U212" s="97">
        <f t="shared" si="219"/>
        <v>22.970630414811087</v>
      </c>
      <c r="V212" s="97">
        <f t="shared" si="219"/>
        <v>22.253214107185151</v>
      </c>
      <c r="W212" s="97">
        <f t="shared" si="219"/>
        <v>21.277878806599556</v>
      </c>
      <c r="X212" s="97">
        <f t="shared" si="219"/>
        <v>21.975728675380484</v>
      </c>
      <c r="Y212" s="97">
        <f t="shared" si="219"/>
        <v>21.200872154839136</v>
      </c>
      <c r="DA212" s="175" t="s">
        <v>433</v>
      </c>
    </row>
    <row r="213" spans="1:105" ht="11.45" customHeight="1" x14ac:dyDescent="0.25">
      <c r="A213" s="138" t="str">
        <f>$A$31</f>
        <v>Extra-EEA</v>
      </c>
      <c r="B213" s="98">
        <f t="shared" ref="B213:Y213" si="220">IF(B61=0,0,B61/B31*1000)</f>
        <v>7.4933071144372327</v>
      </c>
      <c r="C213" s="98">
        <f t="shared" si="220"/>
        <v>8.3194152997332917</v>
      </c>
      <c r="D213" s="98">
        <f t="shared" si="220"/>
        <v>8.1559423686666666</v>
      </c>
      <c r="E213" s="98">
        <f t="shared" si="220"/>
        <v>7.6331607319738879</v>
      </c>
      <c r="F213" s="98">
        <f t="shared" si="220"/>
        <v>7.8263368600372809</v>
      </c>
      <c r="G213" s="98">
        <f t="shared" si="220"/>
        <v>7.9918796097829485</v>
      </c>
      <c r="H213" s="98">
        <f t="shared" si="220"/>
        <v>8.2206821365597751</v>
      </c>
      <c r="I213" s="98">
        <f t="shared" si="220"/>
        <v>7.9644989342897397</v>
      </c>
      <c r="J213" s="98">
        <f t="shared" si="220"/>
        <v>7.2973133356104087</v>
      </c>
      <c r="K213" s="98">
        <f t="shared" si="220"/>
        <v>7.289678516640187</v>
      </c>
      <c r="L213" s="98">
        <f t="shared" si="220"/>
        <v>6.3357968562687619</v>
      </c>
      <c r="M213" s="98">
        <f t="shared" si="220"/>
        <v>6.3872076705021472</v>
      </c>
      <c r="N213" s="98">
        <f t="shared" si="220"/>
        <v>5.8544804202289935</v>
      </c>
      <c r="O213" s="98">
        <f t="shared" si="220"/>
        <v>5.6339754739652061</v>
      </c>
      <c r="P213" s="98">
        <f t="shared" si="220"/>
        <v>5.3062917743237685</v>
      </c>
      <c r="Q213" s="98">
        <f t="shared" si="220"/>
        <v>4.8604739791798606</v>
      </c>
      <c r="R213" s="98">
        <f t="shared" si="220"/>
        <v>4.9417077090856667</v>
      </c>
      <c r="S213" s="98">
        <f t="shared" si="220"/>
        <v>4.7987531751523047</v>
      </c>
      <c r="T213" s="98">
        <f t="shared" si="220"/>
        <v>4.6332309338559838</v>
      </c>
      <c r="U213" s="98">
        <f t="shared" si="220"/>
        <v>4.7582417749165167</v>
      </c>
      <c r="V213" s="98">
        <f t="shared" si="220"/>
        <v>5.6725620713039637</v>
      </c>
      <c r="W213" s="98">
        <f t="shared" si="220"/>
        <v>5.0505588273077429</v>
      </c>
      <c r="X213" s="98">
        <f t="shared" si="220"/>
        <v>4.8033323835574384</v>
      </c>
      <c r="Y213" s="98">
        <f t="shared" si="220"/>
        <v>4.7263337440435729</v>
      </c>
      <c r="DA213" s="178" t="s">
        <v>434</v>
      </c>
    </row>
    <row r="214" spans="1:105" x14ac:dyDescent="0.25">
      <c r="A214" s="106"/>
      <c r="B214" s="106"/>
      <c r="C214" s="106"/>
      <c r="D214" s="106"/>
      <c r="E214" s="106"/>
      <c r="F214" s="106"/>
      <c r="G214" s="106"/>
      <c r="H214" s="106"/>
      <c r="I214" s="106"/>
      <c r="J214" s="106"/>
      <c r="K214" s="106"/>
      <c r="L214" s="106"/>
      <c r="M214" s="106"/>
      <c r="N214" s="106"/>
      <c r="O214" s="106"/>
      <c r="P214" s="106"/>
      <c r="Q214" s="106"/>
      <c r="R214" s="106"/>
      <c r="S214" s="106"/>
      <c r="T214" s="106"/>
      <c r="U214" s="106"/>
      <c r="V214" s="106"/>
      <c r="W214" s="106"/>
      <c r="X214" s="106"/>
      <c r="Y214" s="106"/>
      <c r="DA214" s="171"/>
    </row>
    <row r="215" spans="1:105" ht="11.45" customHeight="1" x14ac:dyDescent="0.25">
      <c r="A215" s="53" t="s">
        <v>43</v>
      </c>
      <c r="B215" s="59"/>
      <c r="C215" s="59"/>
      <c r="D215" s="59"/>
      <c r="E215" s="59"/>
      <c r="F215" s="59"/>
      <c r="G215" s="59"/>
      <c r="H215" s="59"/>
      <c r="I215" s="5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59"/>
      <c r="W215" s="59"/>
      <c r="X215" s="59"/>
      <c r="Y215" s="59"/>
      <c r="DA215" s="172"/>
    </row>
    <row r="216" spans="1:105" ht="11.45" customHeight="1" x14ac:dyDescent="0.25">
      <c r="A216" s="27" t="s">
        <v>160</v>
      </c>
      <c r="B216" s="32">
        <f t="shared" ref="B216:Y216" si="221">IF(B4=0,0,B64/B4*1000)</f>
        <v>118.37326131489658</v>
      </c>
      <c r="C216" s="32">
        <f t="shared" si="221"/>
        <v>118.37151426137494</v>
      </c>
      <c r="D216" s="32">
        <f t="shared" si="221"/>
        <v>119.24881153154358</v>
      </c>
      <c r="E216" s="32">
        <f t="shared" si="221"/>
        <v>117.89313228269619</v>
      </c>
      <c r="F216" s="32">
        <f t="shared" si="221"/>
        <v>114.09302413949642</v>
      </c>
      <c r="G216" s="32">
        <f t="shared" si="221"/>
        <v>114.14533363071904</v>
      </c>
      <c r="H216" s="32">
        <f t="shared" si="221"/>
        <v>115.07207720802165</v>
      </c>
      <c r="I216" s="32">
        <f t="shared" si="221"/>
        <v>113.13288746833194</v>
      </c>
      <c r="J216" s="32">
        <f t="shared" si="221"/>
        <v>114.54954041538204</v>
      </c>
      <c r="K216" s="32">
        <f t="shared" si="221"/>
        <v>115.78097651518172</v>
      </c>
      <c r="L216" s="32">
        <f t="shared" si="221"/>
        <v>113.08975156408559</v>
      </c>
      <c r="M216" s="32">
        <f t="shared" si="221"/>
        <v>111.37174898473316</v>
      </c>
      <c r="N216" s="32">
        <f t="shared" si="221"/>
        <v>109.08793422001675</v>
      </c>
      <c r="O216" s="32">
        <f t="shared" si="221"/>
        <v>103.31769266704211</v>
      </c>
      <c r="P216" s="32">
        <f t="shared" si="221"/>
        <v>101.14375949146169</v>
      </c>
      <c r="Q216" s="32">
        <f t="shared" si="221"/>
        <v>103.75296848349211</v>
      </c>
      <c r="R216" s="32">
        <f t="shared" si="221"/>
        <v>102.82254105894782</v>
      </c>
      <c r="S216" s="32">
        <f t="shared" si="221"/>
        <v>102.22167166982572</v>
      </c>
      <c r="T216" s="32">
        <f t="shared" si="221"/>
        <v>96.146401815798015</v>
      </c>
      <c r="U216" s="32">
        <f t="shared" si="221"/>
        <v>93.718531242478321</v>
      </c>
      <c r="V216" s="32">
        <f t="shared" si="221"/>
        <v>114.70804716141012</v>
      </c>
      <c r="W216" s="32">
        <f t="shared" si="221"/>
        <v>109.84601573901632</v>
      </c>
      <c r="X216" s="32">
        <f t="shared" si="221"/>
        <v>91.755516420105863</v>
      </c>
      <c r="Y216" s="32">
        <f t="shared" si="221"/>
        <v>88.055183691588908</v>
      </c>
      <c r="DA216" s="173" t="s">
        <v>435</v>
      </c>
    </row>
    <row r="217" spans="1:105" ht="11.45" customHeight="1" x14ac:dyDescent="0.25">
      <c r="A217" s="136" t="str">
        <f>$A$5</f>
        <v>Road transport</v>
      </c>
      <c r="B217" s="141">
        <f t="shared" ref="B217:Y217" si="222">IF(B5=0,0,B65/B5*1000)</f>
        <v>123.99409838353293</v>
      </c>
      <c r="C217" s="141">
        <f t="shared" si="222"/>
        <v>124.40338377544309</v>
      </c>
      <c r="D217" s="141">
        <f t="shared" si="222"/>
        <v>124.67140025368118</v>
      </c>
      <c r="E217" s="141">
        <f t="shared" si="222"/>
        <v>123.58475793401276</v>
      </c>
      <c r="F217" s="141">
        <f t="shared" si="222"/>
        <v>119.89084481677327</v>
      </c>
      <c r="G217" s="141">
        <f t="shared" si="222"/>
        <v>122.39528782142069</v>
      </c>
      <c r="H217" s="141">
        <f t="shared" si="222"/>
        <v>125.38379729536538</v>
      </c>
      <c r="I217" s="141">
        <f t="shared" si="222"/>
        <v>123.0133926234666</v>
      </c>
      <c r="J217" s="141">
        <f t="shared" si="222"/>
        <v>125.03547647721055</v>
      </c>
      <c r="K217" s="141">
        <f t="shared" si="222"/>
        <v>124.32559414729864</v>
      </c>
      <c r="L217" s="141">
        <f t="shared" si="222"/>
        <v>125.97840126082477</v>
      </c>
      <c r="M217" s="141">
        <f t="shared" si="222"/>
        <v>124.89624745000035</v>
      </c>
      <c r="N217" s="141">
        <f t="shared" si="222"/>
        <v>124.00708545901152</v>
      </c>
      <c r="O217" s="141">
        <f t="shared" si="222"/>
        <v>115.7817544591222</v>
      </c>
      <c r="P217" s="141">
        <f t="shared" si="222"/>
        <v>111.82270398338218</v>
      </c>
      <c r="Q217" s="141">
        <f t="shared" si="222"/>
        <v>114.30776161595026</v>
      </c>
      <c r="R217" s="141">
        <f t="shared" si="222"/>
        <v>114.33718030374159</v>
      </c>
      <c r="S217" s="141">
        <f t="shared" si="222"/>
        <v>117.41765053998013</v>
      </c>
      <c r="T217" s="141">
        <f t="shared" si="222"/>
        <v>108.24923829504949</v>
      </c>
      <c r="U217" s="141">
        <f t="shared" si="222"/>
        <v>105.64649093134599</v>
      </c>
      <c r="V217" s="141">
        <f t="shared" si="222"/>
        <v>116.80153941076324</v>
      </c>
      <c r="W217" s="141">
        <f t="shared" si="222"/>
        <v>114.24656322630692</v>
      </c>
      <c r="X217" s="141">
        <f t="shared" si="222"/>
        <v>104.56412886637436</v>
      </c>
      <c r="Y217" s="141">
        <f t="shared" si="222"/>
        <v>102.7052060027888</v>
      </c>
      <c r="DA217" s="174" t="s">
        <v>436</v>
      </c>
    </row>
    <row r="218" spans="1:105" ht="11.45" customHeight="1" x14ac:dyDescent="0.25">
      <c r="A218" s="128" t="str">
        <f>$A$6</f>
        <v>Powered two-wheelers</v>
      </c>
      <c r="B218" s="97">
        <f t="shared" ref="B218:Y218" si="223">IF(B6=0,0,B66/B6*1000)</f>
        <v>107.54622556108779</v>
      </c>
      <c r="C218" s="97">
        <f t="shared" si="223"/>
        <v>107.13228312973264</v>
      </c>
      <c r="D218" s="97">
        <f t="shared" si="223"/>
        <v>105.93810068808506</v>
      </c>
      <c r="E218" s="97">
        <f t="shared" si="223"/>
        <v>105.28056334132305</v>
      </c>
      <c r="F218" s="97">
        <f t="shared" si="223"/>
        <v>104.50805521329585</v>
      </c>
      <c r="G218" s="97">
        <f t="shared" si="223"/>
        <v>103.15380187282308</v>
      </c>
      <c r="H218" s="97">
        <f t="shared" si="223"/>
        <v>99.94464340534067</v>
      </c>
      <c r="I218" s="97">
        <f t="shared" si="223"/>
        <v>96.724229452667686</v>
      </c>
      <c r="J218" s="97">
        <f t="shared" si="223"/>
        <v>94.45538261516235</v>
      </c>
      <c r="K218" s="97">
        <f t="shared" si="223"/>
        <v>91.817855806396963</v>
      </c>
      <c r="L218" s="97">
        <f t="shared" si="223"/>
        <v>90.343203859764358</v>
      </c>
      <c r="M218" s="97">
        <f t="shared" si="223"/>
        <v>88.895238189793531</v>
      </c>
      <c r="N218" s="97">
        <f t="shared" si="223"/>
        <v>89.092085807672177</v>
      </c>
      <c r="O218" s="97">
        <f t="shared" si="223"/>
        <v>87.877389910780394</v>
      </c>
      <c r="P218" s="97">
        <f t="shared" si="223"/>
        <v>86.328508128543277</v>
      </c>
      <c r="Q218" s="97">
        <f t="shared" si="223"/>
        <v>84.902863769353203</v>
      </c>
      <c r="R218" s="97">
        <f t="shared" si="223"/>
        <v>83.925087600347709</v>
      </c>
      <c r="S218" s="97">
        <f t="shared" si="223"/>
        <v>82.758520155501785</v>
      </c>
      <c r="T218" s="97">
        <f t="shared" si="223"/>
        <v>81.189903043204481</v>
      </c>
      <c r="U218" s="97">
        <f t="shared" si="223"/>
        <v>79.308476477536743</v>
      </c>
      <c r="V218" s="97">
        <f t="shared" si="223"/>
        <v>76.900565536893055</v>
      </c>
      <c r="W218" s="97">
        <f t="shared" si="223"/>
        <v>75.907518344298225</v>
      </c>
      <c r="X218" s="97">
        <f t="shared" si="223"/>
        <v>75.10528255527359</v>
      </c>
      <c r="Y218" s="97">
        <f t="shared" si="223"/>
        <v>75.142574335438923</v>
      </c>
      <c r="DA218" s="175" t="s">
        <v>437</v>
      </c>
    </row>
    <row r="219" spans="1:105" ht="11.45" customHeight="1" x14ac:dyDescent="0.25">
      <c r="A219" s="128" t="str">
        <f>$A$7</f>
        <v>Passenger cars</v>
      </c>
      <c r="B219" s="97">
        <f t="shared" ref="B219:Y219" si="224">IF(B7=0,0,B67/B7*1000)</f>
        <v>120.49006715405071</v>
      </c>
      <c r="C219" s="97">
        <f t="shared" si="224"/>
        <v>121.24958212042131</v>
      </c>
      <c r="D219" s="97">
        <f t="shared" si="224"/>
        <v>121.4949568783604</v>
      </c>
      <c r="E219" s="97">
        <f t="shared" si="224"/>
        <v>120.75007016322454</v>
      </c>
      <c r="F219" s="97">
        <f t="shared" si="224"/>
        <v>117.18851378834972</v>
      </c>
      <c r="G219" s="97">
        <f t="shared" si="224"/>
        <v>119.908035469111</v>
      </c>
      <c r="H219" s="97">
        <f t="shared" si="224"/>
        <v>123.34716154165632</v>
      </c>
      <c r="I219" s="97">
        <f t="shared" si="224"/>
        <v>121.32857409818415</v>
      </c>
      <c r="J219" s="97">
        <f t="shared" si="224"/>
        <v>123.37121318446385</v>
      </c>
      <c r="K219" s="97">
        <f t="shared" si="224"/>
        <v>122.41183287577449</v>
      </c>
      <c r="L219" s="97">
        <f t="shared" si="224"/>
        <v>123.7422714004972</v>
      </c>
      <c r="M219" s="97">
        <f t="shared" si="224"/>
        <v>123.05974179799284</v>
      </c>
      <c r="N219" s="97">
        <f t="shared" si="224"/>
        <v>121.76559593479904</v>
      </c>
      <c r="O219" s="97">
        <f t="shared" si="224"/>
        <v>113.93775793551181</v>
      </c>
      <c r="P219" s="97">
        <f t="shared" si="224"/>
        <v>110.00723367213713</v>
      </c>
      <c r="Q219" s="97">
        <f t="shared" si="224"/>
        <v>113.00799777519245</v>
      </c>
      <c r="R219" s="97">
        <f t="shared" si="224"/>
        <v>113.1367977447446</v>
      </c>
      <c r="S219" s="97">
        <f t="shared" si="224"/>
        <v>115.71110635775119</v>
      </c>
      <c r="T219" s="97">
        <f t="shared" si="224"/>
        <v>107.29342395909306</v>
      </c>
      <c r="U219" s="97">
        <f t="shared" si="224"/>
        <v>105.16363599150769</v>
      </c>
      <c r="V219" s="97">
        <f t="shared" si="224"/>
        <v>115.56636952670392</v>
      </c>
      <c r="W219" s="97">
        <f t="shared" si="224"/>
        <v>114.00957598280118</v>
      </c>
      <c r="X219" s="97">
        <f t="shared" si="224"/>
        <v>104.90959908811148</v>
      </c>
      <c r="Y219" s="97">
        <f t="shared" si="224"/>
        <v>103.14802814687965</v>
      </c>
      <c r="DA219" s="175" t="s">
        <v>438</v>
      </c>
    </row>
    <row r="220" spans="1:105" ht="11.45" customHeight="1" x14ac:dyDescent="0.25">
      <c r="A220" s="128" t="str">
        <f>$A$8</f>
        <v>Motor coaches, buses and trolley buses</v>
      </c>
      <c r="B220" s="97">
        <f t="shared" ref="B220:Y220" si="225">IF(B8=0,0,B68/B8*1000)</f>
        <v>243.27381147160719</v>
      </c>
      <c r="C220" s="97">
        <f t="shared" si="225"/>
        <v>233.14231177463026</v>
      </c>
      <c r="D220" s="97">
        <f t="shared" si="225"/>
        <v>244.16612516809136</v>
      </c>
      <c r="E220" s="97">
        <f t="shared" si="225"/>
        <v>228.4243096907548</v>
      </c>
      <c r="F220" s="97">
        <f t="shared" si="225"/>
        <v>218.69171716697605</v>
      </c>
      <c r="G220" s="97">
        <f t="shared" si="225"/>
        <v>214.81937575650582</v>
      </c>
      <c r="H220" s="97">
        <f t="shared" si="225"/>
        <v>208.17541591193677</v>
      </c>
      <c r="I220" s="97">
        <f t="shared" si="225"/>
        <v>196.79289877750904</v>
      </c>
      <c r="J220" s="97">
        <f t="shared" si="225"/>
        <v>202.54133467590083</v>
      </c>
      <c r="K220" s="97">
        <f t="shared" si="225"/>
        <v>215.54174058298219</v>
      </c>
      <c r="L220" s="97">
        <f t="shared" si="225"/>
        <v>230.12378901806326</v>
      </c>
      <c r="M220" s="97">
        <f t="shared" si="225"/>
        <v>215.53245918236652</v>
      </c>
      <c r="N220" s="97">
        <f t="shared" si="225"/>
        <v>233.352214493133</v>
      </c>
      <c r="O220" s="97">
        <f t="shared" si="225"/>
        <v>203.7653722714771</v>
      </c>
      <c r="P220" s="97">
        <f t="shared" si="225"/>
        <v>197.06645051999692</v>
      </c>
      <c r="Q220" s="97">
        <f t="shared" si="225"/>
        <v>181.78545784554919</v>
      </c>
      <c r="R220" s="97">
        <f t="shared" si="225"/>
        <v>179.89604521183813</v>
      </c>
      <c r="S220" s="97">
        <f t="shared" si="225"/>
        <v>205.27404821904577</v>
      </c>
      <c r="T220" s="97">
        <f t="shared" si="225"/>
        <v>156.96871219051366</v>
      </c>
      <c r="U220" s="97">
        <f t="shared" si="225"/>
        <v>142.38919145510411</v>
      </c>
      <c r="V220" s="97">
        <f t="shared" si="225"/>
        <v>242.38277505931711</v>
      </c>
      <c r="W220" s="97">
        <f t="shared" si="225"/>
        <v>182.04816705013323</v>
      </c>
      <c r="X220" s="97">
        <f t="shared" si="225"/>
        <v>126.04590082221249</v>
      </c>
      <c r="Y220" s="97">
        <f t="shared" si="225"/>
        <v>119.61875602234142</v>
      </c>
      <c r="DA220" s="175" t="s">
        <v>439</v>
      </c>
    </row>
    <row r="221" spans="1:105" ht="11.45" customHeight="1" x14ac:dyDescent="0.25">
      <c r="A221" s="109" t="str">
        <f>$A$9</f>
        <v>Rail, metro and tram</v>
      </c>
      <c r="B221" s="130">
        <f t="shared" ref="B221:Y221" si="226">IF(B9=0,0,B69/B9*1000)</f>
        <v>4.60114131654597</v>
      </c>
      <c r="C221" s="130">
        <f t="shared" si="226"/>
        <v>4.5011256789938558</v>
      </c>
      <c r="D221" s="130">
        <f t="shared" si="226"/>
        <v>4.6042358627252247</v>
      </c>
      <c r="E221" s="130">
        <f t="shared" si="226"/>
        <v>4.4805567638363151</v>
      </c>
      <c r="F221" s="130">
        <f t="shared" si="226"/>
        <v>4.1098094306305715</v>
      </c>
      <c r="G221" s="130">
        <f t="shared" si="226"/>
        <v>3.8446564325929353</v>
      </c>
      <c r="H221" s="130">
        <f t="shared" si="226"/>
        <v>3.5233209658874962</v>
      </c>
      <c r="I221" s="130">
        <f t="shared" si="226"/>
        <v>3.1792932544308004</v>
      </c>
      <c r="J221" s="130">
        <f t="shared" si="226"/>
        <v>3.4020555920830855</v>
      </c>
      <c r="K221" s="130">
        <f t="shared" si="226"/>
        <v>3.4358206081677407</v>
      </c>
      <c r="L221" s="130">
        <f t="shared" si="226"/>
        <v>3.6227378560302044</v>
      </c>
      <c r="M221" s="130">
        <f t="shared" si="226"/>
        <v>3.4006029010315393</v>
      </c>
      <c r="N221" s="130">
        <f t="shared" si="226"/>
        <v>2.7763330738392167</v>
      </c>
      <c r="O221" s="130">
        <f t="shared" si="226"/>
        <v>2.6309966034081609</v>
      </c>
      <c r="P221" s="130">
        <f t="shared" si="226"/>
        <v>2.5952884564969647</v>
      </c>
      <c r="Q221" s="130">
        <f t="shared" si="226"/>
        <v>3.0139638940075444</v>
      </c>
      <c r="R221" s="130">
        <f t="shared" si="226"/>
        <v>2.8819553476167168</v>
      </c>
      <c r="S221" s="130">
        <f t="shared" si="226"/>
        <v>2.8711749087489826</v>
      </c>
      <c r="T221" s="130">
        <f t="shared" si="226"/>
        <v>2.1223751320870989</v>
      </c>
      <c r="U221" s="130">
        <f t="shared" si="226"/>
        <v>1.7874792308097376</v>
      </c>
      <c r="V221" s="130">
        <f t="shared" si="226"/>
        <v>3.1864990007516347</v>
      </c>
      <c r="W221" s="130">
        <f t="shared" si="226"/>
        <v>2.3429648191781318</v>
      </c>
      <c r="X221" s="130">
        <f t="shared" si="226"/>
        <v>1.8475802437919293</v>
      </c>
      <c r="Y221" s="130">
        <f t="shared" si="226"/>
        <v>1.979496526137841</v>
      </c>
      <c r="DA221" s="176" t="s">
        <v>440</v>
      </c>
    </row>
    <row r="222" spans="1:105" ht="11.45" customHeight="1" x14ac:dyDescent="0.25">
      <c r="A222" s="128" t="str">
        <f>$A$10</f>
        <v>Metro and tram, urban light rail</v>
      </c>
      <c r="B222" s="97">
        <f t="shared" ref="B222:Y222" si="227">IF(B10=0,0,B70/B10*1000)</f>
        <v>0</v>
      </c>
      <c r="C222" s="97">
        <f t="shared" si="227"/>
        <v>0</v>
      </c>
      <c r="D222" s="97">
        <f t="shared" si="227"/>
        <v>0</v>
      </c>
      <c r="E222" s="97">
        <f t="shared" si="227"/>
        <v>0</v>
      </c>
      <c r="F222" s="97">
        <f t="shared" si="227"/>
        <v>0</v>
      </c>
      <c r="G222" s="97">
        <f t="shared" si="227"/>
        <v>0</v>
      </c>
      <c r="H222" s="97">
        <f t="shared" si="227"/>
        <v>0</v>
      </c>
      <c r="I222" s="97">
        <f t="shared" si="227"/>
        <v>0</v>
      </c>
      <c r="J222" s="97">
        <f t="shared" si="227"/>
        <v>0</v>
      </c>
      <c r="K222" s="97">
        <f t="shared" si="227"/>
        <v>0</v>
      </c>
      <c r="L222" s="97">
        <f t="shared" si="227"/>
        <v>0</v>
      </c>
      <c r="M222" s="97">
        <f t="shared" si="227"/>
        <v>0</v>
      </c>
      <c r="N222" s="97">
        <f t="shared" si="227"/>
        <v>0</v>
      </c>
      <c r="O222" s="97">
        <f t="shared" si="227"/>
        <v>0</v>
      </c>
      <c r="P222" s="97">
        <f t="shared" si="227"/>
        <v>0</v>
      </c>
      <c r="Q222" s="97">
        <f t="shared" si="227"/>
        <v>0</v>
      </c>
      <c r="R222" s="97">
        <f t="shared" si="227"/>
        <v>0</v>
      </c>
      <c r="S222" s="97">
        <f t="shared" si="227"/>
        <v>0</v>
      </c>
      <c r="T222" s="97">
        <f t="shared" si="227"/>
        <v>0</v>
      </c>
      <c r="U222" s="97">
        <f t="shared" si="227"/>
        <v>0</v>
      </c>
      <c r="V222" s="97">
        <f t="shared" si="227"/>
        <v>0</v>
      </c>
      <c r="W222" s="97">
        <f t="shared" si="227"/>
        <v>0</v>
      </c>
      <c r="X222" s="97">
        <f t="shared" si="227"/>
        <v>0</v>
      </c>
      <c r="Y222" s="97">
        <f t="shared" si="227"/>
        <v>0</v>
      </c>
      <c r="DA222" s="175" t="s">
        <v>441</v>
      </c>
    </row>
    <row r="223" spans="1:105" ht="11.45" customHeight="1" x14ac:dyDescent="0.25">
      <c r="A223" s="128" t="str">
        <f>$A$11</f>
        <v>Conventional passenger trains</v>
      </c>
      <c r="B223" s="97">
        <f t="shared" ref="B223:Y223" si="228">IF(B11=0,0,B71/B11*1000)</f>
        <v>4.8484459130121698</v>
      </c>
      <c r="C223" s="97">
        <f t="shared" si="228"/>
        <v>4.7786927754308479</v>
      </c>
      <c r="D223" s="97">
        <f t="shared" si="228"/>
        <v>4.8868020298974182</v>
      </c>
      <c r="E223" s="97">
        <f t="shared" si="228"/>
        <v>4.9395720769198537</v>
      </c>
      <c r="F223" s="97">
        <f t="shared" si="228"/>
        <v>4.5205120678624695</v>
      </c>
      <c r="G223" s="97">
        <f t="shared" si="228"/>
        <v>4.2256155911057611</v>
      </c>
      <c r="H223" s="97">
        <f t="shared" si="228"/>
        <v>3.8745836825954054</v>
      </c>
      <c r="I223" s="97">
        <f t="shared" si="228"/>
        <v>3.5059231093745793</v>
      </c>
      <c r="J223" s="97">
        <f t="shared" si="228"/>
        <v>3.7740753534726537</v>
      </c>
      <c r="K223" s="97">
        <f t="shared" si="228"/>
        <v>3.6675698363253399</v>
      </c>
      <c r="L223" s="97">
        <f t="shared" si="228"/>
        <v>3.8710692995751197</v>
      </c>
      <c r="M223" s="97">
        <f t="shared" si="228"/>
        <v>3.6372042850688935</v>
      </c>
      <c r="N223" s="97">
        <f t="shared" si="228"/>
        <v>2.9577615104256139</v>
      </c>
      <c r="O223" s="97">
        <f t="shared" si="228"/>
        <v>2.8023345448657051</v>
      </c>
      <c r="P223" s="97">
        <f t="shared" si="228"/>
        <v>2.7391163326134991</v>
      </c>
      <c r="Q223" s="97">
        <f t="shared" si="228"/>
        <v>3.3627290816084057</v>
      </c>
      <c r="R223" s="97">
        <f t="shared" si="228"/>
        <v>3.0930795176428942</v>
      </c>
      <c r="S223" s="97">
        <f t="shared" si="228"/>
        <v>3.077401539095356</v>
      </c>
      <c r="T223" s="97">
        <f t="shared" si="228"/>
        <v>2.2857973448427176</v>
      </c>
      <c r="U223" s="97">
        <f t="shared" si="228"/>
        <v>1.9275850455105246</v>
      </c>
      <c r="V223" s="97">
        <f t="shared" si="228"/>
        <v>3.39847772864595</v>
      </c>
      <c r="W223" s="97">
        <f t="shared" si="228"/>
        <v>2.4955185176630379</v>
      </c>
      <c r="X223" s="97">
        <f t="shared" si="228"/>
        <v>1.9554322487968165</v>
      </c>
      <c r="Y223" s="97">
        <f t="shared" si="228"/>
        <v>2.1125065715028892</v>
      </c>
      <c r="DA223" s="175" t="s">
        <v>442</v>
      </c>
    </row>
    <row r="224" spans="1:105" ht="11.45" customHeight="1" x14ac:dyDescent="0.25">
      <c r="A224" s="128" t="str">
        <f>$A$12</f>
        <v>High speed passenger trains</v>
      </c>
      <c r="B224" s="97">
        <f t="shared" ref="B224:Y224" si="229">IF(B12=0,0,B72/B12*1000)</f>
        <v>0</v>
      </c>
      <c r="C224" s="97">
        <f t="shared" si="229"/>
        <v>0</v>
      </c>
      <c r="D224" s="97">
        <f t="shared" si="229"/>
        <v>0</v>
      </c>
      <c r="E224" s="97">
        <f t="shared" si="229"/>
        <v>0</v>
      </c>
      <c r="F224" s="97">
        <f t="shared" si="229"/>
        <v>0</v>
      </c>
      <c r="G224" s="97">
        <f t="shared" si="229"/>
        <v>0</v>
      </c>
      <c r="H224" s="97">
        <f t="shared" si="229"/>
        <v>0</v>
      </c>
      <c r="I224" s="97">
        <f t="shared" si="229"/>
        <v>0</v>
      </c>
      <c r="J224" s="97">
        <f t="shared" si="229"/>
        <v>0</v>
      </c>
      <c r="K224" s="97">
        <f t="shared" si="229"/>
        <v>0</v>
      </c>
      <c r="L224" s="97">
        <f t="shared" si="229"/>
        <v>0</v>
      </c>
      <c r="M224" s="97">
        <f t="shared" si="229"/>
        <v>0</v>
      </c>
      <c r="N224" s="97">
        <f t="shared" si="229"/>
        <v>0</v>
      </c>
      <c r="O224" s="97">
        <f t="shared" si="229"/>
        <v>0</v>
      </c>
      <c r="P224" s="97">
        <f t="shared" si="229"/>
        <v>0</v>
      </c>
      <c r="Q224" s="97">
        <f t="shared" si="229"/>
        <v>0</v>
      </c>
      <c r="R224" s="97">
        <f t="shared" si="229"/>
        <v>0</v>
      </c>
      <c r="S224" s="97">
        <f t="shared" si="229"/>
        <v>0</v>
      </c>
      <c r="T224" s="97">
        <f t="shared" si="229"/>
        <v>0</v>
      </c>
      <c r="U224" s="97">
        <f t="shared" si="229"/>
        <v>0</v>
      </c>
      <c r="V224" s="97">
        <f t="shared" si="229"/>
        <v>0</v>
      </c>
      <c r="W224" s="97">
        <f t="shared" si="229"/>
        <v>0</v>
      </c>
      <c r="X224" s="97">
        <f t="shared" si="229"/>
        <v>0</v>
      </c>
      <c r="Y224" s="97">
        <f t="shared" si="229"/>
        <v>0</v>
      </c>
      <c r="DA224" s="175" t="s">
        <v>443</v>
      </c>
    </row>
    <row r="225" spans="1:105" ht="11.45" customHeight="1" x14ac:dyDescent="0.25">
      <c r="A225" s="109" t="str">
        <f>$A$13</f>
        <v>Aviation</v>
      </c>
      <c r="B225" s="130">
        <f t="shared" ref="B225:Y225" si="230">IF(B13=0,0,B73/B13*1000)</f>
        <v>132.90600036602311</v>
      </c>
      <c r="C225" s="130">
        <f t="shared" si="230"/>
        <v>131.65016594242141</v>
      </c>
      <c r="D225" s="130">
        <f t="shared" si="230"/>
        <v>133.40283435348269</v>
      </c>
      <c r="E225" s="130">
        <f t="shared" si="230"/>
        <v>130.32824364835554</v>
      </c>
      <c r="F225" s="130">
        <f t="shared" si="230"/>
        <v>124.8553224365439</v>
      </c>
      <c r="G225" s="130">
        <f t="shared" si="230"/>
        <v>120.35579473308898</v>
      </c>
      <c r="H225" s="130">
        <f t="shared" si="230"/>
        <v>118.34196367941874</v>
      </c>
      <c r="I225" s="130">
        <f t="shared" si="230"/>
        <v>117.37490935849898</v>
      </c>
      <c r="J225" s="130">
        <f t="shared" si="230"/>
        <v>118.02872342760739</v>
      </c>
      <c r="K225" s="130">
        <f t="shared" si="230"/>
        <v>124.57364972601583</v>
      </c>
      <c r="L225" s="130">
        <f t="shared" si="230"/>
        <v>112.491766636913</v>
      </c>
      <c r="M225" s="130">
        <f t="shared" si="230"/>
        <v>110.00677301325744</v>
      </c>
      <c r="N225" s="130">
        <f t="shared" si="230"/>
        <v>106.01986035765708</v>
      </c>
      <c r="O225" s="130">
        <f t="shared" si="230"/>
        <v>104.14392538843333</v>
      </c>
      <c r="P225" s="130">
        <f t="shared" si="230"/>
        <v>105.75703463289615</v>
      </c>
      <c r="Q225" s="130">
        <f t="shared" si="230"/>
        <v>106.7987166604555</v>
      </c>
      <c r="R225" s="130">
        <f t="shared" si="230"/>
        <v>104.36152920493231</v>
      </c>
      <c r="S225" s="130">
        <f t="shared" si="230"/>
        <v>99.074870430668597</v>
      </c>
      <c r="T225" s="130">
        <f t="shared" si="230"/>
        <v>95.839034872401484</v>
      </c>
      <c r="U225" s="130">
        <f t="shared" si="230"/>
        <v>93.633527540049613</v>
      </c>
      <c r="V225" s="130">
        <f t="shared" si="230"/>
        <v>139.43448121287381</v>
      </c>
      <c r="W225" s="130">
        <f t="shared" si="230"/>
        <v>125.94190698376035</v>
      </c>
      <c r="X225" s="130">
        <f t="shared" si="230"/>
        <v>90.453762106420157</v>
      </c>
      <c r="Y225" s="130">
        <f t="shared" si="230"/>
        <v>84.052451072508646</v>
      </c>
      <c r="DA225" s="176" t="s">
        <v>344</v>
      </c>
    </row>
    <row r="226" spans="1:105" ht="11.45" customHeight="1" x14ac:dyDescent="0.25">
      <c r="A226" s="128" t="str">
        <f>$A$14</f>
        <v>Domestic</v>
      </c>
      <c r="B226" s="97">
        <f t="shared" ref="B226:Y226" si="231">IF(B14=0,0,B74/B14*1000)</f>
        <v>0</v>
      </c>
      <c r="C226" s="97">
        <f t="shared" si="231"/>
        <v>0</v>
      </c>
      <c r="D226" s="97">
        <f t="shared" si="231"/>
        <v>0</v>
      </c>
      <c r="E226" s="97">
        <f t="shared" si="231"/>
        <v>0</v>
      </c>
      <c r="F226" s="97">
        <f t="shared" si="231"/>
        <v>0</v>
      </c>
      <c r="G226" s="97">
        <f t="shared" si="231"/>
        <v>0</v>
      </c>
      <c r="H226" s="97">
        <f t="shared" si="231"/>
        <v>0</v>
      </c>
      <c r="I226" s="97">
        <f t="shared" si="231"/>
        <v>0</v>
      </c>
      <c r="J226" s="97">
        <f t="shared" si="231"/>
        <v>0</v>
      </c>
      <c r="K226" s="97">
        <f t="shared" si="231"/>
        <v>0</v>
      </c>
      <c r="L226" s="97">
        <f t="shared" si="231"/>
        <v>0</v>
      </c>
      <c r="M226" s="97">
        <f t="shared" si="231"/>
        <v>0</v>
      </c>
      <c r="N226" s="97">
        <f t="shared" si="231"/>
        <v>0</v>
      </c>
      <c r="O226" s="97">
        <f t="shared" si="231"/>
        <v>0</v>
      </c>
      <c r="P226" s="97">
        <f t="shared" si="231"/>
        <v>0</v>
      </c>
      <c r="Q226" s="97">
        <f t="shared" si="231"/>
        <v>0</v>
      </c>
      <c r="R226" s="97">
        <f t="shared" si="231"/>
        <v>0</v>
      </c>
      <c r="S226" s="97">
        <f t="shared" si="231"/>
        <v>0</v>
      </c>
      <c r="T226" s="97">
        <f t="shared" si="231"/>
        <v>0</v>
      </c>
      <c r="U226" s="97">
        <f t="shared" si="231"/>
        <v>0</v>
      </c>
      <c r="V226" s="97">
        <f t="shared" si="231"/>
        <v>0</v>
      </c>
      <c r="W226" s="97">
        <f t="shared" si="231"/>
        <v>0</v>
      </c>
      <c r="X226" s="97">
        <f t="shared" si="231"/>
        <v>0</v>
      </c>
      <c r="Y226" s="97">
        <f t="shared" si="231"/>
        <v>0</v>
      </c>
      <c r="DA226" s="175" t="s">
        <v>345</v>
      </c>
    </row>
    <row r="227" spans="1:105" ht="11.45" customHeight="1" x14ac:dyDescent="0.25">
      <c r="A227" s="128" t="str">
        <f>$A$15</f>
        <v>International - Intra-EEAwCHUK</v>
      </c>
      <c r="B227" s="97">
        <f t="shared" ref="B227:Y227" si="232">IF(B15=0,0,B75/B15*1000)</f>
        <v>118.2956999207077</v>
      </c>
      <c r="C227" s="97">
        <f t="shared" si="232"/>
        <v>116.44372323528738</v>
      </c>
      <c r="D227" s="97">
        <f t="shared" si="232"/>
        <v>117.64086420272616</v>
      </c>
      <c r="E227" s="97">
        <f t="shared" si="232"/>
        <v>116.15252243567281</v>
      </c>
      <c r="F227" s="97">
        <f t="shared" si="232"/>
        <v>112.53313974474614</v>
      </c>
      <c r="G227" s="97">
        <f t="shared" si="232"/>
        <v>109.36732719294086</v>
      </c>
      <c r="H227" s="97">
        <f t="shared" si="232"/>
        <v>106.6672640844743</v>
      </c>
      <c r="I227" s="97">
        <f t="shared" si="232"/>
        <v>110.64928029808888</v>
      </c>
      <c r="J227" s="97">
        <f t="shared" si="232"/>
        <v>114.4215683585534</v>
      </c>
      <c r="K227" s="97">
        <f t="shared" si="232"/>
        <v>115.27228013903022</v>
      </c>
      <c r="L227" s="97">
        <f t="shared" si="232"/>
        <v>103.62567559456902</v>
      </c>
      <c r="M227" s="97">
        <f t="shared" si="232"/>
        <v>97.812264549767903</v>
      </c>
      <c r="N227" s="97">
        <f t="shared" si="232"/>
        <v>93.525475869320772</v>
      </c>
      <c r="O227" s="97">
        <f t="shared" si="232"/>
        <v>91.492379540246844</v>
      </c>
      <c r="P227" s="97">
        <f t="shared" si="232"/>
        <v>92.602346021567257</v>
      </c>
      <c r="Q227" s="97">
        <f t="shared" si="232"/>
        <v>93.705240527224689</v>
      </c>
      <c r="R227" s="97">
        <f t="shared" si="232"/>
        <v>89.613410938813459</v>
      </c>
      <c r="S227" s="97">
        <f t="shared" si="232"/>
        <v>84.391015002904339</v>
      </c>
      <c r="T227" s="97">
        <f t="shared" si="232"/>
        <v>81.118608872268709</v>
      </c>
      <c r="U227" s="97">
        <f t="shared" si="232"/>
        <v>77.650994996433866</v>
      </c>
      <c r="V227" s="97">
        <f t="shared" si="232"/>
        <v>87.195190209773543</v>
      </c>
      <c r="W227" s="97">
        <f t="shared" si="232"/>
        <v>78.71383416311599</v>
      </c>
      <c r="X227" s="97">
        <f t="shared" si="232"/>
        <v>72.38311715339195</v>
      </c>
      <c r="Y227" s="97">
        <f t="shared" si="232"/>
        <v>69.459792184488563</v>
      </c>
      <c r="DA227" s="175" t="s">
        <v>346</v>
      </c>
    </row>
    <row r="228" spans="1:105" ht="11.45" customHeight="1" x14ac:dyDescent="0.25">
      <c r="A228" s="128" t="str">
        <f>$A$16</f>
        <v>International - Extra-EEAwCHUK</v>
      </c>
      <c r="B228" s="97">
        <f t="shared" ref="B228:Y228" si="233">IF(B16=0,0,B76/B16*1000)</f>
        <v>137.92762651375281</v>
      </c>
      <c r="C228" s="97">
        <f t="shared" si="233"/>
        <v>136.92099520779612</v>
      </c>
      <c r="D228" s="97">
        <f t="shared" si="233"/>
        <v>138.84511435407364</v>
      </c>
      <c r="E228" s="97">
        <f t="shared" si="233"/>
        <v>135.26418034578651</v>
      </c>
      <c r="F228" s="97">
        <f t="shared" si="233"/>
        <v>128.77202315265328</v>
      </c>
      <c r="G228" s="97">
        <f t="shared" si="233"/>
        <v>123.8031527501775</v>
      </c>
      <c r="H228" s="97">
        <f t="shared" si="233"/>
        <v>122.18362182980076</v>
      </c>
      <c r="I228" s="97">
        <f t="shared" si="233"/>
        <v>119.52206738845125</v>
      </c>
      <c r="J228" s="97">
        <f t="shared" si="233"/>
        <v>119.09055569911158</v>
      </c>
      <c r="K228" s="97">
        <f t="shared" si="233"/>
        <v>127.32915825455146</v>
      </c>
      <c r="L228" s="97">
        <f t="shared" si="233"/>
        <v>115.09783536674105</v>
      </c>
      <c r="M228" s="97">
        <f t="shared" si="233"/>
        <v>113.8431384442772</v>
      </c>
      <c r="N228" s="97">
        <f t="shared" si="233"/>
        <v>109.92212600045922</v>
      </c>
      <c r="O228" s="97">
        <f t="shared" si="233"/>
        <v>108.12010717857136</v>
      </c>
      <c r="P228" s="97">
        <f t="shared" si="233"/>
        <v>109.97279537402011</v>
      </c>
      <c r="Q228" s="97">
        <f t="shared" si="233"/>
        <v>111.0468692293375</v>
      </c>
      <c r="R228" s="97">
        <f t="shared" si="233"/>
        <v>109.63836803194134</v>
      </c>
      <c r="S228" s="97">
        <f t="shared" si="233"/>
        <v>104.57169127744545</v>
      </c>
      <c r="T228" s="97">
        <f t="shared" si="233"/>
        <v>101.28163214725059</v>
      </c>
      <c r="U228" s="97">
        <f t="shared" si="233"/>
        <v>99.434851106593825</v>
      </c>
      <c r="V228" s="97">
        <f t="shared" si="233"/>
        <v>159.37582745538981</v>
      </c>
      <c r="W228" s="97">
        <f t="shared" si="233"/>
        <v>147.05967208550359</v>
      </c>
      <c r="X228" s="97">
        <f t="shared" si="233"/>
        <v>97.79172102516489</v>
      </c>
      <c r="Y228" s="97">
        <f t="shared" si="233"/>
        <v>89.553553687514167</v>
      </c>
      <c r="DA228" s="175" t="s">
        <v>347</v>
      </c>
    </row>
    <row r="229" spans="1:105" ht="11.45" customHeight="1" x14ac:dyDescent="0.25">
      <c r="A229" s="27" t="s">
        <v>159</v>
      </c>
      <c r="B229" s="32">
        <f t="shared" ref="B229:Y229" si="234">IF(B17=0,0,B77/B17*1000)</f>
        <v>148.44643844723288</v>
      </c>
      <c r="C229" s="32">
        <f t="shared" si="234"/>
        <v>147.65935102786307</v>
      </c>
      <c r="D229" s="32">
        <f t="shared" si="234"/>
        <v>154.29087700250074</v>
      </c>
      <c r="E229" s="32">
        <f t="shared" si="234"/>
        <v>159.06726149799687</v>
      </c>
      <c r="F229" s="32">
        <f t="shared" si="234"/>
        <v>149.65695337981063</v>
      </c>
      <c r="G229" s="32">
        <f t="shared" si="234"/>
        <v>155.56105224325844</v>
      </c>
      <c r="H229" s="32">
        <f t="shared" si="234"/>
        <v>161.17422240060847</v>
      </c>
      <c r="I229" s="32">
        <f t="shared" si="234"/>
        <v>151.51330919025196</v>
      </c>
      <c r="J229" s="32">
        <f t="shared" si="234"/>
        <v>153.34054385697186</v>
      </c>
      <c r="K229" s="32">
        <f t="shared" si="234"/>
        <v>156.53827006388877</v>
      </c>
      <c r="L229" s="32">
        <f t="shared" si="234"/>
        <v>149.33003673647312</v>
      </c>
      <c r="M229" s="32">
        <f t="shared" si="234"/>
        <v>149.56005624597131</v>
      </c>
      <c r="N229" s="32">
        <f t="shared" si="234"/>
        <v>142.47521727290697</v>
      </c>
      <c r="O229" s="32">
        <f t="shared" si="234"/>
        <v>127.85709327627801</v>
      </c>
      <c r="P229" s="32">
        <f t="shared" si="234"/>
        <v>108.25782300953269</v>
      </c>
      <c r="Q229" s="32">
        <f t="shared" si="234"/>
        <v>112.80509524523943</v>
      </c>
      <c r="R229" s="32">
        <f t="shared" si="234"/>
        <v>107.72496198093606</v>
      </c>
      <c r="S229" s="32">
        <f t="shared" si="234"/>
        <v>114.55890724054959</v>
      </c>
      <c r="T229" s="32">
        <f t="shared" si="234"/>
        <v>118.88139496176358</v>
      </c>
      <c r="U229" s="32">
        <f t="shared" si="234"/>
        <v>114.87631112747509</v>
      </c>
      <c r="V229" s="32">
        <f t="shared" si="234"/>
        <v>115.86021530545116</v>
      </c>
      <c r="W229" s="32">
        <f t="shared" si="234"/>
        <v>104.0870551564264</v>
      </c>
      <c r="X229" s="32">
        <f t="shared" si="234"/>
        <v>105.07148242286611</v>
      </c>
      <c r="Y229" s="32">
        <f t="shared" si="234"/>
        <v>111.16903798672705</v>
      </c>
      <c r="DA229" s="173" t="s">
        <v>444</v>
      </c>
    </row>
    <row r="230" spans="1:105" ht="11.45" customHeight="1" x14ac:dyDescent="0.25">
      <c r="A230" s="136" t="str">
        <f>$A$18</f>
        <v>Road transport</v>
      </c>
      <c r="B230" s="141">
        <f t="shared" ref="B230:Y230" si="235">IF(B18=0,0,B78/B18*1000)</f>
        <v>254.1095805384123</v>
      </c>
      <c r="C230" s="141">
        <f t="shared" si="235"/>
        <v>252.42394208817177</v>
      </c>
      <c r="D230" s="141">
        <f t="shared" si="235"/>
        <v>259.26399469512018</v>
      </c>
      <c r="E230" s="141">
        <f t="shared" si="235"/>
        <v>258.72192605266292</v>
      </c>
      <c r="F230" s="141">
        <f t="shared" si="235"/>
        <v>244.85841402284512</v>
      </c>
      <c r="G230" s="141">
        <f t="shared" si="235"/>
        <v>253.07513736510799</v>
      </c>
      <c r="H230" s="141">
        <f t="shared" si="235"/>
        <v>260.77422609858627</v>
      </c>
      <c r="I230" s="141">
        <f t="shared" si="235"/>
        <v>254.71825273965044</v>
      </c>
      <c r="J230" s="141">
        <f t="shared" si="235"/>
        <v>253.31889737449575</v>
      </c>
      <c r="K230" s="141">
        <f t="shared" si="235"/>
        <v>242.54618228036358</v>
      </c>
      <c r="L230" s="141">
        <f t="shared" si="235"/>
        <v>250.61572624825578</v>
      </c>
      <c r="M230" s="141">
        <f t="shared" si="235"/>
        <v>254.44851977121806</v>
      </c>
      <c r="N230" s="141">
        <f t="shared" si="235"/>
        <v>253.93184338584896</v>
      </c>
      <c r="O230" s="141">
        <f t="shared" si="235"/>
        <v>217.10729208552058</v>
      </c>
      <c r="P230" s="141">
        <f t="shared" si="235"/>
        <v>181.57293096776337</v>
      </c>
      <c r="Q230" s="141">
        <f t="shared" si="235"/>
        <v>185.90513885454388</v>
      </c>
      <c r="R230" s="141">
        <f t="shared" si="235"/>
        <v>175.68636021294955</v>
      </c>
      <c r="S230" s="141">
        <f t="shared" si="235"/>
        <v>189.59575724336605</v>
      </c>
      <c r="T230" s="141">
        <f t="shared" si="235"/>
        <v>194.74382719245463</v>
      </c>
      <c r="U230" s="141">
        <f t="shared" si="235"/>
        <v>188.78132453793108</v>
      </c>
      <c r="V230" s="141">
        <f t="shared" si="235"/>
        <v>179.62683441278548</v>
      </c>
      <c r="W230" s="141">
        <f t="shared" si="235"/>
        <v>159.4024789641727</v>
      </c>
      <c r="X230" s="141">
        <f t="shared" si="235"/>
        <v>159.86120794445961</v>
      </c>
      <c r="Y230" s="141">
        <f t="shared" si="235"/>
        <v>170.53159346217254</v>
      </c>
      <c r="DA230" s="174" t="s">
        <v>445</v>
      </c>
    </row>
    <row r="231" spans="1:105" ht="11.45" customHeight="1" x14ac:dyDescent="0.25">
      <c r="A231" s="128" t="str">
        <f>$A$19</f>
        <v>Light commercial vehicles</v>
      </c>
      <c r="B231" s="97">
        <f t="shared" ref="B231:Y231" si="236">IF(B19=0,0,B79/B19*1000)</f>
        <v>1783.9441724735575</v>
      </c>
      <c r="C231" s="97">
        <f t="shared" si="236"/>
        <v>1681.9662667616149</v>
      </c>
      <c r="D231" s="97">
        <f t="shared" si="236"/>
        <v>1647.5072612886395</v>
      </c>
      <c r="E231" s="97">
        <f t="shared" si="236"/>
        <v>1625.9333897634938</v>
      </c>
      <c r="F231" s="97">
        <f t="shared" si="236"/>
        <v>1615.0510306913575</v>
      </c>
      <c r="G231" s="97">
        <f t="shared" si="236"/>
        <v>1593.1759620295043</v>
      </c>
      <c r="H231" s="97">
        <f t="shared" si="236"/>
        <v>1584.4802866176481</v>
      </c>
      <c r="I231" s="97">
        <f t="shared" si="236"/>
        <v>1534.5402836202256</v>
      </c>
      <c r="J231" s="97">
        <f t="shared" si="236"/>
        <v>1542.4780492115092</v>
      </c>
      <c r="K231" s="97">
        <f t="shared" si="236"/>
        <v>1496.3196082450227</v>
      </c>
      <c r="L231" s="97">
        <f t="shared" si="236"/>
        <v>1535.1749566150334</v>
      </c>
      <c r="M231" s="97">
        <f t="shared" si="236"/>
        <v>1523.6662525391973</v>
      </c>
      <c r="N231" s="97">
        <f t="shared" si="236"/>
        <v>1496.0087097807866</v>
      </c>
      <c r="O231" s="97">
        <f t="shared" si="236"/>
        <v>1486.6292857315721</v>
      </c>
      <c r="P231" s="97">
        <f t="shared" si="236"/>
        <v>1442.0474190863163</v>
      </c>
      <c r="Q231" s="97">
        <f t="shared" si="236"/>
        <v>1450.5718650654596</v>
      </c>
      <c r="R231" s="97">
        <f t="shared" si="236"/>
        <v>1430.2247444310426</v>
      </c>
      <c r="S231" s="97">
        <f t="shared" si="236"/>
        <v>1385.2880567223335</v>
      </c>
      <c r="T231" s="97">
        <f t="shared" si="236"/>
        <v>1320.626174455097</v>
      </c>
      <c r="U231" s="97">
        <f t="shared" si="236"/>
        <v>1270.1219862706425</v>
      </c>
      <c r="V231" s="97">
        <f t="shared" si="236"/>
        <v>1262.557127299485</v>
      </c>
      <c r="W231" s="97">
        <f t="shared" si="236"/>
        <v>1238.7956084029979</v>
      </c>
      <c r="X231" s="97">
        <f t="shared" si="236"/>
        <v>1230.2683363755439</v>
      </c>
      <c r="Y231" s="97">
        <f t="shared" si="236"/>
        <v>1207.2783086870363</v>
      </c>
      <c r="DA231" s="175" t="s">
        <v>446</v>
      </c>
    </row>
    <row r="232" spans="1:105" ht="11.45" customHeight="1" x14ac:dyDescent="0.25">
      <c r="A232" s="128" t="str">
        <f>$A$20</f>
        <v>Heavy goods vehicles</v>
      </c>
      <c r="B232" s="97">
        <f t="shared" ref="B232:Y232" si="237">IF(B20=0,0,B80/B20*1000)</f>
        <v>148.34595101702891</v>
      </c>
      <c r="C232" s="97">
        <f t="shared" si="237"/>
        <v>144.6132156517146</v>
      </c>
      <c r="D232" s="97">
        <f t="shared" si="237"/>
        <v>149.85412797811128</v>
      </c>
      <c r="E232" s="97">
        <f t="shared" si="237"/>
        <v>149.63631791272306</v>
      </c>
      <c r="F232" s="97">
        <f t="shared" si="237"/>
        <v>139.75468399820548</v>
      </c>
      <c r="G232" s="97">
        <f t="shared" si="237"/>
        <v>144.75098083475297</v>
      </c>
      <c r="H232" s="97">
        <f t="shared" si="237"/>
        <v>155.09185167198413</v>
      </c>
      <c r="I232" s="97">
        <f t="shared" si="237"/>
        <v>151.39020117418397</v>
      </c>
      <c r="J232" s="97">
        <f t="shared" si="237"/>
        <v>150.13429830713062</v>
      </c>
      <c r="K232" s="97">
        <f t="shared" si="237"/>
        <v>141.67869568824423</v>
      </c>
      <c r="L232" s="97">
        <f t="shared" si="237"/>
        <v>146.8994408676518</v>
      </c>
      <c r="M232" s="97">
        <f t="shared" si="237"/>
        <v>150.55020352420578</v>
      </c>
      <c r="N232" s="97">
        <f t="shared" si="237"/>
        <v>151.66208963828643</v>
      </c>
      <c r="O232" s="97">
        <f t="shared" si="237"/>
        <v>123.71074740031214</v>
      </c>
      <c r="P232" s="97">
        <f t="shared" si="237"/>
        <v>92.635560106359023</v>
      </c>
      <c r="Q232" s="97">
        <f t="shared" si="237"/>
        <v>93.355029476274197</v>
      </c>
      <c r="R232" s="97">
        <f t="shared" si="237"/>
        <v>86.65880668456434</v>
      </c>
      <c r="S232" s="97">
        <f t="shared" si="237"/>
        <v>101.92985930701214</v>
      </c>
      <c r="T232" s="97">
        <f t="shared" si="237"/>
        <v>112.85165881797995</v>
      </c>
      <c r="U232" s="97">
        <f t="shared" si="237"/>
        <v>112.62766620409464</v>
      </c>
      <c r="V232" s="97">
        <f t="shared" si="237"/>
        <v>104.9970724227661</v>
      </c>
      <c r="W232" s="97">
        <f t="shared" si="237"/>
        <v>83.761365216267023</v>
      </c>
      <c r="X232" s="97">
        <f t="shared" si="237"/>
        <v>83.310218494968368</v>
      </c>
      <c r="Y232" s="97">
        <f t="shared" si="237"/>
        <v>92.05762114054555</v>
      </c>
      <c r="DA232" s="175" t="s">
        <v>447</v>
      </c>
    </row>
    <row r="233" spans="1:105" ht="11.45" customHeight="1" x14ac:dyDescent="0.25">
      <c r="A233" s="109" t="str">
        <f>$A$21</f>
        <v>Rail transport</v>
      </c>
      <c r="B233" s="130">
        <f t="shared" ref="B233:Y233" si="238">IF(B21=0,0,B81/B21*1000)</f>
        <v>9.8217882856996699</v>
      </c>
      <c r="C233" s="130">
        <f t="shared" si="238"/>
        <v>9.4861501178911052</v>
      </c>
      <c r="D233" s="130">
        <f t="shared" si="238"/>
        <v>9.0834892854958014</v>
      </c>
      <c r="E233" s="130">
        <f t="shared" si="238"/>
        <v>8.5587721185735788</v>
      </c>
      <c r="F233" s="130">
        <f t="shared" si="238"/>
        <v>7.883403429252108</v>
      </c>
      <c r="G233" s="130">
        <f t="shared" si="238"/>
        <v>7.5472439793800667</v>
      </c>
      <c r="H233" s="130">
        <f t="shared" si="238"/>
        <v>7.4207585922378838</v>
      </c>
      <c r="I233" s="130">
        <f t="shared" si="238"/>
        <v>7.062484036441198</v>
      </c>
      <c r="J233" s="130">
        <f t="shared" si="238"/>
        <v>6.7625099985190751</v>
      </c>
      <c r="K233" s="130">
        <f t="shared" si="238"/>
        <v>6.5727822677600187</v>
      </c>
      <c r="L233" s="130">
        <f t="shared" si="238"/>
        <v>6.9736951202631907</v>
      </c>
      <c r="M233" s="130">
        <f t="shared" si="238"/>
        <v>6.2669322057426813</v>
      </c>
      <c r="N233" s="130">
        <f t="shared" si="238"/>
        <v>5.1489832184311792</v>
      </c>
      <c r="O233" s="130">
        <f t="shared" si="238"/>
        <v>5.0804061150647843</v>
      </c>
      <c r="P233" s="130">
        <f t="shared" si="238"/>
        <v>5.2353840036569039</v>
      </c>
      <c r="Q233" s="130">
        <f t="shared" si="238"/>
        <v>5.1747192831562829</v>
      </c>
      <c r="R233" s="130">
        <f t="shared" si="238"/>
        <v>5.3027940275139933</v>
      </c>
      <c r="S233" s="130">
        <f t="shared" si="238"/>
        <v>5.1580834481746223</v>
      </c>
      <c r="T233" s="130">
        <f t="shared" si="238"/>
        <v>3.9300775680492261</v>
      </c>
      <c r="U233" s="130">
        <f t="shared" si="238"/>
        <v>3.4349488325996584</v>
      </c>
      <c r="V233" s="130">
        <f t="shared" si="238"/>
        <v>4.6254843655962414</v>
      </c>
      <c r="W233" s="130">
        <f t="shared" si="238"/>
        <v>4.1846510734319526</v>
      </c>
      <c r="X233" s="130">
        <f t="shared" si="238"/>
        <v>3.8911495174670323</v>
      </c>
      <c r="Y233" s="130">
        <f t="shared" si="238"/>
        <v>4.4999073849255131</v>
      </c>
      <c r="DA233" s="176" t="s">
        <v>448</v>
      </c>
    </row>
    <row r="234" spans="1:105" ht="11.45" customHeight="1" x14ac:dyDescent="0.25">
      <c r="A234" s="109" t="str">
        <f>$A$22</f>
        <v>Aviation</v>
      </c>
      <c r="B234" s="130">
        <f t="shared" ref="B234:Y234" si="239">IF(B22=0,0,B82/B22*1000)</f>
        <v>362.68807744462538</v>
      </c>
      <c r="C234" s="130">
        <f t="shared" si="239"/>
        <v>346.34353974097633</v>
      </c>
      <c r="D234" s="130">
        <f t="shared" si="239"/>
        <v>369.32539563611078</v>
      </c>
      <c r="E234" s="130">
        <f t="shared" si="239"/>
        <v>395.44927878069296</v>
      </c>
      <c r="F234" s="130">
        <f t="shared" si="239"/>
        <v>404.31185692823254</v>
      </c>
      <c r="G234" s="130">
        <f t="shared" si="239"/>
        <v>424.80654631291213</v>
      </c>
      <c r="H234" s="130">
        <f t="shared" si="239"/>
        <v>440.38710126594572</v>
      </c>
      <c r="I234" s="130">
        <f t="shared" si="239"/>
        <v>449.1794632843347</v>
      </c>
      <c r="J234" s="130">
        <f t="shared" si="239"/>
        <v>449.61694814809567</v>
      </c>
      <c r="K234" s="130">
        <f t="shared" si="239"/>
        <v>427.95136224537646</v>
      </c>
      <c r="L234" s="130">
        <f t="shared" si="239"/>
        <v>393.71151097092678</v>
      </c>
      <c r="M234" s="130">
        <f t="shared" si="239"/>
        <v>367.68413353854129</v>
      </c>
      <c r="N234" s="130">
        <f t="shared" si="239"/>
        <v>327.23023129707639</v>
      </c>
      <c r="O234" s="130">
        <f t="shared" si="239"/>
        <v>320.63617433973837</v>
      </c>
      <c r="P234" s="130">
        <f t="shared" si="239"/>
        <v>283.80274236295952</v>
      </c>
      <c r="Q234" s="130">
        <f t="shared" si="239"/>
        <v>289.25125912322102</v>
      </c>
      <c r="R234" s="130">
        <f t="shared" si="239"/>
        <v>268.68011721132177</v>
      </c>
      <c r="S234" s="130">
        <f t="shared" si="239"/>
        <v>267.23592829879777</v>
      </c>
      <c r="T234" s="130">
        <f t="shared" si="239"/>
        <v>261.24223773366663</v>
      </c>
      <c r="U234" s="130">
        <f t="shared" si="239"/>
        <v>243.25390092670349</v>
      </c>
      <c r="V234" s="130">
        <f t="shared" si="239"/>
        <v>377.97585347600028</v>
      </c>
      <c r="W234" s="130">
        <f t="shared" si="239"/>
        <v>331.01975670225568</v>
      </c>
      <c r="X234" s="130">
        <f t="shared" si="239"/>
        <v>314.99596699725305</v>
      </c>
      <c r="Y234" s="130">
        <f t="shared" si="239"/>
        <v>298.68556479957937</v>
      </c>
      <c r="DA234" s="176" t="s">
        <v>348</v>
      </c>
    </row>
    <row r="235" spans="1:105" ht="11.45" customHeight="1" x14ac:dyDescent="0.25">
      <c r="A235" s="128" t="s">
        <v>27</v>
      </c>
      <c r="B235" s="97">
        <f t="shared" ref="B235:Y235" si="240">IF(B23=0,0,B83/B23*1000)</f>
        <v>0</v>
      </c>
      <c r="C235" s="97">
        <f t="shared" si="240"/>
        <v>0</v>
      </c>
      <c r="D235" s="97">
        <f t="shared" si="240"/>
        <v>0</v>
      </c>
      <c r="E235" s="97">
        <f t="shared" si="240"/>
        <v>0</v>
      </c>
      <c r="F235" s="97">
        <f t="shared" si="240"/>
        <v>0</v>
      </c>
      <c r="G235" s="97">
        <f t="shared" si="240"/>
        <v>0</v>
      </c>
      <c r="H235" s="97">
        <f t="shared" si="240"/>
        <v>0</v>
      </c>
      <c r="I235" s="97">
        <f t="shared" si="240"/>
        <v>0</v>
      </c>
      <c r="J235" s="97">
        <f t="shared" si="240"/>
        <v>0</v>
      </c>
      <c r="K235" s="97">
        <f t="shared" si="240"/>
        <v>0</v>
      </c>
      <c r="L235" s="97">
        <f t="shared" si="240"/>
        <v>0</v>
      </c>
      <c r="M235" s="97">
        <f t="shared" si="240"/>
        <v>0</v>
      </c>
      <c r="N235" s="97">
        <f t="shared" si="240"/>
        <v>0</v>
      </c>
      <c r="O235" s="97">
        <f t="shared" si="240"/>
        <v>0</v>
      </c>
      <c r="P235" s="97">
        <f t="shared" si="240"/>
        <v>0</v>
      </c>
      <c r="Q235" s="97">
        <f t="shared" si="240"/>
        <v>0</v>
      </c>
      <c r="R235" s="97">
        <f t="shared" si="240"/>
        <v>0</v>
      </c>
      <c r="S235" s="97">
        <f t="shared" si="240"/>
        <v>0</v>
      </c>
      <c r="T235" s="97">
        <f t="shared" si="240"/>
        <v>0</v>
      </c>
      <c r="U235" s="97">
        <f t="shared" si="240"/>
        <v>0</v>
      </c>
      <c r="V235" s="97">
        <f t="shared" si="240"/>
        <v>0</v>
      </c>
      <c r="W235" s="97">
        <f t="shared" si="240"/>
        <v>0</v>
      </c>
      <c r="X235" s="97">
        <f t="shared" si="240"/>
        <v>0</v>
      </c>
      <c r="Y235" s="97">
        <f t="shared" si="240"/>
        <v>0</v>
      </c>
      <c r="DA235" s="175" t="s">
        <v>349</v>
      </c>
    </row>
    <row r="236" spans="1:105" ht="11.45" customHeight="1" x14ac:dyDescent="0.25">
      <c r="A236" s="128" t="str">
        <f>$A$24</f>
        <v>International - Intra-EEAwCHUK</v>
      </c>
      <c r="B236" s="97">
        <f t="shared" ref="B236:Y236" si="241">IF(B24=0,0,B84/B24*1000)</f>
        <v>586.90986661797695</v>
      </c>
      <c r="C236" s="97">
        <f t="shared" si="241"/>
        <v>557.37366651784509</v>
      </c>
      <c r="D236" s="97">
        <f t="shared" si="241"/>
        <v>598.74306348660218</v>
      </c>
      <c r="E236" s="97">
        <f t="shared" si="241"/>
        <v>574.63366072440431</v>
      </c>
      <c r="F236" s="97">
        <f t="shared" si="241"/>
        <v>638.62178603606048</v>
      </c>
      <c r="G236" s="97">
        <f t="shared" si="241"/>
        <v>650.51377734914536</v>
      </c>
      <c r="H236" s="97">
        <f t="shared" si="241"/>
        <v>707.64835050061254</v>
      </c>
      <c r="I236" s="97">
        <f t="shared" si="241"/>
        <v>716.62347394126857</v>
      </c>
      <c r="J236" s="97">
        <f t="shared" si="241"/>
        <v>733.86282745875678</v>
      </c>
      <c r="K236" s="97">
        <f t="shared" si="241"/>
        <v>722.60896639895725</v>
      </c>
      <c r="L236" s="97">
        <f t="shared" si="241"/>
        <v>677.92057339185135</v>
      </c>
      <c r="M236" s="97">
        <f t="shared" si="241"/>
        <v>611.69903275427248</v>
      </c>
      <c r="N236" s="97">
        <f t="shared" si="241"/>
        <v>571.29723967516838</v>
      </c>
      <c r="O236" s="97">
        <f t="shared" si="241"/>
        <v>562.86987623850314</v>
      </c>
      <c r="P236" s="97">
        <f t="shared" si="241"/>
        <v>494.14240958202186</v>
      </c>
      <c r="Q236" s="97">
        <f t="shared" si="241"/>
        <v>517.24420682566677</v>
      </c>
      <c r="R236" s="97">
        <f t="shared" si="241"/>
        <v>461.00652077350793</v>
      </c>
      <c r="S236" s="97">
        <f t="shared" si="241"/>
        <v>498.98228766677329</v>
      </c>
      <c r="T236" s="97">
        <f t="shared" si="241"/>
        <v>475.03081658864363</v>
      </c>
      <c r="U236" s="97">
        <f t="shared" si="241"/>
        <v>431.56322966908056</v>
      </c>
      <c r="V236" s="97">
        <f t="shared" si="241"/>
        <v>460.37455828275887</v>
      </c>
      <c r="W236" s="97">
        <f t="shared" si="241"/>
        <v>448.60922193374</v>
      </c>
      <c r="X236" s="97">
        <f t="shared" si="241"/>
        <v>466.77664532898922</v>
      </c>
      <c r="Y236" s="97">
        <f t="shared" si="241"/>
        <v>455.55863049779606</v>
      </c>
      <c r="DA236" s="175" t="s">
        <v>350</v>
      </c>
    </row>
    <row r="237" spans="1:105" ht="11.45" customHeight="1" x14ac:dyDescent="0.25">
      <c r="A237" s="128" t="str">
        <f>$A$25</f>
        <v>International - Extra-EEAwCHUK</v>
      </c>
      <c r="B237" s="97">
        <f t="shared" ref="B237:Y237" si="242">IF(B25=0,0,B85/B25*1000)</f>
        <v>359.63242329906387</v>
      </c>
      <c r="C237" s="97">
        <f t="shared" si="242"/>
        <v>342.43349891656675</v>
      </c>
      <c r="D237" s="97">
        <f t="shared" si="242"/>
        <v>366.15795564322707</v>
      </c>
      <c r="E237" s="97">
        <f t="shared" si="242"/>
        <v>392.7891021163145</v>
      </c>
      <c r="F237" s="97">
        <f t="shared" si="242"/>
        <v>401.06579211207986</v>
      </c>
      <c r="G237" s="97">
        <f t="shared" si="242"/>
        <v>421.81567606219073</v>
      </c>
      <c r="H237" s="97">
        <f t="shared" si="242"/>
        <v>437.26397613759957</v>
      </c>
      <c r="I237" s="97">
        <f t="shared" si="242"/>
        <v>445.89860292937885</v>
      </c>
      <c r="J237" s="97">
        <f t="shared" si="242"/>
        <v>445.41288673506784</v>
      </c>
      <c r="K237" s="97">
        <f t="shared" si="242"/>
        <v>422.80582085279286</v>
      </c>
      <c r="L237" s="97">
        <f t="shared" si="242"/>
        <v>388.92472178104572</v>
      </c>
      <c r="M237" s="97">
        <f t="shared" si="242"/>
        <v>364.12428778731982</v>
      </c>
      <c r="N237" s="97">
        <f t="shared" si="242"/>
        <v>324.09779176625523</v>
      </c>
      <c r="O237" s="97">
        <f t="shared" si="242"/>
        <v>317.41485613767526</v>
      </c>
      <c r="P237" s="97">
        <f t="shared" si="242"/>
        <v>280.77403428918177</v>
      </c>
      <c r="Q237" s="97">
        <f t="shared" si="242"/>
        <v>286.03229667364127</v>
      </c>
      <c r="R237" s="97">
        <f t="shared" si="242"/>
        <v>265.46545094125889</v>
      </c>
      <c r="S237" s="97">
        <f t="shared" si="242"/>
        <v>264.26782938869553</v>
      </c>
      <c r="T237" s="97">
        <f t="shared" si="242"/>
        <v>258.95670415921734</v>
      </c>
      <c r="U237" s="97">
        <f t="shared" si="242"/>
        <v>241.08391373697143</v>
      </c>
      <c r="V237" s="97">
        <f t="shared" si="242"/>
        <v>377.12231143553754</v>
      </c>
      <c r="W237" s="97">
        <f t="shared" si="242"/>
        <v>329.77813164629777</v>
      </c>
      <c r="X237" s="97">
        <f t="shared" si="242"/>
        <v>313.47319476254506</v>
      </c>
      <c r="Y237" s="97">
        <f t="shared" si="242"/>
        <v>297.18233143957389</v>
      </c>
      <c r="DA237" s="175" t="s">
        <v>351</v>
      </c>
    </row>
    <row r="238" spans="1:105" ht="11.45" customHeight="1" x14ac:dyDescent="0.25">
      <c r="A238" s="109" t="s">
        <v>141</v>
      </c>
      <c r="B238" s="130">
        <f t="shared" ref="B238:Y238" si="243">IF(B26=0,0,B86/B26*1000)</f>
        <v>18.33358024671622</v>
      </c>
      <c r="C238" s="130">
        <f t="shared" si="243"/>
        <v>18.792489682943714</v>
      </c>
      <c r="D238" s="130">
        <f t="shared" si="243"/>
        <v>19.864847147642987</v>
      </c>
      <c r="E238" s="130">
        <f t="shared" si="243"/>
        <v>19.630661054284062</v>
      </c>
      <c r="F238" s="130">
        <f t="shared" si="243"/>
        <v>18.020556727222388</v>
      </c>
      <c r="G238" s="130">
        <f t="shared" si="243"/>
        <v>19.955047957795642</v>
      </c>
      <c r="H238" s="130">
        <f t="shared" si="243"/>
        <v>20.945659332605402</v>
      </c>
      <c r="I238" s="130">
        <f t="shared" si="243"/>
        <v>20.600052760871399</v>
      </c>
      <c r="J238" s="130">
        <f t="shared" si="243"/>
        <v>21.244035609096311</v>
      </c>
      <c r="K238" s="130">
        <f t="shared" si="243"/>
        <v>26.361039789263593</v>
      </c>
      <c r="L238" s="130">
        <f t="shared" si="243"/>
        <v>24.047169189698625</v>
      </c>
      <c r="M238" s="130">
        <f t="shared" si="243"/>
        <v>24.37392155225109</v>
      </c>
      <c r="N238" s="130">
        <f t="shared" si="243"/>
        <v>21.93994720529005</v>
      </c>
      <c r="O238" s="130">
        <f t="shared" si="243"/>
        <v>22.765455633961881</v>
      </c>
      <c r="P238" s="130">
        <f t="shared" si="243"/>
        <v>19.534317381685693</v>
      </c>
      <c r="Q238" s="130">
        <f t="shared" si="243"/>
        <v>23.588823153738989</v>
      </c>
      <c r="R238" s="130">
        <f t="shared" si="243"/>
        <v>21.896973909993108</v>
      </c>
      <c r="S238" s="130">
        <f t="shared" si="243"/>
        <v>21.223221896398169</v>
      </c>
      <c r="T238" s="130">
        <f t="shared" si="243"/>
        <v>22.212562144957349</v>
      </c>
      <c r="U238" s="130">
        <f t="shared" si="243"/>
        <v>20.454668167838182</v>
      </c>
      <c r="V238" s="130">
        <f t="shared" si="243"/>
        <v>16.740971508137452</v>
      </c>
      <c r="W238" s="130">
        <f t="shared" si="243"/>
        <v>17.692156221165416</v>
      </c>
      <c r="X238" s="130">
        <f t="shared" si="243"/>
        <v>19.909560674336422</v>
      </c>
      <c r="Y238" s="130">
        <f t="shared" si="243"/>
        <v>22.53479418913717</v>
      </c>
      <c r="DA238" s="176" t="s">
        <v>449</v>
      </c>
    </row>
    <row r="239" spans="1:105" ht="11.45" customHeight="1" x14ac:dyDescent="0.25">
      <c r="A239" s="128" t="str">
        <f>$A$27</f>
        <v>Domestic coastal shipping</v>
      </c>
      <c r="B239" s="97">
        <f t="shared" ref="B239:Y239" si="244">IF(B27=0,0,B87/B27*1000)</f>
        <v>60.908028567031508</v>
      </c>
      <c r="C239" s="97">
        <f t="shared" si="244"/>
        <v>54.983215680509488</v>
      </c>
      <c r="D239" s="97">
        <f t="shared" si="244"/>
        <v>59.451849678016892</v>
      </c>
      <c r="E239" s="97">
        <f t="shared" si="244"/>
        <v>55.221215951393972</v>
      </c>
      <c r="F239" s="97">
        <f t="shared" si="244"/>
        <v>53.905241165061511</v>
      </c>
      <c r="G239" s="97">
        <f t="shared" si="244"/>
        <v>60.938972615202644</v>
      </c>
      <c r="H239" s="97">
        <f t="shared" si="244"/>
        <v>57.323903378636942</v>
      </c>
      <c r="I239" s="97">
        <f t="shared" si="244"/>
        <v>55.82753873390643</v>
      </c>
      <c r="J239" s="97">
        <f t="shared" si="244"/>
        <v>65.106188135303185</v>
      </c>
      <c r="K239" s="97">
        <f t="shared" si="244"/>
        <v>69.361554092126667</v>
      </c>
      <c r="L239" s="97">
        <f t="shared" si="244"/>
        <v>80.069455987668192</v>
      </c>
      <c r="M239" s="97">
        <f t="shared" si="244"/>
        <v>77.366181364607854</v>
      </c>
      <c r="N239" s="97">
        <f t="shared" si="244"/>
        <v>68.026023120827503</v>
      </c>
      <c r="O239" s="97">
        <f t="shared" si="244"/>
        <v>69.076713765029581</v>
      </c>
      <c r="P239" s="97">
        <f t="shared" si="244"/>
        <v>65.271388517231756</v>
      </c>
      <c r="Q239" s="97">
        <f t="shared" si="244"/>
        <v>67.135405259209406</v>
      </c>
      <c r="R239" s="97">
        <f t="shared" si="244"/>
        <v>64.77552488412951</v>
      </c>
      <c r="S239" s="97">
        <f t="shared" si="244"/>
        <v>68.379352205383981</v>
      </c>
      <c r="T239" s="97">
        <f t="shared" si="244"/>
        <v>68.668080416626808</v>
      </c>
      <c r="U239" s="97">
        <f t="shared" si="244"/>
        <v>67.48475154103977</v>
      </c>
      <c r="V239" s="97">
        <f t="shared" si="244"/>
        <v>53.934425027011457</v>
      </c>
      <c r="W239" s="97">
        <f t="shared" si="244"/>
        <v>56.992612075348312</v>
      </c>
      <c r="X239" s="97">
        <f t="shared" si="244"/>
        <v>65.997406002835319</v>
      </c>
      <c r="Y239" s="97">
        <f t="shared" si="244"/>
        <v>70.748382548115174</v>
      </c>
      <c r="DA239" s="175" t="s">
        <v>450</v>
      </c>
    </row>
    <row r="240" spans="1:105" ht="11.45" customHeight="1" x14ac:dyDescent="0.25">
      <c r="A240" s="138" t="str">
        <f>$A$28</f>
        <v>Inland waterways</v>
      </c>
      <c r="B240" s="98">
        <f t="shared" ref="B240:Y240" si="245">IF(B28=0,0,B88/B28*1000)</f>
        <v>18.318716172042784</v>
      </c>
      <c r="C240" s="98">
        <f t="shared" si="245"/>
        <v>18.780590638464194</v>
      </c>
      <c r="D240" s="98">
        <f t="shared" si="245"/>
        <v>19.851469883947232</v>
      </c>
      <c r="E240" s="98">
        <f t="shared" si="245"/>
        <v>19.617377172145734</v>
      </c>
      <c r="F240" s="98">
        <f t="shared" si="245"/>
        <v>18.006467597710241</v>
      </c>
      <c r="G240" s="98">
        <f t="shared" si="245"/>
        <v>19.936666182859913</v>
      </c>
      <c r="H240" s="98">
        <f t="shared" si="245"/>
        <v>20.92768952274891</v>
      </c>
      <c r="I240" s="98">
        <f t="shared" si="245"/>
        <v>20.581694849936994</v>
      </c>
      <c r="J240" s="98">
        <f t="shared" si="245"/>
        <v>21.219603762100434</v>
      </c>
      <c r="K240" s="98">
        <f t="shared" si="245"/>
        <v>26.33340739052332</v>
      </c>
      <c r="L240" s="98">
        <f t="shared" si="245"/>
        <v>24.011759716298336</v>
      </c>
      <c r="M240" s="98">
        <f t="shared" si="245"/>
        <v>24.339512282605384</v>
      </c>
      <c r="N240" s="98">
        <f t="shared" si="245"/>
        <v>21.909295548462289</v>
      </c>
      <c r="O240" s="98">
        <f t="shared" si="245"/>
        <v>22.741538579127212</v>
      </c>
      <c r="P240" s="98">
        <f t="shared" si="245"/>
        <v>19.506154219960397</v>
      </c>
      <c r="Q240" s="98">
        <f t="shared" si="245"/>
        <v>23.547481041649654</v>
      </c>
      <c r="R240" s="98">
        <f t="shared" si="245"/>
        <v>21.851815145900034</v>
      </c>
      <c r="S240" s="98">
        <f t="shared" si="245"/>
        <v>21.167577374010914</v>
      </c>
      <c r="T240" s="98">
        <f t="shared" si="245"/>
        <v>22.136621658358433</v>
      </c>
      <c r="U240" s="98">
        <f t="shared" si="245"/>
        <v>20.367036069644669</v>
      </c>
      <c r="V240" s="98">
        <f t="shared" si="245"/>
        <v>16.676734858108819</v>
      </c>
      <c r="W240" s="98">
        <f t="shared" si="245"/>
        <v>17.647005558195328</v>
      </c>
      <c r="X240" s="98">
        <f t="shared" si="245"/>
        <v>19.838135945261527</v>
      </c>
      <c r="Y240" s="98">
        <f t="shared" si="245"/>
        <v>22.447585627473799</v>
      </c>
      <c r="DA240" s="178" t="s">
        <v>451</v>
      </c>
    </row>
    <row r="241" spans="1:105" ht="11.45" customHeight="1" x14ac:dyDescent="0.25">
      <c r="A241" s="27" t="s">
        <v>172</v>
      </c>
      <c r="B241" s="32">
        <f t="shared" ref="B241:Y241" si="246">IF(B29=0,0,B89/B29*1000)</f>
        <v>29.722905685196555</v>
      </c>
      <c r="C241" s="32">
        <f t="shared" si="246"/>
        <v>32.982557696538812</v>
      </c>
      <c r="D241" s="32">
        <f t="shared" si="246"/>
        <v>32.407302554189208</v>
      </c>
      <c r="E241" s="32">
        <f t="shared" si="246"/>
        <v>30.143696531000032</v>
      </c>
      <c r="F241" s="32">
        <f t="shared" si="246"/>
        <v>30.914779459769207</v>
      </c>
      <c r="G241" s="32">
        <f t="shared" si="246"/>
        <v>30.984863854941192</v>
      </c>
      <c r="H241" s="32">
        <f t="shared" si="246"/>
        <v>31.623035577821998</v>
      </c>
      <c r="I241" s="32">
        <f t="shared" si="246"/>
        <v>30.543198718282568</v>
      </c>
      <c r="J241" s="32">
        <f t="shared" si="246"/>
        <v>27.706941274778291</v>
      </c>
      <c r="K241" s="32">
        <f t="shared" si="246"/>
        <v>28.441692723844479</v>
      </c>
      <c r="L241" s="32">
        <f t="shared" si="246"/>
        <v>24.987042912746571</v>
      </c>
      <c r="M241" s="32">
        <f t="shared" si="246"/>
        <v>24.841013621700437</v>
      </c>
      <c r="N241" s="32">
        <f t="shared" si="246"/>
        <v>22.773599551499579</v>
      </c>
      <c r="O241" s="32">
        <f t="shared" si="246"/>
        <v>21.978403017568102</v>
      </c>
      <c r="P241" s="32">
        <f t="shared" si="246"/>
        <v>20.786754349085843</v>
      </c>
      <c r="Q241" s="32">
        <f t="shared" si="246"/>
        <v>18.833737917607174</v>
      </c>
      <c r="R241" s="32">
        <f t="shared" si="246"/>
        <v>18.941826130960564</v>
      </c>
      <c r="S241" s="32">
        <f t="shared" si="246"/>
        <v>18.34602053132668</v>
      </c>
      <c r="T241" s="32">
        <f t="shared" si="246"/>
        <v>17.806752984922625</v>
      </c>
      <c r="U241" s="32">
        <f t="shared" si="246"/>
        <v>18.345778752863581</v>
      </c>
      <c r="V241" s="32">
        <f t="shared" si="246"/>
        <v>20.848312403980088</v>
      </c>
      <c r="W241" s="32">
        <f t="shared" si="246"/>
        <v>18.717579478046442</v>
      </c>
      <c r="X241" s="32">
        <f t="shared" si="246"/>
        <v>17.726942662974462</v>
      </c>
      <c r="Y241" s="32">
        <f t="shared" si="246"/>
        <v>17.775943909891279</v>
      </c>
      <c r="DA241" s="173" t="s">
        <v>452</v>
      </c>
    </row>
    <row r="242" spans="1:105" ht="11.45" customHeight="1" x14ac:dyDescent="0.25">
      <c r="A242" s="128" t="str">
        <f>$A$30</f>
        <v>Intra-EEA</v>
      </c>
      <c r="B242" s="97">
        <f t="shared" ref="B242:Y242" si="247">IF(B30=0,0,B90/B30*1000)</f>
        <v>107.43751982706196</v>
      </c>
      <c r="C242" s="97">
        <f t="shared" si="247"/>
        <v>119.90740548500749</v>
      </c>
      <c r="D242" s="97">
        <f t="shared" si="247"/>
        <v>116.91294710625323</v>
      </c>
      <c r="E242" s="97">
        <f t="shared" si="247"/>
        <v>109.62474868710564</v>
      </c>
      <c r="F242" s="97">
        <f t="shared" si="247"/>
        <v>112.73834490518684</v>
      </c>
      <c r="G242" s="97">
        <f t="shared" si="247"/>
        <v>117.50439154995567</v>
      </c>
      <c r="H242" s="97">
        <f t="shared" si="247"/>
        <v>121.98863826026863</v>
      </c>
      <c r="I242" s="97">
        <f t="shared" si="247"/>
        <v>118.0430823962101</v>
      </c>
      <c r="J242" s="97">
        <f t="shared" si="247"/>
        <v>109.35896136835646</v>
      </c>
      <c r="K242" s="97">
        <f t="shared" si="247"/>
        <v>105.89211585314847</v>
      </c>
      <c r="L242" s="97">
        <f t="shared" si="247"/>
        <v>92.378091494044725</v>
      </c>
      <c r="M242" s="97">
        <f t="shared" si="247"/>
        <v>96.374182685142657</v>
      </c>
      <c r="N242" s="97">
        <f t="shared" si="247"/>
        <v>88.88935590704952</v>
      </c>
      <c r="O242" s="97">
        <f t="shared" si="247"/>
        <v>85.51304897354963</v>
      </c>
      <c r="P242" s="97">
        <f t="shared" si="247"/>
        <v>80.942368383428629</v>
      </c>
      <c r="Q242" s="97">
        <f t="shared" si="247"/>
        <v>73.725623958978304</v>
      </c>
      <c r="R242" s="97">
        <f t="shared" si="247"/>
        <v>74.745501300016684</v>
      </c>
      <c r="S242" s="97">
        <f t="shared" si="247"/>
        <v>72.810654448611814</v>
      </c>
      <c r="T242" s="97">
        <f t="shared" si="247"/>
        <v>70.107685168315214</v>
      </c>
      <c r="U242" s="97">
        <f t="shared" si="247"/>
        <v>72.438395565064695</v>
      </c>
      <c r="V242" s="97">
        <f t="shared" si="247"/>
        <v>69.053388383316587</v>
      </c>
      <c r="W242" s="97">
        <f t="shared" si="247"/>
        <v>66.241713676405141</v>
      </c>
      <c r="X242" s="97">
        <f t="shared" si="247"/>
        <v>66.966246054097141</v>
      </c>
      <c r="Y242" s="97">
        <f t="shared" si="247"/>
        <v>65.064693940648723</v>
      </c>
      <c r="DA242" s="175" t="s">
        <v>453</v>
      </c>
    </row>
    <row r="243" spans="1:105" ht="11.45" customHeight="1" x14ac:dyDescent="0.25">
      <c r="A243" s="138" t="str">
        <f>$A$31</f>
        <v>Extra-EEA</v>
      </c>
      <c r="B243" s="98">
        <f t="shared" ref="B243:Y243" si="248">IF(B31=0,0,B91/B31*1000)</f>
        <v>24.20027630678954</v>
      </c>
      <c r="C243" s="98">
        <f t="shared" si="248"/>
        <v>26.873450664807631</v>
      </c>
      <c r="D243" s="98">
        <f t="shared" si="248"/>
        <v>26.352930628439417</v>
      </c>
      <c r="E243" s="98">
        <f t="shared" si="248"/>
        <v>24.662198183093984</v>
      </c>
      <c r="F243" s="98">
        <f t="shared" si="248"/>
        <v>25.294561315546094</v>
      </c>
      <c r="G243" s="98">
        <f t="shared" si="248"/>
        <v>25.829431008747253</v>
      </c>
      <c r="H243" s="98">
        <f t="shared" si="248"/>
        <v>26.573921868919047</v>
      </c>
      <c r="I243" s="98">
        <f t="shared" si="248"/>
        <v>25.74602000637913</v>
      </c>
      <c r="J243" s="98">
        <f t="shared" si="248"/>
        <v>23.588789788311225</v>
      </c>
      <c r="K243" s="98">
        <f t="shared" si="248"/>
        <v>23.564979839830976</v>
      </c>
      <c r="L243" s="98">
        <f t="shared" si="248"/>
        <v>20.476184749845956</v>
      </c>
      <c r="M243" s="98">
        <f t="shared" si="248"/>
        <v>20.647356977957713</v>
      </c>
      <c r="N243" s="98">
        <f t="shared" si="248"/>
        <v>18.92252035639812</v>
      </c>
      <c r="O243" s="98">
        <f t="shared" si="248"/>
        <v>18.212995007786198</v>
      </c>
      <c r="P243" s="98">
        <f t="shared" si="248"/>
        <v>17.15481661340386</v>
      </c>
      <c r="Q243" s="98">
        <f t="shared" si="248"/>
        <v>15.685927637341964</v>
      </c>
      <c r="R243" s="98">
        <f t="shared" si="248"/>
        <v>15.94403152462805</v>
      </c>
      <c r="S243" s="98">
        <f t="shared" si="248"/>
        <v>15.475395977566645</v>
      </c>
      <c r="T243" s="98">
        <f t="shared" si="248"/>
        <v>14.916550745407257</v>
      </c>
      <c r="U243" s="98">
        <f t="shared" si="248"/>
        <v>15.265938026094727</v>
      </c>
      <c r="V243" s="98">
        <f t="shared" si="248"/>
        <v>17.890455186976784</v>
      </c>
      <c r="W243" s="98">
        <f t="shared" si="248"/>
        <v>16.005918568737737</v>
      </c>
      <c r="X243" s="98">
        <f t="shared" si="248"/>
        <v>14.886766082389855</v>
      </c>
      <c r="Y243" s="98">
        <f t="shared" si="248"/>
        <v>14.706212713651752</v>
      </c>
      <c r="DA243" s="178" t="s">
        <v>454</v>
      </c>
    </row>
    <row r="245" spans="1:105" x14ac:dyDescent="0.25">
      <c r="A245" s="18" t="s">
        <v>168</v>
      </c>
    </row>
    <row r="246" spans="1:105" x14ac:dyDescent="0.25">
      <c r="A246" s="18" t="s">
        <v>184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>
    <pageSetUpPr fitToPage="1"/>
  </sheetPr>
  <dimension ref="A1:DA273"/>
  <sheetViews>
    <sheetView showGridLines="0" zoomScaleNormal="10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455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9">
        <f t="shared" ref="B4:K4" si="0">B5+B6+B13</f>
        <v>149141.95836574561</v>
      </c>
      <c r="C4" s="29">
        <f t="shared" si="0"/>
        <v>149831.75305556771</v>
      </c>
      <c r="D4" s="29">
        <f t="shared" si="0"/>
        <v>152300.45286370552</v>
      </c>
      <c r="E4" s="29">
        <f t="shared" si="0"/>
        <v>154420.09068319568</v>
      </c>
      <c r="F4" s="29">
        <f t="shared" si="0"/>
        <v>159856.73340969608</v>
      </c>
      <c r="G4" s="29">
        <f t="shared" si="0"/>
        <v>157276.63728102803</v>
      </c>
      <c r="H4" s="29">
        <f t="shared" si="0"/>
        <v>156831.98218596875</v>
      </c>
      <c r="I4" s="29">
        <f t="shared" si="0"/>
        <v>158149.09952893778</v>
      </c>
      <c r="J4" s="29">
        <f t="shared" si="0"/>
        <v>156843.981959406</v>
      </c>
      <c r="K4" s="29">
        <f t="shared" si="0"/>
        <v>156161.22026043458</v>
      </c>
      <c r="L4" s="29">
        <f t="shared" ref="L4" si="1">L5+L6+L13</f>
        <v>154160.30022812411</v>
      </c>
      <c r="M4" s="29">
        <f t="shared" ref="M4:V4" si="2">M5+M6+M13</f>
        <v>154657.30373350286</v>
      </c>
      <c r="N4" s="29">
        <f t="shared" si="2"/>
        <v>149257.71193373966</v>
      </c>
      <c r="O4" s="29">
        <f t="shared" si="2"/>
        <v>155088.43107412575</v>
      </c>
      <c r="P4" s="29">
        <f t="shared" si="2"/>
        <v>154395.13180359712</v>
      </c>
      <c r="Q4" s="29">
        <f t="shared" si="2"/>
        <v>149424.00503180549</v>
      </c>
      <c r="R4" s="29">
        <f t="shared" si="2"/>
        <v>150940.72585555844</v>
      </c>
      <c r="S4" s="29">
        <f t="shared" si="2"/>
        <v>148196.13529794646</v>
      </c>
      <c r="T4" s="29">
        <f t="shared" si="2"/>
        <v>157609.84942889106</v>
      </c>
      <c r="U4" s="29">
        <f t="shared" si="2"/>
        <v>157897.98644913142</v>
      </c>
      <c r="V4" s="29">
        <f t="shared" si="2"/>
        <v>112065.75833211803</v>
      </c>
      <c r="W4" s="29">
        <f t="shared" ref="W4:Y4" si="3">W5+W6+W13</f>
        <v>123239.17390631225</v>
      </c>
      <c r="X4" s="29">
        <f t="shared" si="3"/>
        <v>134335.63254492939</v>
      </c>
      <c r="Y4" s="29">
        <f t="shared" si="3"/>
        <v>145213.27680117305</v>
      </c>
      <c r="DA4" s="173" t="s">
        <v>372</v>
      </c>
    </row>
    <row r="5" spans="1:105" ht="11.45" customHeight="1" x14ac:dyDescent="0.25">
      <c r="A5" s="136" t="s">
        <v>173</v>
      </c>
      <c r="B5" s="152">
        <f t="shared" ref="B5:K5" si="4">IF(B32=0,0,B32*B142)</f>
        <v>3424.6809661735442</v>
      </c>
      <c r="C5" s="152">
        <f t="shared" si="4"/>
        <v>3559.5078684520267</v>
      </c>
      <c r="D5" s="152">
        <f t="shared" si="4"/>
        <v>3688.9643314199366</v>
      </c>
      <c r="E5" s="152">
        <f t="shared" si="4"/>
        <v>3720.2595184130346</v>
      </c>
      <c r="F5" s="152">
        <f t="shared" si="4"/>
        <v>3556.5427906556838</v>
      </c>
      <c r="G5" s="152">
        <f t="shared" si="4"/>
        <v>3701.6092342159982</v>
      </c>
      <c r="H5" s="152">
        <f t="shared" si="4"/>
        <v>3971.0703274702687</v>
      </c>
      <c r="I5" s="152">
        <f t="shared" si="4"/>
        <v>4387.6964951206073</v>
      </c>
      <c r="J5" s="152">
        <f t="shared" si="4"/>
        <v>4795.4387775680243</v>
      </c>
      <c r="K5" s="152">
        <f t="shared" si="4"/>
        <v>5007.272754206193</v>
      </c>
      <c r="L5" s="152">
        <f t="shared" ref="L5:L7" si="5">IF(L32=0,0,L32*L142)</f>
        <v>5114.2252893539271</v>
      </c>
      <c r="M5" s="152">
        <f t="shared" ref="M5:V5" si="6">IF(M32=0,0,M32*M142)</f>
        <v>5247.207192599777</v>
      </c>
      <c r="N5" s="152">
        <f t="shared" si="6"/>
        <v>5073.8424040169839</v>
      </c>
      <c r="O5" s="152">
        <f t="shared" si="6"/>
        <v>5041.9906395094995</v>
      </c>
      <c r="P5" s="152">
        <f t="shared" si="6"/>
        <v>4879.3743415028775</v>
      </c>
      <c r="Q5" s="152">
        <f t="shared" si="6"/>
        <v>5040.4507206671587</v>
      </c>
      <c r="R5" s="152">
        <f t="shared" si="6"/>
        <v>5166.1525993615915</v>
      </c>
      <c r="S5" s="152">
        <f t="shared" si="6"/>
        <v>4877.7373000872894</v>
      </c>
      <c r="T5" s="152">
        <f t="shared" si="6"/>
        <v>4639.3435676844601</v>
      </c>
      <c r="U5" s="152">
        <f t="shared" si="6"/>
        <v>4927.4805879248397</v>
      </c>
      <c r="V5" s="152">
        <f t="shared" si="6"/>
        <v>4425.0711017335561</v>
      </c>
      <c r="W5" s="152">
        <f t="shared" ref="W5:Y5" si="7">IF(W32=0,0,W32*W142)</f>
        <v>4493.5169041240879</v>
      </c>
      <c r="X5" s="152">
        <f t="shared" si="7"/>
        <v>4535.6325449293645</v>
      </c>
      <c r="Y5" s="152">
        <f t="shared" si="7"/>
        <v>4820.6916308323553</v>
      </c>
      <c r="DA5" s="174" t="s">
        <v>373</v>
      </c>
    </row>
    <row r="6" spans="1:105" ht="11.45" customHeight="1" x14ac:dyDescent="0.25">
      <c r="A6" s="109" t="s">
        <v>20</v>
      </c>
      <c r="B6" s="116">
        <f t="shared" ref="B6:K6" si="8">SUM(B7:B12)</f>
        <v>141100</v>
      </c>
      <c r="C6" s="116">
        <f t="shared" si="8"/>
        <v>141600</v>
      </c>
      <c r="D6" s="116">
        <f t="shared" si="8"/>
        <v>144200</v>
      </c>
      <c r="E6" s="116">
        <f t="shared" si="8"/>
        <v>146100.00000000003</v>
      </c>
      <c r="F6" s="116">
        <f t="shared" si="8"/>
        <v>151600</v>
      </c>
      <c r="G6" s="116">
        <f t="shared" si="8"/>
        <v>148800</v>
      </c>
      <c r="H6" s="116">
        <f t="shared" si="8"/>
        <v>148000</v>
      </c>
      <c r="I6" s="116">
        <f t="shared" si="8"/>
        <v>148799.99999999997</v>
      </c>
      <c r="J6" s="116">
        <f t="shared" si="8"/>
        <v>147000</v>
      </c>
      <c r="K6" s="116">
        <f t="shared" si="8"/>
        <v>146299.99999999997</v>
      </c>
      <c r="L6" s="116">
        <f t="shared" ref="L6" si="9">SUM(L7:L12)</f>
        <v>144200</v>
      </c>
      <c r="M6" s="116">
        <f t="shared" ref="M6:V6" si="10">SUM(M7:M12)</f>
        <v>144400</v>
      </c>
      <c r="N6" s="116">
        <f t="shared" si="10"/>
        <v>139700.00000000003</v>
      </c>
      <c r="O6" s="116">
        <f t="shared" si="10"/>
        <v>145400.00000000003</v>
      </c>
      <c r="P6" s="116">
        <f t="shared" si="10"/>
        <v>144968.99999999994</v>
      </c>
      <c r="Q6" s="116">
        <f t="shared" si="10"/>
        <v>139499.99999999997</v>
      </c>
      <c r="R6" s="116">
        <f t="shared" si="10"/>
        <v>140800</v>
      </c>
      <c r="S6" s="116">
        <f t="shared" si="10"/>
        <v>138700.00000000003</v>
      </c>
      <c r="T6" s="116">
        <f t="shared" si="10"/>
        <v>147500</v>
      </c>
      <c r="U6" s="116">
        <f t="shared" si="10"/>
        <v>147500</v>
      </c>
      <c r="V6" s="116">
        <f t="shared" si="10"/>
        <v>105199.99999999999</v>
      </c>
      <c r="W6" s="116">
        <f t="shared" ref="W6:Y6" si="11">SUM(W7:W12)</f>
        <v>115800</v>
      </c>
      <c r="X6" s="116">
        <f t="shared" si="11"/>
        <v>125600.00000000001</v>
      </c>
      <c r="Y6" s="116">
        <f t="shared" si="11"/>
        <v>136100</v>
      </c>
      <c r="DA6" s="176" t="s">
        <v>374</v>
      </c>
    </row>
    <row r="7" spans="1:105" ht="11.45" customHeight="1" x14ac:dyDescent="0.25">
      <c r="A7" s="111" t="s">
        <v>110</v>
      </c>
      <c r="B7" s="87">
        <f t="shared" ref="B7:K7" si="12">IF(B34=0,0,B34*B144)</f>
        <v>94106.413445658327</v>
      </c>
      <c r="C7" s="87">
        <f t="shared" si="12"/>
        <v>93035.40988470384</v>
      </c>
      <c r="D7" s="87">
        <f t="shared" si="12"/>
        <v>93540.779169442772</v>
      </c>
      <c r="E7" s="87">
        <f t="shared" si="12"/>
        <v>93714.984991180172</v>
      </c>
      <c r="F7" s="87">
        <f t="shared" si="12"/>
        <v>96560.061537614922</v>
      </c>
      <c r="G7" s="87">
        <f t="shared" si="12"/>
        <v>94112.533024772056</v>
      </c>
      <c r="H7" s="87">
        <f t="shared" si="12"/>
        <v>92283.658573638953</v>
      </c>
      <c r="I7" s="87">
        <f t="shared" si="12"/>
        <v>92494.055253497601</v>
      </c>
      <c r="J7" s="87">
        <f t="shared" si="12"/>
        <v>92187.12405974383</v>
      </c>
      <c r="K7" s="87">
        <f t="shared" si="12"/>
        <v>93115.899638641204</v>
      </c>
      <c r="L7" s="87">
        <f t="shared" si="5"/>
        <v>92848.609475136152</v>
      </c>
      <c r="M7" s="87">
        <f t="shared" ref="M7:V7" si="13">IF(M34=0,0,M34*M144)</f>
        <v>94018.86945334218</v>
      </c>
      <c r="N7" s="87">
        <f t="shared" si="13"/>
        <v>89912.355951380363</v>
      </c>
      <c r="O7" s="87">
        <f t="shared" si="13"/>
        <v>93434.921891054924</v>
      </c>
      <c r="P7" s="87">
        <f t="shared" si="13"/>
        <v>92728.356106497056</v>
      </c>
      <c r="Q7" s="87">
        <f t="shared" si="13"/>
        <v>89152.581437658111</v>
      </c>
      <c r="R7" s="87">
        <f t="shared" si="13"/>
        <v>92346.919505511469</v>
      </c>
      <c r="S7" s="87">
        <f t="shared" si="13"/>
        <v>92732.087518088156</v>
      </c>
      <c r="T7" s="87">
        <f t="shared" si="13"/>
        <v>100593.52502783643</v>
      </c>
      <c r="U7" s="87">
        <f t="shared" si="13"/>
        <v>103092.79974586968</v>
      </c>
      <c r="V7" s="87">
        <f t="shared" si="13"/>
        <v>78043.310845255677</v>
      </c>
      <c r="W7" s="87">
        <f t="shared" ref="W7:Y7" si="14">IF(W34=0,0,W34*W144)</f>
        <v>78239.638340654768</v>
      </c>
      <c r="X7" s="87">
        <f t="shared" si="14"/>
        <v>88631.638100185126</v>
      </c>
      <c r="Y7" s="87">
        <f t="shared" si="14"/>
        <v>97411.149293394978</v>
      </c>
      <c r="DA7" s="171" t="s">
        <v>456</v>
      </c>
    </row>
    <row r="8" spans="1:105" ht="11.45" customHeight="1" x14ac:dyDescent="0.25">
      <c r="A8" s="111" t="s">
        <v>111</v>
      </c>
      <c r="B8" s="87">
        <f t="shared" ref="B8:K8" si="15">IF(B35=0,0,B35*B145)</f>
        <v>35085.802548227031</v>
      </c>
      <c r="C8" s="87">
        <f t="shared" si="15"/>
        <v>36901.373914938493</v>
      </c>
      <c r="D8" s="87">
        <f t="shared" si="15"/>
        <v>39449.676327891153</v>
      </c>
      <c r="E8" s="87">
        <f t="shared" si="15"/>
        <v>41852.282914689335</v>
      </c>
      <c r="F8" s="87">
        <f t="shared" si="15"/>
        <v>44619.117684654237</v>
      </c>
      <c r="G8" s="87">
        <f t="shared" si="15"/>
        <v>45302.782955895862</v>
      </c>
      <c r="H8" s="87">
        <f t="shared" si="15"/>
        <v>47170.245109576514</v>
      </c>
      <c r="I8" s="87">
        <f t="shared" si="15"/>
        <v>48528.421690784366</v>
      </c>
      <c r="J8" s="87">
        <f t="shared" si="15"/>
        <v>47997.927640444745</v>
      </c>
      <c r="K8" s="87">
        <f t="shared" si="15"/>
        <v>47129.599709174974</v>
      </c>
      <c r="L8" s="87">
        <f t="shared" ref="L8" si="16">IF(L35=0,0,L35*L145)</f>
        <v>45949.003548115288</v>
      </c>
      <c r="M8" s="87">
        <f t="shared" ref="M8:V8" si="17">IF(M35=0,0,M35*M145)</f>
        <v>45750.567244195132</v>
      </c>
      <c r="N8" s="87">
        <f t="shared" si="17"/>
        <v>45687.139557015791</v>
      </c>
      <c r="O8" s="87">
        <f t="shared" si="17"/>
        <v>47433.589557937303</v>
      </c>
      <c r="P8" s="87">
        <f t="shared" si="17"/>
        <v>47759.169933769517</v>
      </c>
      <c r="Q8" s="87">
        <f t="shared" si="17"/>
        <v>45672.960426116188</v>
      </c>
      <c r="R8" s="87">
        <f t="shared" si="17"/>
        <v>44138.596792692624</v>
      </c>
      <c r="S8" s="87">
        <f t="shared" si="17"/>
        <v>41829.778409503109</v>
      </c>
      <c r="T8" s="87">
        <f t="shared" si="17"/>
        <v>42163.196048740909</v>
      </c>
      <c r="U8" s="87">
        <f t="shared" si="17"/>
        <v>38237.305952536626</v>
      </c>
      <c r="V8" s="87">
        <f t="shared" si="17"/>
        <v>21671.404394129044</v>
      </c>
      <c r="W8" s="87">
        <f t="shared" ref="W8:Y8" si="18">IF(W35=0,0,W35*W145)</f>
        <v>29673.821134742087</v>
      </c>
      <c r="X8" s="87">
        <f t="shared" si="18"/>
        <v>26770.040672072108</v>
      </c>
      <c r="Y8" s="87">
        <f t="shared" si="18"/>
        <v>24863.551679281067</v>
      </c>
      <c r="DA8" s="171" t="s">
        <v>457</v>
      </c>
    </row>
    <row r="9" spans="1:105" ht="11.45" customHeight="1" x14ac:dyDescent="0.25">
      <c r="A9" s="111" t="s">
        <v>112</v>
      </c>
      <c r="B9" s="87">
        <f t="shared" ref="B9:K9" si="19">IF(B36=0,0,B36*B146)</f>
        <v>11907.784006114642</v>
      </c>
      <c r="C9" s="87">
        <f t="shared" si="19"/>
        <v>11663.216200357672</v>
      </c>
      <c r="D9" s="87">
        <f t="shared" si="19"/>
        <v>11209.544502666075</v>
      </c>
      <c r="E9" s="87">
        <f t="shared" si="19"/>
        <v>10532.732094130497</v>
      </c>
      <c r="F9" s="87">
        <f t="shared" si="19"/>
        <v>10420.82077773084</v>
      </c>
      <c r="G9" s="87">
        <f t="shared" si="19"/>
        <v>9384.6840193320822</v>
      </c>
      <c r="H9" s="87">
        <f t="shared" si="19"/>
        <v>8546.0963167845348</v>
      </c>
      <c r="I9" s="87">
        <f t="shared" si="19"/>
        <v>7777.5230557180312</v>
      </c>
      <c r="J9" s="87">
        <f t="shared" si="19"/>
        <v>6814.9482998114208</v>
      </c>
      <c r="K9" s="87">
        <f t="shared" si="19"/>
        <v>6053.9034920458516</v>
      </c>
      <c r="L9" s="87">
        <f t="shared" ref="L9" si="20">IF(L36=0,0,L36*L146)</f>
        <v>5396.8405516348948</v>
      </c>
      <c r="M9" s="87">
        <f t="shared" ref="M9:V9" si="21">IF(M36=0,0,M36*M146)</f>
        <v>4595.3921512107572</v>
      </c>
      <c r="N9" s="87">
        <f t="shared" si="21"/>
        <v>3847.4136196669183</v>
      </c>
      <c r="O9" s="87">
        <f t="shared" si="21"/>
        <v>3896.1710834693135</v>
      </c>
      <c r="P9" s="87">
        <f t="shared" si="21"/>
        <v>3536.5308105304848</v>
      </c>
      <c r="Q9" s="87">
        <f t="shared" si="21"/>
        <v>3095.6499352470396</v>
      </c>
      <c r="R9" s="87">
        <f t="shared" si="21"/>
        <v>2655.6772052956699</v>
      </c>
      <c r="S9" s="87">
        <f t="shared" si="21"/>
        <v>2407.2191731059866</v>
      </c>
      <c r="T9" s="87">
        <f t="shared" si="21"/>
        <v>2294.6119904357038</v>
      </c>
      <c r="U9" s="87">
        <f t="shared" si="21"/>
        <v>2465.4675739239519</v>
      </c>
      <c r="V9" s="87">
        <f t="shared" si="21"/>
        <v>1660.3321276374422</v>
      </c>
      <c r="W9" s="87">
        <f t="shared" ref="W9:Y9" si="22">IF(W36=0,0,W36*W146)</f>
        <v>1593.5248615307682</v>
      </c>
      <c r="X9" s="87">
        <f t="shared" si="22"/>
        <v>1676.4100927387128</v>
      </c>
      <c r="Y9" s="87">
        <f t="shared" si="22"/>
        <v>1773.1293353626131</v>
      </c>
      <c r="DA9" s="171" t="s">
        <v>458</v>
      </c>
    </row>
    <row r="10" spans="1:105" ht="11.45" customHeight="1" x14ac:dyDescent="0.25">
      <c r="A10" s="111" t="s">
        <v>113</v>
      </c>
      <c r="B10" s="87">
        <f t="shared" ref="B10:K10" si="23">IF(B37=0,0,B37*B147)</f>
        <v>0</v>
      </c>
      <c r="C10" s="87">
        <f t="shared" si="23"/>
        <v>0</v>
      </c>
      <c r="D10" s="87">
        <f t="shared" si="23"/>
        <v>0</v>
      </c>
      <c r="E10" s="87">
        <f t="shared" si="23"/>
        <v>0</v>
      </c>
      <c r="F10" s="87">
        <f t="shared" si="23"/>
        <v>0</v>
      </c>
      <c r="G10" s="87">
        <f t="shared" si="23"/>
        <v>0</v>
      </c>
      <c r="H10" s="87">
        <f t="shared" si="23"/>
        <v>0</v>
      </c>
      <c r="I10" s="87">
        <f t="shared" si="23"/>
        <v>0</v>
      </c>
      <c r="J10" s="87">
        <f t="shared" si="23"/>
        <v>0</v>
      </c>
      <c r="K10" s="87">
        <f t="shared" si="23"/>
        <v>0</v>
      </c>
      <c r="L10" s="87">
        <f t="shared" ref="L10" si="24">IF(L37=0,0,L37*L147)</f>
        <v>3.7266963724739126</v>
      </c>
      <c r="M10" s="87">
        <f t="shared" ref="M10:V10" si="25">IF(M37=0,0,M37*M147)</f>
        <v>17.241986735654987</v>
      </c>
      <c r="N10" s="87">
        <f t="shared" si="25"/>
        <v>143.53980769908731</v>
      </c>
      <c r="O10" s="87">
        <f t="shared" si="25"/>
        <v>168.43893887043797</v>
      </c>
      <c r="P10" s="87">
        <f t="shared" si="25"/>
        <v>248.71605040401624</v>
      </c>
      <c r="Q10" s="87">
        <f t="shared" si="25"/>
        <v>250.57719990298133</v>
      </c>
      <c r="R10" s="87">
        <f t="shared" si="25"/>
        <v>76.844487374445706</v>
      </c>
      <c r="S10" s="87">
        <f t="shared" si="25"/>
        <v>86.86101816755172</v>
      </c>
      <c r="T10" s="87">
        <f t="shared" si="25"/>
        <v>259.48090234275588</v>
      </c>
      <c r="U10" s="87">
        <f t="shared" si="25"/>
        <v>257.40592748773412</v>
      </c>
      <c r="V10" s="87">
        <f t="shared" si="25"/>
        <v>176.66750584017547</v>
      </c>
      <c r="W10" s="87">
        <f t="shared" ref="W10:Y10" si="26">IF(W37=0,0,W37*W147)</f>
        <v>162.50172642941257</v>
      </c>
      <c r="X10" s="87">
        <f t="shared" si="26"/>
        <v>157.40608658395743</v>
      </c>
      <c r="Y10" s="87">
        <f t="shared" si="26"/>
        <v>61.545643489392738</v>
      </c>
      <c r="DA10" s="171" t="s">
        <v>459</v>
      </c>
    </row>
    <row r="11" spans="1:105" ht="11.45" customHeight="1" x14ac:dyDescent="0.25">
      <c r="A11" s="111" t="s">
        <v>114</v>
      </c>
      <c r="B11" s="87">
        <f t="shared" ref="B11:K11" si="27">IF(B38=0,0,B38*B148)</f>
        <v>0</v>
      </c>
      <c r="C11" s="87">
        <f t="shared" si="27"/>
        <v>0</v>
      </c>
      <c r="D11" s="87">
        <f t="shared" si="27"/>
        <v>0</v>
      </c>
      <c r="E11" s="87">
        <f t="shared" si="27"/>
        <v>0</v>
      </c>
      <c r="F11" s="87">
        <f t="shared" si="27"/>
        <v>0</v>
      </c>
      <c r="G11" s="87">
        <f t="shared" si="27"/>
        <v>0</v>
      </c>
      <c r="H11" s="87">
        <f t="shared" si="27"/>
        <v>0</v>
      </c>
      <c r="I11" s="87">
        <f t="shared" si="27"/>
        <v>0</v>
      </c>
      <c r="J11" s="87">
        <f t="shared" si="27"/>
        <v>0</v>
      </c>
      <c r="K11" s="87">
        <f t="shared" si="27"/>
        <v>0</v>
      </c>
      <c r="L11" s="87">
        <f t="shared" ref="L11" si="28">IF(L38=0,0,L38*L148)</f>
        <v>0</v>
      </c>
      <c r="M11" s="87">
        <f t="shared" ref="M11:V11" si="29">IF(M38=0,0,M38*M148)</f>
        <v>0.22608933996831593</v>
      </c>
      <c r="N11" s="87">
        <f t="shared" si="29"/>
        <v>65.077128800741221</v>
      </c>
      <c r="O11" s="87">
        <f t="shared" si="29"/>
        <v>375.91483874005434</v>
      </c>
      <c r="P11" s="87">
        <f t="shared" si="29"/>
        <v>547.47555567056429</v>
      </c>
      <c r="Q11" s="87">
        <f t="shared" si="29"/>
        <v>1131.7891583502283</v>
      </c>
      <c r="R11" s="87">
        <f t="shared" si="29"/>
        <v>1316.7433999245127</v>
      </c>
      <c r="S11" s="87">
        <f t="shared" si="29"/>
        <v>1222.9613392201586</v>
      </c>
      <c r="T11" s="87">
        <f t="shared" si="29"/>
        <v>1269.9518675050003</v>
      </c>
      <c r="U11" s="87">
        <f t="shared" si="29"/>
        <v>1247.4752127031702</v>
      </c>
      <c r="V11" s="87">
        <f t="shared" si="29"/>
        <v>1000.1413871796613</v>
      </c>
      <c r="W11" s="87">
        <f t="shared" ref="W11:Y11" si="30">IF(W38=0,0,W38*W148)</f>
        <v>1478.2449950615287</v>
      </c>
      <c r="X11" s="87">
        <f t="shared" si="30"/>
        <v>2099.4502257119211</v>
      </c>
      <c r="Y11" s="87">
        <f t="shared" si="30"/>
        <v>3309.0871471899836</v>
      </c>
      <c r="DA11" s="171" t="s">
        <v>460</v>
      </c>
    </row>
    <row r="12" spans="1:105" ht="11.45" customHeight="1" x14ac:dyDescent="0.25">
      <c r="A12" s="111" t="s">
        <v>115</v>
      </c>
      <c r="B12" s="87">
        <f t="shared" ref="B12:K12" si="31">IF(B39=0,0,B39*B149)</f>
        <v>0</v>
      </c>
      <c r="C12" s="87">
        <f t="shared" si="31"/>
        <v>0</v>
      </c>
      <c r="D12" s="87">
        <f t="shared" si="31"/>
        <v>0</v>
      </c>
      <c r="E12" s="87">
        <f t="shared" si="31"/>
        <v>0</v>
      </c>
      <c r="F12" s="87">
        <f t="shared" si="31"/>
        <v>0</v>
      </c>
      <c r="G12" s="87">
        <f t="shared" si="31"/>
        <v>0</v>
      </c>
      <c r="H12" s="87">
        <f t="shared" si="31"/>
        <v>0</v>
      </c>
      <c r="I12" s="87">
        <f t="shared" si="31"/>
        <v>0</v>
      </c>
      <c r="J12" s="87">
        <f t="shared" si="31"/>
        <v>0</v>
      </c>
      <c r="K12" s="87">
        <f t="shared" si="31"/>
        <v>0.59716013796767731</v>
      </c>
      <c r="L12" s="87">
        <f t="shared" ref="L12" si="32">IF(L39=0,0,L39*L149)</f>
        <v>1.8197287411958589</v>
      </c>
      <c r="M12" s="87">
        <f t="shared" ref="M12:V12" si="33">IF(M39=0,0,M39*M149)</f>
        <v>17.703075176310389</v>
      </c>
      <c r="N12" s="87">
        <f t="shared" si="33"/>
        <v>44.473935437119074</v>
      </c>
      <c r="O12" s="87">
        <f t="shared" si="33"/>
        <v>90.963689927977839</v>
      </c>
      <c r="P12" s="87">
        <f t="shared" si="33"/>
        <v>148.75154312834945</v>
      </c>
      <c r="Q12" s="87">
        <f t="shared" si="33"/>
        <v>196.44184272544058</v>
      </c>
      <c r="R12" s="87">
        <f t="shared" si="33"/>
        <v>265.21860920128734</v>
      </c>
      <c r="S12" s="87">
        <f t="shared" si="33"/>
        <v>421.09254191503913</v>
      </c>
      <c r="T12" s="87">
        <f t="shared" si="33"/>
        <v>919.23416313921075</v>
      </c>
      <c r="U12" s="87">
        <f t="shared" si="33"/>
        <v>2199.5455874788404</v>
      </c>
      <c r="V12" s="87">
        <f t="shared" si="33"/>
        <v>2648.1437399579941</v>
      </c>
      <c r="W12" s="87">
        <f t="shared" ref="W12:Y12" si="34">IF(W39=0,0,W39*W149)</f>
        <v>4652.2689415814402</v>
      </c>
      <c r="X12" s="87">
        <f t="shared" si="34"/>
        <v>6265.0548227081908</v>
      </c>
      <c r="Y12" s="87">
        <f t="shared" si="34"/>
        <v>8681.5369012819665</v>
      </c>
      <c r="DA12" s="171" t="s">
        <v>461</v>
      </c>
    </row>
    <row r="13" spans="1:105" ht="11.45" customHeight="1" x14ac:dyDescent="0.25">
      <c r="A13" s="109" t="s">
        <v>21</v>
      </c>
      <c r="B13" s="116">
        <f t="shared" ref="B13:K13" si="35">SUM(B14:B18)</f>
        <v>4617.2773995720845</v>
      </c>
      <c r="C13" s="116">
        <f t="shared" si="35"/>
        <v>4672.2451871156682</v>
      </c>
      <c r="D13" s="116">
        <f t="shared" si="35"/>
        <v>4411.4885322855989</v>
      </c>
      <c r="E13" s="116">
        <f t="shared" si="35"/>
        <v>4599.8311647826149</v>
      </c>
      <c r="F13" s="116">
        <f t="shared" si="35"/>
        <v>4700.1906190403852</v>
      </c>
      <c r="G13" s="116">
        <f t="shared" si="35"/>
        <v>4775.0280468120172</v>
      </c>
      <c r="H13" s="116">
        <f t="shared" si="35"/>
        <v>4860.9118584984581</v>
      </c>
      <c r="I13" s="116">
        <f t="shared" si="35"/>
        <v>4961.4030338171933</v>
      </c>
      <c r="J13" s="116">
        <f t="shared" si="35"/>
        <v>5048.543181837983</v>
      </c>
      <c r="K13" s="116">
        <f t="shared" si="35"/>
        <v>4853.9475062283936</v>
      </c>
      <c r="L13" s="116">
        <f t="shared" ref="L13" si="36">SUM(L14:L18)</f>
        <v>4846.0749387701871</v>
      </c>
      <c r="M13" s="116">
        <f t="shared" ref="M13:V13" si="37">SUM(M14:M18)</f>
        <v>5010.0965409031051</v>
      </c>
      <c r="N13" s="116">
        <f t="shared" si="37"/>
        <v>4483.8695297226495</v>
      </c>
      <c r="O13" s="116">
        <f t="shared" si="37"/>
        <v>4646.4404346162364</v>
      </c>
      <c r="P13" s="116">
        <f t="shared" si="37"/>
        <v>4546.7574620943142</v>
      </c>
      <c r="Q13" s="116">
        <f t="shared" si="37"/>
        <v>4883.5543111383358</v>
      </c>
      <c r="R13" s="116">
        <f t="shared" si="37"/>
        <v>4974.5732561968507</v>
      </c>
      <c r="S13" s="116">
        <f t="shared" si="37"/>
        <v>4618.3979978591387</v>
      </c>
      <c r="T13" s="116">
        <f t="shared" si="37"/>
        <v>5470.5058612065923</v>
      </c>
      <c r="U13" s="116">
        <f t="shared" si="37"/>
        <v>5470.5058612065932</v>
      </c>
      <c r="V13" s="116">
        <f t="shared" si="37"/>
        <v>2440.6872303844798</v>
      </c>
      <c r="W13" s="116">
        <f t="shared" ref="W13:Y13" si="38">SUM(W14:W18)</f>
        <v>2945.6570021881657</v>
      </c>
      <c r="X13" s="116">
        <f t="shared" si="38"/>
        <v>4200</v>
      </c>
      <c r="Y13" s="116">
        <f t="shared" si="38"/>
        <v>4292.5851703406806</v>
      </c>
      <c r="DA13" s="176" t="s">
        <v>375</v>
      </c>
    </row>
    <row r="14" spans="1:105" ht="11.45" customHeight="1" x14ac:dyDescent="0.25">
      <c r="A14" s="111" t="s">
        <v>110</v>
      </c>
      <c r="B14" s="101">
        <f t="shared" ref="B14:K14" si="39">IF(B41=0,0,B41*B151)</f>
        <v>4.6900727981114647</v>
      </c>
      <c r="C14" s="101">
        <f t="shared" si="39"/>
        <v>5.7991598871564172</v>
      </c>
      <c r="D14" s="101">
        <f t="shared" si="39"/>
        <v>6.9528725791371579</v>
      </c>
      <c r="E14" s="101">
        <f t="shared" si="39"/>
        <v>7.9131003265660391</v>
      </c>
      <c r="F14" s="101">
        <f t="shared" si="39"/>
        <v>7.4143794108260952</v>
      </c>
      <c r="G14" s="101">
        <f t="shared" si="39"/>
        <v>8.017055153251059</v>
      </c>
      <c r="H14" s="101">
        <f t="shared" si="39"/>
        <v>8.3248004226008305</v>
      </c>
      <c r="I14" s="101">
        <f t="shared" si="39"/>
        <v>8.9323000929591725</v>
      </c>
      <c r="J14" s="101">
        <f t="shared" si="39"/>
        <v>8.9339324057222846</v>
      </c>
      <c r="K14" s="101">
        <f t="shared" si="39"/>
        <v>9.2184165426458069</v>
      </c>
      <c r="L14" s="101">
        <f t="shared" ref="L14" si="40">IF(L41=0,0,L41*L151)</f>
        <v>10.115967480289193</v>
      </c>
      <c r="M14" s="101">
        <f t="shared" ref="M14:V14" si="41">IF(M41=0,0,M41*M151)</f>
        <v>8.3462838265155295</v>
      </c>
      <c r="N14" s="101">
        <f t="shared" si="41"/>
        <v>5.0443712088109729</v>
      </c>
      <c r="O14" s="101">
        <f t="shared" si="41"/>
        <v>4.4586934579077147</v>
      </c>
      <c r="P14" s="101">
        <f t="shared" si="41"/>
        <v>4.1583197193855446</v>
      </c>
      <c r="Q14" s="101">
        <f t="shared" si="41"/>
        <v>6.8571728419683122</v>
      </c>
      <c r="R14" s="101">
        <f t="shared" si="41"/>
        <v>8.5265987047285901</v>
      </c>
      <c r="S14" s="101">
        <f t="shared" si="41"/>
        <v>7.9502069557171691</v>
      </c>
      <c r="T14" s="101">
        <f t="shared" si="41"/>
        <v>7.1912733280781378</v>
      </c>
      <c r="U14" s="101">
        <f t="shared" si="41"/>
        <v>32.221666620836835</v>
      </c>
      <c r="V14" s="101">
        <f t="shared" si="41"/>
        <v>20.282806666518962</v>
      </c>
      <c r="W14" s="101">
        <f t="shared" ref="W14:Y14" si="42">IF(W41=0,0,W41*W151)</f>
        <v>30.62225768266714</v>
      </c>
      <c r="X14" s="101">
        <f t="shared" si="42"/>
        <v>37.622698025478307</v>
      </c>
      <c r="Y14" s="101">
        <f t="shared" si="42"/>
        <v>38.250373907540869</v>
      </c>
      <c r="DA14" s="175" t="s">
        <v>462</v>
      </c>
    </row>
    <row r="15" spans="1:105" ht="11.45" customHeight="1" x14ac:dyDescent="0.25">
      <c r="A15" s="111" t="s">
        <v>111</v>
      </c>
      <c r="B15" s="101">
        <f t="shared" ref="B15:K15" si="43">IF(B42=0,0,B42*B152)</f>
        <v>4546.6470174939668</v>
      </c>
      <c r="C15" s="101">
        <f t="shared" si="43"/>
        <v>4603.5847414894906</v>
      </c>
      <c r="D15" s="101">
        <f t="shared" si="43"/>
        <v>4344.2300434384761</v>
      </c>
      <c r="E15" s="101">
        <f t="shared" si="43"/>
        <v>4535.232960870404</v>
      </c>
      <c r="F15" s="101">
        <f t="shared" si="43"/>
        <v>4634.5568318292708</v>
      </c>
      <c r="G15" s="101">
        <f t="shared" si="43"/>
        <v>4698.8476635335664</v>
      </c>
      <c r="H15" s="101">
        <f t="shared" si="43"/>
        <v>4776.6778698933813</v>
      </c>
      <c r="I15" s="101">
        <f t="shared" si="43"/>
        <v>4870.5595008899345</v>
      </c>
      <c r="J15" s="101">
        <f t="shared" si="43"/>
        <v>4943.9369073054759</v>
      </c>
      <c r="K15" s="101">
        <f t="shared" si="43"/>
        <v>4701.3202488435163</v>
      </c>
      <c r="L15" s="101">
        <f t="shared" ref="L15" si="44">IF(L42=0,0,L42*L152)</f>
        <v>4650.3799697689046</v>
      </c>
      <c r="M15" s="101">
        <f t="shared" ref="M15:V15" si="45">IF(M42=0,0,M42*M152)</f>
        <v>4703.2466087798666</v>
      </c>
      <c r="N15" s="101">
        <f t="shared" si="45"/>
        <v>4132.2405516112976</v>
      </c>
      <c r="O15" s="101">
        <f t="shared" si="45"/>
        <v>3981.5026710753477</v>
      </c>
      <c r="P15" s="101">
        <f t="shared" si="45"/>
        <v>3850.2537971350303</v>
      </c>
      <c r="Q15" s="101">
        <f t="shared" si="45"/>
        <v>4040.5032395215644</v>
      </c>
      <c r="R15" s="101">
        <f t="shared" si="45"/>
        <v>3975.9849016559629</v>
      </c>
      <c r="S15" s="101">
        <f t="shared" si="45"/>
        <v>3613.7713787491775</v>
      </c>
      <c r="T15" s="101">
        <f t="shared" si="45"/>
        <v>4175.7653949625746</v>
      </c>
      <c r="U15" s="101">
        <f t="shared" si="45"/>
        <v>3925.0789492738672</v>
      </c>
      <c r="V15" s="101">
        <f t="shared" si="45"/>
        <v>1549.984116382321</v>
      </c>
      <c r="W15" s="101">
        <f t="shared" ref="W15:Y15" si="46">IF(W42=0,0,W42*W152)</f>
        <v>1720.041728623944</v>
      </c>
      <c r="X15" s="101">
        <f t="shared" si="46"/>
        <v>2429.7932766426447</v>
      </c>
      <c r="Y15" s="101">
        <f t="shared" si="46"/>
        <v>2404.0387576927492</v>
      </c>
      <c r="DA15" s="175" t="s">
        <v>463</v>
      </c>
    </row>
    <row r="16" spans="1:105" ht="11.45" customHeight="1" x14ac:dyDescent="0.25">
      <c r="A16" s="111" t="s">
        <v>112</v>
      </c>
      <c r="B16" s="101">
        <f t="shared" ref="B16:K16" si="47">IF(B43=0,0,B43*B153)</f>
        <v>42.379946210998575</v>
      </c>
      <c r="C16" s="101">
        <f t="shared" si="47"/>
        <v>40.416117443981335</v>
      </c>
      <c r="D16" s="101">
        <f t="shared" si="47"/>
        <v>33.360313379823914</v>
      </c>
      <c r="E16" s="101">
        <f t="shared" si="47"/>
        <v>32.13008300042457</v>
      </c>
      <c r="F16" s="101">
        <f t="shared" si="47"/>
        <v>28.414296796466878</v>
      </c>
      <c r="G16" s="101">
        <f t="shared" si="47"/>
        <v>35.657182570963187</v>
      </c>
      <c r="H16" s="101">
        <f t="shared" si="47"/>
        <v>29.961016319413979</v>
      </c>
      <c r="I16" s="101">
        <f t="shared" si="47"/>
        <v>27.206232079321921</v>
      </c>
      <c r="J16" s="101">
        <f t="shared" si="47"/>
        <v>26.467762009278371</v>
      </c>
      <c r="K16" s="101">
        <f t="shared" si="47"/>
        <v>23.025749242884793</v>
      </c>
      <c r="L16" s="101">
        <f t="shared" ref="L16" si="48">IF(L43=0,0,L43*L153)</f>
        <v>22.082803449482558</v>
      </c>
      <c r="M16" s="101">
        <f t="shared" ref="M16:V16" si="49">IF(M43=0,0,M43*M153)</f>
        <v>22.342162372858855</v>
      </c>
      <c r="N16" s="101">
        <f t="shared" si="49"/>
        <v>19.634964076354365</v>
      </c>
      <c r="O16" s="101">
        <f t="shared" si="49"/>
        <v>20.851055350117019</v>
      </c>
      <c r="P16" s="101">
        <f t="shared" si="49"/>
        <v>20.781538886662428</v>
      </c>
      <c r="Q16" s="101">
        <f t="shared" si="49"/>
        <v>23.455385562573227</v>
      </c>
      <c r="R16" s="101">
        <f t="shared" si="49"/>
        <v>24.473430859318857</v>
      </c>
      <c r="S16" s="101">
        <f t="shared" si="49"/>
        <v>21.416498221559827</v>
      </c>
      <c r="T16" s="101">
        <f t="shared" si="49"/>
        <v>24.899827113904578</v>
      </c>
      <c r="U16" s="101">
        <f t="shared" si="49"/>
        <v>23.29197023701645</v>
      </c>
      <c r="V16" s="101">
        <f t="shared" si="49"/>
        <v>10.475745552275226</v>
      </c>
      <c r="W16" s="101">
        <f t="shared" ref="W16:Y16" si="50">IF(W43=0,0,W43*W153)</f>
        <v>12.658724360500715</v>
      </c>
      <c r="X16" s="101">
        <f t="shared" si="50"/>
        <v>16.678861912318347</v>
      </c>
      <c r="Y16" s="101">
        <f t="shared" si="50"/>
        <v>17.075971586359195</v>
      </c>
      <c r="DA16" s="175" t="s">
        <v>464</v>
      </c>
    </row>
    <row r="17" spans="1:105" ht="11.45" customHeight="1" x14ac:dyDescent="0.25">
      <c r="A17" s="111" t="s">
        <v>113</v>
      </c>
      <c r="B17" s="101">
        <f t="shared" ref="B17:K17" si="51">IF(B44=0,0,B44*B154)</f>
        <v>2.3029032770703286</v>
      </c>
      <c r="C17" s="101">
        <f t="shared" si="51"/>
        <v>3.4082599769571962</v>
      </c>
      <c r="D17" s="101">
        <f t="shared" si="51"/>
        <v>6.5025374941400642</v>
      </c>
      <c r="E17" s="101">
        <f t="shared" si="51"/>
        <v>5.9328026305271724</v>
      </c>
      <c r="F17" s="101">
        <f t="shared" si="51"/>
        <v>5.6440198799486883</v>
      </c>
      <c r="G17" s="101">
        <f t="shared" si="51"/>
        <v>7.2708296941043109</v>
      </c>
      <c r="H17" s="101">
        <f t="shared" si="51"/>
        <v>19.71889333218499</v>
      </c>
      <c r="I17" s="101">
        <f t="shared" si="51"/>
        <v>28.060113831597068</v>
      </c>
      <c r="J17" s="101">
        <f t="shared" si="51"/>
        <v>47.754955764597149</v>
      </c>
      <c r="K17" s="101">
        <f t="shared" si="51"/>
        <v>96.397673851296929</v>
      </c>
      <c r="L17" s="101">
        <f t="shared" ref="L17" si="52">IF(L44=0,0,L44*L154)</f>
        <v>127.41538047831025</v>
      </c>
      <c r="M17" s="101">
        <f t="shared" ref="M17:V17" si="53">IF(M44=0,0,M44*M154)</f>
        <v>240.03380156841018</v>
      </c>
      <c r="N17" s="101">
        <f t="shared" si="53"/>
        <v>293.97949078804425</v>
      </c>
      <c r="O17" s="101">
        <f t="shared" si="53"/>
        <v>605.97830887609769</v>
      </c>
      <c r="P17" s="101">
        <f t="shared" si="53"/>
        <v>638.64546061465751</v>
      </c>
      <c r="Q17" s="101">
        <f t="shared" si="53"/>
        <v>770.52745560858011</v>
      </c>
      <c r="R17" s="101">
        <f t="shared" si="53"/>
        <v>893.2377182795226</v>
      </c>
      <c r="S17" s="101">
        <f t="shared" si="53"/>
        <v>856.4856842015646</v>
      </c>
      <c r="T17" s="101">
        <f t="shared" si="53"/>
        <v>1065.4272347633462</v>
      </c>
      <c r="U17" s="101">
        <f t="shared" si="53"/>
        <v>1097.5289878625235</v>
      </c>
      <c r="V17" s="101">
        <f t="shared" si="53"/>
        <v>565.78925495062776</v>
      </c>
      <c r="W17" s="101">
        <f t="shared" ref="W17:Y17" si="54">IF(W44=0,0,W44*W154)</f>
        <v>728.10135775172466</v>
      </c>
      <c r="X17" s="101">
        <f t="shared" si="54"/>
        <v>1017.8717372791218</v>
      </c>
      <c r="Y17" s="101">
        <f t="shared" si="54"/>
        <v>1031.064416239519</v>
      </c>
      <c r="DA17" s="175" t="s">
        <v>465</v>
      </c>
    </row>
    <row r="18" spans="1:105" ht="11.45" customHeight="1" x14ac:dyDescent="0.25">
      <c r="A18" s="111" t="s">
        <v>115</v>
      </c>
      <c r="B18" s="101">
        <f t="shared" ref="B18:K18" si="55">IF(B45=0,0,B45*B155)</f>
        <v>21.257459791938782</v>
      </c>
      <c r="C18" s="101">
        <f t="shared" si="55"/>
        <v>19.036908318082535</v>
      </c>
      <c r="D18" s="101">
        <f t="shared" si="55"/>
        <v>20.442765394022182</v>
      </c>
      <c r="E18" s="101">
        <f t="shared" si="55"/>
        <v>18.622217954693383</v>
      </c>
      <c r="F18" s="101">
        <f t="shared" si="55"/>
        <v>24.161091123873209</v>
      </c>
      <c r="G18" s="101">
        <f t="shared" si="55"/>
        <v>25.235315860131962</v>
      </c>
      <c r="H18" s="101">
        <f t="shared" si="55"/>
        <v>26.229278530877128</v>
      </c>
      <c r="I18" s="101">
        <f t="shared" si="55"/>
        <v>26.644886923381016</v>
      </c>
      <c r="J18" s="101">
        <f t="shared" si="55"/>
        <v>21.449624352910245</v>
      </c>
      <c r="K18" s="101">
        <f t="shared" si="55"/>
        <v>23.985417748050324</v>
      </c>
      <c r="L18" s="101">
        <f t="shared" ref="L18" si="56">IF(L45=0,0,L45*L155)</f>
        <v>36.080817593200571</v>
      </c>
      <c r="M18" s="101">
        <f t="shared" ref="M18:V18" si="57">IF(M45=0,0,M45*M155)</f>
        <v>36.127684355453269</v>
      </c>
      <c r="N18" s="101">
        <f t="shared" si="57"/>
        <v>32.970152038142622</v>
      </c>
      <c r="O18" s="101">
        <f t="shared" si="57"/>
        <v>33.649705856766133</v>
      </c>
      <c r="P18" s="101">
        <f t="shared" si="57"/>
        <v>32.918345738578431</v>
      </c>
      <c r="Q18" s="101">
        <f t="shared" si="57"/>
        <v>42.211057603650183</v>
      </c>
      <c r="R18" s="101">
        <f t="shared" si="57"/>
        <v>72.350606697317744</v>
      </c>
      <c r="S18" s="101">
        <f t="shared" si="57"/>
        <v>118.7742297311195</v>
      </c>
      <c r="T18" s="101">
        <f t="shared" si="57"/>
        <v>197.22213103868964</v>
      </c>
      <c r="U18" s="101">
        <f t="shared" si="57"/>
        <v>392.38428721234919</v>
      </c>
      <c r="V18" s="101">
        <f t="shared" si="57"/>
        <v>294.1553068327371</v>
      </c>
      <c r="W18" s="101">
        <f t="shared" ref="W18:Y18" si="58">IF(W45=0,0,W45*W155)</f>
        <v>454.23293376932935</v>
      </c>
      <c r="X18" s="101">
        <f t="shared" si="58"/>
        <v>698.03342614043686</v>
      </c>
      <c r="Y18" s="101">
        <f t="shared" si="58"/>
        <v>802.15565091451219</v>
      </c>
      <c r="DA18" s="175" t="s">
        <v>466</v>
      </c>
    </row>
    <row r="19" spans="1:105" ht="11.45" customHeight="1" x14ac:dyDescent="0.25">
      <c r="A19" s="27" t="s">
        <v>28</v>
      </c>
      <c r="B19" s="29">
        <f t="shared" ref="B19:K19" si="59">B20+B26</f>
        <v>47546.123873074554</v>
      </c>
      <c r="C19" s="29">
        <f t="shared" si="59"/>
        <v>48236.915899972941</v>
      </c>
      <c r="D19" s="29">
        <f t="shared" si="59"/>
        <v>48468.504916313956</v>
      </c>
      <c r="E19" s="29">
        <f t="shared" si="59"/>
        <v>50418.510940531298</v>
      </c>
      <c r="F19" s="29">
        <f t="shared" si="59"/>
        <v>55172.149198540137</v>
      </c>
      <c r="G19" s="29">
        <f t="shared" si="59"/>
        <v>53767.42460362053</v>
      </c>
      <c r="H19" s="29">
        <f t="shared" si="59"/>
        <v>54081.792285039366</v>
      </c>
      <c r="I19" s="29">
        <f t="shared" si="59"/>
        <v>54020.659435817841</v>
      </c>
      <c r="J19" s="29">
        <f t="shared" si="59"/>
        <v>55481.284913188108</v>
      </c>
      <c r="K19" s="29">
        <f t="shared" si="59"/>
        <v>52921.697208990518</v>
      </c>
      <c r="L19" s="29">
        <f t="shared" ref="L19" si="60">L20+L26</f>
        <v>53140.801206992946</v>
      </c>
      <c r="M19" s="29">
        <f t="shared" ref="M19:V19" si="61">M20+M26</f>
        <v>53163.381794509034</v>
      </c>
      <c r="N19" s="29">
        <f t="shared" si="61"/>
        <v>50888.913816559907</v>
      </c>
      <c r="O19" s="29">
        <f t="shared" si="61"/>
        <v>54749.0707896815</v>
      </c>
      <c r="P19" s="29">
        <f t="shared" si="61"/>
        <v>55179.506589047705</v>
      </c>
      <c r="Q19" s="29">
        <f t="shared" si="61"/>
        <v>55492.680211833285</v>
      </c>
      <c r="R19" s="29">
        <f t="shared" si="61"/>
        <v>58700.886505694318</v>
      </c>
      <c r="S19" s="29">
        <f t="shared" si="61"/>
        <v>58229.538168869192</v>
      </c>
      <c r="T19" s="29">
        <f t="shared" si="61"/>
        <v>59145.29886853123</v>
      </c>
      <c r="U19" s="29">
        <f t="shared" si="61"/>
        <v>61091.308384708675</v>
      </c>
      <c r="V19" s="29">
        <f t="shared" si="61"/>
        <v>60867.206908710315</v>
      </c>
      <c r="W19" s="29">
        <f t="shared" ref="W19:Y19" si="62">W20+W26</f>
        <v>62534.255867166779</v>
      </c>
      <c r="X19" s="29">
        <f t="shared" si="62"/>
        <v>61091.400081285326</v>
      </c>
      <c r="Y19" s="29">
        <f t="shared" si="62"/>
        <v>57808.791761097462</v>
      </c>
      <c r="DA19" s="173" t="s">
        <v>381</v>
      </c>
    </row>
    <row r="20" spans="1:105" ht="11.45" customHeight="1" x14ac:dyDescent="0.25">
      <c r="A20" s="136" t="s">
        <v>153</v>
      </c>
      <c r="B20" s="152">
        <f t="shared" ref="B20:K20" si="63">SUM(B21:B25)</f>
        <v>3074.5023836058954</v>
      </c>
      <c r="C20" s="152">
        <f t="shared" si="63"/>
        <v>3382.7343305923623</v>
      </c>
      <c r="D20" s="152">
        <f t="shared" si="63"/>
        <v>3540.8283433057627</v>
      </c>
      <c r="E20" s="152">
        <f t="shared" si="63"/>
        <v>3725.492675104364</v>
      </c>
      <c r="F20" s="152">
        <f t="shared" si="63"/>
        <v>3930.5992231597374</v>
      </c>
      <c r="G20" s="152">
        <f t="shared" si="63"/>
        <v>4021.1339866510702</v>
      </c>
      <c r="H20" s="152">
        <f t="shared" si="63"/>
        <v>3998.5577623247773</v>
      </c>
      <c r="I20" s="152">
        <f t="shared" si="63"/>
        <v>4035.6065148862413</v>
      </c>
      <c r="J20" s="152">
        <f t="shared" si="63"/>
        <v>4111.6384770579043</v>
      </c>
      <c r="K20" s="152">
        <f t="shared" si="63"/>
        <v>3940.5856815477732</v>
      </c>
      <c r="L20" s="152">
        <f t="shared" ref="L20" si="64">SUM(L21:L25)</f>
        <v>3970.0811840445517</v>
      </c>
      <c r="M20" s="152">
        <f t="shared" ref="M20:V20" si="65">SUM(M21:M25)</f>
        <v>4022.6649877182022</v>
      </c>
      <c r="N20" s="152">
        <f t="shared" si="65"/>
        <v>3871.3205407909236</v>
      </c>
      <c r="O20" s="152">
        <f t="shared" si="65"/>
        <v>3751.782584704496</v>
      </c>
      <c r="P20" s="152">
        <f t="shared" si="65"/>
        <v>3636.7845804831709</v>
      </c>
      <c r="Q20" s="152">
        <f t="shared" si="65"/>
        <v>3784.1069228035121</v>
      </c>
      <c r="R20" s="152">
        <f t="shared" si="65"/>
        <v>3889.6463275295373</v>
      </c>
      <c r="S20" s="152">
        <f t="shared" si="65"/>
        <v>3977.6461164732091</v>
      </c>
      <c r="T20" s="152">
        <f t="shared" si="65"/>
        <v>4010.2988685312303</v>
      </c>
      <c r="U20" s="152">
        <f t="shared" si="65"/>
        <v>4019.3083847086755</v>
      </c>
      <c r="V20" s="152">
        <f t="shared" si="65"/>
        <v>3924.2069087103177</v>
      </c>
      <c r="W20" s="152">
        <f t="shared" ref="W20:Y20" si="66">SUM(W21:W25)</f>
        <v>4095.2558671667803</v>
      </c>
      <c r="X20" s="152">
        <f t="shared" si="66"/>
        <v>4077.4000812853246</v>
      </c>
      <c r="Y20" s="152">
        <f t="shared" si="66"/>
        <v>4067.79176109746</v>
      </c>
      <c r="DA20" s="174" t="s">
        <v>382</v>
      </c>
    </row>
    <row r="21" spans="1:105" ht="11.45" customHeight="1" x14ac:dyDescent="0.25">
      <c r="A21" s="111" t="s">
        <v>110</v>
      </c>
      <c r="B21" s="87">
        <f t="shared" ref="B21:K21" si="67">IF(B48=0,0,B48*B158)</f>
        <v>97.926048872018001</v>
      </c>
      <c r="C21" s="87">
        <f t="shared" si="67"/>
        <v>89.570319671276437</v>
      </c>
      <c r="D21" s="87">
        <f t="shared" si="67"/>
        <v>79.686301308038651</v>
      </c>
      <c r="E21" s="87">
        <f t="shared" si="67"/>
        <v>71.926852127785054</v>
      </c>
      <c r="F21" s="87">
        <f t="shared" si="67"/>
        <v>66.253355885367341</v>
      </c>
      <c r="G21" s="87">
        <f t="shared" si="67"/>
        <v>62.982046618532273</v>
      </c>
      <c r="H21" s="87">
        <f t="shared" si="67"/>
        <v>56.175762846480374</v>
      </c>
      <c r="I21" s="87">
        <f t="shared" si="67"/>
        <v>51.835493350319304</v>
      </c>
      <c r="J21" s="87">
        <f t="shared" si="67"/>
        <v>48.890885944543378</v>
      </c>
      <c r="K21" s="87">
        <f t="shared" si="67"/>
        <v>45.375365553216113</v>
      </c>
      <c r="L21" s="87">
        <f t="shared" ref="L21" si="68">IF(L48=0,0,L48*L158)</f>
        <v>43.104315644481566</v>
      </c>
      <c r="M21" s="87">
        <f t="shared" ref="M21:V21" si="69">IF(M48=0,0,M48*M158)</f>
        <v>41.078619062834527</v>
      </c>
      <c r="N21" s="87">
        <f t="shared" si="69"/>
        <v>39.038712485118324</v>
      </c>
      <c r="O21" s="87">
        <f t="shared" si="69"/>
        <v>35.373710878426451</v>
      </c>
      <c r="P21" s="87">
        <f t="shared" si="69"/>
        <v>35.812442672966306</v>
      </c>
      <c r="Q21" s="87">
        <f t="shared" si="69"/>
        <v>36.544002717939257</v>
      </c>
      <c r="R21" s="87">
        <f t="shared" si="69"/>
        <v>37.421740166628013</v>
      </c>
      <c r="S21" s="87">
        <f t="shared" si="69"/>
        <v>38.208966089103583</v>
      </c>
      <c r="T21" s="87">
        <f t="shared" si="69"/>
        <v>36.705835422035285</v>
      </c>
      <c r="U21" s="87">
        <f t="shared" si="69"/>
        <v>38.371485116685633</v>
      </c>
      <c r="V21" s="87">
        <f t="shared" si="69"/>
        <v>39.581867510047516</v>
      </c>
      <c r="W21" s="87">
        <f t="shared" ref="W21:Y21" si="70">IF(W48=0,0,W48*W158)</f>
        <v>43.934835297848487</v>
      </c>
      <c r="X21" s="87">
        <f t="shared" si="70"/>
        <v>46.070813038933601</v>
      </c>
      <c r="Y21" s="87">
        <f t="shared" si="70"/>
        <v>48.735136211666862</v>
      </c>
      <c r="DA21" s="171" t="s">
        <v>467</v>
      </c>
    </row>
    <row r="22" spans="1:105" ht="11.45" customHeight="1" x14ac:dyDescent="0.25">
      <c r="A22" s="111" t="s">
        <v>111</v>
      </c>
      <c r="B22" s="87">
        <f t="shared" ref="B22:K22" si="71">IF(B49=0,0,B49*B159)</f>
        <v>2943.0261683199483</v>
      </c>
      <c r="C22" s="87">
        <f t="shared" si="71"/>
        <v>3259.6200880703068</v>
      </c>
      <c r="D22" s="87">
        <f t="shared" si="71"/>
        <v>3428.6204072500677</v>
      </c>
      <c r="E22" s="87">
        <f t="shared" si="71"/>
        <v>3622.0524115122917</v>
      </c>
      <c r="F22" s="87">
        <f t="shared" si="71"/>
        <v>3833.5439513885981</v>
      </c>
      <c r="G22" s="87">
        <f t="shared" si="71"/>
        <v>3931.6621767423903</v>
      </c>
      <c r="H22" s="87">
        <f t="shared" si="71"/>
        <v>3917.9070535775172</v>
      </c>
      <c r="I22" s="87">
        <f t="shared" si="71"/>
        <v>3958.7457397254493</v>
      </c>
      <c r="J22" s="87">
        <f t="shared" si="71"/>
        <v>4037.5169158048298</v>
      </c>
      <c r="K22" s="87">
        <f t="shared" si="71"/>
        <v>3869.8771118645095</v>
      </c>
      <c r="L22" s="87">
        <f t="shared" ref="L22" si="72">IF(L49=0,0,L49*L159)</f>
        <v>3901.0051470912363</v>
      </c>
      <c r="M22" s="87">
        <f t="shared" ref="M22:V22" si="73">IF(M49=0,0,M49*M159)</f>
        <v>3954.7415135408578</v>
      </c>
      <c r="N22" s="87">
        <f t="shared" si="73"/>
        <v>3804.1913010909016</v>
      </c>
      <c r="O22" s="87">
        <f t="shared" si="73"/>
        <v>3686.8829493106032</v>
      </c>
      <c r="P22" s="87">
        <f t="shared" si="73"/>
        <v>3568.890108798721</v>
      </c>
      <c r="Q22" s="87">
        <f t="shared" si="73"/>
        <v>3714.2822059641007</v>
      </c>
      <c r="R22" s="87">
        <f t="shared" si="73"/>
        <v>3820.8354137614974</v>
      </c>
      <c r="S22" s="87">
        <f t="shared" si="73"/>
        <v>3904.4286756860629</v>
      </c>
      <c r="T22" s="87">
        <f t="shared" si="73"/>
        <v>3930.0732809161359</v>
      </c>
      <c r="U22" s="87">
        <f t="shared" si="73"/>
        <v>3927.0057466933627</v>
      </c>
      <c r="V22" s="87">
        <f t="shared" si="73"/>
        <v>3826.6849392169916</v>
      </c>
      <c r="W22" s="87">
        <f t="shared" ref="W22:Y22" si="74">IF(W49=0,0,W49*W159)</f>
        <v>3988.1116294481003</v>
      </c>
      <c r="X22" s="87">
        <f t="shared" si="74"/>
        <v>3953.4079018918819</v>
      </c>
      <c r="Y22" s="87">
        <f t="shared" si="74"/>
        <v>3916.1885636956254</v>
      </c>
      <c r="DA22" s="171" t="s">
        <v>468</v>
      </c>
    </row>
    <row r="23" spans="1:105" ht="11.45" customHeight="1" x14ac:dyDescent="0.25">
      <c r="A23" s="111" t="s">
        <v>112</v>
      </c>
      <c r="B23" s="87">
        <f t="shared" ref="B23:K23" si="75">IF(B50=0,0,B50*B160)</f>
        <v>33.550166413929283</v>
      </c>
      <c r="C23" s="87">
        <f t="shared" si="75"/>
        <v>33.543922850779154</v>
      </c>
      <c r="D23" s="87">
        <f t="shared" si="75"/>
        <v>32.521634747656002</v>
      </c>
      <c r="E23" s="87">
        <f t="shared" si="75"/>
        <v>31.313447025935456</v>
      </c>
      <c r="F23" s="87">
        <f t="shared" si="75"/>
        <v>30.242461992381546</v>
      </c>
      <c r="G23" s="87">
        <f t="shared" si="75"/>
        <v>25.973981016633175</v>
      </c>
      <c r="H23" s="87">
        <f t="shared" si="75"/>
        <v>23.971231783516608</v>
      </c>
      <c r="I23" s="87">
        <f t="shared" si="75"/>
        <v>23.856658797286745</v>
      </c>
      <c r="J23" s="87">
        <f t="shared" si="75"/>
        <v>24.051308883419107</v>
      </c>
      <c r="K23" s="87">
        <f t="shared" si="75"/>
        <v>23.428307371486405</v>
      </c>
      <c r="L23" s="87">
        <f t="shared" ref="L23" si="76">IF(L50=0,0,L50*L160)</f>
        <v>23.274456638145338</v>
      </c>
      <c r="M23" s="87">
        <f t="shared" ref="M23:V23" si="77">IF(M50=0,0,M50*M160)</f>
        <v>23.326423544468351</v>
      </c>
      <c r="N23" s="87">
        <f t="shared" si="77"/>
        <v>23.02121048913909</v>
      </c>
      <c r="O23" s="87">
        <f t="shared" si="77"/>
        <v>22.923379272282656</v>
      </c>
      <c r="P23" s="87">
        <f t="shared" si="77"/>
        <v>23.06770038961313</v>
      </c>
      <c r="Q23" s="87">
        <f t="shared" si="77"/>
        <v>23.247964830577267</v>
      </c>
      <c r="R23" s="87">
        <f t="shared" si="77"/>
        <v>23.571220494689914</v>
      </c>
      <c r="S23" s="87">
        <f t="shared" si="77"/>
        <v>24.146629702054778</v>
      </c>
      <c r="T23" s="87">
        <f t="shared" si="77"/>
        <v>25.702979014096716</v>
      </c>
      <c r="U23" s="87">
        <f t="shared" si="77"/>
        <v>32.309318308502959</v>
      </c>
      <c r="V23" s="87">
        <f t="shared" si="77"/>
        <v>32.279714783925094</v>
      </c>
      <c r="W23" s="87">
        <f t="shared" ref="W23:Y23" si="78">IF(W50=0,0,W50*W160)</f>
        <v>29.361216210798592</v>
      </c>
      <c r="X23" s="87">
        <f t="shared" si="78"/>
        <v>31.682448867309716</v>
      </c>
      <c r="Y23" s="87">
        <f t="shared" si="78"/>
        <v>32.22245137433341</v>
      </c>
      <c r="DA23" s="171" t="s">
        <v>469</v>
      </c>
    </row>
    <row r="24" spans="1:105" ht="11.45" customHeight="1" x14ac:dyDescent="0.25">
      <c r="A24" s="111" t="s">
        <v>113</v>
      </c>
      <c r="B24" s="87">
        <f t="shared" ref="B24:K24" si="79">IF(B51=0,0,B51*B161)</f>
        <v>0</v>
      </c>
      <c r="C24" s="87">
        <f t="shared" si="79"/>
        <v>0</v>
      </c>
      <c r="D24" s="87">
        <f t="shared" si="79"/>
        <v>0</v>
      </c>
      <c r="E24" s="87">
        <f t="shared" si="79"/>
        <v>0.19996443835189298</v>
      </c>
      <c r="F24" s="87">
        <f t="shared" si="79"/>
        <v>0.55945389339063367</v>
      </c>
      <c r="G24" s="87">
        <f t="shared" si="79"/>
        <v>0.5157822735140557</v>
      </c>
      <c r="H24" s="87">
        <f t="shared" si="79"/>
        <v>0.50371411726333071</v>
      </c>
      <c r="I24" s="87">
        <f t="shared" si="79"/>
        <v>1.1686230131856887</v>
      </c>
      <c r="J24" s="87">
        <f t="shared" si="79"/>
        <v>1.1793664251116567</v>
      </c>
      <c r="K24" s="87">
        <f t="shared" si="79"/>
        <v>1.9048967585613483</v>
      </c>
      <c r="L24" s="87">
        <f t="shared" ref="L24" si="80">IF(L51=0,0,L51*L161)</f>
        <v>2.6972646706887482</v>
      </c>
      <c r="M24" s="87">
        <f t="shared" ref="M24:V24" si="81">IF(M51=0,0,M51*M161)</f>
        <v>3.4744981146400922</v>
      </c>
      <c r="N24" s="87">
        <f t="shared" si="81"/>
        <v>3.9842486433877968</v>
      </c>
      <c r="O24" s="87">
        <f t="shared" si="81"/>
        <v>4.7647790024729106</v>
      </c>
      <c r="P24" s="87">
        <f t="shared" si="81"/>
        <v>5.5558284245274585</v>
      </c>
      <c r="Q24" s="87">
        <f t="shared" si="81"/>
        <v>6.0172728122866026</v>
      </c>
      <c r="R24" s="87">
        <f t="shared" si="81"/>
        <v>3.5671002449884357</v>
      </c>
      <c r="S24" s="87">
        <f t="shared" si="81"/>
        <v>4.935000926404892</v>
      </c>
      <c r="T24" s="87">
        <f t="shared" si="81"/>
        <v>9.2610387245034307</v>
      </c>
      <c r="U24" s="87">
        <f t="shared" si="81"/>
        <v>9.6921091203745355</v>
      </c>
      <c r="V24" s="87">
        <f t="shared" si="81"/>
        <v>9.7315452057428189</v>
      </c>
      <c r="W24" s="87">
        <f t="shared" ref="W24:Y24" si="82">IF(W51=0,0,W51*W161)</f>
        <v>9.2018968799538357</v>
      </c>
      <c r="X24" s="87">
        <f t="shared" si="82"/>
        <v>8.6836270547555223</v>
      </c>
      <c r="Y24" s="87">
        <f t="shared" si="82"/>
        <v>6.0688500783480368</v>
      </c>
      <c r="DA24" s="171" t="s">
        <v>470</v>
      </c>
    </row>
    <row r="25" spans="1:105" ht="11.45" customHeight="1" x14ac:dyDescent="0.25">
      <c r="A25" s="111" t="s">
        <v>115</v>
      </c>
      <c r="B25" s="87">
        <f t="shared" ref="B25:K25" si="83">IF(B52=0,0,B52*B162)</f>
        <v>0</v>
      </c>
      <c r="C25" s="87">
        <f t="shared" si="83"/>
        <v>0</v>
      </c>
      <c r="D25" s="87">
        <f t="shared" si="83"/>
        <v>0</v>
      </c>
      <c r="E25" s="87">
        <f t="shared" si="83"/>
        <v>0</v>
      </c>
      <c r="F25" s="87">
        <f t="shared" si="83"/>
        <v>0</v>
      </c>
      <c r="G25" s="87">
        <f t="shared" si="83"/>
        <v>0</v>
      </c>
      <c r="H25" s="87">
        <f t="shared" si="83"/>
        <v>0</v>
      </c>
      <c r="I25" s="87">
        <f t="shared" si="83"/>
        <v>0</v>
      </c>
      <c r="J25" s="87">
        <f t="shared" si="83"/>
        <v>0</v>
      </c>
      <c r="K25" s="87">
        <f t="shared" si="83"/>
        <v>0</v>
      </c>
      <c r="L25" s="87">
        <f t="shared" ref="L25" si="84">IF(L52=0,0,L52*L162)</f>
        <v>0</v>
      </c>
      <c r="M25" s="87">
        <f t="shared" ref="M25:V25" si="85">IF(M52=0,0,M52*M162)</f>
        <v>4.3933455401241168E-2</v>
      </c>
      <c r="N25" s="87">
        <f t="shared" si="85"/>
        <v>1.0850680823773244</v>
      </c>
      <c r="O25" s="87">
        <f t="shared" si="85"/>
        <v>1.8377662407104507</v>
      </c>
      <c r="P25" s="87">
        <f t="shared" si="85"/>
        <v>3.4585001973428633</v>
      </c>
      <c r="Q25" s="87">
        <f t="shared" si="85"/>
        <v>4.0154764786083632</v>
      </c>
      <c r="R25" s="87">
        <f t="shared" si="85"/>
        <v>4.2508528617334864</v>
      </c>
      <c r="S25" s="87">
        <f t="shared" si="85"/>
        <v>5.926844069582657</v>
      </c>
      <c r="T25" s="87">
        <f t="shared" si="85"/>
        <v>8.5557344544587064</v>
      </c>
      <c r="U25" s="87">
        <f t="shared" si="85"/>
        <v>11.929725469749989</v>
      </c>
      <c r="V25" s="87">
        <f t="shared" si="85"/>
        <v>15.928841993610396</v>
      </c>
      <c r="W25" s="87">
        <f t="shared" ref="W25:Y25" si="86">IF(W52=0,0,W52*W162)</f>
        <v>24.646289330079107</v>
      </c>
      <c r="X25" s="87">
        <f t="shared" si="86"/>
        <v>37.555290432443975</v>
      </c>
      <c r="Y25" s="87">
        <f t="shared" si="86"/>
        <v>64.576759737486313</v>
      </c>
      <c r="DA25" s="171" t="s">
        <v>471</v>
      </c>
    </row>
    <row r="26" spans="1:105" ht="11.45" customHeight="1" x14ac:dyDescent="0.25">
      <c r="A26" s="109" t="s">
        <v>154</v>
      </c>
      <c r="B26" s="116">
        <f t="shared" ref="B26:K26" si="87">SUM(B27:B28)</f>
        <v>44471.621489468656</v>
      </c>
      <c r="C26" s="116">
        <f t="shared" si="87"/>
        <v>44854.181569380577</v>
      </c>
      <c r="D26" s="116">
        <f t="shared" si="87"/>
        <v>44927.67657300819</v>
      </c>
      <c r="E26" s="116">
        <f t="shared" si="87"/>
        <v>46693.01826542693</v>
      </c>
      <c r="F26" s="116">
        <f t="shared" si="87"/>
        <v>51241.549975380403</v>
      </c>
      <c r="G26" s="116">
        <f t="shared" si="87"/>
        <v>49746.290616969462</v>
      </c>
      <c r="H26" s="116">
        <f t="shared" si="87"/>
        <v>50083.234522714592</v>
      </c>
      <c r="I26" s="116">
        <f t="shared" si="87"/>
        <v>49985.052920931601</v>
      </c>
      <c r="J26" s="116">
        <f t="shared" si="87"/>
        <v>51369.646436130206</v>
      </c>
      <c r="K26" s="116">
        <f t="shared" si="87"/>
        <v>48981.111527442743</v>
      </c>
      <c r="L26" s="116">
        <f t="shared" ref="L26" si="88">SUM(L27:L28)</f>
        <v>49170.720022948393</v>
      </c>
      <c r="M26" s="116">
        <f t="shared" ref="M26:V26" si="89">SUM(M27:M28)</f>
        <v>49140.716806790835</v>
      </c>
      <c r="N26" s="116">
        <f t="shared" si="89"/>
        <v>47017.593275768981</v>
      </c>
      <c r="O26" s="116">
        <f t="shared" si="89"/>
        <v>50997.288204977005</v>
      </c>
      <c r="P26" s="116">
        <f t="shared" si="89"/>
        <v>51542.722008564531</v>
      </c>
      <c r="Q26" s="116">
        <f t="shared" si="89"/>
        <v>51708.573289029773</v>
      </c>
      <c r="R26" s="116">
        <f t="shared" si="89"/>
        <v>54811.240178164779</v>
      </c>
      <c r="S26" s="116">
        <f t="shared" si="89"/>
        <v>54251.892052395982</v>
      </c>
      <c r="T26" s="116">
        <f t="shared" si="89"/>
        <v>55135</v>
      </c>
      <c r="U26" s="116">
        <f t="shared" si="89"/>
        <v>57072</v>
      </c>
      <c r="V26" s="116">
        <f t="shared" si="89"/>
        <v>56943</v>
      </c>
      <c r="W26" s="116">
        <f t="shared" ref="W26:Y26" si="90">SUM(W27:W28)</f>
        <v>58439</v>
      </c>
      <c r="X26" s="116">
        <f t="shared" si="90"/>
        <v>57014</v>
      </c>
      <c r="Y26" s="116">
        <f t="shared" si="90"/>
        <v>53741</v>
      </c>
      <c r="DA26" s="176" t="s">
        <v>383</v>
      </c>
    </row>
    <row r="27" spans="1:105" ht="11.45" customHeight="1" x14ac:dyDescent="0.25">
      <c r="A27" s="128" t="s">
        <v>27</v>
      </c>
      <c r="B27" s="101">
        <f t="shared" ref="B27:K27" si="91">IF(B54=0,0,B54*B164)</f>
        <v>31537</v>
      </c>
      <c r="C27" s="101">
        <f t="shared" si="91"/>
        <v>30999</v>
      </c>
      <c r="D27" s="101">
        <f t="shared" si="91"/>
        <v>30256</v>
      </c>
      <c r="E27" s="101">
        <f t="shared" si="91"/>
        <v>31785</v>
      </c>
      <c r="F27" s="101">
        <f t="shared" si="91"/>
        <v>33938</v>
      </c>
      <c r="G27" s="101">
        <f t="shared" si="91"/>
        <v>31827</v>
      </c>
      <c r="H27" s="101">
        <f t="shared" si="91"/>
        <v>31009</v>
      </c>
      <c r="I27" s="101">
        <f t="shared" si="91"/>
        <v>30686</v>
      </c>
      <c r="J27" s="101">
        <f t="shared" si="91"/>
        <v>32009</v>
      </c>
      <c r="K27" s="101">
        <f t="shared" si="91"/>
        <v>31337</v>
      </c>
      <c r="L27" s="101">
        <f t="shared" ref="L27:V27" si="92">IF(L54=0,0,L54*L164)</f>
        <v>30064</v>
      </c>
      <c r="M27" s="101">
        <f t="shared" si="92"/>
        <v>30325</v>
      </c>
      <c r="N27" s="101">
        <f t="shared" si="92"/>
        <v>28695</v>
      </c>
      <c r="O27" s="101">
        <f t="shared" si="92"/>
        <v>32299</v>
      </c>
      <c r="P27" s="101">
        <f t="shared" si="92"/>
        <v>32253</v>
      </c>
      <c r="Q27" s="101">
        <f t="shared" si="92"/>
        <v>32170</v>
      </c>
      <c r="R27" s="101">
        <f t="shared" si="92"/>
        <v>34053</v>
      </c>
      <c r="S27" s="101">
        <f t="shared" si="92"/>
        <v>33162</v>
      </c>
      <c r="T27" s="101">
        <f t="shared" si="92"/>
        <v>34295</v>
      </c>
      <c r="U27" s="101">
        <f t="shared" si="92"/>
        <v>35406</v>
      </c>
      <c r="V27" s="101">
        <f t="shared" si="92"/>
        <v>34998</v>
      </c>
      <c r="W27" s="101">
        <f t="shared" ref="W27:Y27" si="93">IF(W54=0,0,W54*W164)</f>
        <v>36271</v>
      </c>
      <c r="X27" s="101">
        <f t="shared" si="93"/>
        <v>35433</v>
      </c>
      <c r="Y27" s="101">
        <f t="shared" si="93"/>
        <v>33126</v>
      </c>
      <c r="DA27" s="175" t="s">
        <v>472</v>
      </c>
    </row>
    <row r="28" spans="1:105" ht="11.45" customHeight="1" x14ac:dyDescent="0.25">
      <c r="A28" s="138" t="s">
        <v>116</v>
      </c>
      <c r="B28" s="88">
        <f t="shared" ref="B28:K28" si="94">IF(B55=0,0,B55*B165)</f>
        <v>12934.621489468656</v>
      </c>
      <c r="C28" s="88">
        <f t="shared" si="94"/>
        <v>13855.181569380577</v>
      </c>
      <c r="D28" s="88">
        <f t="shared" si="94"/>
        <v>14671.67657300819</v>
      </c>
      <c r="E28" s="88">
        <f t="shared" si="94"/>
        <v>14908.01826542693</v>
      </c>
      <c r="F28" s="88">
        <f t="shared" si="94"/>
        <v>17303.549975380403</v>
      </c>
      <c r="G28" s="88">
        <f t="shared" si="94"/>
        <v>17919.290616969462</v>
      </c>
      <c r="H28" s="88">
        <f t="shared" si="94"/>
        <v>19074.234522714592</v>
      </c>
      <c r="I28" s="88">
        <f t="shared" si="94"/>
        <v>19299.052920931601</v>
      </c>
      <c r="J28" s="88">
        <f t="shared" si="94"/>
        <v>19360.646436130206</v>
      </c>
      <c r="K28" s="88">
        <f t="shared" si="94"/>
        <v>17644.111527442743</v>
      </c>
      <c r="L28" s="88">
        <f t="shared" ref="L28:V28" si="95">IF(L55=0,0,L55*L165)</f>
        <v>19106.720022948393</v>
      </c>
      <c r="M28" s="88">
        <f t="shared" si="95"/>
        <v>18815.716806790835</v>
      </c>
      <c r="N28" s="88">
        <f t="shared" si="95"/>
        <v>18322.593275768981</v>
      </c>
      <c r="O28" s="88">
        <f t="shared" si="95"/>
        <v>18698.288204977005</v>
      </c>
      <c r="P28" s="88">
        <f t="shared" si="95"/>
        <v>19289.722008564531</v>
      </c>
      <c r="Q28" s="88">
        <f t="shared" si="95"/>
        <v>19538.573289029773</v>
      </c>
      <c r="R28" s="88">
        <f t="shared" si="95"/>
        <v>20758.240178164779</v>
      </c>
      <c r="S28" s="88">
        <f t="shared" si="95"/>
        <v>21089.892052395982</v>
      </c>
      <c r="T28" s="88">
        <f t="shared" si="95"/>
        <v>20840</v>
      </c>
      <c r="U28" s="88">
        <f t="shared" si="95"/>
        <v>21666</v>
      </c>
      <c r="V28" s="88">
        <f t="shared" si="95"/>
        <v>21945</v>
      </c>
      <c r="W28" s="88">
        <f t="shared" ref="W28:Y28" si="96">IF(W55=0,0,W55*W165)</f>
        <v>22168</v>
      </c>
      <c r="X28" s="88">
        <f t="shared" si="96"/>
        <v>21581</v>
      </c>
      <c r="Y28" s="88">
        <f t="shared" si="96"/>
        <v>20615</v>
      </c>
      <c r="DA28" s="178" t="s">
        <v>473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134</v>
      </c>
      <c r="B30" s="62">
        <f t="shared" ref="B30" si="97">B31+B46</f>
        <v>113915.69121207585</v>
      </c>
      <c r="C30" s="62">
        <f t="shared" ref="C30:V30" si="98">C31+C46</f>
        <v>116588.05790188974</v>
      </c>
      <c r="D30" s="62">
        <f t="shared" si="98"/>
        <v>119403.98044261671</v>
      </c>
      <c r="E30" s="62">
        <f t="shared" si="98"/>
        <v>121519.98212336241</v>
      </c>
      <c r="F30" s="62">
        <f t="shared" si="98"/>
        <v>124899.22206755675</v>
      </c>
      <c r="G30" s="62">
        <f t="shared" si="98"/>
        <v>126992.80684439445</v>
      </c>
      <c r="H30" s="62">
        <f t="shared" si="98"/>
        <v>128243.16890488814</v>
      </c>
      <c r="I30" s="62">
        <f t="shared" si="98"/>
        <v>130351.53802740782</v>
      </c>
      <c r="J30" s="62">
        <f t="shared" si="98"/>
        <v>133216.76592008921</v>
      </c>
      <c r="K30" s="62">
        <f t="shared" si="98"/>
        <v>132139.94788794199</v>
      </c>
      <c r="L30" s="62">
        <f t="shared" si="98"/>
        <v>131408.52887406736</v>
      </c>
      <c r="M30" s="62">
        <f t="shared" si="98"/>
        <v>134164.06844715742</v>
      </c>
      <c r="N30" s="62">
        <f t="shared" si="98"/>
        <v>127860.01845548005</v>
      </c>
      <c r="O30" s="62">
        <f t="shared" si="98"/>
        <v>127485.0516960887</v>
      </c>
      <c r="P30" s="62">
        <f t="shared" si="98"/>
        <v>126957.29821349421</v>
      </c>
      <c r="Q30" s="62">
        <f t="shared" si="98"/>
        <v>129289.39157842076</v>
      </c>
      <c r="R30" s="62">
        <f t="shared" si="98"/>
        <v>132362.20308176393</v>
      </c>
      <c r="S30" s="62">
        <f t="shared" si="98"/>
        <v>133443.07618483246</v>
      </c>
      <c r="T30" s="62">
        <f t="shared" si="98"/>
        <v>133657.70723019738</v>
      </c>
      <c r="U30" s="62">
        <f t="shared" si="98"/>
        <v>134767.15583333955</v>
      </c>
      <c r="V30" s="62">
        <f t="shared" si="98"/>
        <v>115150.79911910917</v>
      </c>
      <c r="W30" s="62">
        <f t="shared" ref="W30:Y30" si="99">W31+W46</f>
        <v>121235.19107772328</v>
      </c>
      <c r="X30" s="62">
        <f t="shared" si="99"/>
        <v>128862.01270011891</v>
      </c>
      <c r="Y30" s="62">
        <f t="shared" si="99"/>
        <v>132926.08413991902</v>
      </c>
      <c r="DA30" s="172" t="s">
        <v>474</v>
      </c>
    </row>
    <row r="31" spans="1:105" ht="11.45" customHeight="1" x14ac:dyDescent="0.25">
      <c r="A31" s="27" t="s">
        <v>33</v>
      </c>
      <c r="B31" s="29">
        <f t="shared" ref="B31" si="100">B32+B33+B40</f>
        <v>92707.477806336086</v>
      </c>
      <c r="C31" s="29">
        <f t="shared" ref="C31:V31" si="101">C32+C33+C40</f>
        <v>93869.42481514145</v>
      </c>
      <c r="D31" s="29">
        <f t="shared" si="101"/>
        <v>95715.951684750413</v>
      </c>
      <c r="E31" s="29">
        <f t="shared" si="101"/>
        <v>96745.720104010106</v>
      </c>
      <c r="F31" s="29">
        <f t="shared" si="101"/>
        <v>99002.827692074308</v>
      </c>
      <c r="G31" s="29">
        <f t="shared" si="101"/>
        <v>100718.70302227003</v>
      </c>
      <c r="H31" s="29">
        <f t="shared" si="101"/>
        <v>101922.96248711842</v>
      </c>
      <c r="I31" s="29">
        <f t="shared" si="101"/>
        <v>103979.0667308836</v>
      </c>
      <c r="J31" s="29">
        <f t="shared" si="101"/>
        <v>106438.71752014867</v>
      </c>
      <c r="K31" s="29">
        <f t="shared" si="101"/>
        <v>106639.34524148966</v>
      </c>
      <c r="L31" s="29">
        <f t="shared" si="101"/>
        <v>106387.48652824627</v>
      </c>
      <c r="M31" s="29">
        <f t="shared" si="101"/>
        <v>108653.23464179377</v>
      </c>
      <c r="N31" s="29">
        <f t="shared" si="101"/>
        <v>103473.22131088107</v>
      </c>
      <c r="O31" s="29">
        <f t="shared" si="101"/>
        <v>103512.81601331074</v>
      </c>
      <c r="P31" s="29">
        <f t="shared" si="101"/>
        <v>103564.11023876762</v>
      </c>
      <c r="Q31" s="29">
        <f t="shared" si="101"/>
        <v>104949.31</v>
      </c>
      <c r="R31" s="29">
        <f t="shared" si="101"/>
        <v>107276.47646616917</v>
      </c>
      <c r="S31" s="29">
        <f t="shared" si="101"/>
        <v>108192.39967966832</v>
      </c>
      <c r="T31" s="29">
        <f t="shared" si="101"/>
        <v>108234.74183488892</v>
      </c>
      <c r="U31" s="29">
        <f t="shared" si="101"/>
        <v>109233.31956630194</v>
      </c>
      <c r="V31" s="29">
        <f t="shared" si="101"/>
        <v>90114.851552383116</v>
      </c>
      <c r="W31" s="29">
        <f t="shared" ref="W31:Y31" si="102">W32+W33+W40</f>
        <v>95135.097532452623</v>
      </c>
      <c r="X31" s="29">
        <f t="shared" si="102"/>
        <v>103081.46455628259</v>
      </c>
      <c r="Y31" s="29">
        <f t="shared" si="102"/>
        <v>107562.24657463553</v>
      </c>
      <c r="DA31" s="173" t="s">
        <v>475</v>
      </c>
    </row>
    <row r="32" spans="1:105" ht="11.45" customHeight="1" x14ac:dyDescent="0.25">
      <c r="A32" s="136" t="s">
        <v>173</v>
      </c>
      <c r="B32" s="152">
        <v>2965.227122787609</v>
      </c>
      <c r="C32" s="152">
        <v>3082.0248151414576</v>
      </c>
      <c r="D32" s="152">
        <v>3194.6707162137318</v>
      </c>
      <c r="E32" s="152">
        <v>3220.420104010097</v>
      </c>
      <c r="F32" s="152">
        <v>3078.2874721706335</v>
      </c>
      <c r="G32" s="152">
        <v>3206.7503429018043</v>
      </c>
      <c r="H32" s="152">
        <v>3439.2285006186348</v>
      </c>
      <c r="I32" s="152">
        <v>3793.9667308835924</v>
      </c>
      <c r="J32" s="152">
        <v>4144.353492645706</v>
      </c>
      <c r="K32" s="152">
        <v>4325.3506961639196</v>
      </c>
      <c r="L32" s="152">
        <v>4425.3404560156914</v>
      </c>
      <c r="M32" s="152">
        <v>4544.3906272467075</v>
      </c>
      <c r="N32" s="152">
        <v>4421.5353252442401</v>
      </c>
      <c r="O32" s="152">
        <v>4396.04</v>
      </c>
      <c r="P32" s="152">
        <v>4245.04</v>
      </c>
      <c r="Q32" s="152">
        <v>4377.6099999999997</v>
      </c>
      <c r="R32" s="152">
        <v>4485.6764661691714</v>
      </c>
      <c r="S32" s="152">
        <v>4237.6844149810213</v>
      </c>
      <c r="T32" s="152">
        <v>4032.5926902268957</v>
      </c>
      <c r="U32" s="152">
        <v>4280.4660931497065</v>
      </c>
      <c r="V32" s="152">
        <v>3848.1628195972753</v>
      </c>
      <c r="W32" s="152">
        <v>3907.0854035833709</v>
      </c>
      <c r="X32" s="152">
        <v>3943.876629561204</v>
      </c>
      <c r="Y32" s="152">
        <v>4187.5557799419394</v>
      </c>
      <c r="DA32" s="174" t="s">
        <v>476</v>
      </c>
    </row>
    <row r="33" spans="1:105" ht="11.45" customHeight="1" x14ac:dyDescent="0.25">
      <c r="A33" s="109" t="s">
        <v>20</v>
      </c>
      <c r="B33" s="116">
        <f t="shared" ref="B33" si="103">SUM(B34:B39)</f>
        <v>89148</v>
      </c>
      <c r="C33" s="116">
        <f t="shared" ref="C33:V33" si="104">SUM(C34:C39)</f>
        <v>90195.9</v>
      </c>
      <c r="D33" s="116">
        <f t="shared" si="104"/>
        <v>91930.2</v>
      </c>
      <c r="E33" s="116">
        <f t="shared" si="104"/>
        <v>92942.8</v>
      </c>
      <c r="F33" s="116">
        <f t="shared" si="104"/>
        <v>95348.2</v>
      </c>
      <c r="G33" s="116">
        <f t="shared" si="104"/>
        <v>96930</v>
      </c>
      <c r="H33" s="116">
        <f t="shared" si="104"/>
        <v>97903.000000000015</v>
      </c>
      <c r="I33" s="116">
        <f t="shared" si="104"/>
        <v>99601</v>
      </c>
      <c r="J33" s="116">
        <f t="shared" si="104"/>
        <v>101685</v>
      </c>
      <c r="K33" s="116">
        <f t="shared" si="104"/>
        <v>101678</v>
      </c>
      <c r="L33" s="116">
        <f t="shared" si="104"/>
        <v>101295</v>
      </c>
      <c r="M33" s="116">
        <f t="shared" si="104"/>
        <v>103450</v>
      </c>
      <c r="N33" s="116">
        <f t="shared" si="104"/>
        <v>98397.6</v>
      </c>
      <c r="O33" s="116">
        <f t="shared" si="104"/>
        <v>98482.6</v>
      </c>
      <c r="P33" s="116">
        <f t="shared" si="104"/>
        <v>98707.1</v>
      </c>
      <c r="Q33" s="116">
        <f t="shared" si="104"/>
        <v>99968.7</v>
      </c>
      <c r="R33" s="116">
        <f t="shared" si="104"/>
        <v>102199.8</v>
      </c>
      <c r="S33" s="116">
        <f t="shared" si="104"/>
        <v>103319.7152646873</v>
      </c>
      <c r="T33" s="116">
        <f t="shared" si="104"/>
        <v>103589.14914466202</v>
      </c>
      <c r="U33" s="116">
        <f t="shared" si="104"/>
        <v>104357.85347315224</v>
      </c>
      <c r="V33" s="116">
        <f t="shared" si="104"/>
        <v>85780.688732785842</v>
      </c>
      <c r="W33" s="116">
        <f t="shared" ref="W33:Y33" si="105">SUM(W34:W39)</f>
        <v>90751.012128869246</v>
      </c>
      <c r="X33" s="116">
        <f t="shared" si="105"/>
        <v>98663.58792672139</v>
      </c>
      <c r="Y33" s="116">
        <f t="shared" si="105"/>
        <v>102911.6907946936</v>
      </c>
      <c r="DA33" s="176" t="s">
        <v>477</v>
      </c>
    </row>
    <row r="34" spans="1:105" ht="11.45" customHeight="1" x14ac:dyDescent="0.25">
      <c r="A34" s="111" t="s">
        <v>110</v>
      </c>
      <c r="B34" s="87">
        <v>60493.415491604443</v>
      </c>
      <c r="C34" s="87">
        <v>60358.19883380767</v>
      </c>
      <c r="D34" s="87">
        <v>60806.784848099764</v>
      </c>
      <c r="E34" s="87">
        <v>60858.045637803341</v>
      </c>
      <c r="F34" s="87">
        <v>62033.821302096258</v>
      </c>
      <c r="G34" s="87">
        <v>62685.470740598932</v>
      </c>
      <c r="H34" s="87">
        <v>62498.130447989439</v>
      </c>
      <c r="I34" s="87">
        <v>63426.843492194967</v>
      </c>
      <c r="J34" s="87">
        <v>65339.758865205054</v>
      </c>
      <c r="K34" s="87">
        <v>66288.036580001353</v>
      </c>
      <c r="L34" s="87">
        <v>66791.776005667372</v>
      </c>
      <c r="M34" s="87">
        <v>68970.244358476586</v>
      </c>
      <c r="N34" s="87">
        <v>64896.033055077307</v>
      </c>
      <c r="O34" s="87">
        <v>64839.699704507999</v>
      </c>
      <c r="P34" s="87">
        <v>64702.940510102002</v>
      </c>
      <c r="Q34" s="87">
        <v>65468.217268511107</v>
      </c>
      <c r="R34" s="87">
        <v>68612.58199528596</v>
      </c>
      <c r="S34" s="87">
        <v>70642.34516507636</v>
      </c>
      <c r="T34" s="87">
        <v>72130.747464177577</v>
      </c>
      <c r="U34" s="87">
        <v>74269.165238944348</v>
      </c>
      <c r="V34" s="87">
        <v>64551.29707493235</v>
      </c>
      <c r="W34" s="87">
        <v>62374.850898566649</v>
      </c>
      <c r="X34" s="87">
        <v>70542.091549528355</v>
      </c>
      <c r="Y34" s="87">
        <v>74315.947110939087</v>
      </c>
      <c r="DA34" s="171" t="s">
        <v>478</v>
      </c>
    </row>
    <row r="35" spans="1:105" ht="11.45" customHeight="1" x14ac:dyDescent="0.25">
      <c r="A35" s="111" t="s">
        <v>111</v>
      </c>
      <c r="B35" s="87">
        <v>20885.232633704436</v>
      </c>
      <c r="C35" s="87">
        <v>22169.175969781092</v>
      </c>
      <c r="D35" s="87">
        <v>23747.260719600774</v>
      </c>
      <c r="E35" s="87">
        <v>25167.908852244858</v>
      </c>
      <c r="F35" s="87">
        <v>26544.282906212131</v>
      </c>
      <c r="G35" s="87">
        <v>27942.375790032602</v>
      </c>
      <c r="H35" s="87">
        <v>29582.125407883781</v>
      </c>
      <c r="I35" s="87">
        <v>30815.872121826105</v>
      </c>
      <c r="J35" s="87">
        <v>31502.771701273508</v>
      </c>
      <c r="K35" s="87">
        <v>31068.771544178089</v>
      </c>
      <c r="L35" s="87">
        <v>30608.546278369249</v>
      </c>
      <c r="M35" s="87">
        <v>31078.656870292049</v>
      </c>
      <c r="N35" s="87">
        <v>30535.972731255373</v>
      </c>
      <c r="O35" s="87">
        <v>30481.531078904329</v>
      </c>
      <c r="P35" s="87">
        <v>30859.383530639709</v>
      </c>
      <c r="Q35" s="87">
        <v>31058.092083453957</v>
      </c>
      <c r="R35" s="87">
        <v>30368.188799211654</v>
      </c>
      <c r="S35" s="87">
        <v>29507.991818043651</v>
      </c>
      <c r="T35" s="87">
        <v>27996.448857009978</v>
      </c>
      <c r="U35" s="87">
        <v>25508.593495563735</v>
      </c>
      <c r="V35" s="87">
        <v>16598.74918999408</v>
      </c>
      <c r="W35" s="87">
        <v>21906.610130073619</v>
      </c>
      <c r="X35" s="87">
        <v>19730.02363999431</v>
      </c>
      <c r="Y35" s="87">
        <v>17565.298497043768</v>
      </c>
      <c r="DA35" s="171" t="s">
        <v>479</v>
      </c>
    </row>
    <row r="36" spans="1:105" ht="11.45" customHeight="1" x14ac:dyDescent="0.25">
      <c r="A36" s="111" t="s">
        <v>112</v>
      </c>
      <c r="B36" s="87">
        <v>7769.3518746911177</v>
      </c>
      <c r="C36" s="87">
        <v>7668.5251964112331</v>
      </c>
      <c r="D36" s="87">
        <v>7376.154432299465</v>
      </c>
      <c r="E36" s="87">
        <v>6916.8455099518078</v>
      </c>
      <c r="F36" s="87">
        <v>6770.0957916916122</v>
      </c>
      <c r="G36" s="87">
        <v>6302.1534693684725</v>
      </c>
      <c r="H36" s="87">
        <v>5822.7441441267856</v>
      </c>
      <c r="I36" s="87">
        <v>5358.2843859789336</v>
      </c>
      <c r="J36" s="87">
        <v>4842.4694335214408</v>
      </c>
      <c r="K36" s="87">
        <v>4320.7371025815264</v>
      </c>
      <c r="L36" s="87">
        <v>3890.5936902254484</v>
      </c>
      <c r="M36" s="87">
        <v>3374.4671332236503</v>
      </c>
      <c r="N36" s="87">
        <v>2780.597995992191</v>
      </c>
      <c r="O36" s="87">
        <v>2714.2572473942246</v>
      </c>
      <c r="P36" s="87">
        <v>2475.8926254927592</v>
      </c>
      <c r="Q36" s="87">
        <v>2273.8039362121654</v>
      </c>
      <c r="R36" s="87">
        <v>1974.1536865833034</v>
      </c>
      <c r="S36" s="87">
        <v>1833.3791951401759</v>
      </c>
      <c r="T36" s="87">
        <v>1653.8315585689995</v>
      </c>
      <c r="U36" s="87">
        <v>1789.3386282402173</v>
      </c>
      <c r="V36" s="87">
        <v>1375.6758386870995</v>
      </c>
      <c r="W36" s="87">
        <v>1272.4892520826488</v>
      </c>
      <c r="X36" s="87">
        <v>1341.6199086286067</v>
      </c>
      <c r="Y36" s="87">
        <v>1369.4568517596583</v>
      </c>
      <c r="DA36" s="171" t="s">
        <v>480</v>
      </c>
    </row>
    <row r="37" spans="1:105" ht="11.45" customHeight="1" x14ac:dyDescent="0.25">
      <c r="A37" s="111" t="s">
        <v>113</v>
      </c>
      <c r="B37" s="87">
        <v>0</v>
      </c>
      <c r="C37" s="87">
        <v>0</v>
      </c>
      <c r="D37" s="87">
        <v>0</v>
      </c>
      <c r="E37" s="87">
        <v>0</v>
      </c>
      <c r="F37" s="87">
        <v>0</v>
      </c>
      <c r="G37" s="87">
        <v>0</v>
      </c>
      <c r="H37" s="87">
        <v>0</v>
      </c>
      <c r="I37" s="87">
        <v>0</v>
      </c>
      <c r="J37" s="87">
        <v>0</v>
      </c>
      <c r="K37" s="87">
        <v>0</v>
      </c>
      <c r="L37" s="87">
        <v>2.6865832431793435</v>
      </c>
      <c r="M37" s="87">
        <v>12.661056039715007</v>
      </c>
      <c r="N37" s="87">
        <v>103.73891166599866</v>
      </c>
      <c r="O37" s="87">
        <v>117.34253983666983</v>
      </c>
      <c r="P37" s="87">
        <v>174.12381455956245</v>
      </c>
      <c r="Q37" s="87">
        <v>184.05292438822002</v>
      </c>
      <c r="R37" s="87">
        <v>57.123971144292838</v>
      </c>
      <c r="S37" s="87">
        <v>66.1548334926255</v>
      </c>
      <c r="T37" s="87">
        <v>187.0197257441007</v>
      </c>
      <c r="U37" s="87">
        <v>186.81501799626179</v>
      </c>
      <c r="V37" s="87">
        <v>146.37867642257186</v>
      </c>
      <c r="W37" s="87">
        <v>129.76371145390493</v>
      </c>
      <c r="X37" s="87">
        <v>125.97104993286993</v>
      </c>
      <c r="Y37" s="87">
        <v>47.534097762400172</v>
      </c>
      <c r="DA37" s="171" t="s">
        <v>481</v>
      </c>
    </row>
    <row r="38" spans="1:105" ht="11.45" customHeight="1" x14ac:dyDescent="0.25">
      <c r="A38" s="111" t="s">
        <v>114</v>
      </c>
      <c r="B38" s="87">
        <v>0</v>
      </c>
      <c r="C38" s="87">
        <v>0</v>
      </c>
      <c r="D38" s="87">
        <v>0</v>
      </c>
      <c r="E38" s="87">
        <v>0</v>
      </c>
      <c r="F38" s="87">
        <v>0</v>
      </c>
      <c r="G38" s="87">
        <v>0</v>
      </c>
      <c r="H38" s="87">
        <v>0</v>
      </c>
      <c r="I38" s="87">
        <v>0</v>
      </c>
      <c r="J38" s="87">
        <v>0</v>
      </c>
      <c r="K38" s="87">
        <v>0</v>
      </c>
      <c r="L38" s="87">
        <v>0</v>
      </c>
      <c r="M38" s="87">
        <v>0.16602087956613221</v>
      </c>
      <c r="N38" s="87">
        <v>47.032461756459753</v>
      </c>
      <c r="O38" s="87">
        <v>261.88007497470556</v>
      </c>
      <c r="P38" s="87">
        <v>383.28259063547506</v>
      </c>
      <c r="Q38" s="87">
        <v>831.31707300542507</v>
      </c>
      <c r="R38" s="87">
        <v>978.82899023332152</v>
      </c>
      <c r="S38" s="87">
        <v>931.42822258847434</v>
      </c>
      <c r="T38" s="87">
        <v>915.31225544785957</v>
      </c>
      <c r="U38" s="87">
        <v>905.36805653839644</v>
      </c>
      <c r="V38" s="87">
        <v>828.6717571211758</v>
      </c>
      <c r="W38" s="87">
        <v>1180.433963454949</v>
      </c>
      <c r="X38" s="87">
        <v>1680.1761288542561</v>
      </c>
      <c r="Y38" s="87">
        <v>2555.7368977048709</v>
      </c>
      <c r="DA38" s="171" t="s">
        <v>482</v>
      </c>
    </row>
    <row r="39" spans="1:105" ht="11.45" customHeight="1" x14ac:dyDescent="0.25">
      <c r="A39" s="111" t="s">
        <v>115</v>
      </c>
      <c r="B39" s="87">
        <v>0</v>
      </c>
      <c r="C39" s="87">
        <v>0</v>
      </c>
      <c r="D39" s="87">
        <v>0</v>
      </c>
      <c r="E39" s="87">
        <v>0</v>
      </c>
      <c r="F39" s="87">
        <v>0</v>
      </c>
      <c r="G39" s="87">
        <v>0</v>
      </c>
      <c r="H39" s="87">
        <v>0</v>
      </c>
      <c r="I39" s="87">
        <v>0</v>
      </c>
      <c r="J39" s="87">
        <v>0</v>
      </c>
      <c r="K39" s="87">
        <v>0.45477323903234373</v>
      </c>
      <c r="L39" s="87">
        <v>1.3974424947522226</v>
      </c>
      <c r="M39" s="87">
        <v>13.804561088442199</v>
      </c>
      <c r="N39" s="87">
        <v>34.224844252655387</v>
      </c>
      <c r="O39" s="87">
        <v>67.889354382092705</v>
      </c>
      <c r="P39" s="87">
        <v>111.47692857050066</v>
      </c>
      <c r="Q39" s="87">
        <v>153.21671442912589</v>
      </c>
      <c r="R39" s="87">
        <v>208.92255754147868</v>
      </c>
      <c r="S39" s="87">
        <v>338.41603034602252</v>
      </c>
      <c r="T39" s="87">
        <v>705.78928371350264</v>
      </c>
      <c r="U39" s="87">
        <v>1698.5730358692686</v>
      </c>
      <c r="V39" s="87">
        <v>2279.916195628572</v>
      </c>
      <c r="W39" s="87">
        <v>3886.8641732374526</v>
      </c>
      <c r="X39" s="87">
        <v>5243.7056497829899</v>
      </c>
      <c r="Y39" s="87">
        <v>7057.7173394838046</v>
      </c>
      <c r="DA39" s="171" t="s">
        <v>483</v>
      </c>
    </row>
    <row r="40" spans="1:105" ht="11.45" customHeight="1" x14ac:dyDescent="0.25">
      <c r="A40" s="109" t="s">
        <v>21</v>
      </c>
      <c r="B40" s="116">
        <f t="shared" ref="B40" si="106">SUM(B41:B45)</f>
        <v>594.25068354848747</v>
      </c>
      <c r="C40" s="116">
        <f t="shared" ref="C40:V40" si="107">SUM(C41:C45)</f>
        <v>591.49999999999989</v>
      </c>
      <c r="D40" s="116">
        <f t="shared" si="107"/>
        <v>591.0809685366894</v>
      </c>
      <c r="E40" s="116">
        <f t="shared" si="107"/>
        <v>582.5</v>
      </c>
      <c r="F40" s="116">
        <f t="shared" si="107"/>
        <v>576.34021990367444</v>
      </c>
      <c r="G40" s="116">
        <f t="shared" si="107"/>
        <v>581.95267936821756</v>
      </c>
      <c r="H40" s="116">
        <f t="shared" si="107"/>
        <v>580.73398649977912</v>
      </c>
      <c r="I40" s="116">
        <f t="shared" si="107"/>
        <v>584.09999999999991</v>
      </c>
      <c r="J40" s="116">
        <f t="shared" si="107"/>
        <v>609.3640275029652</v>
      </c>
      <c r="K40" s="116">
        <f t="shared" si="107"/>
        <v>635.99454532573941</v>
      </c>
      <c r="L40" s="116">
        <f t="shared" si="107"/>
        <v>667.14607223057828</v>
      </c>
      <c r="M40" s="116">
        <f t="shared" si="107"/>
        <v>658.84401454705585</v>
      </c>
      <c r="N40" s="116">
        <f t="shared" si="107"/>
        <v>654.08598563681551</v>
      </c>
      <c r="O40" s="116">
        <f t="shared" si="107"/>
        <v>634.17601331074059</v>
      </c>
      <c r="P40" s="116">
        <f t="shared" si="107"/>
        <v>611.97023876761909</v>
      </c>
      <c r="Q40" s="116">
        <f t="shared" si="107"/>
        <v>602.99999999999989</v>
      </c>
      <c r="R40" s="116">
        <f t="shared" si="107"/>
        <v>591</v>
      </c>
      <c r="S40" s="116">
        <f t="shared" si="107"/>
        <v>635</v>
      </c>
      <c r="T40" s="116">
        <f t="shared" si="107"/>
        <v>613</v>
      </c>
      <c r="U40" s="116">
        <f t="shared" si="107"/>
        <v>595</v>
      </c>
      <c r="V40" s="116">
        <f t="shared" si="107"/>
        <v>486.00000000000006</v>
      </c>
      <c r="W40" s="116">
        <f t="shared" ref="W40:Y40" si="108">SUM(W41:W45)</f>
        <v>477</v>
      </c>
      <c r="X40" s="116">
        <f t="shared" si="108"/>
        <v>474</v>
      </c>
      <c r="Y40" s="116">
        <f t="shared" si="108"/>
        <v>463.00000000000011</v>
      </c>
      <c r="DA40" s="176" t="s">
        <v>484</v>
      </c>
    </row>
    <row r="41" spans="1:105" ht="11.45" customHeight="1" x14ac:dyDescent="0.25">
      <c r="A41" s="111" t="s">
        <v>110</v>
      </c>
      <c r="B41" s="101">
        <v>0.7445927576256236</v>
      </c>
      <c r="C41" s="101">
        <v>0.91994568466723281</v>
      </c>
      <c r="D41" s="101">
        <v>1.1059029685402224</v>
      </c>
      <c r="E41" s="101">
        <v>1.2553065506001573</v>
      </c>
      <c r="F41" s="101">
        <v>1.1743388097501684</v>
      </c>
      <c r="G41" s="101">
        <v>1.2694083742016182</v>
      </c>
      <c r="H41" s="101">
        <v>1.3168122477368454</v>
      </c>
      <c r="I41" s="101">
        <v>1.411842760883639</v>
      </c>
      <c r="J41" s="101">
        <v>1.4138985922217355</v>
      </c>
      <c r="K41" s="101">
        <v>1.4647424989069298</v>
      </c>
      <c r="L41" s="101">
        <v>1.6109818054911469</v>
      </c>
      <c r="M41" s="101">
        <v>1.3263910596479178</v>
      </c>
      <c r="N41" s="101">
        <v>0.80533920279635118</v>
      </c>
      <c r="O41" s="101">
        <v>0.70977987139411547</v>
      </c>
      <c r="P41" s="101">
        <v>0.6615462816634291</v>
      </c>
      <c r="Q41" s="101">
        <v>1.086458485314342</v>
      </c>
      <c r="R41" s="101">
        <v>1.3483476664423608</v>
      </c>
      <c r="S41" s="101">
        <v>1.2660102718948341</v>
      </c>
      <c r="T41" s="101">
        <v>1.1336914757203065</v>
      </c>
      <c r="U41" s="101">
        <v>5.0713868878467361</v>
      </c>
      <c r="V41" s="101">
        <v>4.1987653659587814</v>
      </c>
      <c r="W41" s="101">
        <v>4.909368438727344</v>
      </c>
      <c r="X41" s="101">
        <v>5.933432259239285</v>
      </c>
      <c r="Y41" s="101">
        <v>6.0174396219522137</v>
      </c>
      <c r="DA41" s="175" t="s">
        <v>485</v>
      </c>
    </row>
    <row r="42" spans="1:105" ht="11.45" customHeight="1" x14ac:dyDescent="0.25">
      <c r="A42" s="111" t="s">
        <v>111</v>
      </c>
      <c r="B42" s="101">
        <v>585.02148715872011</v>
      </c>
      <c r="C42" s="101">
        <v>582.62440212746594</v>
      </c>
      <c r="D42" s="101">
        <v>581.8972992243971</v>
      </c>
      <c r="E42" s="101">
        <v>574.0694966810122</v>
      </c>
      <c r="F42" s="101">
        <v>568.03027196314179</v>
      </c>
      <c r="G42" s="101">
        <v>572.380100641181</v>
      </c>
      <c r="H42" s="101">
        <v>570.35333123592193</v>
      </c>
      <c r="I42" s="101">
        <v>573.0508049187099</v>
      </c>
      <c r="J42" s="101">
        <v>596.40875539339697</v>
      </c>
      <c r="K42" s="101">
        <v>615.74708416110241</v>
      </c>
      <c r="L42" s="101">
        <v>639.99530849320536</v>
      </c>
      <c r="M42" s="101">
        <v>618.27707780988374</v>
      </c>
      <c r="N42" s="101">
        <v>602.72787689556662</v>
      </c>
      <c r="O42" s="101">
        <v>543.33421394402956</v>
      </c>
      <c r="P42" s="101">
        <v>518.13808365999921</v>
      </c>
      <c r="Q42" s="101">
        <v>498.70507547073038</v>
      </c>
      <c r="R42" s="101">
        <v>472.09505439859737</v>
      </c>
      <c r="S42" s="101">
        <v>496.73477668232977</v>
      </c>
      <c r="T42" s="101">
        <v>467.66667311232561</v>
      </c>
      <c r="U42" s="101">
        <v>425.78068707886223</v>
      </c>
      <c r="V42" s="101">
        <v>308.53697572946396</v>
      </c>
      <c r="W42" s="101">
        <v>278.56120326125642</v>
      </c>
      <c r="X42" s="101">
        <v>273.2344803961409</v>
      </c>
      <c r="Y42" s="101">
        <v>258.23162475590078</v>
      </c>
      <c r="DA42" s="175" t="s">
        <v>486</v>
      </c>
    </row>
    <row r="43" spans="1:105" ht="11.45" customHeight="1" x14ac:dyDescent="0.25">
      <c r="A43" s="111" t="s">
        <v>112</v>
      </c>
      <c r="B43" s="101">
        <v>5.4530688357088524</v>
      </c>
      <c r="C43" s="101">
        <v>5.1150174449692667</v>
      </c>
      <c r="D43" s="101">
        <v>4.4685194068668963</v>
      </c>
      <c r="E43" s="101">
        <v>4.0670238410052759</v>
      </c>
      <c r="F43" s="101">
        <v>3.4825726218504345</v>
      </c>
      <c r="G43" s="101">
        <v>4.3435036013065416</v>
      </c>
      <c r="H43" s="101">
        <v>3.577458210589572</v>
      </c>
      <c r="I43" s="101">
        <v>3.2009778730784411</v>
      </c>
      <c r="J43" s="101">
        <v>3.1929220161925063</v>
      </c>
      <c r="K43" s="101">
        <v>3.0157566824805637</v>
      </c>
      <c r="L43" s="101">
        <v>3.0390829777182113</v>
      </c>
      <c r="M43" s="101">
        <v>2.9370449846406625</v>
      </c>
      <c r="N43" s="101">
        <v>2.8639523916503622</v>
      </c>
      <c r="O43" s="101">
        <v>2.8454311611699747</v>
      </c>
      <c r="P43" s="101">
        <v>2.7966225868677195</v>
      </c>
      <c r="Q43" s="101">
        <v>2.895015579436397</v>
      </c>
      <c r="R43" s="101">
        <v>2.9058927432139892</v>
      </c>
      <c r="S43" s="101">
        <v>2.9438274717550721</v>
      </c>
      <c r="T43" s="101">
        <v>2.7886670361030186</v>
      </c>
      <c r="U43" s="101">
        <v>2.5266424495160669</v>
      </c>
      <c r="V43" s="101">
        <v>2.0852825632524961</v>
      </c>
      <c r="W43" s="101">
        <v>2.0500836874665174</v>
      </c>
      <c r="X43" s="101">
        <v>1.8755670336318626</v>
      </c>
      <c r="Y43" s="101">
        <v>1.8342282847649074</v>
      </c>
      <c r="DA43" s="175" t="s">
        <v>487</v>
      </c>
    </row>
    <row r="44" spans="1:105" ht="11.45" customHeight="1" x14ac:dyDescent="0.25">
      <c r="A44" s="111" t="s">
        <v>113</v>
      </c>
      <c r="B44" s="101">
        <v>0.29631680109553643</v>
      </c>
      <c r="C44" s="101">
        <v>0.43134547160028436</v>
      </c>
      <c r="D44" s="101">
        <v>0.87099646384070883</v>
      </c>
      <c r="E44" s="101">
        <v>0.75097377563618439</v>
      </c>
      <c r="F44" s="101">
        <v>0.69175419866568477</v>
      </c>
      <c r="G44" s="101">
        <v>0.88568060300271612</v>
      </c>
      <c r="H44" s="101">
        <v>2.3545101442121226</v>
      </c>
      <c r="I44" s="101">
        <v>3.3014422294541848</v>
      </c>
      <c r="J44" s="101">
        <v>5.7608894015908794</v>
      </c>
      <c r="K44" s="101">
        <v>12.625514419795211</v>
      </c>
      <c r="L44" s="101">
        <v>17.535179117857677</v>
      </c>
      <c r="M44" s="101">
        <v>31.55424534453968</v>
      </c>
      <c r="N44" s="101">
        <v>42.879796594713149</v>
      </c>
      <c r="O44" s="101">
        <v>82.694594307882625</v>
      </c>
      <c r="P44" s="101">
        <v>85.944083828256581</v>
      </c>
      <c r="Q44" s="101">
        <v>95.103488383057865</v>
      </c>
      <c r="R44" s="101">
        <v>106.06003786041009</v>
      </c>
      <c r="S44" s="101">
        <v>117.72914788559061</v>
      </c>
      <c r="T44" s="101">
        <v>119.32298948741695</v>
      </c>
      <c r="U44" s="101">
        <v>119.05662346677751</v>
      </c>
      <c r="V44" s="101">
        <v>112.62496420294569</v>
      </c>
      <c r="W44" s="101">
        <v>117.91620338986441</v>
      </c>
      <c r="X44" s="101">
        <v>114.46144736628207</v>
      </c>
      <c r="Y44" s="101">
        <v>110.75255695505476</v>
      </c>
      <c r="DA44" s="175" t="s">
        <v>488</v>
      </c>
    </row>
    <row r="45" spans="1:105" ht="11.45" customHeight="1" x14ac:dyDescent="0.25">
      <c r="A45" s="111" t="s">
        <v>115</v>
      </c>
      <c r="B45" s="101">
        <v>2.7352179953374232</v>
      </c>
      <c r="C45" s="101">
        <v>2.4092892712972214</v>
      </c>
      <c r="D45" s="101">
        <v>2.7382504730444857</v>
      </c>
      <c r="E45" s="101">
        <v>2.3571991517461592</v>
      </c>
      <c r="F45" s="101">
        <v>2.9612823102663217</v>
      </c>
      <c r="G45" s="101">
        <v>3.0739861485256554</v>
      </c>
      <c r="H45" s="101">
        <v>3.131874661318649</v>
      </c>
      <c r="I45" s="101">
        <v>3.1349322178738639</v>
      </c>
      <c r="J45" s="101">
        <v>2.5875620995631481</v>
      </c>
      <c r="K45" s="101">
        <v>3.141447563454324</v>
      </c>
      <c r="L45" s="101">
        <v>4.9655198363059743</v>
      </c>
      <c r="M45" s="101">
        <v>4.7492553483437749</v>
      </c>
      <c r="N45" s="101">
        <v>4.8090205520888611</v>
      </c>
      <c r="O45" s="101">
        <v>4.5919940262644214</v>
      </c>
      <c r="P45" s="101">
        <v>4.4299024108322085</v>
      </c>
      <c r="Q45" s="101">
        <v>5.2099620814610068</v>
      </c>
      <c r="R45" s="101">
        <v>8.5906673313361743</v>
      </c>
      <c r="S45" s="101">
        <v>16.3262376884297</v>
      </c>
      <c r="T45" s="101">
        <v>22.087978888434119</v>
      </c>
      <c r="U45" s="101">
        <v>42.564660116997459</v>
      </c>
      <c r="V45" s="101">
        <v>58.5540121383791</v>
      </c>
      <c r="W45" s="101">
        <v>73.563141222685317</v>
      </c>
      <c r="X45" s="101">
        <v>78.495072944705868</v>
      </c>
      <c r="Y45" s="101">
        <v>86.164150382327406</v>
      </c>
      <c r="DA45" s="175" t="s">
        <v>489</v>
      </c>
    </row>
    <row r="46" spans="1:105" ht="11.45" customHeight="1" x14ac:dyDescent="0.25">
      <c r="A46" s="27" t="s">
        <v>34</v>
      </c>
      <c r="B46" s="29">
        <f t="shared" ref="B46" si="109">B47+B53</f>
        <v>21208.213405739756</v>
      </c>
      <c r="C46" s="29">
        <f t="shared" ref="C46:V46" si="110">C47+C53</f>
        <v>22718.63308674829</v>
      </c>
      <c r="D46" s="29">
        <f t="shared" si="110"/>
        <v>23688.028757866297</v>
      </c>
      <c r="E46" s="29">
        <f t="shared" si="110"/>
        <v>24774.262019352303</v>
      </c>
      <c r="F46" s="29">
        <f t="shared" si="110"/>
        <v>25896.394375482436</v>
      </c>
      <c r="G46" s="29">
        <f t="shared" si="110"/>
        <v>26274.103822124431</v>
      </c>
      <c r="H46" s="29">
        <f t="shared" si="110"/>
        <v>26320.206417769714</v>
      </c>
      <c r="I46" s="29">
        <f t="shared" si="110"/>
        <v>26372.471296524222</v>
      </c>
      <c r="J46" s="29">
        <f t="shared" si="110"/>
        <v>26778.048399940548</v>
      </c>
      <c r="K46" s="29">
        <f t="shared" si="110"/>
        <v>25500.602646452327</v>
      </c>
      <c r="L46" s="29">
        <f t="shared" si="110"/>
        <v>25021.042345821097</v>
      </c>
      <c r="M46" s="29">
        <f t="shared" si="110"/>
        <v>25510.833805363662</v>
      </c>
      <c r="N46" s="29">
        <f t="shared" si="110"/>
        <v>24386.797144598982</v>
      </c>
      <c r="O46" s="29">
        <f t="shared" si="110"/>
        <v>23972.235682777959</v>
      </c>
      <c r="P46" s="29">
        <f t="shared" si="110"/>
        <v>23393.187974726592</v>
      </c>
      <c r="Q46" s="29">
        <f t="shared" si="110"/>
        <v>24340.081578420773</v>
      </c>
      <c r="R46" s="29">
        <f t="shared" si="110"/>
        <v>25085.726615594755</v>
      </c>
      <c r="S46" s="29">
        <f t="shared" si="110"/>
        <v>25250.676505164138</v>
      </c>
      <c r="T46" s="29">
        <f t="shared" si="110"/>
        <v>25422.965395308474</v>
      </c>
      <c r="U46" s="29">
        <f t="shared" si="110"/>
        <v>25533.836267037601</v>
      </c>
      <c r="V46" s="29">
        <f t="shared" si="110"/>
        <v>25035.947566726063</v>
      </c>
      <c r="W46" s="29">
        <f t="shared" ref="W46:Y46" si="111">W47+W53</f>
        <v>26100.093545270669</v>
      </c>
      <c r="X46" s="29">
        <f t="shared" si="111"/>
        <v>25780.54814383632</v>
      </c>
      <c r="Y46" s="29">
        <f t="shared" si="111"/>
        <v>25363.837565283509</v>
      </c>
      <c r="DA46" s="173" t="s">
        <v>490</v>
      </c>
    </row>
    <row r="47" spans="1:105" ht="11.45" customHeight="1" x14ac:dyDescent="0.25">
      <c r="A47" s="136" t="s">
        <v>153</v>
      </c>
      <c r="B47" s="152">
        <f t="shared" ref="B47" si="112">SUM(B48:B52)</f>
        <v>15378.993186346808</v>
      </c>
      <c r="C47" s="152">
        <f t="shared" ref="C47:V47" si="113">SUM(C48:C52)</f>
        <v>16892.002354589058</v>
      </c>
      <c r="D47" s="152">
        <f t="shared" si="113"/>
        <v>17579.799656165058</v>
      </c>
      <c r="E47" s="152">
        <f t="shared" si="113"/>
        <v>18457.390069302008</v>
      </c>
      <c r="F47" s="152">
        <f t="shared" si="113"/>
        <v>19505.820413807283</v>
      </c>
      <c r="G47" s="152">
        <f t="shared" si="113"/>
        <v>19876.099974630637</v>
      </c>
      <c r="H47" s="152">
        <f t="shared" si="113"/>
        <v>19878.353136852998</v>
      </c>
      <c r="I47" s="152">
        <f t="shared" si="113"/>
        <v>20165.224070860793</v>
      </c>
      <c r="J47" s="152">
        <f t="shared" si="113"/>
        <v>20543.742391108648</v>
      </c>
      <c r="K47" s="152">
        <f t="shared" si="113"/>
        <v>19394.693928851029</v>
      </c>
      <c r="L47" s="152">
        <f t="shared" si="113"/>
        <v>19588.477352082991</v>
      </c>
      <c r="M47" s="152">
        <f t="shared" si="113"/>
        <v>19970.520874090897</v>
      </c>
      <c r="N47" s="152">
        <f t="shared" si="113"/>
        <v>19099.070257546129</v>
      </c>
      <c r="O47" s="152">
        <f t="shared" si="113"/>
        <v>18551.601666994338</v>
      </c>
      <c r="P47" s="152">
        <f t="shared" si="113"/>
        <v>17849.820076366323</v>
      </c>
      <c r="Q47" s="152">
        <f t="shared" si="113"/>
        <v>18678.022871307316</v>
      </c>
      <c r="R47" s="152">
        <f t="shared" si="113"/>
        <v>19183.895238897396</v>
      </c>
      <c r="S47" s="152">
        <f t="shared" si="113"/>
        <v>19558.549850428197</v>
      </c>
      <c r="T47" s="152">
        <f t="shared" si="113"/>
        <v>19661.804726125934</v>
      </c>
      <c r="U47" s="152">
        <f t="shared" si="113"/>
        <v>19621.092277472359</v>
      </c>
      <c r="V47" s="152">
        <f t="shared" si="113"/>
        <v>18964.832509277792</v>
      </c>
      <c r="W47" s="152">
        <f t="shared" ref="W47:Y47" si="114">SUM(W48:W52)</f>
        <v>19848.884688448685</v>
      </c>
      <c r="X47" s="152">
        <f t="shared" si="114"/>
        <v>19690.324768673494</v>
      </c>
      <c r="Y47" s="152">
        <f t="shared" si="114"/>
        <v>19575.024202135006</v>
      </c>
      <c r="DA47" s="174" t="s">
        <v>491</v>
      </c>
    </row>
    <row r="48" spans="1:105" ht="11.45" customHeight="1" x14ac:dyDescent="0.25">
      <c r="A48" s="111" t="s">
        <v>110</v>
      </c>
      <c r="B48" s="87">
        <v>597.28041422645208</v>
      </c>
      <c r="C48" s="87">
        <v>545.43515768698728</v>
      </c>
      <c r="D48" s="87">
        <v>482.07139850203771</v>
      </c>
      <c r="E48" s="87">
        <v>433.89539578322911</v>
      </c>
      <c r="F48" s="87">
        <v>400.85177300675218</v>
      </c>
      <c r="G48" s="87">
        <v>380.23951333873055</v>
      </c>
      <c r="H48" s="87">
        <v>339.64612500239048</v>
      </c>
      <c r="I48" s="87">
        <v>316.28449670541477</v>
      </c>
      <c r="J48" s="87">
        <v>299.00066676847882</v>
      </c>
      <c r="K48" s="87">
        <v>275.64041841769358</v>
      </c>
      <c r="L48" s="87">
        <v>262.23170616031058</v>
      </c>
      <c r="M48" s="87">
        <v>250.37675975778333</v>
      </c>
      <c r="N48" s="87">
        <v>237.89095513759636</v>
      </c>
      <c r="O48" s="87">
        <v>216.0023042065927</v>
      </c>
      <c r="P48" s="87">
        <v>220.03181475694004</v>
      </c>
      <c r="Q48" s="87">
        <v>225.46036876753826</v>
      </c>
      <c r="R48" s="87">
        <v>230.73993475861047</v>
      </c>
      <c r="S48" s="87">
        <v>234.8599485853637</v>
      </c>
      <c r="T48" s="87">
        <v>224.90486050506863</v>
      </c>
      <c r="U48" s="87">
        <v>233.96570747433304</v>
      </c>
      <c r="V48" s="87">
        <v>238.87082272074792</v>
      </c>
      <c r="W48" s="87">
        <v>265.94762434910359</v>
      </c>
      <c r="X48" s="87">
        <v>277.75964795600055</v>
      </c>
      <c r="Y48" s="87">
        <v>292.72807643568069</v>
      </c>
      <c r="DA48" s="171" t="s">
        <v>492</v>
      </c>
    </row>
    <row r="49" spans="1:105" ht="11.45" customHeight="1" x14ac:dyDescent="0.25">
      <c r="A49" s="111" t="s">
        <v>111</v>
      </c>
      <c r="B49" s="87">
        <v>14577.080220068068</v>
      </c>
      <c r="C49" s="87">
        <v>16142.302716026021</v>
      </c>
      <c r="D49" s="87">
        <v>16900.984906710259</v>
      </c>
      <c r="E49" s="87">
        <v>17833.341359178481</v>
      </c>
      <c r="F49" s="87">
        <v>18918.481657952922</v>
      </c>
      <c r="G49" s="87">
        <v>19335.831108276321</v>
      </c>
      <c r="H49" s="87">
        <v>19390.639529275333</v>
      </c>
      <c r="I49" s="87">
        <v>19696.064476321095</v>
      </c>
      <c r="J49" s="87">
        <v>20090.25871433302</v>
      </c>
      <c r="K49" s="87">
        <v>18964.920470302757</v>
      </c>
      <c r="L49" s="87">
        <v>19167.91120201394</v>
      </c>
      <c r="M49" s="87">
        <v>19556.235690285197</v>
      </c>
      <c r="N49" s="87">
        <v>18691.047631228597</v>
      </c>
      <c r="O49" s="87">
        <v>18157.359598050938</v>
      </c>
      <c r="P49" s="87">
        <v>17436.972081968994</v>
      </c>
      <c r="Q49" s="87">
        <v>18252.482458749811</v>
      </c>
      <c r="R49" s="87">
        <v>18765.064454607611</v>
      </c>
      <c r="S49" s="87">
        <v>19115.871947545103</v>
      </c>
      <c r="T49" s="87">
        <v>19180.384990551258</v>
      </c>
      <c r="U49" s="87">
        <v>19072.080855164306</v>
      </c>
      <c r="V49" s="87">
        <v>18394.266536972438</v>
      </c>
      <c r="W49" s="87">
        <v>19228.586577513692</v>
      </c>
      <c r="X49" s="87">
        <v>18984.879545140328</v>
      </c>
      <c r="Y49" s="87">
        <v>18736.080040975045</v>
      </c>
      <c r="DA49" s="171" t="s">
        <v>493</v>
      </c>
    </row>
    <row r="50" spans="1:105" ht="11.45" customHeight="1" x14ac:dyDescent="0.25">
      <c r="A50" s="111" t="s">
        <v>112</v>
      </c>
      <c r="B50" s="87">
        <v>204.63255205228756</v>
      </c>
      <c r="C50" s="87">
        <v>204.264480876047</v>
      </c>
      <c r="D50" s="87">
        <v>196.74335095276209</v>
      </c>
      <c r="E50" s="87">
        <v>188.8969152510281</v>
      </c>
      <c r="F50" s="87">
        <v>182.97555418491453</v>
      </c>
      <c r="G50" s="87">
        <v>156.81189214210045</v>
      </c>
      <c r="H50" s="87">
        <v>144.93325189113418</v>
      </c>
      <c r="I50" s="87">
        <v>145.56611373944151</v>
      </c>
      <c r="J50" s="87">
        <v>147.0899382137207</v>
      </c>
      <c r="K50" s="87">
        <v>142.31925997645504</v>
      </c>
      <c r="L50" s="87">
        <v>141.59372171719878</v>
      </c>
      <c r="M50" s="87">
        <v>142.17601460429063</v>
      </c>
      <c r="N50" s="87">
        <v>140.28479432493126</v>
      </c>
      <c r="O50" s="87">
        <v>139.97690997227261</v>
      </c>
      <c r="P50" s="87">
        <v>141.72805874611237</v>
      </c>
      <c r="Q50" s="87">
        <v>143.4296829565331</v>
      </c>
      <c r="R50" s="87">
        <v>145.33856135252122</v>
      </c>
      <c r="S50" s="87">
        <v>148.4226554863958</v>
      </c>
      <c r="T50" s="87">
        <v>157.48789921996536</v>
      </c>
      <c r="U50" s="87">
        <v>197.00234413849174</v>
      </c>
      <c r="V50" s="87">
        <v>194.80339136777684</v>
      </c>
      <c r="W50" s="87">
        <v>177.73016892690305</v>
      </c>
      <c r="X50" s="87">
        <v>191.7782074435257</v>
      </c>
      <c r="Y50" s="87">
        <v>195.09908983783092</v>
      </c>
      <c r="DA50" s="171" t="s">
        <v>494</v>
      </c>
    </row>
    <row r="51" spans="1:105" ht="11.45" customHeight="1" x14ac:dyDescent="0.25">
      <c r="A51" s="111" t="s">
        <v>113</v>
      </c>
      <c r="B51" s="87">
        <v>0</v>
      </c>
      <c r="C51" s="87">
        <v>0</v>
      </c>
      <c r="D51" s="87">
        <v>0</v>
      </c>
      <c r="E51" s="87">
        <v>1.2563990892663985</v>
      </c>
      <c r="F51" s="87">
        <v>3.5114286626942444</v>
      </c>
      <c r="G51" s="87">
        <v>3.2174608734867367</v>
      </c>
      <c r="H51" s="87">
        <v>3.1342306841441281</v>
      </c>
      <c r="I51" s="87">
        <v>7.308984094840878</v>
      </c>
      <c r="J51" s="87">
        <v>7.3930717934261141</v>
      </c>
      <c r="K51" s="87">
        <v>11.813780154124203</v>
      </c>
      <c r="L51" s="87">
        <v>16.740722191543171</v>
      </c>
      <c r="M51" s="87">
        <v>21.518857167125027</v>
      </c>
      <c r="N51" s="87">
        <v>24.572004431564018</v>
      </c>
      <c r="O51" s="87">
        <v>29.328847410548789</v>
      </c>
      <c r="P51" s="87">
        <v>34.271853901736741</v>
      </c>
      <c r="Q51" s="87">
        <v>37.123917642635355</v>
      </c>
      <c r="R51" s="87">
        <v>22.08265750323757</v>
      </c>
      <c r="S51" s="87">
        <v>30.577740140881076</v>
      </c>
      <c r="T51" s="87">
        <v>57.429513318599547</v>
      </c>
      <c r="U51" s="87">
        <v>60.049699344838963</v>
      </c>
      <c r="V51" s="87">
        <v>59.91489577388797</v>
      </c>
      <c r="W51" s="87">
        <v>56.826466709276879</v>
      </c>
      <c r="X51" s="87">
        <v>53.41098887038163</v>
      </c>
      <c r="Y51" s="87">
        <v>37.338083171072704</v>
      </c>
      <c r="DA51" s="171" t="s">
        <v>495</v>
      </c>
    </row>
    <row r="52" spans="1:105" ht="11.45" customHeight="1" x14ac:dyDescent="0.25">
      <c r="A52" s="111" t="s">
        <v>115</v>
      </c>
      <c r="B52" s="87">
        <v>0</v>
      </c>
      <c r="C52" s="87">
        <v>0</v>
      </c>
      <c r="D52" s="87">
        <v>0</v>
      </c>
      <c r="E52" s="87">
        <v>0</v>
      </c>
      <c r="F52" s="87">
        <v>0</v>
      </c>
      <c r="G52" s="87">
        <v>0</v>
      </c>
      <c r="H52" s="87">
        <v>0</v>
      </c>
      <c r="I52" s="87">
        <v>0</v>
      </c>
      <c r="J52" s="87">
        <v>0</v>
      </c>
      <c r="K52" s="87">
        <v>0</v>
      </c>
      <c r="L52" s="87">
        <v>0</v>
      </c>
      <c r="M52" s="87">
        <v>0.21355227650214342</v>
      </c>
      <c r="N52" s="87">
        <v>5.2748724234411624</v>
      </c>
      <c r="O52" s="87">
        <v>8.9340073539864093</v>
      </c>
      <c r="P52" s="87">
        <v>16.816266992538281</v>
      </c>
      <c r="Q52" s="87">
        <v>19.526443190801544</v>
      </c>
      <c r="R52" s="87">
        <v>20.669630675417359</v>
      </c>
      <c r="S52" s="87">
        <v>28.817558670454268</v>
      </c>
      <c r="T52" s="87">
        <v>41.597462531042503</v>
      </c>
      <c r="U52" s="87">
        <v>57.993671350387245</v>
      </c>
      <c r="V52" s="87">
        <v>76.976862442944707</v>
      </c>
      <c r="W52" s="87">
        <v>119.79385094970762</v>
      </c>
      <c r="X52" s="87">
        <v>182.49637926325664</v>
      </c>
      <c r="Y52" s="87">
        <v>313.77891171538079</v>
      </c>
      <c r="DA52" s="171" t="s">
        <v>496</v>
      </c>
    </row>
    <row r="53" spans="1:105" ht="11.45" customHeight="1" x14ac:dyDescent="0.25">
      <c r="A53" s="109" t="s">
        <v>154</v>
      </c>
      <c r="B53" s="116">
        <f t="shared" ref="B53" si="115">SUM(B54:B55)</f>
        <v>5829.2202193929479</v>
      </c>
      <c r="C53" s="116">
        <f t="shared" ref="C53:V53" si="116">SUM(C54:C55)</f>
        <v>5826.6307321592321</v>
      </c>
      <c r="D53" s="116">
        <f t="shared" si="116"/>
        <v>6108.2291017012385</v>
      </c>
      <c r="E53" s="116">
        <f t="shared" si="116"/>
        <v>6316.8719500502948</v>
      </c>
      <c r="F53" s="116">
        <f t="shared" si="116"/>
        <v>6390.5739616751525</v>
      </c>
      <c r="G53" s="116">
        <f t="shared" si="116"/>
        <v>6398.0038474937937</v>
      </c>
      <c r="H53" s="116">
        <f t="shared" si="116"/>
        <v>6441.8532809167154</v>
      </c>
      <c r="I53" s="116">
        <f t="shared" si="116"/>
        <v>6207.2472256634273</v>
      </c>
      <c r="J53" s="116">
        <f t="shared" si="116"/>
        <v>6234.3060088319016</v>
      </c>
      <c r="K53" s="116">
        <f t="shared" si="116"/>
        <v>6105.908717601299</v>
      </c>
      <c r="L53" s="116">
        <f t="shared" si="116"/>
        <v>5432.5649937381058</v>
      </c>
      <c r="M53" s="116">
        <f t="shared" si="116"/>
        <v>5540.3129312727633</v>
      </c>
      <c r="N53" s="116">
        <f t="shared" si="116"/>
        <v>5287.7268870528533</v>
      </c>
      <c r="O53" s="116">
        <f t="shared" si="116"/>
        <v>5420.6340157836203</v>
      </c>
      <c r="P53" s="116">
        <f t="shared" si="116"/>
        <v>5543.3678983602686</v>
      </c>
      <c r="Q53" s="116">
        <f t="shared" si="116"/>
        <v>5662.0587071134578</v>
      </c>
      <c r="R53" s="116">
        <f t="shared" si="116"/>
        <v>5901.8313766973579</v>
      </c>
      <c r="S53" s="116">
        <f t="shared" si="116"/>
        <v>5692.1266547359419</v>
      </c>
      <c r="T53" s="116">
        <f t="shared" si="116"/>
        <v>5761.1606691825391</v>
      </c>
      <c r="U53" s="116">
        <f t="shared" si="116"/>
        <v>5912.7439895652424</v>
      </c>
      <c r="V53" s="116">
        <f t="shared" si="116"/>
        <v>6071.1150574482708</v>
      </c>
      <c r="W53" s="116">
        <f t="shared" ref="W53:Y53" si="117">SUM(W54:W55)</f>
        <v>6251.2088568219824</v>
      </c>
      <c r="X53" s="116">
        <f t="shared" si="117"/>
        <v>6090.2233751628273</v>
      </c>
      <c r="Y53" s="116">
        <f t="shared" si="117"/>
        <v>5788.8133631485043</v>
      </c>
      <c r="DA53" s="176" t="s">
        <v>497</v>
      </c>
    </row>
    <row r="54" spans="1:105" ht="11.45" customHeight="1" x14ac:dyDescent="0.25">
      <c r="A54" s="128" t="s">
        <v>27</v>
      </c>
      <c r="B54" s="101">
        <v>4922</v>
      </c>
      <c r="C54" s="101">
        <v>4854</v>
      </c>
      <c r="D54" s="101">
        <v>5085</v>
      </c>
      <c r="E54" s="101">
        <v>5271</v>
      </c>
      <c r="F54" s="101">
        <v>5154</v>
      </c>
      <c r="G54" s="101">
        <v>5118</v>
      </c>
      <c r="H54" s="101">
        <v>5088</v>
      </c>
      <c r="I54" s="101">
        <v>4840</v>
      </c>
      <c r="J54" s="101">
        <v>4843</v>
      </c>
      <c r="K54" s="101">
        <v>4821</v>
      </c>
      <c r="L54" s="101">
        <v>4085</v>
      </c>
      <c r="M54" s="101">
        <v>4209</v>
      </c>
      <c r="N54" s="101">
        <v>3987</v>
      </c>
      <c r="O54" s="101">
        <v>4095</v>
      </c>
      <c r="P54" s="101">
        <v>4179</v>
      </c>
      <c r="Q54" s="101">
        <v>4267</v>
      </c>
      <c r="R54" s="101">
        <v>4412</v>
      </c>
      <c r="S54" s="101">
        <v>4187</v>
      </c>
      <c r="T54" s="101">
        <v>4288</v>
      </c>
      <c r="U54" s="101">
        <v>4372</v>
      </c>
      <c r="V54" s="101">
        <v>4488</v>
      </c>
      <c r="W54" s="101">
        <v>4673</v>
      </c>
      <c r="X54" s="101">
        <v>4548</v>
      </c>
      <c r="Y54" s="101">
        <v>4299</v>
      </c>
      <c r="DA54" s="175" t="s">
        <v>498</v>
      </c>
    </row>
    <row r="55" spans="1:105" ht="11.45" customHeight="1" x14ac:dyDescent="0.25">
      <c r="A55" s="138" t="s">
        <v>116</v>
      </c>
      <c r="B55" s="88">
        <v>907.22021939294802</v>
      </c>
      <c r="C55" s="88">
        <v>972.63073215923259</v>
      </c>
      <c r="D55" s="88">
        <v>1023.2291017012388</v>
      </c>
      <c r="E55" s="88">
        <v>1045.8719500502946</v>
      </c>
      <c r="F55" s="88">
        <v>1236.5739616751525</v>
      </c>
      <c r="G55" s="88">
        <v>1280.003847493794</v>
      </c>
      <c r="H55" s="88">
        <v>1353.8532809167157</v>
      </c>
      <c r="I55" s="88">
        <v>1367.2472256634273</v>
      </c>
      <c r="J55" s="88">
        <v>1391.3060088319021</v>
      </c>
      <c r="K55" s="88">
        <v>1284.9087176012993</v>
      </c>
      <c r="L55" s="88">
        <v>1347.5649937381058</v>
      </c>
      <c r="M55" s="88">
        <v>1331.3129312727633</v>
      </c>
      <c r="N55" s="88">
        <v>1300.726887052853</v>
      </c>
      <c r="O55" s="88">
        <v>1325.6340157836203</v>
      </c>
      <c r="P55" s="88">
        <v>1364.3678983602686</v>
      </c>
      <c r="Q55" s="88">
        <v>1395.058707113458</v>
      </c>
      <c r="R55" s="88">
        <v>1489.8313766973581</v>
      </c>
      <c r="S55" s="88">
        <v>1505.1266547359417</v>
      </c>
      <c r="T55" s="88">
        <v>1473.1606691825393</v>
      </c>
      <c r="U55" s="88">
        <v>1540.7439895652426</v>
      </c>
      <c r="V55" s="88">
        <v>1583.1150574482706</v>
      </c>
      <c r="W55" s="88">
        <v>1578.2088568219829</v>
      </c>
      <c r="X55" s="88">
        <v>1542.2233751628276</v>
      </c>
      <c r="Y55" s="88">
        <v>1489.8133631485043</v>
      </c>
      <c r="DA55" s="178" t="s">
        <v>499</v>
      </c>
    </row>
    <row r="56" spans="1:105" ht="11.45" customHeight="1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53" t="s">
        <v>109</v>
      </c>
      <c r="B57" s="54">
        <f t="shared" ref="B57:K57" si="118">B58+B73</f>
        <v>8134947</v>
      </c>
      <c r="C57" s="54">
        <f t="shared" si="118"/>
        <v>8388448</v>
      </c>
      <c r="D57" s="54">
        <f t="shared" si="118"/>
        <v>8639793</v>
      </c>
      <c r="E57" s="54">
        <f t="shared" si="118"/>
        <v>8833702</v>
      </c>
      <c r="F57" s="54">
        <f t="shared" si="118"/>
        <v>8926982</v>
      </c>
      <c r="G57" s="54">
        <f t="shared" si="118"/>
        <v>9112900</v>
      </c>
      <c r="H57" s="54">
        <f t="shared" si="118"/>
        <v>9348354</v>
      </c>
      <c r="I57" s="54">
        <f t="shared" si="118"/>
        <v>9573112</v>
      </c>
      <c r="J57" s="54">
        <f t="shared" si="118"/>
        <v>9855793</v>
      </c>
      <c r="K57" s="54">
        <f t="shared" si="118"/>
        <v>10124735</v>
      </c>
      <c r="L57" s="54">
        <f t="shared" ref="L57" si="119">L58+L73</f>
        <v>10286701</v>
      </c>
      <c r="M57" s="54">
        <f t="shared" ref="M57:V57" si="120">M58+M73</f>
        <v>10430594</v>
      </c>
      <c r="N57" s="54">
        <f t="shared" si="120"/>
        <v>10572681</v>
      </c>
      <c r="O57" s="54">
        <f t="shared" si="120"/>
        <v>10609470</v>
      </c>
      <c r="P57" s="54">
        <f t="shared" si="120"/>
        <v>10644810</v>
      </c>
      <c r="Q57" s="54">
        <f t="shared" si="120"/>
        <v>10853946</v>
      </c>
      <c r="R57" s="54">
        <f t="shared" si="120"/>
        <v>11036119</v>
      </c>
      <c r="S57" s="54">
        <f t="shared" si="120"/>
        <v>11258186</v>
      </c>
      <c r="T57" s="54">
        <f t="shared" si="120"/>
        <v>11372618</v>
      </c>
      <c r="U57" s="54">
        <f t="shared" si="120"/>
        <v>11577030</v>
      </c>
      <c r="V57" s="54">
        <f t="shared" si="120"/>
        <v>11761143</v>
      </c>
      <c r="W57" s="54">
        <f t="shared" ref="W57:Y57" si="121">W58+W73</f>
        <v>11826747</v>
      </c>
      <c r="X57" s="54">
        <f t="shared" si="121"/>
        <v>11965355</v>
      </c>
      <c r="Y57" s="54">
        <f t="shared" si="121"/>
        <v>12112250</v>
      </c>
      <c r="DA57" s="172" t="s">
        <v>500</v>
      </c>
    </row>
    <row r="58" spans="1:105" ht="11.45" customHeight="1" x14ac:dyDescent="0.25">
      <c r="A58" s="27" t="s">
        <v>33</v>
      </c>
      <c r="B58" s="28">
        <f t="shared" ref="B58:K58" si="122">B59+B60+B67</f>
        <v>7325168</v>
      </c>
      <c r="C58" s="28">
        <f t="shared" si="122"/>
        <v>7515231</v>
      </c>
      <c r="D58" s="28">
        <f t="shared" si="122"/>
        <v>7724371</v>
      </c>
      <c r="E58" s="28">
        <f t="shared" si="122"/>
        <v>7881896</v>
      </c>
      <c r="F58" s="28">
        <f t="shared" si="122"/>
        <v>7959168</v>
      </c>
      <c r="G58" s="28">
        <f t="shared" si="122"/>
        <v>8116154</v>
      </c>
      <c r="H58" s="28">
        <f t="shared" si="122"/>
        <v>8382991</v>
      </c>
      <c r="I58" s="28">
        <f t="shared" si="122"/>
        <v>8612635</v>
      </c>
      <c r="J58" s="28">
        <f t="shared" si="122"/>
        <v>8882470</v>
      </c>
      <c r="K58" s="28">
        <f t="shared" si="122"/>
        <v>9132806</v>
      </c>
      <c r="L58" s="28">
        <f t="shared" ref="L58" si="123">L59+L60+L67</f>
        <v>9298282</v>
      </c>
      <c r="M58" s="28">
        <f t="shared" ref="M58:V58" si="124">M59+M60+M67</f>
        <v>9455495</v>
      </c>
      <c r="N58" s="28">
        <f t="shared" si="124"/>
        <v>9608186</v>
      </c>
      <c r="O58" s="28">
        <f t="shared" si="124"/>
        <v>9682046</v>
      </c>
      <c r="P58" s="28">
        <f t="shared" si="124"/>
        <v>9719343</v>
      </c>
      <c r="Q58" s="28">
        <f t="shared" si="124"/>
        <v>9913838</v>
      </c>
      <c r="R58" s="28">
        <f t="shared" si="124"/>
        <v>10066703</v>
      </c>
      <c r="S58" s="28">
        <f t="shared" si="124"/>
        <v>10256227</v>
      </c>
      <c r="T58" s="28">
        <f t="shared" si="124"/>
        <v>10348814</v>
      </c>
      <c r="U58" s="28">
        <f t="shared" si="124"/>
        <v>10524381</v>
      </c>
      <c r="V58" s="28">
        <f t="shared" si="124"/>
        <v>10690052</v>
      </c>
      <c r="W58" s="28">
        <f t="shared" ref="W58:Y58" si="125">W59+W60+W67</f>
        <v>10725212</v>
      </c>
      <c r="X58" s="28">
        <f t="shared" si="125"/>
        <v>10841270</v>
      </c>
      <c r="Y58" s="28">
        <f t="shared" si="125"/>
        <v>10969502</v>
      </c>
      <c r="DA58" s="173" t="s">
        <v>501</v>
      </c>
    </row>
    <row r="59" spans="1:105" ht="11.45" customHeight="1" x14ac:dyDescent="0.25">
      <c r="A59" s="136" t="s">
        <v>173</v>
      </c>
      <c r="B59" s="137">
        <v>970798</v>
      </c>
      <c r="C59" s="137">
        <v>964822</v>
      </c>
      <c r="D59" s="137">
        <v>1002450</v>
      </c>
      <c r="E59" s="137">
        <v>1015567</v>
      </c>
      <c r="F59" s="137">
        <v>1038934</v>
      </c>
      <c r="G59" s="137">
        <v>1112949</v>
      </c>
      <c r="H59" s="137">
        <v>1279703</v>
      </c>
      <c r="I59" s="137">
        <v>1371612</v>
      </c>
      <c r="J59" s="137">
        <v>1479476</v>
      </c>
      <c r="K59" s="137">
        <v>1579143</v>
      </c>
      <c r="L59" s="137">
        <v>1664295</v>
      </c>
      <c r="M59" s="137">
        <v>1708671</v>
      </c>
      <c r="N59" s="137">
        <v>1738488</v>
      </c>
      <c r="O59" s="137">
        <v>1755969</v>
      </c>
      <c r="P59" s="137">
        <v>1777131</v>
      </c>
      <c r="Q59" s="137">
        <v>1803377</v>
      </c>
      <c r="R59" s="137">
        <v>1834291</v>
      </c>
      <c r="S59" s="137">
        <v>1873161</v>
      </c>
      <c r="T59" s="137">
        <v>1895918</v>
      </c>
      <c r="U59" s="137">
        <v>1929268</v>
      </c>
      <c r="V59" s="137">
        <v>1993077</v>
      </c>
      <c r="W59" s="137">
        <v>1887312</v>
      </c>
      <c r="X59" s="137">
        <v>1913668</v>
      </c>
      <c r="Y59" s="137">
        <v>1891738</v>
      </c>
      <c r="DA59" s="174" t="s">
        <v>502</v>
      </c>
    </row>
    <row r="60" spans="1:105" ht="11.45" customHeight="1" x14ac:dyDescent="0.25">
      <c r="A60" s="109" t="s">
        <v>20</v>
      </c>
      <c r="B60" s="110">
        <f t="shared" ref="B60:K60" si="126">SUM(B61:B66)</f>
        <v>6343164</v>
      </c>
      <c r="C60" s="110">
        <f t="shared" si="126"/>
        <v>6539040</v>
      </c>
      <c r="D60" s="110">
        <f t="shared" si="126"/>
        <v>6710595</v>
      </c>
      <c r="E60" s="110">
        <f t="shared" si="126"/>
        <v>6854947</v>
      </c>
      <c r="F60" s="110">
        <f t="shared" si="126"/>
        <v>6908890</v>
      </c>
      <c r="G60" s="110">
        <f t="shared" si="126"/>
        <v>6991974</v>
      </c>
      <c r="H60" s="110">
        <f t="shared" si="126"/>
        <v>7092293</v>
      </c>
      <c r="I60" s="110">
        <f t="shared" si="126"/>
        <v>7230178</v>
      </c>
      <c r="J60" s="110">
        <f t="shared" si="126"/>
        <v>7391903</v>
      </c>
      <c r="K60" s="110">
        <f t="shared" si="126"/>
        <v>7542331</v>
      </c>
      <c r="L60" s="110">
        <f t="shared" ref="L60" si="127">SUM(L61:L66)</f>
        <v>7622353</v>
      </c>
      <c r="M60" s="110">
        <f t="shared" ref="M60:V60" si="128">SUM(M61:M66)</f>
        <v>7735547</v>
      </c>
      <c r="N60" s="110">
        <f t="shared" si="128"/>
        <v>7858712</v>
      </c>
      <c r="O60" s="110">
        <f t="shared" si="128"/>
        <v>7915613</v>
      </c>
      <c r="P60" s="110">
        <f t="shared" si="128"/>
        <v>7932290</v>
      </c>
      <c r="Q60" s="110">
        <f t="shared" si="128"/>
        <v>8100864</v>
      </c>
      <c r="R60" s="110">
        <f t="shared" si="128"/>
        <v>8223001</v>
      </c>
      <c r="S60" s="110">
        <f t="shared" si="128"/>
        <v>8373244</v>
      </c>
      <c r="T60" s="110">
        <f t="shared" si="128"/>
        <v>8442982</v>
      </c>
      <c r="U60" s="110">
        <f t="shared" si="128"/>
        <v>8584391</v>
      </c>
      <c r="V60" s="110">
        <f t="shared" si="128"/>
        <v>8686419</v>
      </c>
      <c r="W60" s="110">
        <f t="shared" ref="W60:Y60" si="129">SUM(W61:W66)</f>
        <v>8827709</v>
      </c>
      <c r="X60" s="110">
        <f t="shared" si="129"/>
        <v>8917107</v>
      </c>
      <c r="Y60" s="110">
        <f t="shared" si="129"/>
        <v>9067393</v>
      </c>
      <c r="DA60" s="176" t="s">
        <v>503</v>
      </c>
    </row>
    <row r="61" spans="1:105" ht="11.45" customHeight="1" x14ac:dyDescent="0.25">
      <c r="A61" s="111" t="s">
        <v>110</v>
      </c>
      <c r="B61" s="84">
        <v>5048616</v>
      </c>
      <c r="C61" s="84">
        <v>5178493</v>
      </c>
      <c r="D61" s="84">
        <v>5310422</v>
      </c>
      <c r="E61" s="84">
        <v>5420603</v>
      </c>
      <c r="F61" s="84">
        <v>5455377</v>
      </c>
      <c r="G61" s="84">
        <v>5515708</v>
      </c>
      <c r="H61" s="84">
        <v>5578392</v>
      </c>
      <c r="I61" s="84">
        <v>5677085</v>
      </c>
      <c r="J61" s="84">
        <v>5832044</v>
      </c>
      <c r="K61" s="84">
        <v>5980613</v>
      </c>
      <c r="L61" s="84">
        <v>6082240</v>
      </c>
      <c r="M61" s="84">
        <v>6193380</v>
      </c>
      <c r="N61" s="84">
        <v>6314739</v>
      </c>
      <c r="O61" s="84">
        <v>6362086</v>
      </c>
      <c r="P61" s="84">
        <v>6383710</v>
      </c>
      <c r="Q61" s="84">
        <v>6495615</v>
      </c>
      <c r="R61" s="84">
        <v>6630603</v>
      </c>
      <c r="S61" s="84">
        <v>6787939</v>
      </c>
      <c r="T61" s="84">
        <v>6890413</v>
      </c>
      <c r="U61" s="84">
        <v>7045184</v>
      </c>
      <c r="V61" s="84">
        <v>7184763</v>
      </c>
      <c r="W61" s="84">
        <v>7318356</v>
      </c>
      <c r="X61" s="84">
        <v>7381778</v>
      </c>
      <c r="Y61" s="84">
        <v>7443996</v>
      </c>
      <c r="DA61" s="171" t="s">
        <v>504</v>
      </c>
    </row>
    <row r="62" spans="1:105" ht="11.45" customHeight="1" x14ac:dyDescent="0.25">
      <c r="A62" s="111" t="s">
        <v>111</v>
      </c>
      <c r="B62" s="84">
        <v>822548</v>
      </c>
      <c r="C62" s="84">
        <v>880670</v>
      </c>
      <c r="D62" s="84">
        <v>930610</v>
      </c>
      <c r="E62" s="84">
        <v>984768</v>
      </c>
      <c r="F62" s="84">
        <v>1025903</v>
      </c>
      <c r="G62" s="84">
        <v>1072336</v>
      </c>
      <c r="H62" s="84">
        <v>1135051</v>
      </c>
      <c r="I62" s="84">
        <v>1200360</v>
      </c>
      <c r="J62" s="84">
        <v>1233887</v>
      </c>
      <c r="K62" s="84">
        <v>1262700</v>
      </c>
      <c r="L62" s="84">
        <v>1266982</v>
      </c>
      <c r="M62" s="84">
        <v>1299185</v>
      </c>
      <c r="N62" s="84">
        <v>1328046</v>
      </c>
      <c r="O62" s="84">
        <v>1316034</v>
      </c>
      <c r="P62" s="84">
        <v>1308715</v>
      </c>
      <c r="Q62" s="84">
        <v>1339163</v>
      </c>
      <c r="R62" s="84">
        <v>1336750</v>
      </c>
      <c r="S62" s="84">
        <v>1330834</v>
      </c>
      <c r="T62" s="84">
        <v>1284620</v>
      </c>
      <c r="U62" s="84">
        <v>1201485</v>
      </c>
      <c r="V62" s="84">
        <v>1095198</v>
      </c>
      <c r="W62" s="84">
        <v>1010944</v>
      </c>
      <c r="X62" s="84">
        <v>907603</v>
      </c>
      <c r="Y62" s="84">
        <v>811292</v>
      </c>
      <c r="DA62" s="171" t="s">
        <v>505</v>
      </c>
    </row>
    <row r="63" spans="1:105" ht="11.45" customHeight="1" x14ac:dyDescent="0.25">
      <c r="A63" s="111" t="s">
        <v>112</v>
      </c>
      <c r="B63" s="84">
        <v>472000</v>
      </c>
      <c r="C63" s="84">
        <v>479877</v>
      </c>
      <c r="D63" s="84">
        <v>469563</v>
      </c>
      <c r="E63" s="84">
        <v>449576</v>
      </c>
      <c r="F63" s="84">
        <v>427610</v>
      </c>
      <c r="G63" s="84">
        <v>403930</v>
      </c>
      <c r="H63" s="84">
        <v>378850</v>
      </c>
      <c r="I63" s="84">
        <v>352733</v>
      </c>
      <c r="J63" s="84">
        <v>325972</v>
      </c>
      <c r="K63" s="84">
        <v>298990</v>
      </c>
      <c r="L63" s="84">
        <v>272905</v>
      </c>
      <c r="M63" s="84">
        <v>241445</v>
      </c>
      <c r="N63" s="84">
        <v>203851</v>
      </c>
      <c r="O63" s="84">
        <v>202322</v>
      </c>
      <c r="P63" s="84">
        <v>186366</v>
      </c>
      <c r="Q63" s="84">
        <v>168234</v>
      </c>
      <c r="R63" s="84">
        <v>143542</v>
      </c>
      <c r="S63" s="84">
        <v>132989</v>
      </c>
      <c r="T63" s="84">
        <v>119489</v>
      </c>
      <c r="U63" s="84">
        <v>130637</v>
      </c>
      <c r="V63" s="84">
        <v>123694</v>
      </c>
      <c r="W63" s="84">
        <v>108602</v>
      </c>
      <c r="X63" s="84">
        <v>104946</v>
      </c>
      <c r="Y63" s="84">
        <v>103267</v>
      </c>
      <c r="DA63" s="171" t="s">
        <v>506</v>
      </c>
    </row>
    <row r="64" spans="1:105" ht="11.45" customHeight="1" x14ac:dyDescent="0.25">
      <c r="A64" s="111" t="s">
        <v>113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0</v>
      </c>
      <c r="L64" s="84">
        <v>140</v>
      </c>
      <c r="M64" s="84">
        <v>673</v>
      </c>
      <c r="N64" s="84">
        <v>5650</v>
      </c>
      <c r="O64" s="84">
        <v>6498</v>
      </c>
      <c r="P64" s="84">
        <v>9737</v>
      </c>
      <c r="Q64" s="84">
        <v>10321</v>
      </c>
      <c r="R64" s="84">
        <v>3148</v>
      </c>
      <c r="S64" s="84">
        <v>3637</v>
      </c>
      <c r="T64" s="84">
        <v>10241</v>
      </c>
      <c r="U64" s="84">
        <v>10227</v>
      </c>
      <c r="V64" s="84">
        <v>9869</v>
      </c>
      <c r="W64" s="84">
        <v>8472</v>
      </c>
      <c r="X64" s="84">
        <v>7538</v>
      </c>
      <c r="Y64" s="84">
        <v>2742</v>
      </c>
      <c r="DA64" s="171" t="s">
        <v>507</v>
      </c>
    </row>
    <row r="65" spans="1:105" ht="11.45" customHeight="1" x14ac:dyDescent="0.25">
      <c r="A65" s="111" t="s">
        <v>114</v>
      </c>
      <c r="B65" s="84">
        <v>0</v>
      </c>
      <c r="C65" s="84">
        <v>0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0</v>
      </c>
      <c r="M65" s="84">
        <v>15</v>
      </c>
      <c r="N65" s="84">
        <v>4326</v>
      </c>
      <c r="O65" s="84">
        <v>24512</v>
      </c>
      <c r="P65" s="84">
        <v>36937</v>
      </c>
      <c r="Q65" s="84">
        <v>78163</v>
      </c>
      <c r="R65" s="84">
        <v>96156</v>
      </c>
      <c r="S65" s="84">
        <v>97047</v>
      </c>
      <c r="T65" s="84">
        <v>94719</v>
      </c>
      <c r="U65" s="84">
        <v>91850</v>
      </c>
      <c r="V65" s="84">
        <v>100371</v>
      </c>
      <c r="W65" s="84">
        <v>137673</v>
      </c>
      <c r="X65" s="84">
        <v>186947</v>
      </c>
      <c r="Y65" s="84">
        <v>263687</v>
      </c>
      <c r="DA65" s="171" t="s">
        <v>508</v>
      </c>
    </row>
    <row r="66" spans="1:105" ht="11.45" customHeight="1" x14ac:dyDescent="0.25">
      <c r="A66" s="111" t="s">
        <v>115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28</v>
      </c>
      <c r="L66" s="84">
        <v>86</v>
      </c>
      <c r="M66" s="84">
        <v>849</v>
      </c>
      <c r="N66" s="84">
        <v>2100</v>
      </c>
      <c r="O66" s="84">
        <v>4161</v>
      </c>
      <c r="P66" s="84">
        <v>6825</v>
      </c>
      <c r="Q66" s="84">
        <v>9368</v>
      </c>
      <c r="R66" s="84">
        <v>12802</v>
      </c>
      <c r="S66" s="84">
        <v>20798</v>
      </c>
      <c r="T66" s="84">
        <v>43500</v>
      </c>
      <c r="U66" s="84">
        <v>105008</v>
      </c>
      <c r="V66" s="84">
        <v>172524</v>
      </c>
      <c r="W66" s="84">
        <v>243662</v>
      </c>
      <c r="X66" s="84">
        <v>328295</v>
      </c>
      <c r="Y66" s="84">
        <v>442409</v>
      </c>
      <c r="DA66" s="171" t="s">
        <v>509</v>
      </c>
    </row>
    <row r="67" spans="1:105" ht="11.45" customHeight="1" x14ac:dyDescent="0.25">
      <c r="A67" s="109" t="s">
        <v>21</v>
      </c>
      <c r="B67" s="110">
        <f t="shared" ref="B67:K67" si="130">SUM(B68:B72)</f>
        <v>11206</v>
      </c>
      <c r="C67" s="110">
        <f t="shared" si="130"/>
        <v>11369</v>
      </c>
      <c r="D67" s="110">
        <f t="shared" si="130"/>
        <v>11326</v>
      </c>
      <c r="E67" s="110">
        <f t="shared" si="130"/>
        <v>11382</v>
      </c>
      <c r="F67" s="110">
        <f t="shared" si="130"/>
        <v>11344</v>
      </c>
      <c r="G67" s="110">
        <f t="shared" si="130"/>
        <v>11231</v>
      </c>
      <c r="H67" s="110">
        <f t="shared" si="130"/>
        <v>10995</v>
      </c>
      <c r="I67" s="110">
        <f t="shared" si="130"/>
        <v>10845</v>
      </c>
      <c r="J67" s="110">
        <f t="shared" si="130"/>
        <v>11091</v>
      </c>
      <c r="K67" s="110">
        <f t="shared" si="130"/>
        <v>11332</v>
      </c>
      <c r="L67" s="110">
        <f t="shared" ref="L67" si="131">SUM(L68:L72)</f>
        <v>11634</v>
      </c>
      <c r="M67" s="110">
        <f t="shared" ref="M67:V67" si="132">SUM(M68:M72)</f>
        <v>11277</v>
      </c>
      <c r="N67" s="110">
        <f t="shared" si="132"/>
        <v>10986</v>
      </c>
      <c r="O67" s="110">
        <f t="shared" si="132"/>
        <v>10464</v>
      </c>
      <c r="P67" s="110">
        <f t="shared" si="132"/>
        <v>9922</v>
      </c>
      <c r="Q67" s="110">
        <f t="shared" si="132"/>
        <v>9597</v>
      </c>
      <c r="R67" s="110">
        <f t="shared" si="132"/>
        <v>9411</v>
      </c>
      <c r="S67" s="110">
        <f t="shared" si="132"/>
        <v>9822</v>
      </c>
      <c r="T67" s="110">
        <f t="shared" si="132"/>
        <v>9914</v>
      </c>
      <c r="U67" s="110">
        <f t="shared" si="132"/>
        <v>10722</v>
      </c>
      <c r="V67" s="110">
        <f t="shared" si="132"/>
        <v>10556</v>
      </c>
      <c r="W67" s="110">
        <f t="shared" ref="W67:Y67" si="133">SUM(W68:W72)</f>
        <v>10191</v>
      </c>
      <c r="X67" s="110">
        <f t="shared" si="133"/>
        <v>10495</v>
      </c>
      <c r="Y67" s="110">
        <f t="shared" si="133"/>
        <v>10371</v>
      </c>
      <c r="DA67" s="176" t="s">
        <v>510</v>
      </c>
    </row>
    <row r="68" spans="1:105" ht="11.45" customHeight="1" x14ac:dyDescent="0.25">
      <c r="A68" s="111" t="s">
        <v>110</v>
      </c>
      <c r="B68" s="102">
        <v>14</v>
      </c>
      <c r="C68" s="102">
        <v>18</v>
      </c>
      <c r="D68" s="102">
        <v>22</v>
      </c>
      <c r="E68" s="102">
        <v>26</v>
      </c>
      <c r="F68" s="102">
        <v>25</v>
      </c>
      <c r="G68" s="102">
        <v>27</v>
      </c>
      <c r="H68" s="102">
        <v>28</v>
      </c>
      <c r="I68" s="102">
        <v>30</v>
      </c>
      <c r="J68" s="102">
        <v>30</v>
      </c>
      <c r="K68" s="102">
        <v>31</v>
      </c>
      <c r="L68" s="102">
        <v>34</v>
      </c>
      <c r="M68" s="102">
        <v>28</v>
      </c>
      <c r="N68" s="102">
        <v>17</v>
      </c>
      <c r="O68" s="102">
        <v>15</v>
      </c>
      <c r="P68" s="102">
        <v>14</v>
      </c>
      <c r="Q68" s="102">
        <v>23</v>
      </c>
      <c r="R68" s="102">
        <v>28</v>
      </c>
      <c r="S68" s="102">
        <v>25</v>
      </c>
      <c r="T68" s="102">
        <v>23</v>
      </c>
      <c r="U68" s="102">
        <v>113</v>
      </c>
      <c r="V68" s="102">
        <v>109</v>
      </c>
      <c r="W68" s="102">
        <v>126</v>
      </c>
      <c r="X68" s="102">
        <v>155</v>
      </c>
      <c r="Y68" s="102">
        <v>156</v>
      </c>
      <c r="DA68" s="175" t="s">
        <v>511</v>
      </c>
    </row>
    <row r="69" spans="1:105" ht="11.45" customHeight="1" x14ac:dyDescent="0.25">
      <c r="A69" s="111" t="s">
        <v>111</v>
      </c>
      <c r="B69" s="102">
        <v>10950</v>
      </c>
      <c r="C69" s="102">
        <v>11120</v>
      </c>
      <c r="D69" s="102">
        <v>11081</v>
      </c>
      <c r="E69" s="102">
        <v>11153</v>
      </c>
      <c r="F69" s="102">
        <v>11125</v>
      </c>
      <c r="G69" s="102">
        <v>10974</v>
      </c>
      <c r="H69" s="102">
        <v>10733</v>
      </c>
      <c r="I69" s="102">
        <v>10577</v>
      </c>
      <c r="J69" s="102">
        <v>10787</v>
      </c>
      <c r="K69" s="102">
        <v>10895</v>
      </c>
      <c r="L69" s="102">
        <v>11077</v>
      </c>
      <c r="M69" s="102">
        <v>10489</v>
      </c>
      <c r="N69" s="102">
        <v>10013</v>
      </c>
      <c r="O69" s="102">
        <v>8795</v>
      </c>
      <c r="P69" s="102">
        <v>8214</v>
      </c>
      <c r="Q69" s="102">
        <v>7753</v>
      </c>
      <c r="R69" s="102">
        <v>7331</v>
      </c>
      <c r="S69" s="102">
        <v>7489</v>
      </c>
      <c r="T69" s="102">
        <v>7340</v>
      </c>
      <c r="U69" s="102">
        <v>7463</v>
      </c>
      <c r="V69" s="102">
        <v>6597</v>
      </c>
      <c r="W69" s="102">
        <v>5902</v>
      </c>
      <c r="X69" s="102">
        <v>6038</v>
      </c>
      <c r="Y69" s="102">
        <v>5857</v>
      </c>
      <c r="DA69" s="175" t="s">
        <v>512</v>
      </c>
    </row>
    <row r="70" spans="1:105" ht="11.45" customHeight="1" x14ac:dyDescent="0.25">
      <c r="A70" s="111" t="s">
        <v>112</v>
      </c>
      <c r="B70" s="102">
        <v>186</v>
      </c>
      <c r="C70" s="102">
        <v>178</v>
      </c>
      <c r="D70" s="102">
        <v>155</v>
      </c>
      <c r="E70" s="102">
        <v>144</v>
      </c>
      <c r="F70" s="102">
        <v>125</v>
      </c>
      <c r="G70" s="102">
        <v>155</v>
      </c>
      <c r="H70" s="102">
        <v>127</v>
      </c>
      <c r="I70" s="102">
        <v>113</v>
      </c>
      <c r="J70" s="102">
        <v>112</v>
      </c>
      <c r="K70" s="102">
        <v>105</v>
      </c>
      <c r="L70" s="102">
        <v>105</v>
      </c>
      <c r="M70" s="102">
        <v>101</v>
      </c>
      <c r="N70" s="102">
        <v>98</v>
      </c>
      <c r="O70" s="102">
        <v>97</v>
      </c>
      <c r="P70" s="102">
        <v>95</v>
      </c>
      <c r="Q70" s="102">
        <v>95</v>
      </c>
      <c r="R70" s="102">
        <v>94</v>
      </c>
      <c r="S70" s="102">
        <v>91</v>
      </c>
      <c r="T70" s="102">
        <v>89</v>
      </c>
      <c r="U70" s="102">
        <v>89</v>
      </c>
      <c r="V70" s="102">
        <v>86</v>
      </c>
      <c r="W70" s="102">
        <v>84</v>
      </c>
      <c r="X70" s="102">
        <v>81</v>
      </c>
      <c r="Y70" s="102">
        <v>79</v>
      </c>
      <c r="DA70" s="175" t="s">
        <v>513</v>
      </c>
    </row>
    <row r="71" spans="1:105" ht="11.45" customHeight="1" x14ac:dyDescent="0.25">
      <c r="A71" s="111" t="s">
        <v>113</v>
      </c>
      <c r="B71" s="102">
        <v>6</v>
      </c>
      <c r="C71" s="102">
        <v>9</v>
      </c>
      <c r="D71" s="102">
        <v>18</v>
      </c>
      <c r="E71" s="102">
        <v>16</v>
      </c>
      <c r="F71" s="102">
        <v>15</v>
      </c>
      <c r="G71" s="102">
        <v>19</v>
      </c>
      <c r="H71" s="102">
        <v>50</v>
      </c>
      <c r="I71" s="102">
        <v>68</v>
      </c>
      <c r="J71" s="102">
        <v>115</v>
      </c>
      <c r="K71" s="102">
        <v>244</v>
      </c>
      <c r="L71" s="102">
        <v>328</v>
      </c>
      <c r="M71" s="102">
        <v>573</v>
      </c>
      <c r="N71" s="102">
        <v>771</v>
      </c>
      <c r="O71" s="102">
        <v>1474</v>
      </c>
      <c r="P71" s="102">
        <v>1519</v>
      </c>
      <c r="Q71" s="102">
        <v>1632</v>
      </c>
      <c r="R71" s="102">
        <v>1803</v>
      </c>
      <c r="S71" s="102">
        <v>1922</v>
      </c>
      <c r="T71" s="102">
        <v>2062</v>
      </c>
      <c r="U71" s="102">
        <v>2282</v>
      </c>
      <c r="V71" s="102">
        <v>2558</v>
      </c>
      <c r="W71" s="102">
        <v>2728</v>
      </c>
      <c r="X71" s="102">
        <v>2777</v>
      </c>
      <c r="Y71" s="102">
        <v>2693</v>
      </c>
      <c r="DA71" s="175" t="s">
        <v>514</v>
      </c>
    </row>
    <row r="72" spans="1:105" ht="11.45" customHeight="1" x14ac:dyDescent="0.25">
      <c r="A72" s="111" t="s">
        <v>115</v>
      </c>
      <c r="B72" s="102">
        <v>50</v>
      </c>
      <c r="C72" s="102">
        <v>44</v>
      </c>
      <c r="D72" s="102">
        <v>50</v>
      </c>
      <c r="E72" s="102">
        <v>43</v>
      </c>
      <c r="F72" s="102">
        <v>54</v>
      </c>
      <c r="G72" s="102">
        <v>56</v>
      </c>
      <c r="H72" s="102">
        <v>57</v>
      </c>
      <c r="I72" s="102">
        <v>57</v>
      </c>
      <c r="J72" s="102">
        <v>47</v>
      </c>
      <c r="K72" s="102">
        <v>57</v>
      </c>
      <c r="L72" s="102">
        <v>90</v>
      </c>
      <c r="M72" s="102">
        <v>86</v>
      </c>
      <c r="N72" s="102">
        <v>87</v>
      </c>
      <c r="O72" s="102">
        <v>83</v>
      </c>
      <c r="P72" s="102">
        <v>80</v>
      </c>
      <c r="Q72" s="102">
        <v>94</v>
      </c>
      <c r="R72" s="102">
        <v>155</v>
      </c>
      <c r="S72" s="102">
        <v>295</v>
      </c>
      <c r="T72" s="102">
        <v>400</v>
      </c>
      <c r="U72" s="102">
        <v>775</v>
      </c>
      <c r="V72" s="102">
        <v>1206</v>
      </c>
      <c r="W72" s="102">
        <v>1351</v>
      </c>
      <c r="X72" s="102">
        <v>1444</v>
      </c>
      <c r="Y72" s="102">
        <v>1586</v>
      </c>
      <c r="DA72" s="175" t="s">
        <v>515</v>
      </c>
    </row>
    <row r="73" spans="1:105" ht="11.45" customHeight="1" x14ac:dyDescent="0.25">
      <c r="A73" s="27" t="s">
        <v>34</v>
      </c>
      <c r="B73" s="28">
        <f t="shared" ref="B73:K73" si="134">B74+B80</f>
        <v>809779</v>
      </c>
      <c r="C73" s="28">
        <f t="shared" si="134"/>
        <v>873217</v>
      </c>
      <c r="D73" s="28">
        <f t="shared" si="134"/>
        <v>915422</v>
      </c>
      <c r="E73" s="28">
        <f t="shared" si="134"/>
        <v>951806</v>
      </c>
      <c r="F73" s="28">
        <f t="shared" si="134"/>
        <v>967814</v>
      </c>
      <c r="G73" s="28">
        <f t="shared" si="134"/>
        <v>996746</v>
      </c>
      <c r="H73" s="28">
        <f t="shared" si="134"/>
        <v>965363</v>
      </c>
      <c r="I73" s="28">
        <f t="shared" si="134"/>
        <v>960477</v>
      </c>
      <c r="J73" s="28">
        <f t="shared" si="134"/>
        <v>973323</v>
      </c>
      <c r="K73" s="28">
        <f t="shared" si="134"/>
        <v>991929</v>
      </c>
      <c r="L73" s="28">
        <f t="shared" ref="L73" si="135">L74+L80</f>
        <v>988419</v>
      </c>
      <c r="M73" s="28">
        <f t="shared" ref="M73:V73" si="136">M74+M80</f>
        <v>975099</v>
      </c>
      <c r="N73" s="28">
        <f t="shared" si="136"/>
        <v>964495</v>
      </c>
      <c r="O73" s="28">
        <f t="shared" si="136"/>
        <v>927424</v>
      </c>
      <c r="P73" s="28">
        <f t="shared" si="136"/>
        <v>925467</v>
      </c>
      <c r="Q73" s="28">
        <f t="shared" si="136"/>
        <v>940108</v>
      </c>
      <c r="R73" s="28">
        <f t="shared" si="136"/>
        <v>969416</v>
      </c>
      <c r="S73" s="28">
        <f t="shared" si="136"/>
        <v>1001959</v>
      </c>
      <c r="T73" s="28">
        <f t="shared" si="136"/>
        <v>1023804</v>
      </c>
      <c r="U73" s="28">
        <f t="shared" si="136"/>
        <v>1052649</v>
      </c>
      <c r="V73" s="28">
        <f t="shared" si="136"/>
        <v>1071091</v>
      </c>
      <c r="W73" s="28">
        <f t="shared" ref="W73:Y73" si="137">W74+W80</f>
        <v>1101535</v>
      </c>
      <c r="X73" s="28">
        <f t="shared" si="137"/>
        <v>1124085</v>
      </c>
      <c r="Y73" s="28">
        <f t="shared" si="137"/>
        <v>1142748</v>
      </c>
      <c r="DA73" s="173" t="s">
        <v>516</v>
      </c>
    </row>
    <row r="74" spans="1:105" ht="11.45" customHeight="1" x14ac:dyDescent="0.25">
      <c r="A74" s="136" t="s">
        <v>153</v>
      </c>
      <c r="B74" s="137">
        <f t="shared" ref="B74:K74" si="138">SUM(B75:B79)</f>
        <v>696135</v>
      </c>
      <c r="C74" s="137">
        <f t="shared" si="138"/>
        <v>755776</v>
      </c>
      <c r="D74" s="137">
        <f t="shared" si="138"/>
        <v>797594</v>
      </c>
      <c r="E74" s="137">
        <f t="shared" si="138"/>
        <v>835710</v>
      </c>
      <c r="F74" s="137">
        <f t="shared" si="138"/>
        <v>866753</v>
      </c>
      <c r="G74" s="137">
        <f t="shared" si="138"/>
        <v>893455</v>
      </c>
      <c r="H74" s="137">
        <f t="shared" si="138"/>
        <v>862974</v>
      </c>
      <c r="I74" s="137">
        <f t="shared" si="138"/>
        <v>849348</v>
      </c>
      <c r="J74" s="137">
        <f t="shared" si="138"/>
        <v>862303</v>
      </c>
      <c r="K74" s="137">
        <f t="shared" si="138"/>
        <v>876170</v>
      </c>
      <c r="L74" s="137">
        <f t="shared" ref="L74" si="139">SUM(L75:L79)</f>
        <v>872355</v>
      </c>
      <c r="M74" s="137">
        <f t="shared" ref="M74:V74" si="140">SUM(M75:M79)</f>
        <v>861250</v>
      </c>
      <c r="N74" s="137">
        <f t="shared" si="140"/>
        <v>849666</v>
      </c>
      <c r="O74" s="137">
        <f t="shared" si="140"/>
        <v>815169</v>
      </c>
      <c r="P74" s="137">
        <f t="shared" si="140"/>
        <v>814954</v>
      </c>
      <c r="Q74" s="137">
        <f t="shared" si="140"/>
        <v>828383</v>
      </c>
      <c r="R74" s="137">
        <f t="shared" si="140"/>
        <v>852632</v>
      </c>
      <c r="S74" s="137">
        <f t="shared" si="140"/>
        <v>883350</v>
      </c>
      <c r="T74" s="137">
        <f t="shared" si="140"/>
        <v>903005</v>
      </c>
      <c r="U74" s="137">
        <f t="shared" si="140"/>
        <v>927251</v>
      </c>
      <c r="V74" s="137">
        <f t="shared" si="140"/>
        <v>945433</v>
      </c>
      <c r="W74" s="137">
        <f t="shared" ref="W74:Y74" si="141">SUM(W75:W79)</f>
        <v>974792</v>
      </c>
      <c r="X74" s="137">
        <f t="shared" si="141"/>
        <v>989841</v>
      </c>
      <c r="Y74" s="137">
        <f t="shared" si="141"/>
        <v>1006477</v>
      </c>
      <c r="DA74" s="174" t="s">
        <v>517</v>
      </c>
    </row>
    <row r="75" spans="1:105" ht="11.45" customHeight="1" x14ac:dyDescent="0.25">
      <c r="A75" s="111" t="s">
        <v>110</v>
      </c>
      <c r="B75" s="84">
        <v>71434</v>
      </c>
      <c r="C75" s="84">
        <v>65762</v>
      </c>
      <c r="D75" s="84">
        <v>60062</v>
      </c>
      <c r="E75" s="84">
        <v>54833</v>
      </c>
      <c r="F75" s="84">
        <v>49915</v>
      </c>
      <c r="G75" s="84">
        <v>47861</v>
      </c>
      <c r="H75" s="84">
        <v>42439</v>
      </c>
      <c r="I75" s="84">
        <v>37753</v>
      </c>
      <c r="J75" s="84">
        <v>35284</v>
      </c>
      <c r="K75" s="84">
        <v>33640</v>
      </c>
      <c r="L75" s="84">
        <v>31768</v>
      </c>
      <c r="M75" s="84">
        <v>30049</v>
      </c>
      <c r="N75" s="84">
        <v>28582</v>
      </c>
      <c r="O75" s="84">
        <v>25686</v>
      </c>
      <c r="P75" s="84">
        <v>25372</v>
      </c>
      <c r="Q75" s="84">
        <v>25464</v>
      </c>
      <c r="R75" s="84">
        <v>26137</v>
      </c>
      <c r="S75" s="84">
        <v>27022</v>
      </c>
      <c r="T75" s="84">
        <v>26291</v>
      </c>
      <c r="U75" s="84">
        <v>28026</v>
      </c>
      <c r="V75" s="84">
        <v>30127</v>
      </c>
      <c r="W75" s="84">
        <v>33036</v>
      </c>
      <c r="X75" s="84">
        <v>35203</v>
      </c>
      <c r="Y75" s="84">
        <v>37799</v>
      </c>
      <c r="DA75" s="171" t="s">
        <v>518</v>
      </c>
    </row>
    <row r="76" spans="1:105" ht="11.45" customHeight="1" x14ac:dyDescent="0.25">
      <c r="A76" s="111" t="s">
        <v>111</v>
      </c>
      <c r="B76" s="84">
        <v>601332</v>
      </c>
      <c r="C76" s="84">
        <v>666498</v>
      </c>
      <c r="D76" s="84">
        <v>714126</v>
      </c>
      <c r="E76" s="84">
        <v>757999</v>
      </c>
      <c r="F76" s="84">
        <v>794846</v>
      </c>
      <c r="G76" s="84">
        <v>826524</v>
      </c>
      <c r="H76" s="84">
        <v>803023</v>
      </c>
      <c r="I76" s="84">
        <v>794504</v>
      </c>
      <c r="J76" s="84">
        <v>809945</v>
      </c>
      <c r="K76" s="84">
        <v>825102</v>
      </c>
      <c r="L76" s="84">
        <v>823018</v>
      </c>
      <c r="M76" s="84">
        <v>813346</v>
      </c>
      <c r="N76" s="84">
        <v>802792</v>
      </c>
      <c r="O76" s="84">
        <v>770747</v>
      </c>
      <c r="P76" s="84">
        <v>770207</v>
      </c>
      <c r="Q76" s="84">
        <v>783272</v>
      </c>
      <c r="R76" s="84">
        <v>807639</v>
      </c>
      <c r="S76" s="84">
        <v>835674</v>
      </c>
      <c r="T76" s="84">
        <v>851922</v>
      </c>
      <c r="U76" s="84">
        <v>868043</v>
      </c>
      <c r="V76" s="84">
        <v>881474</v>
      </c>
      <c r="W76" s="84">
        <v>907555</v>
      </c>
      <c r="X76" s="84">
        <v>914224</v>
      </c>
      <c r="Y76" s="84">
        <v>919240</v>
      </c>
      <c r="DA76" s="171" t="s">
        <v>519</v>
      </c>
    </row>
    <row r="77" spans="1:105" ht="11.45" customHeight="1" x14ac:dyDescent="0.25">
      <c r="A77" s="111" t="s">
        <v>112</v>
      </c>
      <c r="B77" s="84">
        <v>23369</v>
      </c>
      <c r="C77" s="84">
        <v>23516</v>
      </c>
      <c r="D77" s="84">
        <v>23406</v>
      </c>
      <c r="E77" s="84">
        <v>22794</v>
      </c>
      <c r="F77" s="84">
        <v>21756</v>
      </c>
      <c r="G77" s="84">
        <v>18847</v>
      </c>
      <c r="H77" s="84">
        <v>17292</v>
      </c>
      <c r="I77" s="84">
        <v>16591</v>
      </c>
      <c r="J77" s="84">
        <v>16574</v>
      </c>
      <c r="K77" s="84">
        <v>16585</v>
      </c>
      <c r="L77" s="84">
        <v>16379</v>
      </c>
      <c r="M77" s="84">
        <v>16293</v>
      </c>
      <c r="N77" s="84">
        <v>16094</v>
      </c>
      <c r="O77" s="84">
        <v>15894</v>
      </c>
      <c r="P77" s="84">
        <v>15605</v>
      </c>
      <c r="Q77" s="84">
        <v>15468</v>
      </c>
      <c r="R77" s="84">
        <v>15720</v>
      </c>
      <c r="S77" s="84">
        <v>16306</v>
      </c>
      <c r="T77" s="84">
        <v>17579</v>
      </c>
      <c r="U77" s="84">
        <v>22533</v>
      </c>
      <c r="V77" s="84">
        <v>23460</v>
      </c>
      <c r="W77" s="84">
        <v>21081</v>
      </c>
      <c r="X77" s="84">
        <v>22749</v>
      </c>
      <c r="Y77" s="84">
        <v>23112</v>
      </c>
      <c r="DA77" s="171" t="s">
        <v>520</v>
      </c>
    </row>
    <row r="78" spans="1:105" ht="11.45" customHeight="1" x14ac:dyDescent="0.25">
      <c r="A78" s="111" t="s">
        <v>113</v>
      </c>
      <c r="B78" s="84">
        <v>0</v>
      </c>
      <c r="C78" s="84">
        <v>0</v>
      </c>
      <c r="D78" s="84">
        <v>0</v>
      </c>
      <c r="E78" s="84">
        <v>84</v>
      </c>
      <c r="F78" s="84">
        <v>236</v>
      </c>
      <c r="G78" s="84">
        <v>223</v>
      </c>
      <c r="H78" s="84">
        <v>220</v>
      </c>
      <c r="I78" s="84">
        <v>500</v>
      </c>
      <c r="J78" s="84">
        <v>500</v>
      </c>
      <c r="K78" s="84">
        <v>843</v>
      </c>
      <c r="L78" s="84">
        <v>1190</v>
      </c>
      <c r="M78" s="84">
        <v>1546</v>
      </c>
      <c r="N78" s="84">
        <v>1803</v>
      </c>
      <c r="O78" s="84">
        <v>2173</v>
      </c>
      <c r="P78" s="84">
        <v>2512</v>
      </c>
      <c r="Q78" s="84">
        <v>2719</v>
      </c>
      <c r="R78" s="84">
        <v>1590</v>
      </c>
      <c r="S78" s="84">
        <v>2192</v>
      </c>
      <c r="T78" s="84">
        <v>4100</v>
      </c>
      <c r="U78" s="84">
        <v>4306</v>
      </c>
      <c r="V78" s="84">
        <v>4434</v>
      </c>
      <c r="W78" s="84">
        <v>4142</v>
      </c>
      <c r="X78" s="84">
        <v>3972</v>
      </c>
      <c r="Y78" s="84">
        <v>2773</v>
      </c>
      <c r="DA78" s="171" t="s">
        <v>521</v>
      </c>
    </row>
    <row r="79" spans="1:105" ht="11.45" customHeight="1" x14ac:dyDescent="0.25">
      <c r="A79" s="111" t="s">
        <v>115</v>
      </c>
      <c r="B79" s="84">
        <v>0</v>
      </c>
      <c r="C79" s="84">
        <v>0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0</v>
      </c>
      <c r="L79" s="84">
        <v>0</v>
      </c>
      <c r="M79" s="84">
        <v>16</v>
      </c>
      <c r="N79" s="84">
        <v>395</v>
      </c>
      <c r="O79" s="84">
        <v>669</v>
      </c>
      <c r="P79" s="84">
        <v>1258</v>
      </c>
      <c r="Q79" s="84">
        <v>1460</v>
      </c>
      <c r="R79" s="84">
        <v>1546</v>
      </c>
      <c r="S79" s="84">
        <v>2156</v>
      </c>
      <c r="T79" s="84">
        <v>3113</v>
      </c>
      <c r="U79" s="84">
        <v>4343</v>
      </c>
      <c r="V79" s="84">
        <v>5938</v>
      </c>
      <c r="W79" s="84">
        <v>8978</v>
      </c>
      <c r="X79" s="84">
        <v>13693</v>
      </c>
      <c r="Y79" s="84">
        <v>23553</v>
      </c>
      <c r="DA79" s="171" t="s">
        <v>522</v>
      </c>
    </row>
    <row r="80" spans="1:105" ht="11.45" customHeight="1" x14ac:dyDescent="0.25">
      <c r="A80" s="109" t="s">
        <v>154</v>
      </c>
      <c r="B80" s="110">
        <f t="shared" ref="B80:K80" si="142">SUM(B81:B82)</f>
        <v>113644</v>
      </c>
      <c r="C80" s="110">
        <f t="shared" si="142"/>
        <v>117441</v>
      </c>
      <c r="D80" s="110">
        <f t="shared" si="142"/>
        <v>117828</v>
      </c>
      <c r="E80" s="110">
        <f t="shared" si="142"/>
        <v>116096</v>
      </c>
      <c r="F80" s="110">
        <f t="shared" si="142"/>
        <v>101061</v>
      </c>
      <c r="G80" s="110">
        <f t="shared" si="142"/>
        <v>103291</v>
      </c>
      <c r="H80" s="110">
        <f t="shared" si="142"/>
        <v>102389</v>
      </c>
      <c r="I80" s="110">
        <f t="shared" si="142"/>
        <v>111129</v>
      </c>
      <c r="J80" s="110">
        <f t="shared" si="142"/>
        <v>111020</v>
      </c>
      <c r="K80" s="110">
        <f t="shared" si="142"/>
        <v>115759</v>
      </c>
      <c r="L80" s="110">
        <f t="shared" ref="L80" si="143">SUM(L81:L82)</f>
        <v>116064</v>
      </c>
      <c r="M80" s="110">
        <f t="shared" ref="M80:V80" si="144">SUM(M81:M82)</f>
        <v>113849</v>
      </c>
      <c r="N80" s="110">
        <f t="shared" si="144"/>
        <v>114829</v>
      </c>
      <c r="O80" s="110">
        <f t="shared" si="144"/>
        <v>112255</v>
      </c>
      <c r="P80" s="110">
        <f t="shared" si="144"/>
        <v>110513</v>
      </c>
      <c r="Q80" s="110">
        <f t="shared" si="144"/>
        <v>111725</v>
      </c>
      <c r="R80" s="110">
        <f t="shared" si="144"/>
        <v>116784</v>
      </c>
      <c r="S80" s="110">
        <f t="shared" si="144"/>
        <v>118609</v>
      </c>
      <c r="T80" s="110">
        <f t="shared" si="144"/>
        <v>120799</v>
      </c>
      <c r="U80" s="110">
        <f t="shared" si="144"/>
        <v>125398</v>
      </c>
      <c r="V80" s="110">
        <f t="shared" si="144"/>
        <v>125658</v>
      </c>
      <c r="W80" s="110">
        <f t="shared" ref="W80:Y80" si="145">SUM(W81:W82)</f>
        <v>126743</v>
      </c>
      <c r="X80" s="110">
        <f t="shared" si="145"/>
        <v>134244</v>
      </c>
      <c r="Y80" s="110">
        <f t="shared" si="145"/>
        <v>136271</v>
      </c>
      <c r="DA80" s="176" t="s">
        <v>523</v>
      </c>
    </row>
    <row r="81" spans="1:105" ht="11.45" customHeight="1" x14ac:dyDescent="0.25">
      <c r="A81" s="128" t="s">
        <v>27</v>
      </c>
      <c r="B81" s="102">
        <v>102971</v>
      </c>
      <c r="C81" s="102">
        <v>105998</v>
      </c>
      <c r="D81" s="102">
        <v>105790</v>
      </c>
      <c r="E81" s="102">
        <v>103792</v>
      </c>
      <c r="F81" s="102">
        <v>86513</v>
      </c>
      <c r="G81" s="102">
        <v>88232</v>
      </c>
      <c r="H81" s="102">
        <v>86461</v>
      </c>
      <c r="I81" s="102">
        <v>95044</v>
      </c>
      <c r="J81" s="102">
        <v>94652</v>
      </c>
      <c r="K81" s="102">
        <v>100642</v>
      </c>
      <c r="L81" s="102">
        <v>100210</v>
      </c>
      <c r="M81" s="102">
        <v>98186</v>
      </c>
      <c r="N81" s="102">
        <v>99526</v>
      </c>
      <c r="O81" s="102">
        <v>96659</v>
      </c>
      <c r="P81" s="102">
        <v>94462</v>
      </c>
      <c r="Q81" s="102">
        <v>95313</v>
      </c>
      <c r="R81" s="102">
        <v>99257</v>
      </c>
      <c r="S81" s="102">
        <v>100902</v>
      </c>
      <c r="T81" s="102">
        <v>103468</v>
      </c>
      <c r="U81" s="102">
        <v>107272</v>
      </c>
      <c r="V81" s="102">
        <v>107033</v>
      </c>
      <c r="W81" s="102">
        <v>108176</v>
      </c>
      <c r="X81" s="102">
        <v>116100</v>
      </c>
      <c r="Y81" s="102">
        <v>118744</v>
      </c>
      <c r="DA81" s="175" t="s">
        <v>524</v>
      </c>
    </row>
    <row r="82" spans="1:105" ht="11.45" customHeight="1" x14ac:dyDescent="0.25">
      <c r="A82" s="138" t="s">
        <v>116</v>
      </c>
      <c r="B82" s="86">
        <v>10673</v>
      </c>
      <c r="C82" s="86">
        <v>11443</v>
      </c>
      <c r="D82" s="86">
        <v>12038</v>
      </c>
      <c r="E82" s="86">
        <v>12304</v>
      </c>
      <c r="F82" s="86">
        <v>14548</v>
      </c>
      <c r="G82" s="86">
        <v>15059</v>
      </c>
      <c r="H82" s="86">
        <v>15928</v>
      </c>
      <c r="I82" s="86">
        <v>16085</v>
      </c>
      <c r="J82" s="86">
        <v>16368</v>
      </c>
      <c r="K82" s="86">
        <v>15117</v>
      </c>
      <c r="L82" s="86">
        <v>15854</v>
      </c>
      <c r="M82" s="86">
        <v>15663</v>
      </c>
      <c r="N82" s="86">
        <v>15303</v>
      </c>
      <c r="O82" s="86">
        <v>15596</v>
      </c>
      <c r="P82" s="86">
        <v>16051</v>
      </c>
      <c r="Q82" s="86">
        <v>16412</v>
      </c>
      <c r="R82" s="86">
        <v>17527</v>
      </c>
      <c r="S82" s="86">
        <v>17707</v>
      </c>
      <c r="T82" s="86">
        <v>17331</v>
      </c>
      <c r="U82" s="86">
        <v>18126</v>
      </c>
      <c r="V82" s="86">
        <v>18625</v>
      </c>
      <c r="W82" s="86">
        <v>18567</v>
      </c>
      <c r="X82" s="86">
        <v>18144</v>
      </c>
      <c r="Y82" s="86">
        <v>17527</v>
      </c>
      <c r="DA82" s="178" t="s">
        <v>525</v>
      </c>
    </row>
    <row r="83" spans="1:105" ht="11.45" hidden="1" customHeight="1" x14ac:dyDescent="0.25">
      <c r="A83" s="106"/>
      <c r="B83" s="106"/>
      <c r="C83" s="106"/>
      <c r="D83" s="106"/>
      <c r="E83" s="106"/>
      <c r="F83" s="106"/>
      <c r="G83" s="106"/>
      <c r="H83" s="106"/>
      <c r="I83" s="106"/>
      <c r="J83" s="106"/>
      <c r="K83" s="106"/>
      <c r="L83" s="106"/>
      <c r="M83" s="106"/>
      <c r="N83" s="106"/>
      <c r="O83" s="106"/>
      <c r="P83" s="106"/>
      <c r="Q83" s="106"/>
      <c r="R83" s="106"/>
      <c r="S83" s="106"/>
      <c r="T83" s="106"/>
      <c r="U83" s="106"/>
      <c r="V83" s="106"/>
      <c r="W83" s="106"/>
      <c r="X83" s="106"/>
      <c r="Y83" s="106"/>
      <c r="DA83" s="171"/>
    </row>
    <row r="84" spans="1:105" ht="11.45" hidden="1" customHeight="1" x14ac:dyDescent="0.25">
      <c r="A84" s="53" t="s">
        <v>135</v>
      </c>
      <c r="B84" s="54">
        <f t="shared" ref="B84:C84" si="146">B85+B100</f>
        <v>8134947</v>
      </c>
      <c r="C84" s="54">
        <f t="shared" si="146"/>
        <v>8388448</v>
      </c>
      <c r="D84" s="54">
        <f t="shared" ref="D84:V84" si="147">D85+D100</f>
        <v>8639793</v>
      </c>
      <c r="E84" s="54">
        <f t="shared" si="147"/>
        <v>8833702</v>
      </c>
      <c r="F84" s="54">
        <f t="shared" si="147"/>
        <v>8926982</v>
      </c>
      <c r="G84" s="54">
        <f t="shared" si="147"/>
        <v>9112900</v>
      </c>
      <c r="H84" s="54">
        <f t="shared" si="147"/>
        <v>9348354</v>
      </c>
      <c r="I84" s="54">
        <f t="shared" si="147"/>
        <v>9573112</v>
      </c>
      <c r="J84" s="54">
        <f t="shared" si="147"/>
        <v>9855793</v>
      </c>
      <c r="K84" s="54">
        <f t="shared" si="147"/>
        <v>10124735</v>
      </c>
      <c r="L84" s="54">
        <f t="shared" si="147"/>
        <v>10286701</v>
      </c>
      <c r="M84" s="54">
        <f t="shared" si="147"/>
        <v>10430594</v>
      </c>
      <c r="N84" s="54">
        <f t="shared" si="147"/>
        <v>10572681</v>
      </c>
      <c r="O84" s="54">
        <f t="shared" si="147"/>
        <v>10609470</v>
      </c>
      <c r="P84" s="54">
        <f t="shared" si="147"/>
        <v>10644810</v>
      </c>
      <c r="Q84" s="54">
        <f t="shared" si="147"/>
        <v>10853946</v>
      </c>
      <c r="R84" s="54">
        <f t="shared" si="147"/>
        <v>11036119</v>
      </c>
      <c r="S84" s="54">
        <f t="shared" si="147"/>
        <v>11258186</v>
      </c>
      <c r="T84" s="54">
        <f t="shared" si="147"/>
        <v>11372618</v>
      </c>
      <c r="U84" s="54">
        <f t="shared" si="147"/>
        <v>11577030</v>
      </c>
      <c r="V84" s="54">
        <f t="shared" si="147"/>
        <v>11761143</v>
      </c>
      <c r="W84" s="54">
        <f t="shared" ref="W84:Y84" si="148">W85+W100</f>
        <v>11826747</v>
      </c>
      <c r="X84" s="54">
        <f t="shared" si="148"/>
        <v>11965355</v>
      </c>
      <c r="Y84" s="54">
        <f t="shared" si="148"/>
        <v>12112250</v>
      </c>
      <c r="DA84" s="172"/>
    </row>
    <row r="85" spans="1:105" ht="11.45" hidden="1" customHeight="1" x14ac:dyDescent="0.25">
      <c r="A85" s="27" t="s">
        <v>33</v>
      </c>
      <c r="B85" s="28">
        <f t="shared" ref="B85:C85" si="149">B86+B87+B94</f>
        <v>7325168</v>
      </c>
      <c r="C85" s="28">
        <f t="shared" si="149"/>
        <v>7515231</v>
      </c>
      <c r="D85" s="28">
        <f t="shared" ref="D85:V85" si="150">D86+D87+D94</f>
        <v>7724371</v>
      </c>
      <c r="E85" s="28">
        <f t="shared" si="150"/>
        <v>7881896</v>
      </c>
      <c r="F85" s="28">
        <f t="shared" si="150"/>
        <v>7959168</v>
      </c>
      <c r="G85" s="28">
        <f t="shared" si="150"/>
        <v>8116154</v>
      </c>
      <c r="H85" s="28">
        <f t="shared" si="150"/>
        <v>8382991</v>
      </c>
      <c r="I85" s="28">
        <f t="shared" si="150"/>
        <v>8612635</v>
      </c>
      <c r="J85" s="28">
        <f t="shared" si="150"/>
        <v>8882470</v>
      </c>
      <c r="K85" s="28">
        <f t="shared" si="150"/>
        <v>9132806</v>
      </c>
      <c r="L85" s="28">
        <f t="shared" si="150"/>
        <v>9298282</v>
      </c>
      <c r="M85" s="28">
        <f t="shared" si="150"/>
        <v>9455495</v>
      </c>
      <c r="N85" s="28">
        <f t="shared" si="150"/>
        <v>9608186</v>
      </c>
      <c r="O85" s="28">
        <f t="shared" si="150"/>
        <v>9682046</v>
      </c>
      <c r="P85" s="28">
        <f t="shared" si="150"/>
        <v>9719343</v>
      </c>
      <c r="Q85" s="28">
        <f t="shared" si="150"/>
        <v>9913838</v>
      </c>
      <c r="R85" s="28">
        <f t="shared" si="150"/>
        <v>10066703</v>
      </c>
      <c r="S85" s="28">
        <f t="shared" si="150"/>
        <v>10256227</v>
      </c>
      <c r="T85" s="28">
        <f t="shared" si="150"/>
        <v>10348814</v>
      </c>
      <c r="U85" s="28">
        <f t="shared" si="150"/>
        <v>10524381</v>
      </c>
      <c r="V85" s="28">
        <f t="shared" si="150"/>
        <v>10690052</v>
      </c>
      <c r="W85" s="28">
        <f t="shared" ref="W85:Y85" si="151">W86+W87+W94</f>
        <v>10725212</v>
      </c>
      <c r="X85" s="28">
        <f t="shared" si="151"/>
        <v>10841270</v>
      </c>
      <c r="Y85" s="28">
        <f t="shared" si="151"/>
        <v>10969502</v>
      </c>
      <c r="DA85" s="173"/>
    </row>
    <row r="86" spans="1:105" ht="11.45" hidden="1" customHeight="1" x14ac:dyDescent="0.25">
      <c r="A86" s="136" t="s">
        <v>173</v>
      </c>
      <c r="B86" s="137">
        <v>970798</v>
      </c>
      <c r="C86" s="137">
        <v>964822</v>
      </c>
      <c r="D86" s="137">
        <v>1002450</v>
      </c>
      <c r="E86" s="137">
        <v>1015567</v>
      </c>
      <c r="F86" s="137">
        <v>1038934</v>
      </c>
      <c r="G86" s="137">
        <v>1112949</v>
      </c>
      <c r="H86" s="137">
        <v>1279703</v>
      </c>
      <c r="I86" s="137">
        <v>1371612</v>
      </c>
      <c r="J86" s="137">
        <v>1479476</v>
      </c>
      <c r="K86" s="137">
        <v>1579143</v>
      </c>
      <c r="L86" s="137">
        <v>1664295</v>
      </c>
      <c r="M86" s="137">
        <v>1708671</v>
      </c>
      <c r="N86" s="137">
        <v>1738488</v>
      </c>
      <c r="O86" s="137">
        <v>1755969</v>
      </c>
      <c r="P86" s="137">
        <v>1777131</v>
      </c>
      <c r="Q86" s="137">
        <v>1803377</v>
      </c>
      <c r="R86" s="137">
        <v>1834291</v>
      </c>
      <c r="S86" s="137">
        <v>1873161</v>
      </c>
      <c r="T86" s="137">
        <v>1895918</v>
      </c>
      <c r="U86" s="137">
        <v>1929268</v>
      </c>
      <c r="V86" s="137">
        <v>1993077</v>
      </c>
      <c r="W86" s="137">
        <v>1887312</v>
      </c>
      <c r="X86" s="137">
        <v>1913668</v>
      </c>
      <c r="Y86" s="137">
        <v>1891738</v>
      </c>
      <c r="DA86" s="174"/>
    </row>
    <row r="87" spans="1:105" ht="11.45" hidden="1" customHeight="1" x14ac:dyDescent="0.25">
      <c r="A87" s="109" t="s">
        <v>20</v>
      </c>
      <c r="B87" s="110">
        <f t="shared" ref="B87:C87" si="152">SUM(B88:B93)</f>
        <v>6343164</v>
      </c>
      <c r="C87" s="110">
        <f t="shared" si="152"/>
        <v>6539040</v>
      </c>
      <c r="D87" s="110">
        <f t="shared" ref="D87:V87" si="153">SUM(D88:D93)</f>
        <v>6710595</v>
      </c>
      <c r="E87" s="110">
        <f t="shared" si="153"/>
        <v>6854947</v>
      </c>
      <c r="F87" s="110">
        <f t="shared" si="153"/>
        <v>6908890</v>
      </c>
      <c r="G87" s="110">
        <f t="shared" si="153"/>
        <v>6991974</v>
      </c>
      <c r="H87" s="110">
        <f t="shared" si="153"/>
        <v>7092293</v>
      </c>
      <c r="I87" s="110">
        <f t="shared" si="153"/>
        <v>7230178</v>
      </c>
      <c r="J87" s="110">
        <f t="shared" si="153"/>
        <v>7391903</v>
      </c>
      <c r="K87" s="110">
        <f t="shared" si="153"/>
        <v>7542331</v>
      </c>
      <c r="L87" s="110">
        <f t="shared" si="153"/>
        <v>7622353</v>
      </c>
      <c r="M87" s="110">
        <f t="shared" si="153"/>
        <v>7735547</v>
      </c>
      <c r="N87" s="110">
        <f t="shared" si="153"/>
        <v>7858712</v>
      </c>
      <c r="O87" s="110">
        <f t="shared" si="153"/>
        <v>7915613</v>
      </c>
      <c r="P87" s="110">
        <f t="shared" si="153"/>
        <v>7932290</v>
      </c>
      <c r="Q87" s="110">
        <f t="shared" si="153"/>
        <v>8100864</v>
      </c>
      <c r="R87" s="110">
        <f t="shared" si="153"/>
        <v>8223001</v>
      </c>
      <c r="S87" s="110">
        <f t="shared" si="153"/>
        <v>8373244</v>
      </c>
      <c r="T87" s="110">
        <f t="shared" si="153"/>
        <v>8442982</v>
      </c>
      <c r="U87" s="110">
        <f t="shared" si="153"/>
        <v>8584391</v>
      </c>
      <c r="V87" s="110">
        <f t="shared" si="153"/>
        <v>8686419</v>
      </c>
      <c r="W87" s="110">
        <f t="shared" ref="W87:Y87" si="154">SUM(W88:W93)</f>
        <v>8827709</v>
      </c>
      <c r="X87" s="110">
        <f t="shared" si="154"/>
        <v>8917107</v>
      </c>
      <c r="Y87" s="110">
        <f t="shared" si="154"/>
        <v>9067393</v>
      </c>
      <c r="DA87" s="176"/>
    </row>
    <row r="88" spans="1:105" ht="11.45" hidden="1" customHeight="1" x14ac:dyDescent="0.25">
      <c r="A88" s="111" t="s">
        <v>110</v>
      </c>
      <c r="B88" s="84">
        <v>5048616</v>
      </c>
      <c r="C88" s="84">
        <v>5178493</v>
      </c>
      <c r="D88" s="84">
        <v>5310422</v>
      </c>
      <c r="E88" s="84">
        <v>5420603</v>
      </c>
      <c r="F88" s="84">
        <v>5455377</v>
      </c>
      <c r="G88" s="84">
        <v>5515708</v>
      </c>
      <c r="H88" s="84">
        <v>5578392</v>
      </c>
      <c r="I88" s="84">
        <v>5677085</v>
      </c>
      <c r="J88" s="84">
        <v>5832044</v>
      </c>
      <c r="K88" s="84">
        <v>5980613</v>
      </c>
      <c r="L88" s="84">
        <v>6082240</v>
      </c>
      <c r="M88" s="84">
        <v>6193380</v>
      </c>
      <c r="N88" s="84">
        <v>6314739</v>
      </c>
      <c r="O88" s="84">
        <v>6362086</v>
      </c>
      <c r="P88" s="84">
        <v>6383710</v>
      </c>
      <c r="Q88" s="84">
        <v>6495615</v>
      </c>
      <c r="R88" s="84">
        <v>6630603</v>
      </c>
      <c r="S88" s="84">
        <v>6787939</v>
      </c>
      <c r="T88" s="84">
        <v>6890413</v>
      </c>
      <c r="U88" s="84">
        <v>7045184</v>
      </c>
      <c r="V88" s="84">
        <v>7184763</v>
      </c>
      <c r="W88" s="84">
        <v>7318356</v>
      </c>
      <c r="X88" s="84">
        <v>7381778</v>
      </c>
      <c r="Y88" s="84">
        <v>7443996</v>
      </c>
      <c r="DA88" s="171"/>
    </row>
    <row r="89" spans="1:105" ht="11.45" hidden="1" customHeight="1" x14ac:dyDescent="0.25">
      <c r="A89" s="111" t="s">
        <v>111</v>
      </c>
      <c r="B89" s="84">
        <v>822548</v>
      </c>
      <c r="C89" s="84">
        <v>880670</v>
      </c>
      <c r="D89" s="84">
        <v>930610</v>
      </c>
      <c r="E89" s="84">
        <v>984768</v>
      </c>
      <c r="F89" s="84">
        <v>1025903</v>
      </c>
      <c r="G89" s="84">
        <v>1072336</v>
      </c>
      <c r="H89" s="84">
        <v>1135051</v>
      </c>
      <c r="I89" s="84">
        <v>1200360</v>
      </c>
      <c r="J89" s="84">
        <v>1233887</v>
      </c>
      <c r="K89" s="84">
        <v>1262700</v>
      </c>
      <c r="L89" s="84">
        <v>1266982</v>
      </c>
      <c r="M89" s="84">
        <v>1299185</v>
      </c>
      <c r="N89" s="84">
        <v>1328046</v>
      </c>
      <c r="O89" s="84">
        <v>1316034</v>
      </c>
      <c r="P89" s="84">
        <v>1308715</v>
      </c>
      <c r="Q89" s="84">
        <v>1339163</v>
      </c>
      <c r="R89" s="84">
        <v>1336750</v>
      </c>
      <c r="S89" s="84">
        <v>1330834</v>
      </c>
      <c r="T89" s="84">
        <v>1284620</v>
      </c>
      <c r="U89" s="84">
        <v>1201485</v>
      </c>
      <c r="V89" s="84">
        <v>1095198</v>
      </c>
      <c r="W89" s="84">
        <v>1010944</v>
      </c>
      <c r="X89" s="84">
        <v>907603</v>
      </c>
      <c r="Y89" s="84">
        <v>811292</v>
      </c>
      <c r="DA89" s="171"/>
    </row>
    <row r="90" spans="1:105" ht="11.45" hidden="1" customHeight="1" x14ac:dyDescent="0.25">
      <c r="A90" s="111" t="s">
        <v>112</v>
      </c>
      <c r="B90" s="84">
        <v>472000</v>
      </c>
      <c r="C90" s="84">
        <v>479877</v>
      </c>
      <c r="D90" s="84">
        <v>469563</v>
      </c>
      <c r="E90" s="84">
        <v>449576</v>
      </c>
      <c r="F90" s="84">
        <v>427610</v>
      </c>
      <c r="G90" s="84">
        <v>403930</v>
      </c>
      <c r="H90" s="84">
        <v>378850</v>
      </c>
      <c r="I90" s="84">
        <v>352733</v>
      </c>
      <c r="J90" s="84">
        <v>325972</v>
      </c>
      <c r="K90" s="84">
        <v>298990</v>
      </c>
      <c r="L90" s="84">
        <v>272905</v>
      </c>
      <c r="M90" s="84">
        <v>241445</v>
      </c>
      <c r="N90" s="84">
        <v>203851</v>
      </c>
      <c r="O90" s="84">
        <v>202322</v>
      </c>
      <c r="P90" s="84">
        <v>186366</v>
      </c>
      <c r="Q90" s="84">
        <v>168234</v>
      </c>
      <c r="R90" s="84">
        <v>143542</v>
      </c>
      <c r="S90" s="84">
        <v>132989</v>
      </c>
      <c r="T90" s="84">
        <v>119489</v>
      </c>
      <c r="U90" s="84">
        <v>130637</v>
      </c>
      <c r="V90" s="84">
        <v>123694</v>
      </c>
      <c r="W90" s="84">
        <v>108602</v>
      </c>
      <c r="X90" s="84">
        <v>104946</v>
      </c>
      <c r="Y90" s="84">
        <v>103267</v>
      </c>
      <c r="DA90" s="171"/>
    </row>
    <row r="91" spans="1:105" ht="11.45" hidden="1" customHeight="1" x14ac:dyDescent="0.25">
      <c r="A91" s="111" t="s">
        <v>113</v>
      </c>
      <c r="B91" s="84">
        <v>0</v>
      </c>
      <c r="C91" s="84">
        <v>0</v>
      </c>
      <c r="D91" s="84">
        <v>0</v>
      </c>
      <c r="E91" s="84">
        <v>0</v>
      </c>
      <c r="F91" s="84">
        <v>0</v>
      </c>
      <c r="G91" s="84">
        <v>0</v>
      </c>
      <c r="H91" s="84">
        <v>0</v>
      </c>
      <c r="I91" s="84">
        <v>0</v>
      </c>
      <c r="J91" s="84">
        <v>0</v>
      </c>
      <c r="K91" s="84">
        <v>0</v>
      </c>
      <c r="L91" s="84">
        <v>140</v>
      </c>
      <c r="M91" s="84">
        <v>673</v>
      </c>
      <c r="N91" s="84">
        <v>5650</v>
      </c>
      <c r="O91" s="84">
        <v>6498</v>
      </c>
      <c r="P91" s="84">
        <v>9737</v>
      </c>
      <c r="Q91" s="84">
        <v>10321</v>
      </c>
      <c r="R91" s="84">
        <v>3148</v>
      </c>
      <c r="S91" s="84">
        <v>3637</v>
      </c>
      <c r="T91" s="84">
        <v>10241</v>
      </c>
      <c r="U91" s="84">
        <v>10227</v>
      </c>
      <c r="V91" s="84">
        <v>9869</v>
      </c>
      <c r="W91" s="84">
        <v>8472</v>
      </c>
      <c r="X91" s="84">
        <v>7538</v>
      </c>
      <c r="Y91" s="84">
        <v>2742</v>
      </c>
      <c r="DA91" s="171"/>
    </row>
    <row r="92" spans="1:105" ht="11.45" hidden="1" customHeight="1" x14ac:dyDescent="0.25">
      <c r="A92" s="111" t="s">
        <v>114</v>
      </c>
      <c r="B92" s="84">
        <v>0</v>
      </c>
      <c r="C92" s="84">
        <v>0</v>
      </c>
      <c r="D92" s="84">
        <v>0</v>
      </c>
      <c r="E92" s="84">
        <v>0</v>
      </c>
      <c r="F92" s="84">
        <v>0</v>
      </c>
      <c r="G92" s="84">
        <v>0</v>
      </c>
      <c r="H92" s="84">
        <v>0</v>
      </c>
      <c r="I92" s="84">
        <v>0</v>
      </c>
      <c r="J92" s="84">
        <v>0</v>
      </c>
      <c r="K92" s="84">
        <v>0</v>
      </c>
      <c r="L92" s="84">
        <v>0</v>
      </c>
      <c r="M92" s="84">
        <v>15</v>
      </c>
      <c r="N92" s="84">
        <v>4326</v>
      </c>
      <c r="O92" s="84">
        <v>24512</v>
      </c>
      <c r="P92" s="84">
        <v>36937</v>
      </c>
      <c r="Q92" s="84">
        <v>78163</v>
      </c>
      <c r="R92" s="84">
        <v>96156</v>
      </c>
      <c r="S92" s="84">
        <v>97047</v>
      </c>
      <c r="T92" s="84">
        <v>94719</v>
      </c>
      <c r="U92" s="84">
        <v>91850</v>
      </c>
      <c r="V92" s="84">
        <v>100371</v>
      </c>
      <c r="W92" s="84">
        <v>137673</v>
      </c>
      <c r="X92" s="84">
        <v>186947</v>
      </c>
      <c r="Y92" s="84">
        <v>263687</v>
      </c>
      <c r="DA92" s="171"/>
    </row>
    <row r="93" spans="1:105" ht="11.45" hidden="1" customHeight="1" x14ac:dyDescent="0.25">
      <c r="A93" s="111" t="s">
        <v>115</v>
      </c>
      <c r="B93" s="84">
        <v>0</v>
      </c>
      <c r="C93" s="84">
        <v>0</v>
      </c>
      <c r="D93" s="84">
        <v>0</v>
      </c>
      <c r="E93" s="84">
        <v>0</v>
      </c>
      <c r="F93" s="84">
        <v>0</v>
      </c>
      <c r="G93" s="84">
        <v>0</v>
      </c>
      <c r="H93" s="84">
        <v>0</v>
      </c>
      <c r="I93" s="84">
        <v>0</v>
      </c>
      <c r="J93" s="84">
        <v>0</v>
      </c>
      <c r="K93" s="84">
        <v>28</v>
      </c>
      <c r="L93" s="84">
        <v>86</v>
      </c>
      <c r="M93" s="84">
        <v>849</v>
      </c>
      <c r="N93" s="84">
        <v>2100</v>
      </c>
      <c r="O93" s="84">
        <v>4161</v>
      </c>
      <c r="P93" s="84">
        <v>6825</v>
      </c>
      <c r="Q93" s="84">
        <v>9368</v>
      </c>
      <c r="R93" s="84">
        <v>12802</v>
      </c>
      <c r="S93" s="84">
        <v>20798</v>
      </c>
      <c r="T93" s="84">
        <v>43500</v>
      </c>
      <c r="U93" s="84">
        <v>105008</v>
      </c>
      <c r="V93" s="84">
        <v>172524</v>
      </c>
      <c r="W93" s="84">
        <v>243662</v>
      </c>
      <c r="X93" s="84">
        <v>328295</v>
      </c>
      <c r="Y93" s="84">
        <v>442409</v>
      </c>
      <c r="DA93" s="171"/>
    </row>
    <row r="94" spans="1:105" ht="11.45" hidden="1" customHeight="1" x14ac:dyDescent="0.25">
      <c r="A94" s="109" t="s">
        <v>21</v>
      </c>
      <c r="B94" s="110">
        <f t="shared" ref="B94:C94" si="155">SUM(B95:B99)</f>
        <v>11206</v>
      </c>
      <c r="C94" s="110">
        <f t="shared" si="155"/>
        <v>11369</v>
      </c>
      <c r="D94" s="110">
        <f t="shared" ref="D94:V94" si="156">SUM(D95:D99)</f>
        <v>11326</v>
      </c>
      <c r="E94" s="110">
        <f t="shared" si="156"/>
        <v>11382</v>
      </c>
      <c r="F94" s="110">
        <f t="shared" si="156"/>
        <v>11344</v>
      </c>
      <c r="G94" s="110">
        <f t="shared" si="156"/>
        <v>11231</v>
      </c>
      <c r="H94" s="110">
        <f t="shared" si="156"/>
        <v>10995</v>
      </c>
      <c r="I94" s="110">
        <f t="shared" si="156"/>
        <v>10845</v>
      </c>
      <c r="J94" s="110">
        <f t="shared" si="156"/>
        <v>11091</v>
      </c>
      <c r="K94" s="110">
        <f t="shared" si="156"/>
        <v>11332</v>
      </c>
      <c r="L94" s="110">
        <f t="shared" si="156"/>
        <v>11634</v>
      </c>
      <c r="M94" s="110">
        <f t="shared" si="156"/>
        <v>11277</v>
      </c>
      <c r="N94" s="110">
        <f t="shared" si="156"/>
        <v>10986</v>
      </c>
      <c r="O94" s="110">
        <f t="shared" si="156"/>
        <v>10464</v>
      </c>
      <c r="P94" s="110">
        <f t="shared" si="156"/>
        <v>9922</v>
      </c>
      <c r="Q94" s="110">
        <f t="shared" si="156"/>
        <v>9597</v>
      </c>
      <c r="R94" s="110">
        <f t="shared" si="156"/>
        <v>9411</v>
      </c>
      <c r="S94" s="110">
        <f t="shared" si="156"/>
        <v>9822</v>
      </c>
      <c r="T94" s="110">
        <f t="shared" si="156"/>
        <v>9914</v>
      </c>
      <c r="U94" s="110">
        <f t="shared" si="156"/>
        <v>10722</v>
      </c>
      <c r="V94" s="110">
        <f t="shared" si="156"/>
        <v>10556</v>
      </c>
      <c r="W94" s="110">
        <f t="shared" ref="W94:Y94" si="157">SUM(W95:W99)</f>
        <v>10191</v>
      </c>
      <c r="X94" s="110">
        <f t="shared" si="157"/>
        <v>10495</v>
      </c>
      <c r="Y94" s="110">
        <f t="shared" si="157"/>
        <v>10371</v>
      </c>
      <c r="DA94" s="176"/>
    </row>
    <row r="95" spans="1:105" ht="11.45" hidden="1" customHeight="1" x14ac:dyDescent="0.25">
      <c r="A95" s="111" t="s">
        <v>110</v>
      </c>
      <c r="B95" s="102">
        <v>14</v>
      </c>
      <c r="C95" s="102">
        <v>18</v>
      </c>
      <c r="D95" s="102">
        <v>22</v>
      </c>
      <c r="E95" s="102">
        <v>26</v>
      </c>
      <c r="F95" s="102">
        <v>25</v>
      </c>
      <c r="G95" s="102">
        <v>27</v>
      </c>
      <c r="H95" s="102">
        <v>28</v>
      </c>
      <c r="I95" s="102">
        <v>30</v>
      </c>
      <c r="J95" s="102">
        <v>30</v>
      </c>
      <c r="K95" s="102">
        <v>31</v>
      </c>
      <c r="L95" s="102">
        <v>34</v>
      </c>
      <c r="M95" s="102">
        <v>28</v>
      </c>
      <c r="N95" s="102">
        <v>17</v>
      </c>
      <c r="O95" s="102">
        <v>15</v>
      </c>
      <c r="P95" s="102">
        <v>14</v>
      </c>
      <c r="Q95" s="102">
        <v>23</v>
      </c>
      <c r="R95" s="102">
        <v>28</v>
      </c>
      <c r="S95" s="102">
        <v>25</v>
      </c>
      <c r="T95" s="102">
        <v>23</v>
      </c>
      <c r="U95" s="102">
        <v>113</v>
      </c>
      <c r="V95" s="102">
        <v>109</v>
      </c>
      <c r="W95" s="102">
        <v>126</v>
      </c>
      <c r="X95" s="102">
        <v>155</v>
      </c>
      <c r="Y95" s="102">
        <v>156</v>
      </c>
      <c r="DA95" s="175"/>
    </row>
    <row r="96" spans="1:105" ht="11.45" hidden="1" customHeight="1" x14ac:dyDescent="0.25">
      <c r="A96" s="111" t="s">
        <v>111</v>
      </c>
      <c r="B96" s="102">
        <v>10950</v>
      </c>
      <c r="C96" s="102">
        <v>11120</v>
      </c>
      <c r="D96" s="102">
        <v>11081</v>
      </c>
      <c r="E96" s="102">
        <v>11153</v>
      </c>
      <c r="F96" s="102">
        <v>11125</v>
      </c>
      <c r="G96" s="102">
        <v>10974</v>
      </c>
      <c r="H96" s="102">
        <v>10733</v>
      </c>
      <c r="I96" s="102">
        <v>10577</v>
      </c>
      <c r="J96" s="102">
        <v>10787</v>
      </c>
      <c r="K96" s="102">
        <v>10895</v>
      </c>
      <c r="L96" s="102">
        <v>11077</v>
      </c>
      <c r="M96" s="102">
        <v>10489</v>
      </c>
      <c r="N96" s="102">
        <v>10013</v>
      </c>
      <c r="O96" s="102">
        <v>8795</v>
      </c>
      <c r="P96" s="102">
        <v>8214</v>
      </c>
      <c r="Q96" s="102">
        <v>7753</v>
      </c>
      <c r="R96" s="102">
        <v>7331</v>
      </c>
      <c r="S96" s="102">
        <v>7489</v>
      </c>
      <c r="T96" s="102">
        <v>7340</v>
      </c>
      <c r="U96" s="102">
        <v>7463</v>
      </c>
      <c r="V96" s="102">
        <v>6597</v>
      </c>
      <c r="W96" s="102">
        <v>5902</v>
      </c>
      <c r="X96" s="102">
        <v>6038</v>
      </c>
      <c r="Y96" s="102">
        <v>5857</v>
      </c>
      <c r="DA96" s="175"/>
    </row>
    <row r="97" spans="1:105" ht="11.45" hidden="1" customHeight="1" x14ac:dyDescent="0.25">
      <c r="A97" s="111" t="s">
        <v>112</v>
      </c>
      <c r="B97" s="102">
        <v>186</v>
      </c>
      <c r="C97" s="102">
        <v>178</v>
      </c>
      <c r="D97" s="102">
        <v>155</v>
      </c>
      <c r="E97" s="102">
        <v>144</v>
      </c>
      <c r="F97" s="102">
        <v>125</v>
      </c>
      <c r="G97" s="102">
        <v>155</v>
      </c>
      <c r="H97" s="102">
        <v>127</v>
      </c>
      <c r="I97" s="102">
        <v>113</v>
      </c>
      <c r="J97" s="102">
        <v>112</v>
      </c>
      <c r="K97" s="102">
        <v>105</v>
      </c>
      <c r="L97" s="102">
        <v>105</v>
      </c>
      <c r="M97" s="102">
        <v>101</v>
      </c>
      <c r="N97" s="102">
        <v>98</v>
      </c>
      <c r="O97" s="102">
        <v>97</v>
      </c>
      <c r="P97" s="102">
        <v>95</v>
      </c>
      <c r="Q97" s="102">
        <v>95</v>
      </c>
      <c r="R97" s="102">
        <v>94</v>
      </c>
      <c r="S97" s="102">
        <v>91</v>
      </c>
      <c r="T97" s="102">
        <v>89</v>
      </c>
      <c r="U97" s="102">
        <v>89</v>
      </c>
      <c r="V97" s="102">
        <v>86</v>
      </c>
      <c r="W97" s="102">
        <v>84</v>
      </c>
      <c r="X97" s="102">
        <v>81</v>
      </c>
      <c r="Y97" s="102">
        <v>79</v>
      </c>
      <c r="DA97" s="175"/>
    </row>
    <row r="98" spans="1:105" ht="11.45" hidden="1" customHeight="1" x14ac:dyDescent="0.25">
      <c r="A98" s="111" t="s">
        <v>113</v>
      </c>
      <c r="B98" s="102">
        <v>6</v>
      </c>
      <c r="C98" s="102">
        <v>9</v>
      </c>
      <c r="D98" s="102">
        <v>18</v>
      </c>
      <c r="E98" s="102">
        <v>16</v>
      </c>
      <c r="F98" s="102">
        <v>15</v>
      </c>
      <c r="G98" s="102">
        <v>19</v>
      </c>
      <c r="H98" s="102">
        <v>50</v>
      </c>
      <c r="I98" s="102">
        <v>68</v>
      </c>
      <c r="J98" s="102">
        <v>115</v>
      </c>
      <c r="K98" s="102">
        <v>244</v>
      </c>
      <c r="L98" s="102">
        <v>328</v>
      </c>
      <c r="M98" s="102">
        <v>573</v>
      </c>
      <c r="N98" s="102">
        <v>771</v>
      </c>
      <c r="O98" s="102">
        <v>1474</v>
      </c>
      <c r="P98" s="102">
        <v>1519</v>
      </c>
      <c r="Q98" s="102">
        <v>1632</v>
      </c>
      <c r="R98" s="102">
        <v>1803</v>
      </c>
      <c r="S98" s="102">
        <v>1922</v>
      </c>
      <c r="T98" s="102">
        <v>2062</v>
      </c>
      <c r="U98" s="102">
        <v>2282</v>
      </c>
      <c r="V98" s="102">
        <v>2558</v>
      </c>
      <c r="W98" s="102">
        <v>2728</v>
      </c>
      <c r="X98" s="102">
        <v>2777</v>
      </c>
      <c r="Y98" s="102">
        <v>2693</v>
      </c>
      <c r="DA98" s="175"/>
    </row>
    <row r="99" spans="1:105" ht="11.45" hidden="1" customHeight="1" x14ac:dyDescent="0.25">
      <c r="A99" s="111" t="s">
        <v>115</v>
      </c>
      <c r="B99" s="102">
        <v>50</v>
      </c>
      <c r="C99" s="102">
        <v>44</v>
      </c>
      <c r="D99" s="102">
        <v>50</v>
      </c>
      <c r="E99" s="102">
        <v>43</v>
      </c>
      <c r="F99" s="102">
        <v>54</v>
      </c>
      <c r="G99" s="102">
        <v>56</v>
      </c>
      <c r="H99" s="102">
        <v>57</v>
      </c>
      <c r="I99" s="102">
        <v>57</v>
      </c>
      <c r="J99" s="102">
        <v>47</v>
      </c>
      <c r="K99" s="102">
        <v>57</v>
      </c>
      <c r="L99" s="102">
        <v>90</v>
      </c>
      <c r="M99" s="102">
        <v>86</v>
      </c>
      <c r="N99" s="102">
        <v>87</v>
      </c>
      <c r="O99" s="102">
        <v>83</v>
      </c>
      <c r="P99" s="102">
        <v>80</v>
      </c>
      <c r="Q99" s="102">
        <v>94</v>
      </c>
      <c r="R99" s="102">
        <v>155</v>
      </c>
      <c r="S99" s="102">
        <v>295</v>
      </c>
      <c r="T99" s="102">
        <v>400</v>
      </c>
      <c r="U99" s="102">
        <v>775</v>
      </c>
      <c r="V99" s="102">
        <v>1206</v>
      </c>
      <c r="W99" s="102">
        <v>1351</v>
      </c>
      <c r="X99" s="102">
        <v>1444</v>
      </c>
      <c r="Y99" s="102">
        <v>1586</v>
      </c>
      <c r="DA99" s="175"/>
    </row>
    <row r="100" spans="1:105" ht="11.45" hidden="1" customHeight="1" x14ac:dyDescent="0.25">
      <c r="A100" s="27" t="s">
        <v>34</v>
      </c>
      <c r="B100" s="28">
        <f t="shared" ref="B100:C100" si="158">B101+B107</f>
        <v>809779</v>
      </c>
      <c r="C100" s="28">
        <f t="shared" si="158"/>
        <v>873217</v>
      </c>
      <c r="D100" s="28">
        <f t="shared" ref="D100:V100" si="159">D101+D107</f>
        <v>915422</v>
      </c>
      <c r="E100" s="28">
        <f t="shared" si="159"/>
        <v>951806</v>
      </c>
      <c r="F100" s="28">
        <f t="shared" si="159"/>
        <v>967814</v>
      </c>
      <c r="G100" s="28">
        <f t="shared" si="159"/>
        <v>996746</v>
      </c>
      <c r="H100" s="28">
        <f t="shared" si="159"/>
        <v>965363</v>
      </c>
      <c r="I100" s="28">
        <f t="shared" si="159"/>
        <v>960477</v>
      </c>
      <c r="J100" s="28">
        <f t="shared" si="159"/>
        <v>973323</v>
      </c>
      <c r="K100" s="28">
        <f t="shared" si="159"/>
        <v>991929</v>
      </c>
      <c r="L100" s="28">
        <f t="shared" si="159"/>
        <v>988419</v>
      </c>
      <c r="M100" s="28">
        <f t="shared" si="159"/>
        <v>975099</v>
      </c>
      <c r="N100" s="28">
        <f t="shared" si="159"/>
        <v>964495</v>
      </c>
      <c r="O100" s="28">
        <f t="shared" si="159"/>
        <v>927424</v>
      </c>
      <c r="P100" s="28">
        <f t="shared" si="159"/>
        <v>925467</v>
      </c>
      <c r="Q100" s="28">
        <f t="shared" si="159"/>
        <v>940108</v>
      </c>
      <c r="R100" s="28">
        <f t="shared" si="159"/>
        <v>969416</v>
      </c>
      <c r="S100" s="28">
        <f t="shared" si="159"/>
        <v>1001959</v>
      </c>
      <c r="T100" s="28">
        <f t="shared" si="159"/>
        <v>1023804</v>
      </c>
      <c r="U100" s="28">
        <f t="shared" si="159"/>
        <v>1052649</v>
      </c>
      <c r="V100" s="28">
        <f t="shared" si="159"/>
        <v>1071091</v>
      </c>
      <c r="W100" s="28">
        <f t="shared" ref="W100:Y100" si="160">W101+W107</f>
        <v>1101535</v>
      </c>
      <c r="X100" s="28">
        <f t="shared" si="160"/>
        <v>1124085</v>
      </c>
      <c r="Y100" s="28">
        <f t="shared" si="160"/>
        <v>1142748</v>
      </c>
      <c r="DA100" s="173"/>
    </row>
    <row r="101" spans="1:105" ht="11.45" hidden="1" customHeight="1" x14ac:dyDescent="0.25">
      <c r="A101" s="136" t="s">
        <v>153</v>
      </c>
      <c r="B101" s="137">
        <f t="shared" ref="B101:C101" si="161">SUM(B102:B106)</f>
        <v>696135</v>
      </c>
      <c r="C101" s="137">
        <f t="shared" si="161"/>
        <v>755776</v>
      </c>
      <c r="D101" s="137">
        <f t="shared" ref="D101:V101" si="162">SUM(D102:D106)</f>
        <v>797594</v>
      </c>
      <c r="E101" s="137">
        <f t="shared" si="162"/>
        <v>835710</v>
      </c>
      <c r="F101" s="137">
        <f t="shared" si="162"/>
        <v>866753</v>
      </c>
      <c r="G101" s="137">
        <f t="shared" si="162"/>
        <v>893455</v>
      </c>
      <c r="H101" s="137">
        <f t="shared" si="162"/>
        <v>862974</v>
      </c>
      <c r="I101" s="137">
        <f t="shared" si="162"/>
        <v>849348</v>
      </c>
      <c r="J101" s="137">
        <f t="shared" si="162"/>
        <v>862303</v>
      </c>
      <c r="K101" s="137">
        <f t="shared" si="162"/>
        <v>876170</v>
      </c>
      <c r="L101" s="137">
        <f t="shared" si="162"/>
        <v>872355</v>
      </c>
      <c r="M101" s="137">
        <f t="shared" si="162"/>
        <v>861250</v>
      </c>
      <c r="N101" s="137">
        <f t="shared" si="162"/>
        <v>849666</v>
      </c>
      <c r="O101" s="137">
        <f t="shared" si="162"/>
        <v>815169</v>
      </c>
      <c r="P101" s="137">
        <f t="shared" si="162"/>
        <v>814954</v>
      </c>
      <c r="Q101" s="137">
        <f t="shared" si="162"/>
        <v>828383</v>
      </c>
      <c r="R101" s="137">
        <f t="shared" si="162"/>
        <v>852632</v>
      </c>
      <c r="S101" s="137">
        <f t="shared" si="162"/>
        <v>883350</v>
      </c>
      <c r="T101" s="137">
        <f t="shared" si="162"/>
        <v>903005</v>
      </c>
      <c r="U101" s="137">
        <f t="shared" si="162"/>
        <v>927251</v>
      </c>
      <c r="V101" s="137">
        <f t="shared" si="162"/>
        <v>945433</v>
      </c>
      <c r="W101" s="137">
        <f t="shared" ref="W101:Y101" si="163">SUM(W102:W106)</f>
        <v>974792</v>
      </c>
      <c r="X101" s="137">
        <f t="shared" si="163"/>
        <v>989841</v>
      </c>
      <c r="Y101" s="137">
        <f t="shared" si="163"/>
        <v>1006477</v>
      </c>
      <c r="DA101" s="174"/>
    </row>
    <row r="102" spans="1:105" ht="11.45" hidden="1" customHeight="1" x14ac:dyDescent="0.25">
      <c r="A102" s="111" t="s">
        <v>110</v>
      </c>
      <c r="B102" s="84">
        <v>71434</v>
      </c>
      <c r="C102" s="84">
        <v>65762</v>
      </c>
      <c r="D102" s="84">
        <v>60062</v>
      </c>
      <c r="E102" s="84">
        <v>54833</v>
      </c>
      <c r="F102" s="84">
        <v>49915</v>
      </c>
      <c r="G102" s="84">
        <v>47861</v>
      </c>
      <c r="H102" s="84">
        <v>42439</v>
      </c>
      <c r="I102" s="84">
        <v>37753</v>
      </c>
      <c r="J102" s="84">
        <v>35284</v>
      </c>
      <c r="K102" s="84">
        <v>33640</v>
      </c>
      <c r="L102" s="84">
        <v>31768</v>
      </c>
      <c r="M102" s="84">
        <v>30049</v>
      </c>
      <c r="N102" s="84">
        <v>28582</v>
      </c>
      <c r="O102" s="84">
        <v>25686</v>
      </c>
      <c r="P102" s="84">
        <v>25372</v>
      </c>
      <c r="Q102" s="84">
        <v>25464</v>
      </c>
      <c r="R102" s="84">
        <v>26137</v>
      </c>
      <c r="S102" s="84">
        <v>27022</v>
      </c>
      <c r="T102" s="84">
        <v>26291</v>
      </c>
      <c r="U102" s="84">
        <v>28026</v>
      </c>
      <c r="V102" s="84">
        <v>30127</v>
      </c>
      <c r="W102" s="84">
        <v>33036</v>
      </c>
      <c r="X102" s="84">
        <v>35203</v>
      </c>
      <c r="Y102" s="84">
        <v>37799</v>
      </c>
      <c r="DA102" s="171"/>
    </row>
    <row r="103" spans="1:105" ht="11.45" hidden="1" customHeight="1" x14ac:dyDescent="0.25">
      <c r="A103" s="111" t="s">
        <v>111</v>
      </c>
      <c r="B103" s="84">
        <v>601332</v>
      </c>
      <c r="C103" s="84">
        <v>666498</v>
      </c>
      <c r="D103" s="84">
        <v>714126</v>
      </c>
      <c r="E103" s="84">
        <v>757999</v>
      </c>
      <c r="F103" s="84">
        <v>794846</v>
      </c>
      <c r="G103" s="84">
        <v>826524</v>
      </c>
      <c r="H103" s="84">
        <v>803023</v>
      </c>
      <c r="I103" s="84">
        <v>794504</v>
      </c>
      <c r="J103" s="84">
        <v>809945</v>
      </c>
      <c r="K103" s="84">
        <v>825102</v>
      </c>
      <c r="L103" s="84">
        <v>823018</v>
      </c>
      <c r="M103" s="84">
        <v>813346</v>
      </c>
      <c r="N103" s="84">
        <v>802792</v>
      </c>
      <c r="O103" s="84">
        <v>770747</v>
      </c>
      <c r="P103" s="84">
        <v>770207</v>
      </c>
      <c r="Q103" s="84">
        <v>783272</v>
      </c>
      <c r="R103" s="84">
        <v>807639</v>
      </c>
      <c r="S103" s="84">
        <v>835674</v>
      </c>
      <c r="T103" s="84">
        <v>851922</v>
      </c>
      <c r="U103" s="84">
        <v>868043</v>
      </c>
      <c r="V103" s="84">
        <v>881474</v>
      </c>
      <c r="W103" s="84">
        <v>907555</v>
      </c>
      <c r="X103" s="84">
        <v>914224</v>
      </c>
      <c r="Y103" s="84">
        <v>919240</v>
      </c>
      <c r="DA103" s="171"/>
    </row>
    <row r="104" spans="1:105" ht="11.45" hidden="1" customHeight="1" x14ac:dyDescent="0.25">
      <c r="A104" s="111" t="s">
        <v>112</v>
      </c>
      <c r="B104" s="84">
        <v>23369</v>
      </c>
      <c r="C104" s="84">
        <v>23516</v>
      </c>
      <c r="D104" s="84">
        <v>23406</v>
      </c>
      <c r="E104" s="84">
        <v>22794</v>
      </c>
      <c r="F104" s="84">
        <v>21756</v>
      </c>
      <c r="G104" s="84">
        <v>18847</v>
      </c>
      <c r="H104" s="84">
        <v>17292</v>
      </c>
      <c r="I104" s="84">
        <v>16591</v>
      </c>
      <c r="J104" s="84">
        <v>16574</v>
      </c>
      <c r="K104" s="84">
        <v>16585</v>
      </c>
      <c r="L104" s="84">
        <v>16379</v>
      </c>
      <c r="M104" s="84">
        <v>16293</v>
      </c>
      <c r="N104" s="84">
        <v>16094</v>
      </c>
      <c r="O104" s="84">
        <v>15894</v>
      </c>
      <c r="P104" s="84">
        <v>15605</v>
      </c>
      <c r="Q104" s="84">
        <v>15468</v>
      </c>
      <c r="R104" s="84">
        <v>15720</v>
      </c>
      <c r="S104" s="84">
        <v>16306</v>
      </c>
      <c r="T104" s="84">
        <v>17579</v>
      </c>
      <c r="U104" s="84">
        <v>22533</v>
      </c>
      <c r="V104" s="84">
        <v>23460</v>
      </c>
      <c r="W104" s="84">
        <v>21081</v>
      </c>
      <c r="X104" s="84">
        <v>22749</v>
      </c>
      <c r="Y104" s="84">
        <v>23112</v>
      </c>
      <c r="DA104" s="171"/>
    </row>
    <row r="105" spans="1:105" ht="11.45" hidden="1" customHeight="1" x14ac:dyDescent="0.25">
      <c r="A105" s="111" t="s">
        <v>113</v>
      </c>
      <c r="B105" s="84">
        <v>0</v>
      </c>
      <c r="C105" s="84">
        <v>0</v>
      </c>
      <c r="D105" s="84">
        <v>0</v>
      </c>
      <c r="E105" s="84">
        <v>84</v>
      </c>
      <c r="F105" s="84">
        <v>236</v>
      </c>
      <c r="G105" s="84">
        <v>223</v>
      </c>
      <c r="H105" s="84">
        <v>220</v>
      </c>
      <c r="I105" s="84">
        <v>500</v>
      </c>
      <c r="J105" s="84">
        <v>500</v>
      </c>
      <c r="K105" s="84">
        <v>843</v>
      </c>
      <c r="L105" s="84">
        <v>1190</v>
      </c>
      <c r="M105" s="84">
        <v>1546</v>
      </c>
      <c r="N105" s="84">
        <v>1803</v>
      </c>
      <c r="O105" s="84">
        <v>2173</v>
      </c>
      <c r="P105" s="84">
        <v>2512</v>
      </c>
      <c r="Q105" s="84">
        <v>2719</v>
      </c>
      <c r="R105" s="84">
        <v>1590</v>
      </c>
      <c r="S105" s="84">
        <v>2192</v>
      </c>
      <c r="T105" s="84">
        <v>4100</v>
      </c>
      <c r="U105" s="84">
        <v>4306</v>
      </c>
      <c r="V105" s="84">
        <v>4434</v>
      </c>
      <c r="W105" s="84">
        <v>4142</v>
      </c>
      <c r="X105" s="84">
        <v>3972</v>
      </c>
      <c r="Y105" s="84">
        <v>2773</v>
      </c>
      <c r="DA105" s="171"/>
    </row>
    <row r="106" spans="1:105" ht="11.45" hidden="1" customHeight="1" x14ac:dyDescent="0.25">
      <c r="A106" s="111" t="s">
        <v>115</v>
      </c>
      <c r="B106" s="84">
        <v>0</v>
      </c>
      <c r="C106" s="84">
        <v>0</v>
      </c>
      <c r="D106" s="84">
        <v>0</v>
      </c>
      <c r="E106" s="84">
        <v>0</v>
      </c>
      <c r="F106" s="84">
        <v>0</v>
      </c>
      <c r="G106" s="84">
        <v>0</v>
      </c>
      <c r="H106" s="84">
        <v>0</v>
      </c>
      <c r="I106" s="84">
        <v>0</v>
      </c>
      <c r="J106" s="84">
        <v>0</v>
      </c>
      <c r="K106" s="84">
        <v>0</v>
      </c>
      <c r="L106" s="84">
        <v>0</v>
      </c>
      <c r="M106" s="84">
        <v>16</v>
      </c>
      <c r="N106" s="84">
        <v>395</v>
      </c>
      <c r="O106" s="84">
        <v>669</v>
      </c>
      <c r="P106" s="84">
        <v>1258</v>
      </c>
      <c r="Q106" s="84">
        <v>1460</v>
      </c>
      <c r="R106" s="84">
        <v>1546</v>
      </c>
      <c r="S106" s="84">
        <v>2156</v>
      </c>
      <c r="T106" s="84">
        <v>3113</v>
      </c>
      <c r="U106" s="84">
        <v>4343</v>
      </c>
      <c r="V106" s="84">
        <v>5938</v>
      </c>
      <c r="W106" s="84">
        <v>8978</v>
      </c>
      <c r="X106" s="84">
        <v>13693</v>
      </c>
      <c r="Y106" s="84">
        <v>23553</v>
      </c>
      <c r="DA106" s="171"/>
    </row>
    <row r="107" spans="1:105" ht="11.45" hidden="1" customHeight="1" x14ac:dyDescent="0.25">
      <c r="A107" s="109" t="s">
        <v>154</v>
      </c>
      <c r="B107" s="110">
        <f t="shared" ref="B107:C107" si="164">SUM(B108:B109)</f>
        <v>113644</v>
      </c>
      <c r="C107" s="110">
        <f t="shared" si="164"/>
        <v>117441</v>
      </c>
      <c r="D107" s="110">
        <f t="shared" ref="D107:V107" si="165">SUM(D108:D109)</f>
        <v>117828</v>
      </c>
      <c r="E107" s="110">
        <f t="shared" si="165"/>
        <v>116096</v>
      </c>
      <c r="F107" s="110">
        <f t="shared" si="165"/>
        <v>101061</v>
      </c>
      <c r="G107" s="110">
        <f t="shared" si="165"/>
        <v>103291</v>
      </c>
      <c r="H107" s="110">
        <f t="shared" si="165"/>
        <v>102389</v>
      </c>
      <c r="I107" s="110">
        <f t="shared" si="165"/>
        <v>111129</v>
      </c>
      <c r="J107" s="110">
        <f t="shared" si="165"/>
        <v>111020</v>
      </c>
      <c r="K107" s="110">
        <f t="shared" si="165"/>
        <v>115759</v>
      </c>
      <c r="L107" s="110">
        <f t="shared" si="165"/>
        <v>116064</v>
      </c>
      <c r="M107" s="110">
        <f t="shared" si="165"/>
        <v>113849</v>
      </c>
      <c r="N107" s="110">
        <f t="shared" si="165"/>
        <v>114829</v>
      </c>
      <c r="O107" s="110">
        <f t="shared" si="165"/>
        <v>112255</v>
      </c>
      <c r="P107" s="110">
        <f t="shared" si="165"/>
        <v>110513</v>
      </c>
      <c r="Q107" s="110">
        <f t="shared" si="165"/>
        <v>111725</v>
      </c>
      <c r="R107" s="110">
        <f t="shared" si="165"/>
        <v>116784</v>
      </c>
      <c r="S107" s="110">
        <f t="shared" si="165"/>
        <v>118609</v>
      </c>
      <c r="T107" s="110">
        <f t="shared" si="165"/>
        <v>120799</v>
      </c>
      <c r="U107" s="110">
        <f t="shared" si="165"/>
        <v>125398</v>
      </c>
      <c r="V107" s="110">
        <f t="shared" si="165"/>
        <v>125658</v>
      </c>
      <c r="W107" s="110">
        <f t="shared" ref="W107:Y107" si="166">SUM(W108:W109)</f>
        <v>126743</v>
      </c>
      <c r="X107" s="110">
        <f t="shared" si="166"/>
        <v>134244</v>
      </c>
      <c r="Y107" s="110">
        <f t="shared" si="166"/>
        <v>136271</v>
      </c>
      <c r="DA107" s="176"/>
    </row>
    <row r="108" spans="1:105" ht="11.45" hidden="1" customHeight="1" x14ac:dyDescent="0.25">
      <c r="A108" s="128" t="s">
        <v>27</v>
      </c>
      <c r="B108" s="102">
        <v>102971</v>
      </c>
      <c r="C108" s="102">
        <v>105998</v>
      </c>
      <c r="D108" s="102">
        <v>105790</v>
      </c>
      <c r="E108" s="102">
        <v>103792</v>
      </c>
      <c r="F108" s="102">
        <v>86513</v>
      </c>
      <c r="G108" s="102">
        <v>88232</v>
      </c>
      <c r="H108" s="102">
        <v>86461</v>
      </c>
      <c r="I108" s="102">
        <v>95044</v>
      </c>
      <c r="J108" s="102">
        <v>94652</v>
      </c>
      <c r="K108" s="102">
        <v>100642</v>
      </c>
      <c r="L108" s="102">
        <v>100210</v>
      </c>
      <c r="M108" s="102">
        <v>98186</v>
      </c>
      <c r="N108" s="102">
        <v>99526</v>
      </c>
      <c r="O108" s="102">
        <v>96659</v>
      </c>
      <c r="P108" s="102">
        <v>94462</v>
      </c>
      <c r="Q108" s="102">
        <v>95313</v>
      </c>
      <c r="R108" s="102">
        <v>99257</v>
      </c>
      <c r="S108" s="102">
        <v>100902</v>
      </c>
      <c r="T108" s="102">
        <v>103468</v>
      </c>
      <c r="U108" s="102">
        <v>107272</v>
      </c>
      <c r="V108" s="102">
        <v>107033</v>
      </c>
      <c r="W108" s="102">
        <v>108176</v>
      </c>
      <c r="X108" s="102">
        <v>116100</v>
      </c>
      <c r="Y108" s="102">
        <v>118744</v>
      </c>
      <c r="DA108" s="175"/>
    </row>
    <row r="109" spans="1:105" ht="11.45" hidden="1" customHeight="1" x14ac:dyDescent="0.25">
      <c r="A109" s="138" t="s">
        <v>116</v>
      </c>
      <c r="B109" s="86">
        <v>10673</v>
      </c>
      <c r="C109" s="86">
        <v>11443</v>
      </c>
      <c r="D109" s="86">
        <v>12038</v>
      </c>
      <c r="E109" s="86">
        <v>12304</v>
      </c>
      <c r="F109" s="86">
        <v>14548</v>
      </c>
      <c r="G109" s="86">
        <v>15059</v>
      </c>
      <c r="H109" s="86">
        <v>15928</v>
      </c>
      <c r="I109" s="86">
        <v>16085</v>
      </c>
      <c r="J109" s="86">
        <v>16368</v>
      </c>
      <c r="K109" s="86">
        <v>15117</v>
      </c>
      <c r="L109" s="86">
        <v>15854</v>
      </c>
      <c r="M109" s="86">
        <v>15663</v>
      </c>
      <c r="N109" s="86">
        <v>15303</v>
      </c>
      <c r="O109" s="86">
        <v>15596</v>
      </c>
      <c r="P109" s="86">
        <v>16051</v>
      </c>
      <c r="Q109" s="86">
        <v>16412</v>
      </c>
      <c r="R109" s="86">
        <v>17527</v>
      </c>
      <c r="S109" s="86">
        <v>17707</v>
      </c>
      <c r="T109" s="86">
        <v>17331</v>
      </c>
      <c r="U109" s="86">
        <v>18126</v>
      </c>
      <c r="V109" s="86">
        <v>18625</v>
      </c>
      <c r="W109" s="86">
        <v>18567</v>
      </c>
      <c r="X109" s="86">
        <v>18144</v>
      </c>
      <c r="Y109" s="86">
        <v>17527</v>
      </c>
      <c r="DA109" s="178"/>
    </row>
    <row r="110" spans="1:105" ht="11.45" customHeight="1" x14ac:dyDescent="0.25">
      <c r="A110" s="106"/>
      <c r="B110" s="106"/>
      <c r="C110" s="106"/>
      <c r="L110" s="106"/>
      <c r="M110" s="106"/>
      <c r="N110" s="106"/>
    </row>
    <row r="111" spans="1:105" ht="11.45" customHeight="1" x14ac:dyDescent="0.25">
      <c r="A111" s="53" t="s">
        <v>117</v>
      </c>
      <c r="B111" s="54">
        <f t="shared" ref="B111:K111" si="167">B112+B127</f>
        <v>742663</v>
      </c>
      <c r="C111" s="54">
        <f t="shared" si="167"/>
        <v>719210</v>
      </c>
      <c r="D111" s="54">
        <f t="shared" si="167"/>
        <v>692477</v>
      </c>
      <c r="E111" s="54">
        <f t="shared" si="167"/>
        <v>633892</v>
      </c>
      <c r="F111" s="54">
        <f t="shared" si="167"/>
        <v>628988</v>
      </c>
      <c r="G111" s="54">
        <f t="shared" si="167"/>
        <v>707007</v>
      </c>
      <c r="H111" s="54">
        <f t="shared" si="167"/>
        <v>835010</v>
      </c>
      <c r="I111" s="54">
        <f t="shared" si="167"/>
        <v>748436</v>
      </c>
      <c r="J111" s="54">
        <f t="shared" si="167"/>
        <v>785285</v>
      </c>
      <c r="K111" s="54">
        <f t="shared" si="167"/>
        <v>773851</v>
      </c>
      <c r="L111" s="54">
        <f t="shared" ref="L111" si="168">L112+L127</f>
        <v>746294</v>
      </c>
      <c r="M111" s="54">
        <f t="shared" ref="M111:V111" si="169">M112+M127</f>
        <v>767770</v>
      </c>
      <c r="N111" s="54">
        <f t="shared" si="169"/>
        <v>730883</v>
      </c>
      <c r="O111" s="54">
        <f t="shared" si="169"/>
        <v>644272</v>
      </c>
      <c r="P111" s="54">
        <f t="shared" si="169"/>
        <v>571581</v>
      </c>
      <c r="Q111" s="54">
        <f t="shared" si="169"/>
        <v>676731</v>
      </c>
      <c r="R111" s="54">
        <f t="shared" si="169"/>
        <v>612540</v>
      </c>
      <c r="S111" s="54">
        <f t="shared" si="169"/>
        <v>646732</v>
      </c>
      <c r="T111" s="54">
        <f t="shared" si="169"/>
        <v>635655</v>
      </c>
      <c r="U111" s="54">
        <f t="shared" si="169"/>
        <v>690606</v>
      </c>
      <c r="V111" s="54">
        <f t="shared" si="169"/>
        <v>739316</v>
      </c>
      <c r="W111" s="54">
        <f t="shared" ref="W111:Y111" si="170">W112+W127</f>
        <v>803894</v>
      </c>
      <c r="X111" s="54">
        <f t="shared" si="170"/>
        <v>882587</v>
      </c>
      <c r="Y111" s="54">
        <f t="shared" si="170"/>
        <v>882540</v>
      </c>
      <c r="DA111" s="172" t="s">
        <v>526</v>
      </c>
    </row>
    <row r="112" spans="1:105" ht="11.45" customHeight="1" x14ac:dyDescent="0.25">
      <c r="A112" s="27" t="s">
        <v>33</v>
      </c>
      <c r="B112" s="28">
        <f t="shared" ref="B112:K112" si="171">B113+B114+B121</f>
        <v>631783</v>
      </c>
      <c r="C112" s="28">
        <f t="shared" si="171"/>
        <v>611398</v>
      </c>
      <c r="D112" s="28">
        <f t="shared" si="171"/>
        <v>597807</v>
      </c>
      <c r="E112" s="28">
        <f t="shared" si="171"/>
        <v>544806</v>
      </c>
      <c r="F112" s="28">
        <f t="shared" si="171"/>
        <v>544510</v>
      </c>
      <c r="G112" s="28">
        <f t="shared" si="171"/>
        <v>612200</v>
      </c>
      <c r="H112" s="28">
        <f t="shared" si="171"/>
        <v>760961</v>
      </c>
      <c r="I112" s="28">
        <f t="shared" si="171"/>
        <v>671929</v>
      </c>
      <c r="J112" s="28">
        <f t="shared" si="171"/>
        <v>695192</v>
      </c>
      <c r="K112" s="28">
        <f t="shared" si="171"/>
        <v>679326</v>
      </c>
      <c r="L112" s="28">
        <f t="shared" ref="L112" si="172">L113+L114+L121</f>
        <v>684665</v>
      </c>
      <c r="M112" s="28">
        <f t="shared" ref="M112:V112" si="173">M113+M114+M121</f>
        <v>702279</v>
      </c>
      <c r="N112" s="28">
        <f t="shared" si="173"/>
        <v>663408</v>
      </c>
      <c r="O112" s="28">
        <f t="shared" si="173"/>
        <v>580582</v>
      </c>
      <c r="P112" s="28">
        <f t="shared" si="173"/>
        <v>507697</v>
      </c>
      <c r="Q112" s="28">
        <f t="shared" si="173"/>
        <v>608671</v>
      </c>
      <c r="R112" s="28">
        <f t="shared" si="173"/>
        <v>528274</v>
      </c>
      <c r="S112" s="28">
        <f t="shared" si="173"/>
        <v>559590</v>
      </c>
      <c r="T112" s="28">
        <f t="shared" si="173"/>
        <v>543782</v>
      </c>
      <c r="U112" s="28">
        <f t="shared" si="173"/>
        <v>594891</v>
      </c>
      <c r="V112" s="28">
        <f t="shared" si="173"/>
        <v>665537</v>
      </c>
      <c r="W112" s="28">
        <f t="shared" ref="W112:Y112" si="174">W113+W114+W121</f>
        <v>725496</v>
      </c>
      <c r="X112" s="28">
        <f t="shared" si="174"/>
        <v>785868</v>
      </c>
      <c r="Y112" s="28">
        <f t="shared" si="174"/>
        <v>783240</v>
      </c>
      <c r="DA112" s="173" t="s">
        <v>527</v>
      </c>
    </row>
    <row r="113" spans="1:105" ht="11.45" customHeight="1" x14ac:dyDescent="0.25">
      <c r="A113" s="136" t="s">
        <v>173</v>
      </c>
      <c r="B113" s="137">
        <v>30420</v>
      </c>
      <c r="C113" s="137">
        <v>27221</v>
      </c>
      <c r="D113" s="137">
        <v>80755</v>
      </c>
      <c r="E113" s="137">
        <v>43639</v>
      </c>
      <c r="F113" s="137">
        <v>59832</v>
      </c>
      <c r="G113" s="137">
        <v>138878</v>
      </c>
      <c r="H113" s="137">
        <v>284344</v>
      </c>
      <c r="I113" s="137">
        <v>172213</v>
      </c>
      <c r="J113" s="137">
        <v>199079</v>
      </c>
      <c r="K113" s="137">
        <v>188881</v>
      </c>
      <c r="L113" s="137">
        <v>168700</v>
      </c>
      <c r="M113" s="137">
        <v>107477</v>
      </c>
      <c r="N113" s="137">
        <v>85943</v>
      </c>
      <c r="O113" s="137">
        <v>67515</v>
      </c>
      <c r="P113" s="137">
        <v>73628</v>
      </c>
      <c r="Q113" s="137">
        <v>82000</v>
      </c>
      <c r="R113" s="137">
        <v>89846</v>
      </c>
      <c r="S113" s="137">
        <v>102895</v>
      </c>
      <c r="T113" s="137">
        <v>78824</v>
      </c>
      <c r="U113" s="137">
        <v>95773</v>
      </c>
      <c r="V113" s="137">
        <v>143759</v>
      </c>
      <c r="W113" s="137">
        <v>25023</v>
      </c>
      <c r="X113" s="137">
        <v>84732</v>
      </c>
      <c r="Y113" s="137">
        <v>29295</v>
      </c>
      <c r="DA113" s="174" t="s">
        <v>528</v>
      </c>
    </row>
    <row r="114" spans="1:105" ht="11.45" customHeight="1" x14ac:dyDescent="0.25">
      <c r="A114" s="109" t="s">
        <v>20</v>
      </c>
      <c r="B114" s="110">
        <f t="shared" ref="B114:K114" si="175">SUM(B115:B120)</f>
        <v>600451</v>
      </c>
      <c r="C114" s="110">
        <f t="shared" si="175"/>
        <v>583333</v>
      </c>
      <c r="D114" s="110">
        <f t="shared" si="175"/>
        <v>516357</v>
      </c>
      <c r="E114" s="110">
        <f t="shared" si="175"/>
        <v>500289</v>
      </c>
      <c r="F114" s="110">
        <f t="shared" si="175"/>
        <v>483745</v>
      </c>
      <c r="G114" s="110">
        <f t="shared" si="175"/>
        <v>472187</v>
      </c>
      <c r="H114" s="110">
        <f t="shared" si="175"/>
        <v>475825</v>
      </c>
      <c r="I114" s="110">
        <f t="shared" si="175"/>
        <v>498567</v>
      </c>
      <c r="J114" s="110">
        <f t="shared" si="175"/>
        <v>494904</v>
      </c>
      <c r="K114" s="110">
        <f t="shared" si="175"/>
        <v>489283</v>
      </c>
      <c r="L114" s="110">
        <f t="shared" ref="L114" si="176">SUM(L115:L120)</f>
        <v>515393</v>
      </c>
      <c r="M114" s="110">
        <f t="shared" ref="M114:V114" si="177">SUM(M115:M120)</f>
        <v>594557</v>
      </c>
      <c r="N114" s="110">
        <f t="shared" si="177"/>
        <v>576681</v>
      </c>
      <c r="O114" s="110">
        <f t="shared" si="177"/>
        <v>511783</v>
      </c>
      <c r="P114" s="110">
        <f t="shared" si="177"/>
        <v>433400</v>
      </c>
      <c r="Q114" s="110">
        <f t="shared" si="177"/>
        <v>525935</v>
      </c>
      <c r="R114" s="110">
        <f t="shared" si="177"/>
        <v>437565</v>
      </c>
      <c r="S114" s="110">
        <f t="shared" si="177"/>
        <v>455808</v>
      </c>
      <c r="T114" s="110">
        <f t="shared" si="177"/>
        <v>464113</v>
      </c>
      <c r="U114" s="110">
        <f t="shared" si="177"/>
        <v>497705</v>
      </c>
      <c r="V114" s="110">
        <f t="shared" si="177"/>
        <v>520416</v>
      </c>
      <c r="W114" s="110">
        <f t="shared" ref="W114:Y114" si="178">SUM(W115:W120)</f>
        <v>699515</v>
      </c>
      <c r="X114" s="110">
        <f t="shared" si="178"/>
        <v>700377</v>
      </c>
      <c r="Y114" s="110">
        <f t="shared" si="178"/>
        <v>753167</v>
      </c>
      <c r="DA114" s="176" t="s">
        <v>529</v>
      </c>
    </row>
    <row r="115" spans="1:105" ht="11.45" customHeight="1" x14ac:dyDescent="0.25">
      <c r="A115" s="111" t="s">
        <v>110</v>
      </c>
      <c r="B115" s="84">
        <v>465217</v>
      </c>
      <c r="C115" s="84">
        <v>442153</v>
      </c>
      <c r="D115" s="84">
        <v>391072</v>
      </c>
      <c r="E115" s="84">
        <v>373513</v>
      </c>
      <c r="F115" s="84">
        <v>356206</v>
      </c>
      <c r="G115" s="84">
        <v>343127</v>
      </c>
      <c r="H115" s="84">
        <v>345785</v>
      </c>
      <c r="I115" s="84">
        <v>355210</v>
      </c>
      <c r="J115" s="84">
        <v>364582</v>
      </c>
      <c r="K115" s="84">
        <v>384638</v>
      </c>
      <c r="L115" s="84">
        <v>413886</v>
      </c>
      <c r="M115" s="84">
        <v>423429</v>
      </c>
      <c r="N115" s="84">
        <v>389475</v>
      </c>
      <c r="O115" s="84">
        <v>336303</v>
      </c>
      <c r="P115" s="84">
        <v>275422</v>
      </c>
      <c r="Q115" s="84">
        <v>323552</v>
      </c>
      <c r="R115" s="84">
        <v>321820</v>
      </c>
      <c r="S115" s="84">
        <v>354781</v>
      </c>
      <c r="T115" s="84">
        <v>355874</v>
      </c>
      <c r="U115" s="84">
        <v>371944</v>
      </c>
      <c r="V115" s="84">
        <v>398754</v>
      </c>
      <c r="W115" s="84">
        <v>568591</v>
      </c>
      <c r="X115" s="84">
        <v>547355</v>
      </c>
      <c r="Y115" s="84">
        <v>543927</v>
      </c>
      <c r="DA115" s="171" t="s">
        <v>530</v>
      </c>
    </row>
    <row r="116" spans="1:105" ht="11.45" customHeight="1" x14ac:dyDescent="0.25">
      <c r="A116" s="111" t="s">
        <v>111</v>
      </c>
      <c r="B116" s="84">
        <v>135234</v>
      </c>
      <c r="C116" s="84">
        <v>133303</v>
      </c>
      <c r="D116" s="84">
        <v>125285</v>
      </c>
      <c r="E116" s="84">
        <v>126776</v>
      </c>
      <c r="F116" s="84">
        <v>127539</v>
      </c>
      <c r="G116" s="84">
        <v>129060</v>
      </c>
      <c r="H116" s="84">
        <v>130040</v>
      </c>
      <c r="I116" s="84">
        <v>143357</v>
      </c>
      <c r="J116" s="84">
        <v>130322</v>
      </c>
      <c r="K116" s="84">
        <v>104617</v>
      </c>
      <c r="L116" s="84">
        <v>100591</v>
      </c>
      <c r="M116" s="84">
        <v>161679</v>
      </c>
      <c r="N116" s="84">
        <v>167732</v>
      </c>
      <c r="O116" s="84">
        <v>146699</v>
      </c>
      <c r="P116" s="84">
        <v>128687</v>
      </c>
      <c r="Q116" s="84">
        <v>156039</v>
      </c>
      <c r="R116" s="84">
        <v>91260</v>
      </c>
      <c r="S116" s="84">
        <v>88719</v>
      </c>
      <c r="T116" s="84">
        <v>72759</v>
      </c>
      <c r="U116" s="84">
        <v>47436</v>
      </c>
      <c r="V116" s="84">
        <v>26397</v>
      </c>
      <c r="W116" s="84">
        <v>19254</v>
      </c>
      <c r="X116" s="84">
        <v>15491</v>
      </c>
      <c r="Y116" s="84">
        <v>13484</v>
      </c>
      <c r="DA116" s="171" t="s">
        <v>531</v>
      </c>
    </row>
    <row r="117" spans="1:105" ht="11.45" customHeight="1" x14ac:dyDescent="0.25">
      <c r="A117" s="111" t="s">
        <v>112</v>
      </c>
      <c r="B117" s="84">
        <v>0</v>
      </c>
      <c r="C117" s="84">
        <v>7877</v>
      </c>
      <c r="D117" s="84">
        <v>0</v>
      </c>
      <c r="E117" s="84">
        <v>0</v>
      </c>
      <c r="F117" s="84">
        <v>0</v>
      </c>
      <c r="G117" s="84">
        <v>0</v>
      </c>
      <c r="H117" s="84">
        <v>0</v>
      </c>
      <c r="I117" s="84">
        <v>0</v>
      </c>
      <c r="J117" s="84">
        <v>0</v>
      </c>
      <c r="K117" s="84">
        <v>0</v>
      </c>
      <c r="L117" s="84">
        <v>690</v>
      </c>
      <c r="M117" s="84">
        <v>7912</v>
      </c>
      <c r="N117" s="84">
        <v>8918</v>
      </c>
      <c r="O117" s="84">
        <v>4623</v>
      </c>
      <c r="P117" s="84">
        <v>1206</v>
      </c>
      <c r="Q117" s="84">
        <v>518</v>
      </c>
      <c r="R117" s="84">
        <v>982</v>
      </c>
      <c r="S117" s="84">
        <v>1286</v>
      </c>
      <c r="T117" s="84">
        <v>1015</v>
      </c>
      <c r="U117" s="84">
        <v>11403</v>
      </c>
      <c r="V117" s="84">
        <v>2062</v>
      </c>
      <c r="W117" s="84">
        <v>2229</v>
      </c>
      <c r="X117" s="84">
        <v>2285</v>
      </c>
      <c r="Y117" s="84">
        <v>3098</v>
      </c>
      <c r="DA117" s="171" t="s">
        <v>532</v>
      </c>
    </row>
    <row r="118" spans="1:105" ht="11.45" customHeight="1" x14ac:dyDescent="0.25">
      <c r="A118" s="111" t="s">
        <v>113</v>
      </c>
      <c r="B118" s="84">
        <v>0</v>
      </c>
      <c r="C118" s="84">
        <v>0</v>
      </c>
      <c r="D118" s="84">
        <v>0</v>
      </c>
      <c r="E118" s="84">
        <v>0</v>
      </c>
      <c r="F118" s="84">
        <v>0</v>
      </c>
      <c r="G118" s="84">
        <v>0</v>
      </c>
      <c r="H118" s="84">
        <v>0</v>
      </c>
      <c r="I118" s="84">
        <v>0</v>
      </c>
      <c r="J118" s="84">
        <v>0</v>
      </c>
      <c r="K118" s="84">
        <v>0</v>
      </c>
      <c r="L118" s="84">
        <v>140</v>
      </c>
      <c r="M118" s="84">
        <v>673</v>
      </c>
      <c r="N118" s="84">
        <v>4978</v>
      </c>
      <c r="O118" s="84">
        <v>852</v>
      </c>
      <c r="P118" s="84">
        <v>3248</v>
      </c>
      <c r="Q118" s="84">
        <v>755</v>
      </c>
      <c r="R118" s="84">
        <v>659</v>
      </c>
      <c r="S118" s="84">
        <v>1268</v>
      </c>
      <c r="T118" s="84">
        <v>6654</v>
      </c>
      <c r="U118" s="84">
        <v>295</v>
      </c>
      <c r="V118" s="84">
        <v>60</v>
      </c>
      <c r="W118" s="84">
        <v>39</v>
      </c>
      <c r="X118" s="84">
        <v>17</v>
      </c>
      <c r="Y118" s="84">
        <v>6</v>
      </c>
      <c r="DA118" s="171" t="s">
        <v>533</v>
      </c>
    </row>
    <row r="119" spans="1:105" ht="11.45" customHeight="1" x14ac:dyDescent="0.25">
      <c r="A119" s="111" t="s">
        <v>114</v>
      </c>
      <c r="B119" s="84">
        <v>0</v>
      </c>
      <c r="C119" s="84">
        <v>0</v>
      </c>
      <c r="D119" s="84">
        <v>0</v>
      </c>
      <c r="E119" s="84">
        <v>0</v>
      </c>
      <c r="F119" s="84">
        <v>0</v>
      </c>
      <c r="G119" s="84">
        <v>0</v>
      </c>
      <c r="H119" s="84">
        <v>0</v>
      </c>
      <c r="I119" s="84">
        <v>0</v>
      </c>
      <c r="J119" s="84">
        <v>0</v>
      </c>
      <c r="K119" s="84">
        <v>0</v>
      </c>
      <c r="L119" s="84">
        <v>0</v>
      </c>
      <c r="M119" s="84">
        <v>15</v>
      </c>
      <c r="N119" s="84">
        <v>4326</v>
      </c>
      <c r="O119" s="84">
        <v>20188</v>
      </c>
      <c r="P119" s="84">
        <v>21279</v>
      </c>
      <c r="Q119" s="84">
        <v>41274</v>
      </c>
      <c r="R119" s="84">
        <v>18775</v>
      </c>
      <c r="S119" s="84">
        <v>1165</v>
      </c>
      <c r="T119" s="84">
        <v>3584</v>
      </c>
      <c r="U119" s="84">
        <v>4931</v>
      </c>
      <c r="V119" s="84">
        <v>20014</v>
      </c>
      <c r="W119" s="84">
        <v>37957</v>
      </c>
      <c r="X119" s="84">
        <v>50080</v>
      </c>
      <c r="Y119" s="84">
        <v>77735</v>
      </c>
      <c r="DA119" s="171" t="s">
        <v>534</v>
      </c>
    </row>
    <row r="120" spans="1:105" ht="11.45" customHeight="1" x14ac:dyDescent="0.25">
      <c r="A120" s="111" t="s">
        <v>115</v>
      </c>
      <c r="B120" s="84">
        <v>0</v>
      </c>
      <c r="C120" s="84">
        <v>0</v>
      </c>
      <c r="D120" s="84">
        <v>0</v>
      </c>
      <c r="E120" s="84">
        <v>0</v>
      </c>
      <c r="F120" s="84">
        <v>0</v>
      </c>
      <c r="G120" s="84">
        <v>0</v>
      </c>
      <c r="H120" s="84">
        <v>0</v>
      </c>
      <c r="I120" s="84">
        <v>0</v>
      </c>
      <c r="J120" s="84">
        <v>0</v>
      </c>
      <c r="K120" s="84">
        <v>28</v>
      </c>
      <c r="L120" s="84">
        <v>86</v>
      </c>
      <c r="M120" s="84">
        <v>849</v>
      </c>
      <c r="N120" s="84">
        <v>1252</v>
      </c>
      <c r="O120" s="84">
        <v>3118</v>
      </c>
      <c r="P120" s="84">
        <v>3558</v>
      </c>
      <c r="Q120" s="84">
        <v>3797</v>
      </c>
      <c r="R120" s="84">
        <v>4069</v>
      </c>
      <c r="S120" s="84">
        <v>8589</v>
      </c>
      <c r="T120" s="84">
        <v>24227</v>
      </c>
      <c r="U120" s="84">
        <v>61696</v>
      </c>
      <c r="V120" s="84">
        <v>73129</v>
      </c>
      <c r="W120" s="84">
        <v>71445</v>
      </c>
      <c r="X120" s="84">
        <v>85149</v>
      </c>
      <c r="Y120" s="84">
        <v>114917</v>
      </c>
      <c r="DA120" s="171" t="s">
        <v>535</v>
      </c>
    </row>
    <row r="121" spans="1:105" ht="11.45" customHeight="1" x14ac:dyDescent="0.25">
      <c r="A121" s="109" t="s">
        <v>21</v>
      </c>
      <c r="B121" s="110">
        <f t="shared" ref="B121:K121" si="179">SUM(B122:B126)</f>
        <v>912</v>
      </c>
      <c r="C121" s="110">
        <f t="shared" si="179"/>
        <v>844</v>
      </c>
      <c r="D121" s="110">
        <f t="shared" si="179"/>
        <v>695</v>
      </c>
      <c r="E121" s="110">
        <f t="shared" si="179"/>
        <v>878</v>
      </c>
      <c r="F121" s="110">
        <f t="shared" si="179"/>
        <v>933</v>
      </c>
      <c r="G121" s="110">
        <f t="shared" si="179"/>
        <v>1135</v>
      </c>
      <c r="H121" s="110">
        <f t="shared" si="179"/>
        <v>792</v>
      </c>
      <c r="I121" s="110">
        <f t="shared" si="179"/>
        <v>1149</v>
      </c>
      <c r="J121" s="110">
        <f t="shared" si="179"/>
        <v>1209</v>
      </c>
      <c r="K121" s="110">
        <f t="shared" si="179"/>
        <v>1162</v>
      </c>
      <c r="L121" s="110">
        <f t="shared" ref="L121" si="180">SUM(L122:L126)</f>
        <v>572</v>
      </c>
      <c r="M121" s="110">
        <f t="shared" ref="M121:V121" si="181">SUM(M122:M126)</f>
        <v>245</v>
      </c>
      <c r="N121" s="110">
        <f t="shared" si="181"/>
        <v>784</v>
      </c>
      <c r="O121" s="110">
        <f t="shared" si="181"/>
        <v>1284</v>
      </c>
      <c r="P121" s="110">
        <f t="shared" si="181"/>
        <v>669</v>
      </c>
      <c r="Q121" s="110">
        <f t="shared" si="181"/>
        <v>736</v>
      </c>
      <c r="R121" s="110">
        <f t="shared" si="181"/>
        <v>863</v>
      </c>
      <c r="S121" s="110">
        <f t="shared" si="181"/>
        <v>887</v>
      </c>
      <c r="T121" s="110">
        <f t="shared" si="181"/>
        <v>845</v>
      </c>
      <c r="U121" s="110">
        <f t="shared" si="181"/>
        <v>1413</v>
      </c>
      <c r="V121" s="110">
        <f t="shared" si="181"/>
        <v>1362</v>
      </c>
      <c r="W121" s="110">
        <f t="shared" ref="W121:Y121" si="182">SUM(W122:W126)</f>
        <v>958</v>
      </c>
      <c r="X121" s="110">
        <f t="shared" si="182"/>
        <v>759</v>
      </c>
      <c r="Y121" s="110">
        <f t="shared" si="182"/>
        <v>778</v>
      </c>
      <c r="DA121" s="176" t="s">
        <v>536</v>
      </c>
    </row>
    <row r="122" spans="1:105" ht="11.45" customHeight="1" x14ac:dyDescent="0.25">
      <c r="A122" s="111" t="s">
        <v>110</v>
      </c>
      <c r="B122" s="102">
        <v>0</v>
      </c>
      <c r="C122" s="102">
        <v>4</v>
      </c>
      <c r="D122" s="102">
        <v>4</v>
      </c>
      <c r="E122" s="102">
        <v>4</v>
      </c>
      <c r="F122" s="102">
        <v>0</v>
      </c>
      <c r="G122" s="102">
        <v>2</v>
      </c>
      <c r="H122" s="102">
        <v>1</v>
      </c>
      <c r="I122" s="102">
        <v>2</v>
      </c>
      <c r="J122" s="102">
        <v>0</v>
      </c>
      <c r="K122" s="102">
        <v>1</v>
      </c>
      <c r="L122" s="102">
        <v>3</v>
      </c>
      <c r="M122" s="102">
        <v>0</v>
      </c>
      <c r="N122" s="102">
        <v>0</v>
      </c>
      <c r="O122" s="102">
        <v>0</v>
      </c>
      <c r="P122" s="102">
        <v>0</v>
      </c>
      <c r="Q122" s="102">
        <v>9</v>
      </c>
      <c r="R122" s="102">
        <v>5</v>
      </c>
      <c r="S122" s="102">
        <v>0</v>
      </c>
      <c r="T122" s="102">
        <v>0</v>
      </c>
      <c r="U122" s="102">
        <v>90</v>
      </c>
      <c r="V122" s="102">
        <v>0</v>
      </c>
      <c r="W122" s="102">
        <v>17</v>
      </c>
      <c r="X122" s="102">
        <v>29</v>
      </c>
      <c r="Y122" s="102">
        <v>1</v>
      </c>
      <c r="DA122" s="175" t="s">
        <v>537</v>
      </c>
    </row>
    <row r="123" spans="1:105" ht="11.45" customHeight="1" x14ac:dyDescent="0.25">
      <c r="A123" s="111" t="s">
        <v>111</v>
      </c>
      <c r="B123" s="102">
        <v>912</v>
      </c>
      <c r="C123" s="102">
        <v>837</v>
      </c>
      <c r="D123" s="102">
        <v>676</v>
      </c>
      <c r="E123" s="102">
        <v>874</v>
      </c>
      <c r="F123" s="102">
        <v>922</v>
      </c>
      <c r="G123" s="102">
        <v>1097</v>
      </c>
      <c r="H123" s="102">
        <v>759</v>
      </c>
      <c r="I123" s="102">
        <v>1129</v>
      </c>
      <c r="J123" s="102">
        <v>1162</v>
      </c>
      <c r="K123" s="102">
        <v>1021</v>
      </c>
      <c r="L123" s="102">
        <v>451</v>
      </c>
      <c r="M123" s="102">
        <v>0</v>
      </c>
      <c r="N123" s="102">
        <v>584</v>
      </c>
      <c r="O123" s="102">
        <v>562</v>
      </c>
      <c r="P123" s="102">
        <v>619</v>
      </c>
      <c r="Q123" s="102">
        <v>599</v>
      </c>
      <c r="R123" s="102">
        <v>563</v>
      </c>
      <c r="S123" s="102">
        <v>627</v>
      </c>
      <c r="T123" s="102">
        <v>561</v>
      </c>
      <c r="U123" s="102">
        <v>692</v>
      </c>
      <c r="V123" s="102">
        <v>640</v>
      </c>
      <c r="W123" s="102">
        <v>603</v>
      </c>
      <c r="X123" s="102">
        <v>580</v>
      </c>
      <c r="Y123" s="102">
        <v>599</v>
      </c>
      <c r="DA123" s="175" t="s">
        <v>538</v>
      </c>
    </row>
    <row r="124" spans="1:105" ht="11.45" customHeight="1" x14ac:dyDescent="0.25">
      <c r="A124" s="111" t="s">
        <v>112</v>
      </c>
      <c r="B124" s="102">
        <v>0</v>
      </c>
      <c r="C124" s="102">
        <v>0</v>
      </c>
      <c r="D124" s="102">
        <v>0</v>
      </c>
      <c r="E124" s="102">
        <v>0</v>
      </c>
      <c r="F124" s="102">
        <v>0</v>
      </c>
      <c r="G124" s="102">
        <v>30</v>
      </c>
      <c r="H124" s="102">
        <v>0</v>
      </c>
      <c r="I124" s="102">
        <v>0</v>
      </c>
      <c r="J124" s="102">
        <v>0</v>
      </c>
      <c r="K124" s="102">
        <v>0</v>
      </c>
      <c r="L124" s="102">
        <v>0</v>
      </c>
      <c r="M124" s="102">
        <v>0</v>
      </c>
      <c r="N124" s="102">
        <v>0</v>
      </c>
      <c r="O124" s="102">
        <v>0</v>
      </c>
      <c r="P124" s="102">
        <v>0</v>
      </c>
      <c r="Q124" s="102">
        <v>0</v>
      </c>
      <c r="R124" s="102">
        <v>0</v>
      </c>
      <c r="S124" s="102">
        <v>0</v>
      </c>
      <c r="T124" s="102">
        <v>0</v>
      </c>
      <c r="U124" s="102">
        <v>0</v>
      </c>
      <c r="V124" s="102">
        <v>0</v>
      </c>
      <c r="W124" s="102">
        <v>0</v>
      </c>
      <c r="X124" s="102">
        <v>0</v>
      </c>
      <c r="Y124" s="102">
        <v>0</v>
      </c>
      <c r="DA124" s="175" t="s">
        <v>539</v>
      </c>
    </row>
    <row r="125" spans="1:105" ht="11.45" customHeight="1" x14ac:dyDescent="0.25">
      <c r="A125" s="111" t="s">
        <v>113</v>
      </c>
      <c r="B125" s="102">
        <v>0</v>
      </c>
      <c r="C125" s="102">
        <v>3</v>
      </c>
      <c r="D125" s="102">
        <v>9</v>
      </c>
      <c r="E125" s="102">
        <v>0</v>
      </c>
      <c r="F125" s="102">
        <v>0</v>
      </c>
      <c r="G125" s="102">
        <v>4</v>
      </c>
      <c r="H125" s="102">
        <v>31</v>
      </c>
      <c r="I125" s="102">
        <v>18</v>
      </c>
      <c r="J125" s="102">
        <v>47</v>
      </c>
      <c r="K125" s="102">
        <v>129</v>
      </c>
      <c r="L125" s="102">
        <v>84</v>
      </c>
      <c r="M125" s="102">
        <v>245</v>
      </c>
      <c r="N125" s="102">
        <v>198</v>
      </c>
      <c r="O125" s="102">
        <v>703</v>
      </c>
      <c r="P125" s="102">
        <v>45</v>
      </c>
      <c r="Q125" s="102">
        <v>113</v>
      </c>
      <c r="R125" s="102">
        <v>171</v>
      </c>
      <c r="S125" s="102">
        <v>119</v>
      </c>
      <c r="T125" s="102">
        <v>140</v>
      </c>
      <c r="U125" s="102">
        <v>220</v>
      </c>
      <c r="V125" s="102">
        <v>276</v>
      </c>
      <c r="W125" s="102">
        <v>170</v>
      </c>
      <c r="X125" s="102">
        <v>49</v>
      </c>
      <c r="Y125" s="102">
        <v>0</v>
      </c>
      <c r="DA125" s="175" t="s">
        <v>540</v>
      </c>
    </row>
    <row r="126" spans="1:105" ht="11.45" customHeight="1" x14ac:dyDescent="0.25">
      <c r="A126" s="111" t="s">
        <v>115</v>
      </c>
      <c r="B126" s="102">
        <v>0</v>
      </c>
      <c r="C126" s="102">
        <v>0</v>
      </c>
      <c r="D126" s="102">
        <v>6</v>
      </c>
      <c r="E126" s="102">
        <v>0</v>
      </c>
      <c r="F126" s="102">
        <v>11</v>
      </c>
      <c r="G126" s="102">
        <v>2</v>
      </c>
      <c r="H126" s="102">
        <v>1</v>
      </c>
      <c r="I126" s="102">
        <v>0</v>
      </c>
      <c r="J126" s="102">
        <v>0</v>
      </c>
      <c r="K126" s="102">
        <v>11</v>
      </c>
      <c r="L126" s="102">
        <v>34</v>
      </c>
      <c r="M126" s="102">
        <v>0</v>
      </c>
      <c r="N126" s="102">
        <v>2</v>
      </c>
      <c r="O126" s="102">
        <v>19</v>
      </c>
      <c r="P126" s="102">
        <v>5</v>
      </c>
      <c r="Q126" s="102">
        <v>15</v>
      </c>
      <c r="R126" s="102">
        <v>124</v>
      </c>
      <c r="S126" s="102">
        <v>141</v>
      </c>
      <c r="T126" s="102">
        <v>144</v>
      </c>
      <c r="U126" s="102">
        <v>411</v>
      </c>
      <c r="V126" s="102">
        <v>446</v>
      </c>
      <c r="W126" s="102">
        <v>168</v>
      </c>
      <c r="X126" s="102">
        <v>101</v>
      </c>
      <c r="Y126" s="102">
        <v>178</v>
      </c>
      <c r="DA126" s="175" t="s">
        <v>541</v>
      </c>
    </row>
    <row r="127" spans="1:105" ht="11.45" customHeight="1" x14ac:dyDescent="0.25">
      <c r="A127" s="27" t="s">
        <v>34</v>
      </c>
      <c r="B127" s="28">
        <f t="shared" ref="B127:K127" si="183">B128+B134</f>
        <v>110880</v>
      </c>
      <c r="C127" s="28">
        <f t="shared" si="183"/>
        <v>107812</v>
      </c>
      <c r="D127" s="28">
        <f t="shared" si="183"/>
        <v>94670</v>
      </c>
      <c r="E127" s="28">
        <f t="shared" si="183"/>
        <v>89086</v>
      </c>
      <c r="F127" s="28">
        <f t="shared" si="183"/>
        <v>84478</v>
      </c>
      <c r="G127" s="28">
        <f t="shared" si="183"/>
        <v>94807</v>
      </c>
      <c r="H127" s="28">
        <f t="shared" si="183"/>
        <v>74049</v>
      </c>
      <c r="I127" s="28">
        <f t="shared" si="183"/>
        <v>76507</v>
      </c>
      <c r="J127" s="28">
        <f t="shared" si="183"/>
        <v>90093</v>
      </c>
      <c r="K127" s="28">
        <f t="shared" si="183"/>
        <v>94525</v>
      </c>
      <c r="L127" s="28">
        <f t="shared" ref="L127" si="184">L128+L134</f>
        <v>61629</v>
      </c>
      <c r="M127" s="28">
        <f t="shared" ref="M127:V127" si="185">M128+M134</f>
        <v>65491</v>
      </c>
      <c r="N127" s="28">
        <f t="shared" si="185"/>
        <v>67475</v>
      </c>
      <c r="O127" s="28">
        <f t="shared" si="185"/>
        <v>63690</v>
      </c>
      <c r="P127" s="28">
        <f t="shared" si="185"/>
        <v>63884</v>
      </c>
      <c r="Q127" s="28">
        <f t="shared" si="185"/>
        <v>68060</v>
      </c>
      <c r="R127" s="28">
        <f t="shared" si="185"/>
        <v>84266</v>
      </c>
      <c r="S127" s="28">
        <f t="shared" si="185"/>
        <v>87142</v>
      </c>
      <c r="T127" s="28">
        <f t="shared" si="185"/>
        <v>91873</v>
      </c>
      <c r="U127" s="28">
        <f t="shared" si="185"/>
        <v>95715</v>
      </c>
      <c r="V127" s="28">
        <f t="shared" si="185"/>
        <v>73779</v>
      </c>
      <c r="W127" s="28">
        <f t="shared" ref="W127:Y127" si="186">W128+W134</f>
        <v>78398</v>
      </c>
      <c r="X127" s="28">
        <f t="shared" si="186"/>
        <v>96719</v>
      </c>
      <c r="Y127" s="28">
        <f t="shared" si="186"/>
        <v>99300</v>
      </c>
      <c r="DA127" s="173" t="s">
        <v>542</v>
      </c>
    </row>
    <row r="128" spans="1:105" ht="11.45" customHeight="1" x14ac:dyDescent="0.25">
      <c r="A128" s="136" t="s">
        <v>153</v>
      </c>
      <c r="B128" s="137">
        <f t="shared" ref="B128:K128" si="187">SUM(B129:B133)</f>
        <v>98472</v>
      </c>
      <c r="C128" s="137">
        <f t="shared" si="187"/>
        <v>95049</v>
      </c>
      <c r="D128" s="137">
        <f t="shared" si="187"/>
        <v>82359</v>
      </c>
      <c r="E128" s="137">
        <f t="shared" si="187"/>
        <v>79201</v>
      </c>
      <c r="F128" s="137">
        <f t="shared" si="187"/>
        <v>74435</v>
      </c>
      <c r="G128" s="137">
        <f t="shared" si="187"/>
        <v>85626</v>
      </c>
      <c r="H128" s="137">
        <f t="shared" si="187"/>
        <v>64408</v>
      </c>
      <c r="I128" s="137">
        <f t="shared" si="187"/>
        <v>63733</v>
      </c>
      <c r="J128" s="137">
        <f t="shared" si="187"/>
        <v>79533</v>
      </c>
      <c r="K128" s="137">
        <f t="shared" si="187"/>
        <v>83074</v>
      </c>
      <c r="L128" s="137">
        <f t="shared" ref="L128" si="188">SUM(L129:L133)</f>
        <v>52137</v>
      </c>
      <c r="M128" s="137">
        <f t="shared" ref="M128:V128" si="189">SUM(M129:M133)</f>
        <v>58293</v>
      </c>
      <c r="N128" s="137">
        <f t="shared" si="189"/>
        <v>58883</v>
      </c>
      <c r="O128" s="137">
        <f t="shared" si="189"/>
        <v>54785</v>
      </c>
      <c r="P128" s="137">
        <f t="shared" si="189"/>
        <v>54525</v>
      </c>
      <c r="Q128" s="137">
        <f t="shared" si="189"/>
        <v>60224</v>
      </c>
      <c r="R128" s="137">
        <f t="shared" si="189"/>
        <v>73275</v>
      </c>
      <c r="S128" s="137">
        <f t="shared" si="189"/>
        <v>76074</v>
      </c>
      <c r="T128" s="137">
        <f t="shared" si="189"/>
        <v>81688</v>
      </c>
      <c r="U128" s="137">
        <f t="shared" si="189"/>
        <v>82409</v>
      </c>
      <c r="V128" s="137">
        <f t="shared" si="189"/>
        <v>62619</v>
      </c>
      <c r="W128" s="137">
        <f t="shared" ref="W128:Y128" si="190">SUM(W129:W133)</f>
        <v>65007</v>
      </c>
      <c r="X128" s="137">
        <f t="shared" si="190"/>
        <v>82822</v>
      </c>
      <c r="Y128" s="137">
        <f t="shared" si="190"/>
        <v>87110</v>
      </c>
      <c r="DA128" s="174" t="s">
        <v>543</v>
      </c>
    </row>
    <row r="129" spans="1:105" ht="11.45" customHeight="1" x14ac:dyDescent="0.25">
      <c r="A129" s="111" t="s">
        <v>110</v>
      </c>
      <c r="B129" s="84">
        <v>0</v>
      </c>
      <c r="C129" s="84">
        <v>0</v>
      </c>
      <c r="D129" s="84">
        <v>0</v>
      </c>
      <c r="E129" s="84">
        <v>0</v>
      </c>
      <c r="F129" s="84">
        <v>0</v>
      </c>
      <c r="G129" s="84">
        <v>0</v>
      </c>
      <c r="H129" s="84">
        <v>0</v>
      </c>
      <c r="I129" s="84">
        <v>0</v>
      </c>
      <c r="J129" s="84">
        <v>0</v>
      </c>
      <c r="K129" s="84">
        <v>1267</v>
      </c>
      <c r="L129" s="84">
        <v>2787</v>
      </c>
      <c r="M129" s="84">
        <v>2694</v>
      </c>
      <c r="N129" s="84">
        <v>2645</v>
      </c>
      <c r="O129" s="84">
        <v>872</v>
      </c>
      <c r="P129" s="84">
        <v>3084</v>
      </c>
      <c r="Q129" s="84">
        <v>3113</v>
      </c>
      <c r="R129" s="84">
        <v>3334</v>
      </c>
      <c r="S129" s="84">
        <v>3224</v>
      </c>
      <c r="T129" s="84">
        <v>1525</v>
      </c>
      <c r="U129" s="84">
        <v>3400</v>
      </c>
      <c r="V129" s="84">
        <v>2936</v>
      </c>
      <c r="W129" s="84">
        <v>4529</v>
      </c>
      <c r="X129" s="84">
        <v>5993</v>
      </c>
      <c r="Y129" s="84">
        <v>3583</v>
      </c>
      <c r="DA129" s="171" t="s">
        <v>544</v>
      </c>
    </row>
    <row r="130" spans="1:105" ht="11.45" customHeight="1" x14ac:dyDescent="0.25">
      <c r="A130" s="111" t="s">
        <v>111</v>
      </c>
      <c r="B130" s="84">
        <v>98472</v>
      </c>
      <c r="C130" s="84">
        <v>94902</v>
      </c>
      <c r="D130" s="84">
        <v>82359</v>
      </c>
      <c r="E130" s="84">
        <v>79117</v>
      </c>
      <c r="F130" s="84">
        <v>74283</v>
      </c>
      <c r="G130" s="84">
        <v>85626</v>
      </c>
      <c r="H130" s="84">
        <v>64408</v>
      </c>
      <c r="I130" s="84">
        <v>63453</v>
      </c>
      <c r="J130" s="84">
        <v>79533</v>
      </c>
      <c r="K130" s="84">
        <v>81453</v>
      </c>
      <c r="L130" s="84">
        <v>48615</v>
      </c>
      <c r="M130" s="84">
        <v>54716</v>
      </c>
      <c r="N130" s="84">
        <v>54848</v>
      </c>
      <c r="O130" s="84">
        <v>52758</v>
      </c>
      <c r="P130" s="84">
        <v>49679</v>
      </c>
      <c r="Q130" s="84">
        <v>55959</v>
      </c>
      <c r="R130" s="84">
        <v>68347</v>
      </c>
      <c r="S130" s="84">
        <v>70654</v>
      </c>
      <c r="T130" s="84">
        <v>75831</v>
      </c>
      <c r="U130" s="84">
        <v>72219</v>
      </c>
      <c r="V130" s="84">
        <v>56772</v>
      </c>
      <c r="W130" s="84">
        <v>56575</v>
      </c>
      <c r="X130" s="84">
        <v>70162</v>
      </c>
      <c r="Y130" s="84">
        <v>72716</v>
      </c>
      <c r="DA130" s="171" t="s">
        <v>545</v>
      </c>
    </row>
    <row r="131" spans="1:105" ht="11.45" customHeight="1" x14ac:dyDescent="0.25">
      <c r="A131" s="111" t="s">
        <v>112</v>
      </c>
      <c r="B131" s="84">
        <v>0</v>
      </c>
      <c r="C131" s="84">
        <v>147</v>
      </c>
      <c r="D131" s="84">
        <v>0</v>
      </c>
      <c r="E131" s="84">
        <v>0</v>
      </c>
      <c r="F131" s="84">
        <v>0</v>
      </c>
      <c r="G131" s="84">
        <v>0</v>
      </c>
      <c r="H131" s="84">
        <v>0</v>
      </c>
      <c r="I131" s="84">
        <v>0</v>
      </c>
      <c r="J131" s="84">
        <v>0</v>
      </c>
      <c r="K131" s="84">
        <v>11</v>
      </c>
      <c r="L131" s="84">
        <v>388</v>
      </c>
      <c r="M131" s="84">
        <v>511</v>
      </c>
      <c r="N131" s="84">
        <v>597</v>
      </c>
      <c r="O131" s="84">
        <v>501</v>
      </c>
      <c r="P131" s="84">
        <v>781</v>
      </c>
      <c r="Q131" s="84">
        <v>654</v>
      </c>
      <c r="R131" s="84">
        <v>693</v>
      </c>
      <c r="S131" s="84">
        <v>952</v>
      </c>
      <c r="T131" s="84">
        <v>1426</v>
      </c>
      <c r="U131" s="84">
        <v>5086</v>
      </c>
      <c r="V131" s="84">
        <v>984</v>
      </c>
      <c r="W131" s="84">
        <v>722</v>
      </c>
      <c r="X131" s="84">
        <v>1824</v>
      </c>
      <c r="Y131" s="84">
        <v>871</v>
      </c>
      <c r="DA131" s="171" t="s">
        <v>546</v>
      </c>
    </row>
    <row r="132" spans="1:105" ht="11.45" customHeight="1" x14ac:dyDescent="0.25">
      <c r="A132" s="111" t="s">
        <v>113</v>
      </c>
      <c r="B132" s="84">
        <v>0</v>
      </c>
      <c r="C132" s="84">
        <v>0</v>
      </c>
      <c r="D132" s="84">
        <v>0</v>
      </c>
      <c r="E132" s="84">
        <v>84</v>
      </c>
      <c r="F132" s="84">
        <v>152</v>
      </c>
      <c r="G132" s="84">
        <v>0</v>
      </c>
      <c r="H132" s="84">
        <v>0</v>
      </c>
      <c r="I132" s="84">
        <v>280</v>
      </c>
      <c r="J132" s="84">
        <v>0</v>
      </c>
      <c r="K132" s="84">
        <v>343</v>
      </c>
      <c r="L132" s="84">
        <v>347</v>
      </c>
      <c r="M132" s="84">
        <v>356</v>
      </c>
      <c r="N132" s="84">
        <v>398</v>
      </c>
      <c r="O132" s="84">
        <v>380</v>
      </c>
      <c r="P132" s="84">
        <v>391</v>
      </c>
      <c r="Q132" s="84">
        <v>226</v>
      </c>
      <c r="R132" s="84">
        <v>604</v>
      </c>
      <c r="S132" s="84">
        <v>627</v>
      </c>
      <c r="T132" s="84">
        <v>1938</v>
      </c>
      <c r="U132" s="84">
        <v>459</v>
      </c>
      <c r="V132" s="84">
        <v>311</v>
      </c>
      <c r="W132" s="84">
        <v>112</v>
      </c>
      <c r="X132" s="84">
        <v>88</v>
      </c>
      <c r="Y132" s="84">
        <v>23</v>
      </c>
      <c r="DA132" s="171" t="s">
        <v>547</v>
      </c>
    </row>
    <row r="133" spans="1:105" ht="11.45" customHeight="1" x14ac:dyDescent="0.25">
      <c r="A133" s="111" t="s">
        <v>115</v>
      </c>
      <c r="B133" s="84">
        <v>0</v>
      </c>
      <c r="C133" s="84">
        <v>0</v>
      </c>
      <c r="D133" s="84">
        <v>0</v>
      </c>
      <c r="E133" s="84">
        <v>0</v>
      </c>
      <c r="F133" s="84">
        <v>0</v>
      </c>
      <c r="G133" s="84">
        <v>0</v>
      </c>
      <c r="H133" s="84">
        <v>0</v>
      </c>
      <c r="I133" s="84">
        <v>0</v>
      </c>
      <c r="J133" s="84">
        <v>0</v>
      </c>
      <c r="K133" s="84">
        <v>0</v>
      </c>
      <c r="L133" s="84">
        <v>0</v>
      </c>
      <c r="M133" s="84">
        <v>16</v>
      </c>
      <c r="N133" s="84">
        <v>395</v>
      </c>
      <c r="O133" s="84">
        <v>274</v>
      </c>
      <c r="P133" s="84">
        <v>590</v>
      </c>
      <c r="Q133" s="84">
        <v>272</v>
      </c>
      <c r="R133" s="84">
        <v>297</v>
      </c>
      <c r="S133" s="84">
        <v>617</v>
      </c>
      <c r="T133" s="84">
        <v>968</v>
      </c>
      <c r="U133" s="84">
        <v>1245</v>
      </c>
      <c r="V133" s="84">
        <v>1616</v>
      </c>
      <c r="W133" s="84">
        <v>3069</v>
      </c>
      <c r="X133" s="84">
        <v>4755</v>
      </c>
      <c r="Y133" s="84">
        <v>9917</v>
      </c>
      <c r="DA133" s="171" t="s">
        <v>548</v>
      </c>
    </row>
    <row r="134" spans="1:105" ht="11.45" customHeight="1" x14ac:dyDescent="0.25">
      <c r="A134" s="109" t="s">
        <v>154</v>
      </c>
      <c r="B134" s="110">
        <f t="shared" ref="B134:K134" si="191">SUM(B135:B136)</f>
        <v>12408</v>
      </c>
      <c r="C134" s="110">
        <f t="shared" si="191"/>
        <v>12763</v>
      </c>
      <c r="D134" s="110">
        <f t="shared" si="191"/>
        <v>12311</v>
      </c>
      <c r="E134" s="110">
        <f t="shared" si="191"/>
        <v>9885</v>
      </c>
      <c r="F134" s="110">
        <f t="shared" si="191"/>
        <v>10043</v>
      </c>
      <c r="G134" s="110">
        <f t="shared" si="191"/>
        <v>9181</v>
      </c>
      <c r="H134" s="110">
        <f t="shared" si="191"/>
        <v>9641</v>
      </c>
      <c r="I134" s="110">
        <f t="shared" si="191"/>
        <v>12774</v>
      </c>
      <c r="J134" s="110">
        <f t="shared" si="191"/>
        <v>10560</v>
      </c>
      <c r="K134" s="110">
        <f t="shared" si="191"/>
        <v>11451</v>
      </c>
      <c r="L134" s="110">
        <f t="shared" ref="L134" si="192">SUM(L135:L136)</f>
        <v>9492</v>
      </c>
      <c r="M134" s="110">
        <f t="shared" ref="M134:V134" si="193">SUM(M135:M136)</f>
        <v>7198</v>
      </c>
      <c r="N134" s="110">
        <f t="shared" si="193"/>
        <v>8592</v>
      </c>
      <c r="O134" s="110">
        <f t="shared" si="193"/>
        <v>8905</v>
      </c>
      <c r="P134" s="110">
        <f t="shared" si="193"/>
        <v>9359</v>
      </c>
      <c r="Q134" s="110">
        <f t="shared" si="193"/>
        <v>7836</v>
      </c>
      <c r="R134" s="110">
        <f t="shared" si="193"/>
        <v>10991</v>
      </c>
      <c r="S134" s="110">
        <f t="shared" si="193"/>
        <v>11068</v>
      </c>
      <c r="T134" s="110">
        <f t="shared" si="193"/>
        <v>10185</v>
      </c>
      <c r="U134" s="110">
        <f t="shared" si="193"/>
        <v>13306</v>
      </c>
      <c r="V134" s="110">
        <f t="shared" si="193"/>
        <v>11160</v>
      </c>
      <c r="W134" s="110">
        <f t="shared" ref="W134:Y134" si="194">SUM(W135:W136)</f>
        <v>13391</v>
      </c>
      <c r="X134" s="110">
        <f t="shared" si="194"/>
        <v>13897</v>
      </c>
      <c r="Y134" s="110">
        <f t="shared" si="194"/>
        <v>12190</v>
      </c>
      <c r="DA134" s="176" t="s">
        <v>549</v>
      </c>
    </row>
    <row r="135" spans="1:105" ht="11.45" customHeight="1" x14ac:dyDescent="0.25">
      <c r="A135" s="128" t="s">
        <v>27</v>
      </c>
      <c r="B135" s="102">
        <v>11341</v>
      </c>
      <c r="C135" s="102">
        <v>11526</v>
      </c>
      <c r="D135" s="102">
        <v>11149</v>
      </c>
      <c r="E135" s="102">
        <v>8951</v>
      </c>
      <c r="F135" s="102">
        <v>7033</v>
      </c>
      <c r="G135" s="102">
        <v>7790</v>
      </c>
      <c r="H135" s="102">
        <v>7787</v>
      </c>
      <c r="I135" s="102">
        <v>11530</v>
      </c>
      <c r="J135" s="102">
        <v>9104</v>
      </c>
      <c r="K135" s="102">
        <v>11451</v>
      </c>
      <c r="L135" s="102">
        <v>7464</v>
      </c>
      <c r="M135" s="102">
        <v>6071</v>
      </c>
      <c r="N135" s="102">
        <v>7622</v>
      </c>
      <c r="O135" s="102">
        <v>7290</v>
      </c>
      <c r="P135" s="102">
        <v>7604</v>
      </c>
      <c r="Q135" s="102">
        <v>6186</v>
      </c>
      <c r="R135" s="102">
        <v>8558</v>
      </c>
      <c r="S135" s="102">
        <v>9539</v>
      </c>
      <c r="T135" s="102">
        <v>9177</v>
      </c>
      <c r="U135" s="102">
        <v>11093</v>
      </c>
      <c r="V135" s="102">
        <v>9220</v>
      </c>
      <c r="W135" s="102">
        <v>11992</v>
      </c>
      <c r="X135" s="102">
        <v>12847</v>
      </c>
      <c r="Y135" s="102">
        <v>11329</v>
      </c>
      <c r="DA135" s="175" t="s">
        <v>550</v>
      </c>
    </row>
    <row r="136" spans="1:105" ht="11.45" customHeight="1" x14ac:dyDescent="0.25">
      <c r="A136" s="138" t="s">
        <v>116</v>
      </c>
      <c r="B136" s="86">
        <v>1067</v>
      </c>
      <c r="C136" s="86">
        <v>1237</v>
      </c>
      <c r="D136" s="86">
        <v>1162</v>
      </c>
      <c r="E136" s="86">
        <v>934</v>
      </c>
      <c r="F136" s="86">
        <v>3010</v>
      </c>
      <c r="G136" s="86">
        <v>1391</v>
      </c>
      <c r="H136" s="86">
        <v>1854</v>
      </c>
      <c r="I136" s="86">
        <v>1244</v>
      </c>
      <c r="J136" s="86">
        <v>1456</v>
      </c>
      <c r="K136" s="86">
        <v>0</v>
      </c>
      <c r="L136" s="86">
        <v>2028</v>
      </c>
      <c r="M136" s="86">
        <v>1127</v>
      </c>
      <c r="N136" s="86">
        <v>970</v>
      </c>
      <c r="O136" s="86">
        <v>1615</v>
      </c>
      <c r="P136" s="86">
        <v>1755</v>
      </c>
      <c r="Q136" s="86">
        <v>1650</v>
      </c>
      <c r="R136" s="86">
        <v>2433</v>
      </c>
      <c r="S136" s="86">
        <v>1529</v>
      </c>
      <c r="T136" s="86">
        <v>1008</v>
      </c>
      <c r="U136" s="86">
        <v>2213</v>
      </c>
      <c r="V136" s="86">
        <v>1940</v>
      </c>
      <c r="W136" s="86">
        <v>1399</v>
      </c>
      <c r="X136" s="86">
        <v>1050</v>
      </c>
      <c r="Y136" s="86">
        <v>861</v>
      </c>
      <c r="DA136" s="178" t="s">
        <v>551</v>
      </c>
    </row>
    <row r="137" spans="1:105" ht="11.45" customHeight="1" x14ac:dyDescent="0.25">
      <c r="A137" s="106"/>
      <c r="B137" s="106"/>
      <c r="C137" s="106"/>
      <c r="D137" s="106"/>
      <c r="E137" s="106"/>
      <c r="F137" s="106"/>
      <c r="G137" s="106"/>
      <c r="H137" s="106"/>
      <c r="I137" s="106"/>
      <c r="J137" s="106"/>
      <c r="K137" s="106"/>
      <c r="L137" s="106"/>
      <c r="M137" s="106"/>
      <c r="N137" s="106"/>
      <c r="O137" s="106"/>
      <c r="P137" s="106"/>
      <c r="Q137" s="106"/>
      <c r="R137" s="106"/>
      <c r="S137" s="106"/>
      <c r="T137" s="106"/>
      <c r="U137" s="106"/>
      <c r="V137" s="106"/>
      <c r="W137" s="106"/>
      <c r="X137" s="106"/>
      <c r="Y137" s="106"/>
      <c r="DA137" s="171"/>
    </row>
    <row r="138" spans="1:105" ht="11.45" customHeight="1" x14ac:dyDescent="0.25">
      <c r="A138" s="143" t="s">
        <v>36</v>
      </c>
      <c r="B138" s="144"/>
      <c r="C138" s="144"/>
      <c r="D138" s="144"/>
      <c r="E138" s="144"/>
      <c r="F138" s="144"/>
      <c r="G138" s="144"/>
      <c r="H138" s="144"/>
      <c r="I138" s="144"/>
      <c r="J138" s="144"/>
      <c r="K138" s="144"/>
      <c r="L138" s="144"/>
      <c r="M138" s="144"/>
      <c r="N138" s="144"/>
      <c r="O138" s="144"/>
      <c r="P138" s="144"/>
      <c r="Q138" s="144"/>
      <c r="R138" s="144"/>
      <c r="S138" s="144"/>
      <c r="T138" s="144"/>
      <c r="U138" s="144"/>
      <c r="V138" s="144"/>
      <c r="W138" s="144"/>
      <c r="X138" s="144"/>
      <c r="Y138" s="144"/>
      <c r="DA138" s="179"/>
    </row>
    <row r="139" spans="1:105" ht="11.45" customHeight="1" x14ac:dyDescent="0.25">
      <c r="A139" s="106"/>
      <c r="B139" s="106"/>
      <c r="C139" s="106"/>
      <c r="D139" s="106"/>
      <c r="E139" s="106"/>
      <c r="F139" s="106"/>
      <c r="G139" s="106"/>
      <c r="H139" s="106"/>
      <c r="I139" s="106"/>
      <c r="J139" s="106"/>
      <c r="K139" s="106"/>
      <c r="L139" s="106"/>
      <c r="M139" s="106"/>
      <c r="N139" s="106"/>
      <c r="O139" s="106"/>
      <c r="P139" s="106"/>
      <c r="Q139" s="106"/>
      <c r="R139" s="106"/>
      <c r="S139" s="106"/>
      <c r="T139" s="106"/>
      <c r="U139" s="106"/>
      <c r="V139" s="106"/>
      <c r="W139" s="106"/>
      <c r="X139" s="106"/>
      <c r="Y139" s="106"/>
      <c r="DA139" s="171"/>
    </row>
    <row r="140" spans="1:105" ht="11.45" customHeight="1" x14ac:dyDescent="0.25">
      <c r="A140" s="53" t="s">
        <v>99</v>
      </c>
      <c r="B140" s="79"/>
      <c r="C140" s="79"/>
      <c r="D140" s="79"/>
      <c r="E140" s="79"/>
      <c r="F140" s="79"/>
      <c r="G140" s="79"/>
      <c r="H140" s="79"/>
      <c r="I140" s="79"/>
      <c r="J140" s="79"/>
      <c r="K140" s="79"/>
      <c r="L140" s="79"/>
      <c r="M140" s="79"/>
      <c r="N140" s="79"/>
      <c r="O140" s="79"/>
      <c r="P140" s="79"/>
      <c r="Q140" s="79"/>
      <c r="R140" s="79"/>
      <c r="S140" s="79"/>
      <c r="T140" s="79"/>
      <c r="U140" s="79"/>
      <c r="V140" s="79"/>
      <c r="W140" s="79"/>
      <c r="X140" s="79"/>
      <c r="Y140" s="79"/>
      <c r="DA140" s="172"/>
    </row>
    <row r="141" spans="1:105" ht="11.45" customHeight="1" x14ac:dyDescent="0.25">
      <c r="A141" s="27" t="s">
        <v>100</v>
      </c>
      <c r="B141" s="32">
        <f t="shared" ref="B141:K141" si="195">IF(B4=0,0,B4/B31)</f>
        <v>1.6087370932180889</v>
      </c>
      <c r="C141" s="32">
        <f t="shared" si="195"/>
        <v>1.5961720586935924</v>
      </c>
      <c r="D141" s="32">
        <f t="shared" si="195"/>
        <v>1.59117106587752</v>
      </c>
      <c r="E141" s="32">
        <f t="shared" si="195"/>
        <v>1.5961438967758015</v>
      </c>
      <c r="F141" s="32">
        <f t="shared" si="195"/>
        <v>1.6146683598461851</v>
      </c>
      <c r="G141" s="32">
        <f t="shared" si="195"/>
        <v>1.5615435123926529</v>
      </c>
      <c r="H141" s="32">
        <f t="shared" si="195"/>
        <v>1.538730609461926</v>
      </c>
      <c r="I141" s="32">
        <f t="shared" si="195"/>
        <v>1.5209705616829192</v>
      </c>
      <c r="J141" s="32">
        <f t="shared" si="195"/>
        <v>1.4735613657663218</v>
      </c>
      <c r="K141" s="32">
        <f t="shared" si="195"/>
        <v>1.4643865255061383</v>
      </c>
      <c r="L141" s="32">
        <f t="shared" ref="L141" si="196">IF(L4=0,0,L4/L31)</f>
        <v>1.4490454212130859</v>
      </c>
      <c r="M141" s="32">
        <f t="shared" ref="M141:V141" si="197">IF(M4=0,0,M4/M31)</f>
        <v>1.423402664848171</v>
      </c>
      <c r="N141" s="32">
        <f t="shared" si="197"/>
        <v>1.442476710812945</v>
      </c>
      <c r="O141" s="32">
        <f t="shared" si="197"/>
        <v>1.4982534245245813</v>
      </c>
      <c r="P141" s="32">
        <f t="shared" si="197"/>
        <v>1.4908169581879118</v>
      </c>
      <c r="Q141" s="32">
        <f t="shared" si="197"/>
        <v>1.4237731056240912</v>
      </c>
      <c r="R141" s="32">
        <f t="shared" si="197"/>
        <v>1.4070253873705414</v>
      </c>
      <c r="S141" s="32">
        <f t="shared" si="197"/>
        <v>1.3697462644023017</v>
      </c>
      <c r="T141" s="32">
        <f t="shared" si="197"/>
        <v>1.4561853870296415</v>
      </c>
      <c r="U141" s="32">
        <f t="shared" si="197"/>
        <v>1.4455111963643219</v>
      </c>
      <c r="V141" s="32">
        <f t="shared" si="197"/>
        <v>1.2435881145182268</v>
      </c>
      <c r="W141" s="32">
        <f t="shared" ref="W141:Y141" si="198">IF(W4=0,0,W4/W31)</f>
        <v>1.2954122831930952</v>
      </c>
      <c r="X141" s="32">
        <f t="shared" si="198"/>
        <v>1.3031987188306002</v>
      </c>
      <c r="Y141" s="32">
        <f t="shared" si="198"/>
        <v>1.3500394555297071</v>
      </c>
      <c r="DA141" s="173" t="s">
        <v>552</v>
      </c>
    </row>
    <row r="142" spans="1:105" ht="11.45" customHeight="1" x14ac:dyDescent="0.25">
      <c r="A142" s="136" t="s">
        <v>173</v>
      </c>
      <c r="B142" s="141">
        <v>1.1549472685768511</v>
      </c>
      <c r="C142" s="141">
        <v>1.1549251164250129</v>
      </c>
      <c r="D142" s="141">
        <v>1.154724433005738</v>
      </c>
      <c r="E142" s="141">
        <v>1.1552093820866827</v>
      </c>
      <c r="F142" s="141">
        <v>1.1553640856511078</v>
      </c>
      <c r="G142" s="141">
        <v>1.1543178727366701</v>
      </c>
      <c r="H142" s="141">
        <v>1.1546398637822315</v>
      </c>
      <c r="I142" s="141">
        <v>1.1564931393319675</v>
      </c>
      <c r="J142" s="141">
        <v>1.1571017737935942</v>
      </c>
      <c r="K142" s="141">
        <v>1.157657056258365</v>
      </c>
      <c r="L142" s="141">
        <v>1.1556682113354202</v>
      </c>
      <c r="M142" s="141">
        <v>1.1546558434345866</v>
      </c>
      <c r="N142" s="141">
        <v>1.1475295413899496</v>
      </c>
      <c r="O142" s="141">
        <v>1.1469392088128179</v>
      </c>
      <c r="P142" s="141">
        <v>1.149429532231234</v>
      </c>
      <c r="Q142" s="141">
        <v>1.1514161199072459</v>
      </c>
      <c r="R142" s="141">
        <v>1.1516997800275053</v>
      </c>
      <c r="S142" s="141">
        <v>1.1510383554857364</v>
      </c>
      <c r="T142" s="141">
        <v>1.1504617312152656</v>
      </c>
      <c r="U142" s="141">
        <v>1.1511551500923207</v>
      </c>
      <c r="V142" s="141">
        <v>1.1499178463027342</v>
      </c>
      <c r="W142" s="141">
        <v>1.1500943644597257</v>
      </c>
      <c r="X142" s="141">
        <v>1.1500442257581469</v>
      </c>
      <c r="Y142" s="141">
        <v>1.1511946071078232</v>
      </c>
      <c r="DA142" s="174" t="s">
        <v>553</v>
      </c>
    </row>
    <row r="143" spans="1:105" ht="11.45" customHeight="1" x14ac:dyDescent="0.25">
      <c r="A143" s="109" t="s">
        <v>20</v>
      </c>
      <c r="B143" s="130">
        <f t="shared" ref="B143:K143" si="199">IF(B6=0,0,B6/B33)</f>
        <v>1.5827612509534705</v>
      </c>
      <c r="C143" s="130">
        <f t="shared" si="199"/>
        <v>1.5699161491819473</v>
      </c>
      <c r="D143" s="130">
        <f t="shared" si="199"/>
        <v>1.5685813802210808</v>
      </c>
      <c r="E143" s="130">
        <f t="shared" si="199"/>
        <v>1.571934566206312</v>
      </c>
      <c r="F143" s="130">
        <f t="shared" si="199"/>
        <v>1.5899618451108675</v>
      </c>
      <c r="G143" s="130">
        <f t="shared" si="199"/>
        <v>1.5351284432064376</v>
      </c>
      <c r="H143" s="130">
        <f t="shared" si="199"/>
        <v>1.5117003564752864</v>
      </c>
      <c r="I143" s="130">
        <f t="shared" si="199"/>
        <v>1.4939609040069877</v>
      </c>
      <c r="J143" s="130">
        <f t="shared" si="199"/>
        <v>1.4456409499926244</v>
      </c>
      <c r="K143" s="130">
        <f t="shared" si="199"/>
        <v>1.438855996380731</v>
      </c>
      <c r="L143" s="130">
        <f t="shared" ref="L143" si="200">IF(L6=0,0,L6/L33)</f>
        <v>1.4235648353818056</v>
      </c>
      <c r="M143" s="130">
        <f t="shared" ref="M143:V143" si="201">IF(M6=0,0,M6/M33)</f>
        <v>1.3958434026099564</v>
      </c>
      <c r="N143" s="130">
        <f t="shared" si="201"/>
        <v>1.4197500752050864</v>
      </c>
      <c r="O143" s="130">
        <f t="shared" si="201"/>
        <v>1.4764029381840043</v>
      </c>
      <c r="P143" s="130">
        <f t="shared" si="201"/>
        <v>1.4686785449071034</v>
      </c>
      <c r="Q143" s="130">
        <f t="shared" si="201"/>
        <v>1.3954367717095448</v>
      </c>
      <c r="R143" s="130">
        <f t="shared" si="201"/>
        <v>1.3776934984217191</v>
      </c>
      <c r="S143" s="130">
        <f t="shared" si="201"/>
        <v>1.3424349810166873</v>
      </c>
      <c r="T143" s="130">
        <f t="shared" si="201"/>
        <v>1.4238943095672749</v>
      </c>
      <c r="U143" s="130">
        <f t="shared" si="201"/>
        <v>1.4134058443234154</v>
      </c>
      <c r="V143" s="130">
        <f t="shared" si="201"/>
        <v>1.2263832519194029</v>
      </c>
      <c r="W143" s="130">
        <f t="shared" ref="W143:Y143" si="202">IF(W6=0,0,W6/W33)</f>
        <v>1.276018826495956</v>
      </c>
      <c r="X143" s="130">
        <f t="shared" si="202"/>
        <v>1.2730126953550951</v>
      </c>
      <c r="Y143" s="130">
        <f t="shared" si="202"/>
        <v>1.3224930904256185</v>
      </c>
      <c r="DA143" s="176" t="s">
        <v>554</v>
      </c>
    </row>
    <row r="144" spans="1:105" ht="11.45" customHeight="1" x14ac:dyDescent="0.25">
      <c r="A144" s="111" t="s">
        <v>110</v>
      </c>
      <c r="B144" s="96">
        <v>1.5556472168234385</v>
      </c>
      <c r="C144" s="96">
        <v>1.5413881077013369</v>
      </c>
      <c r="D144" s="96">
        <v>1.5383279909160656</v>
      </c>
      <c r="E144" s="96">
        <v>1.5398947503001477</v>
      </c>
      <c r="F144" s="96">
        <v>1.556571230190392</v>
      </c>
      <c r="G144" s="96">
        <v>1.5013452385836363</v>
      </c>
      <c r="H144" s="96">
        <v>1.4765827059488899</v>
      </c>
      <c r="I144" s="96">
        <v>1.4582793366483628</v>
      </c>
      <c r="J144" s="96">
        <v>1.4108886482107241</v>
      </c>
      <c r="K144" s="96">
        <v>1.4047165136089372</v>
      </c>
      <c r="L144" s="96">
        <v>1.3901203864867708</v>
      </c>
      <c r="M144" s="96">
        <v>1.363180170345258</v>
      </c>
      <c r="N144" s="96">
        <v>1.3854830829963318</v>
      </c>
      <c r="O144" s="96">
        <v>1.4410141058157744</v>
      </c>
      <c r="P144" s="96">
        <v>1.4331397518482096</v>
      </c>
      <c r="Q144" s="96">
        <v>1.3617688881309848</v>
      </c>
      <c r="R144" s="96">
        <v>1.3459181511614908</v>
      </c>
      <c r="S144" s="96">
        <v>1.3126983157395566</v>
      </c>
      <c r="T144" s="96">
        <v>1.394599786696989</v>
      </c>
      <c r="U144" s="96">
        <v>1.3880969230526796</v>
      </c>
      <c r="V144" s="96">
        <v>1.2090122798719527</v>
      </c>
      <c r="W144" s="96">
        <v>1.2543458976421007</v>
      </c>
      <c r="X144" s="96">
        <v>1.2564362092660084</v>
      </c>
      <c r="Y144" s="96">
        <v>1.3107704749827018</v>
      </c>
      <c r="DA144" s="171" t="s">
        <v>555</v>
      </c>
    </row>
    <row r="145" spans="1:105" ht="11.45" customHeight="1" x14ac:dyDescent="0.25">
      <c r="A145" s="111" t="s">
        <v>111</v>
      </c>
      <c r="B145" s="96">
        <v>1.6799335283249763</v>
      </c>
      <c r="C145" s="96">
        <v>1.6645352071380068</v>
      </c>
      <c r="D145" s="96">
        <v>1.6612306064981106</v>
      </c>
      <c r="E145" s="96">
        <v>1.6629225399851331</v>
      </c>
      <c r="F145" s="96">
        <v>1.680931364478943</v>
      </c>
      <c r="G145" s="96">
        <v>1.6212931676359437</v>
      </c>
      <c r="H145" s="96">
        <v>1.5945522662480978</v>
      </c>
      <c r="I145" s="96">
        <v>1.5747865742346752</v>
      </c>
      <c r="J145" s="96">
        <v>1.5236096714151794</v>
      </c>
      <c r="K145" s="96">
        <v>1.5169444225420778</v>
      </c>
      <c r="L145" s="96">
        <v>1.5011821577618336</v>
      </c>
      <c r="M145" s="96">
        <v>1.472089589815186</v>
      </c>
      <c r="N145" s="96">
        <v>1.496174363237242</v>
      </c>
      <c r="O145" s="96">
        <v>1.5561419613454117</v>
      </c>
      <c r="P145" s="96">
        <v>1.5476384966132044</v>
      </c>
      <c r="Q145" s="96">
        <v>1.4705655551342842</v>
      </c>
      <c r="R145" s="96">
        <v>1.453448445165042</v>
      </c>
      <c r="S145" s="96">
        <v>1.4175745563249373</v>
      </c>
      <c r="T145" s="96">
        <v>1.5060194335391128</v>
      </c>
      <c r="U145" s="96">
        <v>1.4989970324779598</v>
      </c>
      <c r="V145" s="96">
        <v>1.3056046661150118</v>
      </c>
      <c r="W145" s="96">
        <v>1.3545601514131829</v>
      </c>
      <c r="X145" s="96">
        <v>1.356817465631776</v>
      </c>
      <c r="Y145" s="96">
        <v>1.4154926933616068</v>
      </c>
      <c r="DA145" s="171" t="s">
        <v>556</v>
      </c>
    </row>
    <row r="146" spans="1:105" ht="11.45" customHeight="1" x14ac:dyDescent="0.25">
      <c r="A146" s="111" t="s">
        <v>112</v>
      </c>
      <c r="B146" s="96">
        <v>1.5326611792297093</v>
      </c>
      <c r="C146" s="96">
        <v>1.5209203727746634</v>
      </c>
      <c r="D146" s="96">
        <v>1.519700354100582</v>
      </c>
      <c r="E146" s="96">
        <v>1.522765266186187</v>
      </c>
      <c r="F146" s="96">
        <v>1.5392427372326793</v>
      </c>
      <c r="G146" s="96">
        <v>1.4891233710740632</v>
      </c>
      <c r="H146" s="96">
        <v>1.4677094004559186</v>
      </c>
      <c r="I146" s="96">
        <v>1.4514950113639991</v>
      </c>
      <c r="J146" s="96">
        <v>1.4073291310081837</v>
      </c>
      <c r="K146" s="96">
        <v>1.4011274808709848</v>
      </c>
      <c r="L146" s="96">
        <v>1.3871509032653995</v>
      </c>
      <c r="M146" s="96">
        <v>1.3618126862064734</v>
      </c>
      <c r="N146" s="96">
        <v>1.3836640985904398</v>
      </c>
      <c r="O146" s="96">
        <v>1.435446506483409</v>
      </c>
      <c r="P146" s="96">
        <v>1.4283861804494185</v>
      </c>
      <c r="Q146" s="96">
        <v>1.3614410134252617</v>
      </c>
      <c r="R146" s="96">
        <v>1.3452231319902399</v>
      </c>
      <c r="S146" s="96">
        <v>1.3129957945889836</v>
      </c>
      <c r="T146" s="96">
        <v>1.3874520525059688</v>
      </c>
      <c r="U146" s="96">
        <v>1.3778652821845663</v>
      </c>
      <c r="V146" s="96">
        <v>1.2069210499633471</v>
      </c>
      <c r="W146" s="96">
        <v>1.252289446785259</v>
      </c>
      <c r="X146" s="96">
        <v>1.2495417531872541</v>
      </c>
      <c r="Y146" s="96">
        <v>1.294768311308431</v>
      </c>
      <c r="DA146" s="171" t="s">
        <v>557</v>
      </c>
    </row>
    <row r="147" spans="1:105" ht="11.45" customHeight="1" x14ac:dyDescent="0.25">
      <c r="A147" s="111" t="s">
        <v>113</v>
      </c>
      <c r="B147" s="96">
        <v>0</v>
      </c>
      <c r="C147" s="96">
        <v>0</v>
      </c>
      <c r="D147" s="96">
        <v>0</v>
      </c>
      <c r="E147" s="96">
        <v>0</v>
      </c>
      <c r="F147" s="96">
        <v>0</v>
      </c>
      <c r="G147" s="96">
        <v>0</v>
      </c>
      <c r="H147" s="96">
        <v>0</v>
      </c>
      <c r="I147" s="96">
        <v>0</v>
      </c>
      <c r="J147" s="96">
        <v>0</v>
      </c>
      <c r="K147" s="96">
        <v>0</v>
      </c>
      <c r="L147" s="96">
        <v>1.3871509032653995</v>
      </c>
      <c r="M147" s="96">
        <v>1.3618126862064734</v>
      </c>
      <c r="N147" s="96">
        <v>1.38366409859044</v>
      </c>
      <c r="O147" s="96">
        <v>1.435446506483409</v>
      </c>
      <c r="P147" s="96">
        <v>1.4283861804494185</v>
      </c>
      <c r="Q147" s="96">
        <v>1.3614410134252617</v>
      </c>
      <c r="R147" s="96">
        <v>1.3452231319902399</v>
      </c>
      <c r="S147" s="96">
        <v>1.3129957945889836</v>
      </c>
      <c r="T147" s="96">
        <v>1.3874520525059688</v>
      </c>
      <c r="U147" s="96">
        <v>1.3778652821845665</v>
      </c>
      <c r="V147" s="96">
        <v>1.2069210499633471</v>
      </c>
      <c r="W147" s="96">
        <v>1.252289446785259</v>
      </c>
      <c r="X147" s="96">
        <v>1.2495417531872541</v>
      </c>
      <c r="Y147" s="96">
        <v>1.294768311308431</v>
      </c>
      <c r="DA147" s="171" t="s">
        <v>558</v>
      </c>
    </row>
    <row r="148" spans="1:105" ht="11.45" customHeight="1" x14ac:dyDescent="0.25">
      <c r="A148" s="111" t="s">
        <v>114</v>
      </c>
      <c r="B148" s="96">
        <v>0</v>
      </c>
      <c r="C148" s="96">
        <v>0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0</v>
      </c>
      <c r="M148" s="96">
        <v>1.3618126862064734</v>
      </c>
      <c r="N148" s="96">
        <v>1.3836640985904398</v>
      </c>
      <c r="O148" s="96">
        <v>1.435446506483409</v>
      </c>
      <c r="P148" s="96">
        <v>1.4283861804494185</v>
      </c>
      <c r="Q148" s="96">
        <v>1.3614410134252617</v>
      </c>
      <c r="R148" s="96">
        <v>1.3452231319902399</v>
      </c>
      <c r="S148" s="96">
        <v>1.3129957945889836</v>
      </c>
      <c r="T148" s="96">
        <v>1.3874520525059688</v>
      </c>
      <c r="U148" s="96">
        <v>1.3778652821845665</v>
      </c>
      <c r="V148" s="96">
        <v>1.2069210499633471</v>
      </c>
      <c r="W148" s="96">
        <v>1.252289446785259</v>
      </c>
      <c r="X148" s="96">
        <v>1.2495417531872541</v>
      </c>
      <c r="Y148" s="96">
        <v>1.294768311308431</v>
      </c>
      <c r="DA148" s="171" t="s">
        <v>559</v>
      </c>
    </row>
    <row r="149" spans="1:105" ht="11.45" customHeight="1" x14ac:dyDescent="0.25">
      <c r="A149" s="111" t="s">
        <v>115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1.3130942780149095</v>
      </c>
      <c r="L149" s="96">
        <v>1.302185061660452</v>
      </c>
      <c r="M149" s="96">
        <v>1.2824076812650134</v>
      </c>
      <c r="N149" s="96">
        <v>1.2994634864895986</v>
      </c>
      <c r="O149" s="96">
        <v>1.3398814991820205</v>
      </c>
      <c r="P149" s="96">
        <v>1.3343706633814856</v>
      </c>
      <c r="Q149" s="96">
        <v>1.2821175774286004</v>
      </c>
      <c r="R149" s="96">
        <v>1.2694589436501218</v>
      </c>
      <c r="S149" s="96">
        <v>1.2443043595910093</v>
      </c>
      <c r="T149" s="96">
        <v>1.3024201193629212</v>
      </c>
      <c r="U149" s="96">
        <v>1.2949373038605856</v>
      </c>
      <c r="V149" s="96">
        <v>1.161509245399216</v>
      </c>
      <c r="W149" s="96">
        <v>1.1969208941269656</v>
      </c>
      <c r="X149" s="96">
        <v>1.1947762214622915</v>
      </c>
      <c r="Y149" s="96">
        <v>1.2300771600349931</v>
      </c>
      <c r="DA149" s="171" t="s">
        <v>560</v>
      </c>
    </row>
    <row r="150" spans="1:105" ht="11.45" customHeight="1" x14ac:dyDescent="0.25">
      <c r="A150" s="109" t="s">
        <v>21</v>
      </c>
      <c r="B150" s="130">
        <f t="shared" ref="B150:K150" si="203">IF(B13=0,0,B13/B40)</f>
        <v>7.769915167788513</v>
      </c>
      <c r="C150" s="130">
        <f t="shared" si="203"/>
        <v>7.8989774930104293</v>
      </c>
      <c r="D150" s="130">
        <f t="shared" si="203"/>
        <v>7.4634250925163572</v>
      </c>
      <c r="E150" s="130">
        <f t="shared" si="203"/>
        <v>7.8967058622877513</v>
      </c>
      <c r="F150" s="130">
        <f t="shared" si="203"/>
        <v>8.1552361898774706</v>
      </c>
      <c r="G150" s="130">
        <f t="shared" si="203"/>
        <v>8.2051826825437217</v>
      </c>
      <c r="H150" s="130">
        <f t="shared" si="203"/>
        <v>8.3702899632176209</v>
      </c>
      <c r="I150" s="130">
        <f t="shared" si="203"/>
        <v>8.4940986711473965</v>
      </c>
      <c r="J150" s="130">
        <f t="shared" si="203"/>
        <v>8.2849379910490644</v>
      </c>
      <c r="K150" s="130">
        <f t="shared" si="203"/>
        <v>7.6320583909132926</v>
      </c>
      <c r="L150" s="130">
        <f t="shared" ref="L150" si="204">IF(L13=0,0,L13/L40)</f>
        <v>7.2638888850345991</v>
      </c>
      <c r="M150" s="130">
        <f t="shared" ref="M150:V150" si="205">IF(M13=0,0,M13/M40)</f>
        <v>7.6043743743311714</v>
      </c>
      <c r="N150" s="130">
        <f t="shared" si="205"/>
        <v>6.8551683237138494</v>
      </c>
      <c r="O150" s="130">
        <f t="shared" si="205"/>
        <v>7.3267363272844603</v>
      </c>
      <c r="P150" s="130">
        <f t="shared" si="205"/>
        <v>7.4297035608308972</v>
      </c>
      <c r="Q150" s="130">
        <f t="shared" si="205"/>
        <v>8.0987633683886173</v>
      </c>
      <c r="R150" s="130">
        <f t="shared" si="205"/>
        <v>8.4172136314667529</v>
      </c>
      <c r="S150" s="130">
        <f t="shared" si="205"/>
        <v>7.2730677131639982</v>
      </c>
      <c r="T150" s="130">
        <f t="shared" si="205"/>
        <v>8.9241531177921569</v>
      </c>
      <c r="U150" s="130">
        <f t="shared" si="205"/>
        <v>9.1941274978262069</v>
      </c>
      <c r="V150" s="130">
        <f t="shared" si="205"/>
        <v>5.0219901859762954</v>
      </c>
      <c r="W150" s="130">
        <f t="shared" ref="W150:Y150" si="206">IF(W13=0,0,W13/W40)</f>
        <v>6.1753815559500334</v>
      </c>
      <c r="X150" s="130">
        <f t="shared" si="206"/>
        <v>8.8607594936708853</v>
      </c>
      <c r="Y150" s="130">
        <f t="shared" si="206"/>
        <v>9.2712422685543832</v>
      </c>
      <c r="DA150" s="176" t="s">
        <v>561</v>
      </c>
    </row>
    <row r="151" spans="1:105" ht="11.45" customHeight="1" x14ac:dyDescent="0.25">
      <c r="A151" s="111" t="s">
        <v>110</v>
      </c>
      <c r="B151" s="97">
        <v>6.2988428910687881</v>
      </c>
      <c r="C151" s="97">
        <v>6.3038068266542471</v>
      </c>
      <c r="D151" s="97">
        <v>6.2870548112506288</v>
      </c>
      <c r="E151" s="97">
        <v>6.3037194562418364</v>
      </c>
      <c r="F151" s="97">
        <v>6.3136629303799028</v>
      </c>
      <c r="G151" s="97">
        <v>6.3155839493286043</v>
      </c>
      <c r="H151" s="97">
        <v>6.3219342293545226</v>
      </c>
      <c r="I151" s="97">
        <v>6.3266961027364381</v>
      </c>
      <c r="J151" s="97">
        <v>6.3186514611941949</v>
      </c>
      <c r="K151" s="97">
        <v>6.2935407073428191</v>
      </c>
      <c r="L151" s="97">
        <v>6.2793803417320992</v>
      </c>
      <c r="M151" s="97">
        <v>6.2924759374742756</v>
      </c>
      <c r="N151" s="97">
        <v>6.26366032014284</v>
      </c>
      <c r="O151" s="97">
        <v>6.2817975510494026</v>
      </c>
      <c r="P151" s="97">
        <v>6.2857578292627272</v>
      </c>
      <c r="Q151" s="97">
        <v>6.3114908987841778</v>
      </c>
      <c r="R151" s="97">
        <v>6.3237389858256448</v>
      </c>
      <c r="S151" s="97">
        <v>6.2797333735832304</v>
      </c>
      <c r="T151" s="97">
        <v>6.3432366583766218</v>
      </c>
      <c r="U151" s="97">
        <v>6.3536202883779307</v>
      </c>
      <c r="V151" s="97">
        <v>4.830659705579289</v>
      </c>
      <c r="W151" s="97">
        <v>6.2375146752288471</v>
      </c>
      <c r="X151" s="97">
        <v>6.3407984420642647</v>
      </c>
      <c r="Y151" s="97">
        <v>6.3565862410982454</v>
      </c>
      <c r="DA151" s="175" t="s">
        <v>562</v>
      </c>
    </row>
    <row r="152" spans="1:105" ht="11.45" customHeight="1" x14ac:dyDescent="0.25">
      <c r="A152" s="111" t="s">
        <v>111</v>
      </c>
      <c r="B152" s="97">
        <v>7.7717607255345689</v>
      </c>
      <c r="C152" s="97">
        <v>7.9014622880184877</v>
      </c>
      <c r="D152" s="97">
        <v>7.4656301880569655</v>
      </c>
      <c r="E152" s="97">
        <v>7.900146214162036</v>
      </c>
      <c r="F152" s="97">
        <v>8.1589962024594289</v>
      </c>
      <c r="G152" s="97">
        <v>8.2093134584341954</v>
      </c>
      <c r="H152" s="97">
        <v>8.3749451581927339</v>
      </c>
      <c r="I152" s="97">
        <v>8.4993502479781835</v>
      </c>
      <c r="J152" s="97">
        <v>8.2895109479813183</v>
      </c>
      <c r="K152" s="97">
        <v>7.635148212270666</v>
      </c>
      <c r="L152" s="97">
        <v>7.2662719680206473</v>
      </c>
      <c r="M152" s="97">
        <v>7.607020828655215</v>
      </c>
      <c r="N152" s="97">
        <v>6.8558975119833097</v>
      </c>
      <c r="O152" s="97">
        <v>7.3279071497704242</v>
      </c>
      <c r="P152" s="97">
        <v>7.4309415164733501</v>
      </c>
      <c r="Q152" s="97">
        <v>8.1019894086855082</v>
      </c>
      <c r="R152" s="97">
        <v>8.4220007488131312</v>
      </c>
      <c r="S152" s="97">
        <v>7.2750520969870509</v>
      </c>
      <c r="T152" s="97">
        <v>8.9289351477042853</v>
      </c>
      <c r="U152" s="97">
        <v>9.2185462337489064</v>
      </c>
      <c r="V152" s="97">
        <v>5.0236575785373656</v>
      </c>
      <c r="W152" s="97">
        <v>6.1747354207497258</v>
      </c>
      <c r="X152" s="97">
        <v>8.8927037067938173</v>
      </c>
      <c r="Y152" s="97">
        <v>9.3096217783752113</v>
      </c>
      <c r="DA152" s="175" t="s">
        <v>563</v>
      </c>
    </row>
    <row r="153" spans="1:105" ht="11.45" customHeight="1" x14ac:dyDescent="0.25">
      <c r="A153" s="111" t="s">
        <v>112</v>
      </c>
      <c r="B153" s="97">
        <v>7.7717607255345689</v>
      </c>
      <c r="C153" s="97">
        <v>7.9014622880184868</v>
      </c>
      <c r="D153" s="97">
        <v>7.4656301880569673</v>
      </c>
      <c r="E153" s="97">
        <v>7.9001462141620351</v>
      </c>
      <c r="F153" s="97">
        <v>8.1589962024594307</v>
      </c>
      <c r="G153" s="97">
        <v>8.2093134584341954</v>
      </c>
      <c r="H153" s="97">
        <v>8.3749451581927339</v>
      </c>
      <c r="I153" s="97">
        <v>8.4993502479781817</v>
      </c>
      <c r="J153" s="97">
        <v>8.28951094798132</v>
      </c>
      <c r="K153" s="97">
        <v>7.6351482122706669</v>
      </c>
      <c r="L153" s="97">
        <v>7.2662719680206482</v>
      </c>
      <c r="M153" s="97">
        <v>7.607020828655215</v>
      </c>
      <c r="N153" s="97">
        <v>6.8558975119833088</v>
      </c>
      <c r="O153" s="97">
        <v>7.3279071497704242</v>
      </c>
      <c r="P153" s="97">
        <v>7.4309415164733474</v>
      </c>
      <c r="Q153" s="97">
        <v>8.1019894086855082</v>
      </c>
      <c r="R153" s="97">
        <v>8.4220007488131294</v>
      </c>
      <c r="S153" s="97">
        <v>7.2750520969870518</v>
      </c>
      <c r="T153" s="97">
        <v>8.9289351477042853</v>
      </c>
      <c r="U153" s="97">
        <v>9.2185462337489064</v>
      </c>
      <c r="V153" s="97">
        <v>5.0236575785373665</v>
      </c>
      <c r="W153" s="97">
        <v>6.1747354207497258</v>
      </c>
      <c r="X153" s="97">
        <v>8.8927037067938155</v>
      </c>
      <c r="Y153" s="97">
        <v>9.3096217783752131</v>
      </c>
      <c r="DA153" s="175" t="s">
        <v>564</v>
      </c>
    </row>
    <row r="154" spans="1:105" ht="11.45" customHeight="1" x14ac:dyDescent="0.25">
      <c r="A154" s="111" t="s">
        <v>113</v>
      </c>
      <c r="B154" s="97">
        <v>7.771760725534568</v>
      </c>
      <c r="C154" s="97">
        <v>7.9014622880184868</v>
      </c>
      <c r="D154" s="97">
        <v>7.4656301880569664</v>
      </c>
      <c r="E154" s="97">
        <v>7.900146214162036</v>
      </c>
      <c r="F154" s="97">
        <v>8.1589962024594307</v>
      </c>
      <c r="G154" s="97">
        <v>8.2093134584341954</v>
      </c>
      <c r="H154" s="97">
        <v>8.3749451581927339</v>
      </c>
      <c r="I154" s="97">
        <v>8.4993502479781817</v>
      </c>
      <c r="J154" s="97">
        <v>8.28951094798132</v>
      </c>
      <c r="K154" s="97">
        <v>7.6351482122706669</v>
      </c>
      <c r="L154" s="97">
        <v>7.2662719680206473</v>
      </c>
      <c r="M154" s="97">
        <v>7.6070208286552141</v>
      </c>
      <c r="N154" s="97">
        <v>6.8558975119833088</v>
      </c>
      <c r="O154" s="97">
        <v>7.3279071497704242</v>
      </c>
      <c r="P154" s="97">
        <v>7.4309415164733483</v>
      </c>
      <c r="Q154" s="97">
        <v>8.1019894086855082</v>
      </c>
      <c r="R154" s="97">
        <v>8.4220007488131294</v>
      </c>
      <c r="S154" s="97">
        <v>7.2750520969870509</v>
      </c>
      <c r="T154" s="97">
        <v>8.9289351477042853</v>
      </c>
      <c r="U154" s="97">
        <v>9.2185462337489064</v>
      </c>
      <c r="V154" s="97">
        <v>5.0236575785373665</v>
      </c>
      <c r="W154" s="97">
        <v>6.1747354207497258</v>
      </c>
      <c r="X154" s="97">
        <v>8.8927037067938155</v>
      </c>
      <c r="Y154" s="97">
        <v>9.3096217783752131</v>
      </c>
      <c r="DA154" s="175" t="s">
        <v>565</v>
      </c>
    </row>
    <row r="155" spans="1:105" ht="11.45" customHeight="1" x14ac:dyDescent="0.25">
      <c r="A155" s="111" t="s">
        <v>115</v>
      </c>
      <c r="B155" s="97">
        <v>7.7717607255345689</v>
      </c>
      <c r="C155" s="97">
        <v>7.9014622880184868</v>
      </c>
      <c r="D155" s="97">
        <v>7.4656301880569664</v>
      </c>
      <c r="E155" s="97">
        <v>7.900146214162036</v>
      </c>
      <c r="F155" s="97">
        <v>8.1589962024594307</v>
      </c>
      <c r="G155" s="97">
        <v>8.2093134584341954</v>
      </c>
      <c r="H155" s="97">
        <v>8.3749451581927339</v>
      </c>
      <c r="I155" s="97">
        <v>8.4993502479781817</v>
      </c>
      <c r="J155" s="97">
        <v>8.28951094798132</v>
      </c>
      <c r="K155" s="97">
        <v>7.6351482122706669</v>
      </c>
      <c r="L155" s="97">
        <v>7.2662719680206465</v>
      </c>
      <c r="M155" s="97">
        <v>7.6070208286552141</v>
      </c>
      <c r="N155" s="97">
        <v>6.8558975119833088</v>
      </c>
      <c r="O155" s="97">
        <v>7.3279071497704242</v>
      </c>
      <c r="P155" s="97">
        <v>7.4309415164733474</v>
      </c>
      <c r="Q155" s="97">
        <v>8.1019894086855082</v>
      </c>
      <c r="R155" s="97">
        <v>8.4220007488131294</v>
      </c>
      <c r="S155" s="97">
        <v>7.2750520969870509</v>
      </c>
      <c r="T155" s="97">
        <v>8.9289351477042853</v>
      </c>
      <c r="U155" s="97">
        <v>9.2185462337489064</v>
      </c>
      <c r="V155" s="97">
        <v>5.0236575785373665</v>
      </c>
      <c r="W155" s="97">
        <v>6.1747354207497258</v>
      </c>
      <c r="X155" s="97">
        <v>8.8927037067938155</v>
      </c>
      <c r="Y155" s="97">
        <v>9.3096217783752131</v>
      </c>
      <c r="DA155" s="175" t="s">
        <v>566</v>
      </c>
    </row>
    <row r="156" spans="1:105" ht="11.45" customHeight="1" x14ac:dyDescent="0.25">
      <c r="A156" s="27" t="s">
        <v>101</v>
      </c>
      <c r="B156" s="32">
        <f t="shared" ref="B156:K156" si="207">IF(B19=0,0,B19/B46)</f>
        <v>2.2418731348773937</v>
      </c>
      <c r="C156" s="32">
        <f t="shared" si="207"/>
        <v>2.1232314336776446</v>
      </c>
      <c r="D156" s="32">
        <f t="shared" si="207"/>
        <v>2.0461181220163196</v>
      </c>
      <c r="E156" s="32">
        <f t="shared" si="207"/>
        <v>2.0351165617424689</v>
      </c>
      <c r="F156" s="32">
        <f t="shared" si="207"/>
        <v>2.1304954040541912</v>
      </c>
      <c r="G156" s="32">
        <f t="shared" si="207"/>
        <v>2.046403750538011</v>
      </c>
      <c r="H156" s="32">
        <f t="shared" si="207"/>
        <v>2.0547632274086882</v>
      </c>
      <c r="I156" s="32">
        <f t="shared" si="207"/>
        <v>2.0483730488669649</v>
      </c>
      <c r="J156" s="32">
        <f t="shared" si="207"/>
        <v>2.0718942652038557</v>
      </c>
      <c r="K156" s="32">
        <f t="shared" si="207"/>
        <v>2.0753116286196098</v>
      </c>
      <c r="L156" s="32">
        <f t="shared" ref="L156" si="208">IF(L19=0,0,L19/L46)</f>
        <v>2.1238444215281977</v>
      </c>
      <c r="M156" s="32">
        <f t="shared" ref="M156:V156" si="209">IF(M19=0,0,M19/M46)</f>
        <v>2.0839531236070932</v>
      </c>
      <c r="N156" s="32">
        <f t="shared" si="209"/>
        <v>2.0867403585152808</v>
      </c>
      <c r="O156" s="32">
        <f t="shared" si="209"/>
        <v>2.2838533507750434</v>
      </c>
      <c r="P156" s="32">
        <f t="shared" si="209"/>
        <v>2.3587852433222118</v>
      </c>
      <c r="Q156" s="32">
        <f t="shared" si="209"/>
        <v>2.2798888341044643</v>
      </c>
      <c r="R156" s="32">
        <f t="shared" si="209"/>
        <v>2.3400114098828779</v>
      </c>
      <c r="S156" s="32">
        <f t="shared" si="209"/>
        <v>2.3060585389449026</v>
      </c>
      <c r="T156" s="32">
        <f t="shared" si="209"/>
        <v>2.3264516136833446</v>
      </c>
      <c r="U156" s="32">
        <f t="shared" si="209"/>
        <v>2.392562862305704</v>
      </c>
      <c r="V156" s="32">
        <f t="shared" si="209"/>
        <v>2.4311924582237765</v>
      </c>
      <c r="W156" s="32">
        <f t="shared" ref="W156:Y156" si="210">IF(W19=0,0,W19/W46)</f>
        <v>2.3959399133455586</v>
      </c>
      <c r="X156" s="32">
        <f t="shared" si="210"/>
        <v>2.3696703320829591</v>
      </c>
      <c r="Y156" s="32">
        <f t="shared" si="210"/>
        <v>2.2791815951472048</v>
      </c>
      <c r="DA156" s="173" t="s">
        <v>567</v>
      </c>
    </row>
    <row r="157" spans="1:105" ht="11.45" customHeight="1" x14ac:dyDescent="0.25">
      <c r="A157" s="136" t="s">
        <v>153</v>
      </c>
      <c r="B157" s="141">
        <f t="shared" ref="B157:K157" si="211">IF(B20=0,0,B20/B47)</f>
        <v>0.19991571270968395</v>
      </c>
      <c r="C157" s="141">
        <f t="shared" si="211"/>
        <v>0.20025656281496867</v>
      </c>
      <c r="D157" s="141">
        <f t="shared" si="211"/>
        <v>0.20141460156310884</v>
      </c>
      <c r="E157" s="141">
        <f t="shared" si="211"/>
        <v>0.20184287491981517</v>
      </c>
      <c r="F157" s="141">
        <f t="shared" si="211"/>
        <v>0.20150904395579511</v>
      </c>
      <c r="G157" s="141">
        <f t="shared" si="211"/>
        <v>0.2023100101017577</v>
      </c>
      <c r="H157" s="141">
        <f t="shared" si="211"/>
        <v>0.20115135971257833</v>
      </c>
      <c r="I157" s="141">
        <f t="shared" si="211"/>
        <v>0.20012703556901132</v>
      </c>
      <c r="J157" s="141">
        <f t="shared" si="211"/>
        <v>0.20014067538334326</v>
      </c>
      <c r="K157" s="141">
        <f t="shared" si="211"/>
        <v>0.20317854440001568</v>
      </c>
      <c r="L157" s="141">
        <f t="shared" ref="L157" si="212">IF(L20=0,0,L20/L47)</f>
        <v>0.20267431269344591</v>
      </c>
      <c r="M157" s="141">
        <f t="shared" ref="M157:V157" si="213">IF(M20=0,0,M20/M47)</f>
        <v>0.20143014862156533</v>
      </c>
      <c r="N157" s="141">
        <f t="shared" si="213"/>
        <v>0.20269680610559287</v>
      </c>
      <c r="O157" s="141">
        <f t="shared" si="213"/>
        <v>0.20223496882101533</v>
      </c>
      <c r="P157" s="141">
        <f t="shared" si="213"/>
        <v>0.2037434867647982</v>
      </c>
      <c r="Q157" s="141">
        <f t="shared" si="213"/>
        <v>0.2025967603143134</v>
      </c>
      <c r="R157" s="141">
        <f t="shared" si="213"/>
        <v>0.20275581570331264</v>
      </c>
      <c r="S157" s="141">
        <f t="shared" si="213"/>
        <v>0.20337121856639725</v>
      </c>
      <c r="T157" s="141">
        <f t="shared" si="213"/>
        <v>0.20396392520379791</v>
      </c>
      <c r="U157" s="141">
        <f t="shared" si="213"/>
        <v>0.20484631170729367</v>
      </c>
      <c r="V157" s="141">
        <f t="shared" si="213"/>
        <v>0.20692019857230773</v>
      </c>
      <c r="W157" s="141">
        <f t="shared" ref="W157:Y157" si="214">IF(W20=0,0,W20/W47)</f>
        <v>0.2063217118466141</v>
      </c>
      <c r="X157" s="141">
        <f t="shared" si="214"/>
        <v>0.20707632449883723</v>
      </c>
      <c r="Y157" s="141">
        <f t="shared" si="214"/>
        <v>0.20780519702518654</v>
      </c>
      <c r="DA157" s="174" t="s">
        <v>568</v>
      </c>
    </row>
    <row r="158" spans="1:105" ht="11.45" customHeight="1" x14ac:dyDescent="0.25">
      <c r="A158" s="111" t="s">
        <v>110</v>
      </c>
      <c r="B158" s="96">
        <v>0.16395322287412301</v>
      </c>
      <c r="C158" s="96">
        <v>0.1642180897379534</v>
      </c>
      <c r="D158" s="96">
        <v>0.16529979076886017</v>
      </c>
      <c r="E158" s="96">
        <v>0.16577002850640796</v>
      </c>
      <c r="F158" s="96">
        <v>0.16528143405330861</v>
      </c>
      <c r="G158" s="96">
        <v>0.16563782670957103</v>
      </c>
      <c r="H158" s="96">
        <v>0.16539497645110776</v>
      </c>
      <c r="I158" s="96">
        <v>0.16388882126776683</v>
      </c>
      <c r="J158" s="96">
        <v>0.16351430407478121</v>
      </c>
      <c r="K158" s="96">
        <v>0.16461796790794392</v>
      </c>
      <c r="L158" s="96">
        <v>0.16437491970605006</v>
      </c>
      <c r="M158" s="96">
        <v>0.16406722054624537</v>
      </c>
      <c r="N158" s="96">
        <v>0.16410339124721365</v>
      </c>
      <c r="O158" s="96">
        <v>0.1637654330047966</v>
      </c>
      <c r="P158" s="96">
        <v>0.16276029315363696</v>
      </c>
      <c r="Q158" s="96">
        <v>0.16208614807872548</v>
      </c>
      <c r="R158" s="96">
        <v>0.16218146289144494</v>
      </c>
      <c r="S158" s="96">
        <v>0.16268830134404935</v>
      </c>
      <c r="T158" s="96">
        <v>0.1632060567281873</v>
      </c>
      <c r="U158" s="96">
        <v>0.16400474039938154</v>
      </c>
      <c r="V158" s="96">
        <v>0.16570406992033818</v>
      </c>
      <c r="W158" s="96">
        <v>0.16520108200017683</v>
      </c>
      <c r="X158" s="96">
        <v>0.16586575255967922</v>
      </c>
      <c r="Y158" s="96">
        <v>0.16648603306206991</v>
      </c>
      <c r="DA158" s="171" t="s">
        <v>569</v>
      </c>
    </row>
    <row r="159" spans="1:105" ht="11.45" customHeight="1" x14ac:dyDescent="0.25">
      <c r="A159" s="111" t="s">
        <v>111</v>
      </c>
      <c r="B159" s="96">
        <v>0.20189407781870639</v>
      </c>
      <c r="C159" s="96">
        <v>0.20193030358885339</v>
      </c>
      <c r="D159" s="96">
        <v>0.2028651244986788</v>
      </c>
      <c r="E159" s="96">
        <v>0.20310565129445526</v>
      </c>
      <c r="F159" s="96">
        <v>0.20263486365868366</v>
      </c>
      <c r="G159" s="96">
        <v>0.20333556673752284</v>
      </c>
      <c r="H159" s="96">
        <v>0.2020514613590951</v>
      </c>
      <c r="I159" s="96">
        <v>0.20099171306454205</v>
      </c>
      <c r="J159" s="96">
        <v>0.20096888612610742</v>
      </c>
      <c r="K159" s="96">
        <v>0.20405448669950213</v>
      </c>
      <c r="L159" s="96">
        <v>0.20351748847215884</v>
      </c>
      <c r="M159" s="96">
        <v>0.20222406684868421</v>
      </c>
      <c r="N159" s="96">
        <v>0.20353012715750299</v>
      </c>
      <c r="O159" s="96">
        <v>0.20305171186378682</v>
      </c>
      <c r="P159" s="96">
        <v>0.20467372959145783</v>
      </c>
      <c r="Q159" s="96">
        <v>0.2034946322703387</v>
      </c>
      <c r="R159" s="96">
        <v>0.20361429735581441</v>
      </c>
      <c r="S159" s="96">
        <v>0.20425061887838589</v>
      </c>
      <c r="T159" s="96">
        <v>0.2049006463036164</v>
      </c>
      <c r="U159" s="96">
        <v>0.20590337134765316</v>
      </c>
      <c r="V159" s="96">
        <v>0.20803683210338192</v>
      </c>
      <c r="W159" s="96">
        <v>0.2074053448167574</v>
      </c>
      <c r="X159" s="96">
        <v>0.20823982014170109</v>
      </c>
      <c r="Y159" s="96">
        <v>0.20901856498963925</v>
      </c>
      <c r="DA159" s="171" t="s">
        <v>570</v>
      </c>
    </row>
    <row r="160" spans="1:105" ht="11.45" customHeight="1" x14ac:dyDescent="0.25">
      <c r="A160" s="111" t="s">
        <v>112</v>
      </c>
      <c r="B160" s="96">
        <v>0.16395322287412301</v>
      </c>
      <c r="C160" s="96">
        <v>0.1642180897379534</v>
      </c>
      <c r="D160" s="96">
        <v>0.16529979076886017</v>
      </c>
      <c r="E160" s="96">
        <v>0.16577002850640796</v>
      </c>
      <c r="F160" s="96">
        <v>0.16528143405330861</v>
      </c>
      <c r="G160" s="96">
        <v>0.16563782670957103</v>
      </c>
      <c r="H160" s="96">
        <v>0.16539497645110776</v>
      </c>
      <c r="I160" s="96">
        <v>0.16388882126776683</v>
      </c>
      <c r="J160" s="96">
        <v>0.16351430407478121</v>
      </c>
      <c r="K160" s="96">
        <v>0.16461796790794392</v>
      </c>
      <c r="L160" s="96">
        <v>0.16437491970605</v>
      </c>
      <c r="M160" s="96">
        <v>0.16406722054624537</v>
      </c>
      <c r="N160" s="96">
        <v>0.16410339124721365</v>
      </c>
      <c r="O160" s="96">
        <v>0.1637654330047966</v>
      </c>
      <c r="P160" s="96">
        <v>0.16276029315363696</v>
      </c>
      <c r="Q160" s="96">
        <v>0.16208614807872546</v>
      </c>
      <c r="R160" s="96">
        <v>0.16218146289144494</v>
      </c>
      <c r="S160" s="96">
        <v>0.16268830134404935</v>
      </c>
      <c r="T160" s="96">
        <v>0.16320605672818733</v>
      </c>
      <c r="U160" s="96">
        <v>0.16400474039938154</v>
      </c>
      <c r="V160" s="96">
        <v>0.16570406992033818</v>
      </c>
      <c r="W160" s="96">
        <v>0.16520108200017683</v>
      </c>
      <c r="X160" s="96">
        <v>0.16520359267952525</v>
      </c>
      <c r="Y160" s="96">
        <v>0.16515941412703236</v>
      </c>
      <c r="DA160" s="171" t="s">
        <v>571</v>
      </c>
    </row>
    <row r="161" spans="1:105" ht="11.45" customHeight="1" x14ac:dyDescent="0.25">
      <c r="A161" s="111" t="s">
        <v>113</v>
      </c>
      <c r="B161" s="96">
        <v>0</v>
      </c>
      <c r="C161" s="96">
        <v>0</v>
      </c>
      <c r="D161" s="96">
        <v>0</v>
      </c>
      <c r="E161" s="96">
        <v>0.15915678390745303</v>
      </c>
      <c r="F161" s="96">
        <v>0.15932372465211259</v>
      </c>
      <c r="G161" s="96">
        <v>0.16030724033486274</v>
      </c>
      <c r="H161" s="96">
        <v>0.16071379806585012</v>
      </c>
      <c r="I161" s="96">
        <v>0.15988856974125493</v>
      </c>
      <c r="J161" s="96">
        <v>0.15952319388543526</v>
      </c>
      <c r="K161" s="96">
        <v>0.16124362682475912</v>
      </c>
      <c r="L161" s="96">
        <v>0.16111997080097967</v>
      </c>
      <c r="M161" s="96">
        <v>0.16146294794633342</v>
      </c>
      <c r="N161" s="96">
        <v>0.16214585401383952</v>
      </c>
      <c r="O161" s="96">
        <v>0.1624604927624653</v>
      </c>
      <c r="P161" s="96">
        <v>0.1621105307129567</v>
      </c>
      <c r="Q161" s="96">
        <v>0.16208614807872546</v>
      </c>
      <c r="R161" s="96">
        <v>0.16153401122421329</v>
      </c>
      <c r="S161" s="96">
        <v>0.16139194406348609</v>
      </c>
      <c r="T161" s="96">
        <v>0.16125922351328864</v>
      </c>
      <c r="U161" s="96">
        <v>0.16140145955963947</v>
      </c>
      <c r="V161" s="96">
        <v>0.16242280120904437</v>
      </c>
      <c r="W161" s="96">
        <v>0.16192977344571791</v>
      </c>
      <c r="X161" s="96">
        <v>0.16258128221196286</v>
      </c>
      <c r="Y161" s="96">
        <v>0.16253780491468336</v>
      </c>
      <c r="DA161" s="171" t="s">
        <v>572</v>
      </c>
    </row>
    <row r="162" spans="1:105" ht="11.45" customHeight="1" x14ac:dyDescent="0.25">
      <c r="A162" s="111" t="s">
        <v>115</v>
      </c>
      <c r="B162" s="96">
        <v>0</v>
      </c>
      <c r="C162" s="96">
        <v>0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0</v>
      </c>
      <c r="L162" s="96">
        <v>0</v>
      </c>
      <c r="M162" s="96">
        <v>0.20572693544102869</v>
      </c>
      <c r="N162" s="96">
        <v>0.20570508540744192</v>
      </c>
      <c r="O162" s="96">
        <v>0.20570458114637974</v>
      </c>
      <c r="P162" s="96">
        <v>0.20566396804222184</v>
      </c>
      <c r="Q162" s="96">
        <v>0.20564300622347656</v>
      </c>
      <c r="R162" s="96">
        <v>0.20565693352175263</v>
      </c>
      <c r="S162" s="96">
        <v>0.20566780612332936</v>
      </c>
      <c r="T162" s="96">
        <v>0.20567923940249741</v>
      </c>
      <c r="U162" s="96">
        <v>0.2057073675793476</v>
      </c>
      <c r="V162" s="96">
        <v>0.20693025784750402</v>
      </c>
      <c r="W162" s="96">
        <v>0.20573918556492704</v>
      </c>
      <c r="X162" s="96">
        <v>0.20578649606121396</v>
      </c>
      <c r="Y162" s="96">
        <v>0.20580337723926428</v>
      </c>
      <c r="DA162" s="171" t="s">
        <v>573</v>
      </c>
    </row>
    <row r="163" spans="1:105" ht="11.45" customHeight="1" x14ac:dyDescent="0.25">
      <c r="A163" s="109" t="s">
        <v>154</v>
      </c>
      <c r="B163" s="130">
        <f t="shared" ref="B163:K163" si="215">IF(B26=0,0,B26/B53)</f>
        <v>7.6290858495134897</v>
      </c>
      <c r="C163" s="130">
        <f t="shared" si="215"/>
        <v>7.6981335580122678</v>
      </c>
      <c r="D163" s="130">
        <f t="shared" si="215"/>
        <v>7.3552703778735351</v>
      </c>
      <c r="E163" s="130">
        <f t="shared" si="215"/>
        <v>7.3917943302705638</v>
      </c>
      <c r="F163" s="130">
        <f t="shared" si="215"/>
        <v>8.0183016866216708</v>
      </c>
      <c r="G163" s="130">
        <f t="shared" si="215"/>
        <v>7.775283010568355</v>
      </c>
      <c r="H163" s="130">
        <f t="shared" si="215"/>
        <v>7.7746624051622986</v>
      </c>
      <c r="I163" s="130">
        <f t="shared" si="215"/>
        <v>8.0526924583045307</v>
      </c>
      <c r="J163" s="130">
        <f t="shared" si="215"/>
        <v>8.2398339708312047</v>
      </c>
      <c r="K163" s="130">
        <f t="shared" si="215"/>
        <v>8.0219200438169889</v>
      </c>
      <c r="L163" s="130">
        <f t="shared" ref="L163" si="216">IF(L26=0,0,L26/L53)</f>
        <v>9.0511057078241048</v>
      </c>
      <c r="M163" s="130">
        <f t="shared" ref="M163:V163" si="217">IF(M26=0,0,M26/M53)</f>
        <v>8.8696644785914387</v>
      </c>
      <c r="N163" s="130">
        <f t="shared" si="217"/>
        <v>8.8918346730223288</v>
      </c>
      <c r="O163" s="130">
        <f t="shared" si="217"/>
        <v>9.4079932451600339</v>
      </c>
      <c r="P163" s="130">
        <f t="shared" si="217"/>
        <v>9.2980879049739595</v>
      </c>
      <c r="Q163" s="130">
        <f t="shared" si="217"/>
        <v>9.1324685885129284</v>
      </c>
      <c r="R163" s="130">
        <f t="shared" si="217"/>
        <v>9.2871579480532258</v>
      </c>
      <c r="S163" s="130">
        <f t="shared" si="217"/>
        <v>9.5310409172391708</v>
      </c>
      <c r="T163" s="130">
        <f t="shared" si="217"/>
        <v>9.5701201834079725</v>
      </c>
      <c r="U163" s="130">
        <f t="shared" si="217"/>
        <v>9.6523712341884167</v>
      </c>
      <c r="V163" s="130">
        <f t="shared" si="217"/>
        <v>9.379331384955421</v>
      </c>
      <c r="W163" s="130">
        <f t="shared" ref="W163:Y163" si="218">IF(W26=0,0,W26/W53)</f>
        <v>9.3484318535006494</v>
      </c>
      <c r="X163" s="130">
        <f t="shared" si="218"/>
        <v>9.3615613891133638</v>
      </c>
      <c r="Y163" s="130">
        <f t="shared" si="218"/>
        <v>9.2835952083227227</v>
      </c>
      <c r="DA163" s="176" t="s">
        <v>574</v>
      </c>
    </row>
    <row r="164" spans="1:105" ht="11.45" customHeight="1" x14ac:dyDescent="0.25">
      <c r="A164" s="128" t="s">
        <v>27</v>
      </c>
      <c r="B164" s="97">
        <v>6.4073547338480292</v>
      </c>
      <c r="C164" s="97">
        <v>6.3862793572311496</v>
      </c>
      <c r="D164" s="97">
        <v>5.9500491642084565</v>
      </c>
      <c r="E164" s="97">
        <v>6.0301650540694363</v>
      </c>
      <c r="F164" s="97">
        <v>6.5847885137757078</v>
      </c>
      <c r="G164" s="97">
        <v>6.2186400937866351</v>
      </c>
      <c r="H164" s="97">
        <v>6.0945361635220126</v>
      </c>
      <c r="I164" s="97">
        <v>6.3400826446280991</v>
      </c>
      <c r="J164" s="97">
        <v>6.6093330580218872</v>
      </c>
      <c r="K164" s="97">
        <v>6.5001037129226305</v>
      </c>
      <c r="L164" s="97">
        <v>7.3596083231334148</v>
      </c>
      <c r="M164" s="97">
        <v>7.2047992397243998</v>
      </c>
      <c r="N164" s="97">
        <v>7.197140707298721</v>
      </c>
      <c r="O164" s="97">
        <v>7.8874236874236878</v>
      </c>
      <c r="P164" s="97">
        <v>7.7178750897343864</v>
      </c>
      <c r="Q164" s="97">
        <v>7.5392547457229906</v>
      </c>
      <c r="R164" s="97">
        <v>7.7182683590208523</v>
      </c>
      <c r="S164" s="97">
        <v>7.9202292811081918</v>
      </c>
      <c r="T164" s="97">
        <v>7.997901119402985</v>
      </c>
      <c r="U164" s="97">
        <v>8.0983531564501376</v>
      </c>
      <c r="V164" s="97">
        <v>7.7981283422459891</v>
      </c>
      <c r="W164" s="97">
        <v>7.7618232398887228</v>
      </c>
      <c r="X164" s="97">
        <v>7.7908970976253302</v>
      </c>
      <c r="Y164" s="97">
        <v>7.7055129099790651</v>
      </c>
      <c r="DA164" s="175" t="s">
        <v>575</v>
      </c>
    </row>
    <row r="165" spans="1:105" ht="11.45" customHeight="1" x14ac:dyDescent="0.25">
      <c r="A165" s="138" t="s">
        <v>116</v>
      </c>
      <c r="B165" s="98">
        <v>14.257421972058397</v>
      </c>
      <c r="C165" s="98">
        <v>14.245058387803748</v>
      </c>
      <c r="D165" s="98">
        <v>14.338603689647607</v>
      </c>
      <c r="E165" s="98">
        <v>14.254152494203543</v>
      </c>
      <c r="F165" s="98">
        <v>13.993137904941621</v>
      </c>
      <c r="G165" s="98">
        <v>13.999403714336369</v>
      </c>
      <c r="H165" s="98">
        <v>14.088849058887034</v>
      </c>
      <c r="I165" s="98">
        <v>14.115262081857324</v>
      </c>
      <c r="J165" s="98">
        <v>13.915448013039786</v>
      </c>
      <c r="K165" s="98">
        <v>13.731801555818864</v>
      </c>
      <c r="L165" s="98">
        <v>14.178700182725073</v>
      </c>
      <c r="M165" s="98">
        <v>14.133203670456812</v>
      </c>
      <c r="N165" s="98">
        <v>14.086426180736334</v>
      </c>
      <c r="O165" s="98">
        <v>14.105166269382361</v>
      </c>
      <c r="P165" s="98">
        <v>14.138211571635042</v>
      </c>
      <c r="Q165" s="98">
        <v>14.005556317739057</v>
      </c>
      <c r="R165" s="98">
        <v>13.933281647068958</v>
      </c>
      <c r="S165" s="98">
        <v>14.0120381138928</v>
      </c>
      <c r="T165" s="98">
        <v>14.146454243557947</v>
      </c>
      <c r="U165" s="98">
        <v>14.062037656310167</v>
      </c>
      <c r="V165" s="98">
        <v>13.861910981613583</v>
      </c>
      <c r="W165" s="98">
        <v>14.046303126595927</v>
      </c>
      <c r="X165" s="98">
        <v>13.993433342768187</v>
      </c>
      <c r="Y165" s="98">
        <v>13.837303725369457</v>
      </c>
      <c r="DA165" s="178" t="s">
        <v>576</v>
      </c>
    </row>
    <row r="166" spans="1:105" ht="11.45" customHeight="1" x14ac:dyDescent="0.25">
      <c r="A166" s="106"/>
      <c r="B166" s="106"/>
      <c r="C166" s="106"/>
      <c r="D166" s="106"/>
      <c r="E166" s="106"/>
      <c r="F166" s="106"/>
      <c r="G166" s="106"/>
      <c r="H166" s="106"/>
      <c r="I166" s="106"/>
      <c r="J166" s="106"/>
      <c r="K166" s="106"/>
      <c r="L166" s="106"/>
      <c r="M166" s="106"/>
      <c r="N166" s="106"/>
      <c r="O166" s="106"/>
      <c r="P166" s="106"/>
      <c r="Q166" s="106"/>
      <c r="R166" s="106"/>
      <c r="S166" s="106"/>
      <c r="T166" s="106"/>
      <c r="U166" s="106"/>
      <c r="V166" s="106"/>
      <c r="W166" s="106"/>
      <c r="X166" s="106"/>
      <c r="Y166" s="106"/>
      <c r="DA166" s="171"/>
    </row>
    <row r="167" spans="1:105" ht="11.45" customHeight="1" x14ac:dyDescent="0.25">
      <c r="A167" s="53" t="s">
        <v>136</v>
      </c>
      <c r="B167" s="54">
        <f t="shared" ref="B167:V180" si="219">IF(B30=0,0,B30*1000000/B57)</f>
        <v>14003.249340416827</v>
      </c>
      <c r="C167" s="54">
        <f t="shared" si="219"/>
        <v>13898.6446481983</v>
      </c>
      <c r="D167" s="54">
        <f t="shared" si="219"/>
        <v>13820.236253648289</v>
      </c>
      <c r="E167" s="54">
        <f t="shared" si="219"/>
        <v>13756.404973063662</v>
      </c>
      <c r="F167" s="54">
        <f t="shared" si="219"/>
        <v>13991.203529653891</v>
      </c>
      <c r="G167" s="54">
        <f t="shared" si="219"/>
        <v>13935.498781331349</v>
      </c>
      <c r="H167" s="54">
        <f t="shared" si="219"/>
        <v>13718.261942678693</v>
      </c>
      <c r="I167" s="54">
        <f t="shared" si="219"/>
        <v>13616.422541322803</v>
      </c>
      <c r="J167" s="54">
        <f t="shared" si="219"/>
        <v>13516.595358698098</v>
      </c>
      <c r="K167" s="54">
        <f t="shared" si="219"/>
        <v>13051.200637640588</v>
      </c>
      <c r="L167" s="54">
        <f t="shared" si="219"/>
        <v>12774.603721257899</v>
      </c>
      <c r="M167" s="54">
        <f>IF(M30=0,0,M30*1000000/M57)</f>
        <v>12862.5530288263</v>
      </c>
      <c r="N167" s="54">
        <f t="shared" ref="N167:V167" si="220">IF(N30=0,0,N30*1000000/N57)</f>
        <v>12093.43386559001</v>
      </c>
      <c r="O167" s="54">
        <f t="shared" si="220"/>
        <v>12016.15648058656</v>
      </c>
      <c r="P167" s="54">
        <f t="shared" si="220"/>
        <v>11926.68523097117</v>
      </c>
      <c r="Q167" s="54">
        <f t="shared" si="220"/>
        <v>11911.740815591009</v>
      </c>
      <c r="R167" s="54">
        <f t="shared" si="220"/>
        <v>11993.546198782737</v>
      </c>
      <c r="S167" s="54">
        <f t="shared" si="220"/>
        <v>11852.982015471449</v>
      </c>
      <c r="T167" s="54">
        <f t="shared" si="220"/>
        <v>11752.589177812653</v>
      </c>
      <c r="U167" s="54">
        <f t="shared" si="220"/>
        <v>11640.909268900534</v>
      </c>
      <c r="V167" s="54">
        <f t="shared" si="220"/>
        <v>9790.7830148063986</v>
      </c>
      <c r="W167" s="54">
        <f t="shared" ref="W167:Y191" si="221">IF(W30=0,0,W30*1000000/W57)</f>
        <v>10250.932997697784</v>
      </c>
      <c r="X167" s="54">
        <f t="shared" si="221"/>
        <v>10769.593773032135</v>
      </c>
      <c r="Y167" s="54">
        <f t="shared" si="221"/>
        <v>10974.516224476793</v>
      </c>
      <c r="DA167" s="172" t="s">
        <v>577</v>
      </c>
    </row>
    <row r="168" spans="1:105" ht="11.45" customHeight="1" x14ac:dyDescent="0.25">
      <c r="A168" s="27" t="s">
        <v>33</v>
      </c>
      <c r="B168" s="28">
        <f t="shared" si="219"/>
        <v>12656.020695543923</v>
      </c>
      <c r="C168" s="28">
        <f t="shared" si="219"/>
        <v>12490.55748454591</v>
      </c>
      <c r="D168" s="28">
        <f t="shared" si="219"/>
        <v>12391.423416191481</v>
      </c>
      <c r="E168" s="28">
        <f t="shared" si="219"/>
        <v>12274.422309557256</v>
      </c>
      <c r="F168" s="28">
        <f t="shared" si="219"/>
        <v>12438.841307542989</v>
      </c>
      <c r="G168" s="28">
        <f t="shared" si="219"/>
        <v>12409.658937258955</v>
      </c>
      <c r="H168" s="28">
        <f t="shared" si="219"/>
        <v>12158.305130843923</v>
      </c>
      <c r="I168" s="28">
        <f t="shared" si="219"/>
        <v>12072.851889216667</v>
      </c>
      <c r="J168" s="28">
        <f t="shared" si="219"/>
        <v>11983.008951355723</v>
      </c>
      <c r="K168" s="28">
        <f t="shared" si="219"/>
        <v>11676.514889453434</v>
      </c>
      <c r="L168" s="28">
        <f t="shared" si="219"/>
        <v>11441.628305986662</v>
      </c>
      <c r="M168" s="28">
        <f t="shared" ref="M168:M192" si="222">IF(M31=0,0,M31*1000000/M58)</f>
        <v>11491.014975079968</v>
      </c>
      <c r="N168" s="28">
        <f t="shared" si="219"/>
        <v>10769.277500548082</v>
      </c>
      <c r="O168" s="28">
        <f t="shared" si="219"/>
        <v>10691.212994992045</v>
      </c>
      <c r="P168" s="28">
        <f t="shared" si="219"/>
        <v>10655.464082167655</v>
      </c>
      <c r="Q168" s="28">
        <f t="shared" si="219"/>
        <v>10586.143328143953</v>
      </c>
      <c r="R168" s="28">
        <f t="shared" si="219"/>
        <v>10656.56516002997</v>
      </c>
      <c r="S168" s="28">
        <f t="shared" si="219"/>
        <v>10548.94745208626</v>
      </c>
      <c r="T168" s="28">
        <f t="shared" si="219"/>
        <v>10458.661430661419</v>
      </c>
      <c r="U168" s="28">
        <f t="shared" si="219"/>
        <v>10379.073084326948</v>
      </c>
      <c r="V168" s="28">
        <f t="shared" si="219"/>
        <v>8429.7860807770739</v>
      </c>
      <c r="W168" s="28">
        <f t="shared" si="221"/>
        <v>8870.2300273833862</v>
      </c>
      <c r="X168" s="28">
        <f t="shared" si="221"/>
        <v>9508.2462254221682</v>
      </c>
      <c r="Y168" s="28">
        <f t="shared" si="221"/>
        <v>9805.5724475582865</v>
      </c>
      <c r="DA168" s="173" t="s">
        <v>578</v>
      </c>
    </row>
    <row r="169" spans="1:105" ht="11.45" customHeight="1" x14ac:dyDescent="0.25">
      <c r="A169" s="136" t="s">
        <v>173</v>
      </c>
      <c r="B169" s="137">
        <f t="shared" si="219"/>
        <v>3054.4223646810242</v>
      </c>
      <c r="C169" s="137">
        <f t="shared" si="219"/>
        <v>3194.3973242126085</v>
      </c>
      <c r="D169" s="137">
        <f t="shared" si="219"/>
        <v>3186.8629021035781</v>
      </c>
      <c r="E169" s="137">
        <f t="shared" si="219"/>
        <v>3171.0562710388353</v>
      </c>
      <c r="F169" s="137">
        <f t="shared" si="219"/>
        <v>2962.9288021863113</v>
      </c>
      <c r="G169" s="137">
        <f t="shared" si="219"/>
        <v>2881.3093348408638</v>
      </c>
      <c r="H169" s="137">
        <f t="shared" si="219"/>
        <v>2687.5208549316794</v>
      </c>
      <c r="I169" s="137">
        <f t="shared" si="219"/>
        <v>2766.0641135274354</v>
      </c>
      <c r="J169" s="137">
        <f t="shared" si="219"/>
        <v>2801.2306334443451</v>
      </c>
      <c r="K169" s="137">
        <f t="shared" si="219"/>
        <v>2739.0494060157434</v>
      </c>
      <c r="L169" s="137">
        <f t="shared" si="219"/>
        <v>2658.9880135527005</v>
      </c>
      <c r="M169" s="137">
        <f t="shared" si="222"/>
        <v>2659.6054051638425</v>
      </c>
      <c r="N169" s="137">
        <f t="shared" si="219"/>
        <v>2543.3223152787018</v>
      </c>
      <c r="O169" s="137">
        <f t="shared" si="219"/>
        <v>2503.483831434382</v>
      </c>
      <c r="P169" s="137">
        <f t="shared" si="219"/>
        <v>2388.704040388694</v>
      </c>
      <c r="Q169" s="137">
        <f t="shared" si="219"/>
        <v>2427.4513870366541</v>
      </c>
      <c r="R169" s="137">
        <f t="shared" si="219"/>
        <v>2445.455201039078</v>
      </c>
      <c r="S169" s="137">
        <f t="shared" si="219"/>
        <v>2262.3172354010262</v>
      </c>
      <c r="T169" s="137">
        <f t="shared" si="219"/>
        <v>2126.9868687500702</v>
      </c>
      <c r="U169" s="137">
        <f t="shared" si="219"/>
        <v>2218.6995757715913</v>
      </c>
      <c r="V169" s="137">
        <f t="shared" si="219"/>
        <v>1930.764751987643</v>
      </c>
      <c r="W169" s="137">
        <f t="shared" si="221"/>
        <v>2070.1852176976413</v>
      </c>
      <c r="X169" s="137">
        <f t="shared" si="221"/>
        <v>2060.8990846694433</v>
      </c>
      <c r="Y169" s="137">
        <f t="shared" si="221"/>
        <v>2213.6024015703756</v>
      </c>
      <c r="DA169" s="174" t="s">
        <v>579</v>
      </c>
    </row>
    <row r="170" spans="1:105" ht="11.45" customHeight="1" x14ac:dyDescent="0.25">
      <c r="A170" s="109" t="s">
        <v>20</v>
      </c>
      <c r="B170" s="110">
        <f t="shared" si="219"/>
        <v>14054.184946187739</v>
      </c>
      <c r="C170" s="110">
        <f t="shared" si="219"/>
        <v>13793.446744476254</v>
      </c>
      <c r="D170" s="110">
        <f t="shared" si="219"/>
        <v>13699.262136964009</v>
      </c>
      <c r="E170" s="110">
        <f t="shared" si="219"/>
        <v>13558.500160540993</v>
      </c>
      <c r="F170" s="110">
        <f t="shared" si="219"/>
        <v>13800.798681119542</v>
      </c>
      <c r="G170" s="110">
        <f t="shared" si="219"/>
        <v>13863.037820220727</v>
      </c>
      <c r="H170" s="110">
        <f t="shared" si="219"/>
        <v>13804.139225494493</v>
      </c>
      <c r="I170" s="110">
        <f t="shared" si="219"/>
        <v>13775.732768958109</v>
      </c>
      <c r="J170" s="110">
        <f t="shared" si="219"/>
        <v>13756.268176138134</v>
      </c>
      <c r="K170" s="110">
        <f t="shared" si="219"/>
        <v>13480.978228083599</v>
      </c>
      <c r="L170" s="110">
        <f t="shared" si="219"/>
        <v>13289.203478243529</v>
      </c>
      <c r="M170" s="110">
        <f t="shared" si="222"/>
        <v>13373.327057543571</v>
      </c>
      <c r="N170" s="110">
        <f t="shared" si="219"/>
        <v>12520.830385437206</v>
      </c>
      <c r="O170" s="110">
        <f t="shared" si="219"/>
        <v>12441.563275011045</v>
      </c>
      <c r="P170" s="110">
        <f t="shared" si="219"/>
        <v>12443.707933018082</v>
      </c>
      <c r="Q170" s="110">
        <f t="shared" si="219"/>
        <v>12340.498494975351</v>
      </c>
      <c r="R170" s="110">
        <f t="shared" si="219"/>
        <v>12428.528222239058</v>
      </c>
      <c r="S170" s="110">
        <f t="shared" si="219"/>
        <v>12339.269614582747</v>
      </c>
      <c r="T170" s="110">
        <f t="shared" si="219"/>
        <v>12269.260925187573</v>
      </c>
      <c r="U170" s="110">
        <f t="shared" si="219"/>
        <v>12156.698532621853</v>
      </c>
      <c r="V170" s="110">
        <f t="shared" si="219"/>
        <v>9875.2649086793808</v>
      </c>
      <c r="W170" s="110">
        <f t="shared" si="221"/>
        <v>10280.245092907939</v>
      </c>
      <c r="X170" s="110">
        <f t="shared" si="221"/>
        <v>11064.528879907059</v>
      </c>
      <c r="Y170" s="110">
        <f t="shared" si="221"/>
        <v>11349.644908375936</v>
      </c>
      <c r="DA170" s="176" t="s">
        <v>580</v>
      </c>
    </row>
    <row r="171" spans="1:105" ht="11.45" customHeight="1" x14ac:dyDescent="0.25">
      <c r="A171" s="111" t="s">
        <v>110</v>
      </c>
      <c r="B171" s="84">
        <f t="shared" si="219"/>
        <v>11982.17798533389</v>
      </c>
      <c r="C171" s="84">
        <f t="shared" si="219"/>
        <v>11655.55284786668</v>
      </c>
      <c r="D171" s="84">
        <f t="shared" si="219"/>
        <v>11450.461912085284</v>
      </c>
      <c r="E171" s="84">
        <f t="shared" si="219"/>
        <v>11227.17262965086</v>
      </c>
      <c r="F171" s="84">
        <f t="shared" si="219"/>
        <v>11371.133709383652</v>
      </c>
      <c r="G171" s="84">
        <f t="shared" si="219"/>
        <v>11364.900161610973</v>
      </c>
      <c r="H171" s="84">
        <f t="shared" si="219"/>
        <v>11203.610368003798</v>
      </c>
      <c r="I171" s="84">
        <f t="shared" si="219"/>
        <v>11172.431536993892</v>
      </c>
      <c r="J171" s="84">
        <f t="shared" si="219"/>
        <v>11203.577830552214</v>
      </c>
      <c r="K171" s="84">
        <f t="shared" si="219"/>
        <v>11083.819765632947</v>
      </c>
      <c r="L171" s="84">
        <f t="shared" si="219"/>
        <v>10981.4436795765</v>
      </c>
      <c r="M171" s="84">
        <f t="shared" si="222"/>
        <v>11136.123467069128</v>
      </c>
      <c r="N171" s="84">
        <f t="shared" si="219"/>
        <v>10276.914541531694</v>
      </c>
      <c r="O171" s="84">
        <f t="shared" si="219"/>
        <v>10191.578627592899</v>
      </c>
      <c r="P171" s="84">
        <f t="shared" si="219"/>
        <v>10135.632807583992</v>
      </c>
      <c r="Q171" s="84">
        <f t="shared" si="219"/>
        <v>10078.832761564703</v>
      </c>
      <c r="R171" s="84">
        <f t="shared" si="219"/>
        <v>10347.864590186738</v>
      </c>
      <c r="S171" s="84">
        <f t="shared" si="219"/>
        <v>10407.038891344833</v>
      </c>
      <c r="T171" s="84">
        <f t="shared" si="219"/>
        <v>10468.276352110908</v>
      </c>
      <c r="U171" s="84">
        <f t="shared" si="219"/>
        <v>10541.834711335339</v>
      </c>
      <c r="V171" s="84">
        <f t="shared" si="219"/>
        <v>8984.4713144932339</v>
      </c>
      <c r="W171" s="84">
        <f t="shared" si="221"/>
        <v>8523.0686917344065</v>
      </c>
      <c r="X171" s="84">
        <f t="shared" si="221"/>
        <v>9556.2466860326003</v>
      </c>
      <c r="Y171" s="84">
        <f t="shared" si="221"/>
        <v>9983.3405486702413</v>
      </c>
      <c r="DA171" s="171" t="s">
        <v>581</v>
      </c>
    </row>
    <row r="172" spans="1:105" ht="11.45" customHeight="1" x14ac:dyDescent="0.25">
      <c r="A172" s="111" t="s">
        <v>111</v>
      </c>
      <c r="B172" s="84">
        <f t="shared" si="219"/>
        <v>25390.898322899622</v>
      </c>
      <c r="C172" s="84">
        <f t="shared" si="219"/>
        <v>25173.079552818981</v>
      </c>
      <c r="D172" s="84">
        <f t="shared" si="219"/>
        <v>25517.951364804561</v>
      </c>
      <c r="E172" s="84">
        <f t="shared" si="219"/>
        <v>25557.196062671468</v>
      </c>
      <c r="F172" s="84">
        <f t="shared" si="219"/>
        <v>25874.066950006123</v>
      </c>
      <c r="G172" s="84">
        <f t="shared" si="219"/>
        <v>26057.481787455239</v>
      </c>
      <c r="H172" s="84">
        <f t="shared" si="219"/>
        <v>26062.375530160127</v>
      </c>
      <c r="I172" s="84">
        <f t="shared" si="219"/>
        <v>25672.191777321892</v>
      </c>
      <c r="J172" s="84">
        <f t="shared" si="219"/>
        <v>25531.326370464645</v>
      </c>
      <c r="K172" s="84">
        <f t="shared" si="219"/>
        <v>24605.030129229501</v>
      </c>
      <c r="L172" s="84">
        <f t="shared" si="219"/>
        <v>24158.627571953861</v>
      </c>
      <c r="M172" s="84">
        <f t="shared" si="222"/>
        <v>23921.656169284626</v>
      </c>
      <c r="N172" s="84">
        <f t="shared" si="219"/>
        <v>22993.158920139344</v>
      </c>
      <c r="O172" s="84">
        <f t="shared" si="219"/>
        <v>23161.659257210929</v>
      </c>
      <c r="P172" s="84">
        <f t="shared" si="219"/>
        <v>23579.911234027048</v>
      </c>
      <c r="Q172" s="84">
        <f t="shared" si="219"/>
        <v>23192.167109944014</v>
      </c>
      <c r="R172" s="84">
        <f t="shared" si="219"/>
        <v>22717.926911697516</v>
      </c>
      <c r="S172" s="84">
        <f t="shared" si="219"/>
        <v>22172.556320355245</v>
      </c>
      <c r="T172" s="84">
        <f t="shared" si="219"/>
        <v>21793.564522590321</v>
      </c>
      <c r="U172" s="84">
        <f t="shared" si="219"/>
        <v>21230.888022375424</v>
      </c>
      <c r="V172" s="84">
        <f t="shared" si="219"/>
        <v>15155.934534206674</v>
      </c>
      <c r="W172" s="84">
        <f t="shared" si="221"/>
        <v>21669.459564598652</v>
      </c>
      <c r="X172" s="84">
        <f t="shared" si="221"/>
        <v>21738.605579746109</v>
      </c>
      <c r="Y172" s="84">
        <f t="shared" si="221"/>
        <v>21651.018988285068</v>
      </c>
      <c r="DA172" s="171" t="s">
        <v>582</v>
      </c>
    </row>
    <row r="173" spans="1:105" ht="11.45" customHeight="1" x14ac:dyDescent="0.25">
      <c r="A173" s="111" t="s">
        <v>112</v>
      </c>
      <c r="B173" s="84">
        <f t="shared" si="219"/>
        <v>16460.491259938808</v>
      </c>
      <c r="C173" s="84">
        <f t="shared" si="219"/>
        <v>15980.189082642495</v>
      </c>
      <c r="D173" s="84">
        <f t="shared" si="219"/>
        <v>15708.551211018468</v>
      </c>
      <c r="E173" s="84">
        <f t="shared" si="219"/>
        <v>15385.264137658167</v>
      </c>
      <c r="F173" s="84">
        <f t="shared" si="219"/>
        <v>15832.407548213589</v>
      </c>
      <c r="G173" s="84">
        <f t="shared" si="219"/>
        <v>15602.093108628902</v>
      </c>
      <c r="H173" s="84">
        <f t="shared" si="219"/>
        <v>15369.523938568787</v>
      </c>
      <c r="I173" s="84">
        <f t="shared" si="219"/>
        <v>15190.765780289719</v>
      </c>
      <c r="J173" s="84">
        <f t="shared" si="219"/>
        <v>14855.476646832982</v>
      </c>
      <c r="K173" s="84">
        <f t="shared" si="219"/>
        <v>14451.10907582704</v>
      </c>
      <c r="L173" s="84">
        <f t="shared" si="219"/>
        <v>14256.219894195594</v>
      </c>
      <c r="M173" s="84">
        <f t="shared" si="222"/>
        <v>13976.13176178281</v>
      </c>
      <c r="N173" s="84">
        <f t="shared" si="219"/>
        <v>13640.345134398118</v>
      </c>
      <c r="O173" s="84">
        <f t="shared" si="219"/>
        <v>13415.531911478854</v>
      </c>
      <c r="P173" s="84">
        <f t="shared" si="219"/>
        <v>13285.1090085786</v>
      </c>
      <c r="Q173" s="84">
        <f t="shared" si="219"/>
        <v>13515.72176975026</v>
      </c>
      <c r="R173" s="84">
        <f t="shared" si="219"/>
        <v>13753.143237403014</v>
      </c>
      <c r="S173" s="84">
        <f t="shared" si="219"/>
        <v>13785.94616953414</v>
      </c>
      <c r="T173" s="84">
        <f t="shared" si="219"/>
        <v>13840.868687234804</v>
      </c>
      <c r="U173" s="84">
        <f t="shared" si="219"/>
        <v>13697.027857653016</v>
      </c>
      <c r="V173" s="84">
        <f t="shared" si="219"/>
        <v>11121.605241055342</v>
      </c>
      <c r="W173" s="84">
        <f t="shared" si="221"/>
        <v>11716.996483330406</v>
      </c>
      <c r="X173" s="84">
        <f t="shared" si="221"/>
        <v>12783.90704389502</v>
      </c>
      <c r="Y173" s="84">
        <f t="shared" si="221"/>
        <v>13261.321155448095</v>
      </c>
      <c r="DA173" s="171" t="s">
        <v>583</v>
      </c>
    </row>
    <row r="174" spans="1:105" ht="11.45" customHeight="1" x14ac:dyDescent="0.25">
      <c r="A174" s="111" t="s">
        <v>113</v>
      </c>
      <c r="B174" s="84">
        <f t="shared" si="219"/>
        <v>0</v>
      </c>
      <c r="C174" s="84">
        <f t="shared" si="219"/>
        <v>0</v>
      </c>
      <c r="D174" s="84">
        <f t="shared" si="219"/>
        <v>0</v>
      </c>
      <c r="E174" s="84">
        <f t="shared" si="219"/>
        <v>0</v>
      </c>
      <c r="F174" s="84">
        <f t="shared" si="219"/>
        <v>0</v>
      </c>
      <c r="G174" s="84">
        <f t="shared" si="219"/>
        <v>0</v>
      </c>
      <c r="H174" s="84">
        <f t="shared" si="219"/>
        <v>0</v>
      </c>
      <c r="I174" s="84">
        <f t="shared" si="219"/>
        <v>0</v>
      </c>
      <c r="J174" s="84">
        <f t="shared" si="219"/>
        <v>0</v>
      </c>
      <c r="K174" s="84">
        <f t="shared" si="219"/>
        <v>0</v>
      </c>
      <c r="L174" s="84">
        <f t="shared" si="219"/>
        <v>19189.880308423883</v>
      </c>
      <c r="M174" s="84">
        <f t="shared" si="222"/>
        <v>18812.861871790501</v>
      </c>
      <c r="N174" s="84">
        <f t="shared" si="219"/>
        <v>18360.869321415692</v>
      </c>
      <c r="O174" s="84">
        <f t="shared" si="219"/>
        <v>18058.254822509978</v>
      </c>
      <c r="P174" s="84">
        <f t="shared" si="219"/>
        <v>17882.696370500405</v>
      </c>
      <c r="Q174" s="84">
        <f t="shared" si="219"/>
        <v>17832.857706445113</v>
      </c>
      <c r="R174" s="84">
        <f t="shared" si="219"/>
        <v>18146.115357145121</v>
      </c>
      <c r="S174" s="84">
        <f t="shared" si="219"/>
        <v>18189.396066160432</v>
      </c>
      <c r="T174" s="84">
        <f t="shared" si="219"/>
        <v>18261.861707264983</v>
      </c>
      <c r="U174" s="84">
        <f t="shared" si="219"/>
        <v>18266.844431041536</v>
      </c>
      <c r="V174" s="84">
        <f t="shared" si="219"/>
        <v>14832.16905690261</v>
      </c>
      <c r="W174" s="84">
        <f t="shared" si="221"/>
        <v>15316.774250933066</v>
      </c>
      <c r="X174" s="84">
        <f t="shared" si="221"/>
        <v>16711.468550393995</v>
      </c>
      <c r="Y174" s="84">
        <f t="shared" si="221"/>
        <v>17335.557170824279</v>
      </c>
      <c r="DA174" s="171" t="s">
        <v>584</v>
      </c>
    </row>
    <row r="175" spans="1:105" ht="11.45" customHeight="1" x14ac:dyDescent="0.25">
      <c r="A175" s="111" t="s">
        <v>114</v>
      </c>
      <c r="B175" s="84">
        <f t="shared" si="219"/>
        <v>0</v>
      </c>
      <c r="C175" s="84">
        <f t="shared" si="219"/>
        <v>0</v>
      </c>
      <c r="D175" s="84">
        <f t="shared" si="219"/>
        <v>0</v>
      </c>
      <c r="E175" s="84">
        <f t="shared" si="219"/>
        <v>0</v>
      </c>
      <c r="F175" s="84">
        <f t="shared" si="219"/>
        <v>0</v>
      </c>
      <c r="G175" s="84">
        <f t="shared" si="219"/>
        <v>0</v>
      </c>
      <c r="H175" s="84">
        <f t="shared" si="219"/>
        <v>0</v>
      </c>
      <c r="I175" s="84">
        <f t="shared" si="219"/>
        <v>0</v>
      </c>
      <c r="J175" s="84">
        <f t="shared" si="219"/>
        <v>0</v>
      </c>
      <c r="K175" s="84">
        <f t="shared" si="219"/>
        <v>0</v>
      </c>
      <c r="L175" s="84">
        <f t="shared" si="219"/>
        <v>0</v>
      </c>
      <c r="M175" s="84">
        <f t="shared" si="222"/>
        <v>11068.058637742148</v>
      </c>
      <c r="N175" s="84">
        <f t="shared" si="219"/>
        <v>10872.043864183946</v>
      </c>
      <c r="O175" s="84">
        <f t="shared" si="219"/>
        <v>10683.749794986357</v>
      </c>
      <c r="P175" s="84">
        <f t="shared" si="219"/>
        <v>10376.657298521131</v>
      </c>
      <c r="Q175" s="84">
        <f t="shared" si="219"/>
        <v>10635.685337121466</v>
      </c>
      <c r="R175" s="84">
        <f t="shared" si="219"/>
        <v>10179.593475532693</v>
      </c>
      <c r="S175" s="84">
        <f t="shared" si="219"/>
        <v>9597.7023770799133</v>
      </c>
      <c r="T175" s="84">
        <f t="shared" si="219"/>
        <v>9663.449312681294</v>
      </c>
      <c r="U175" s="84">
        <f t="shared" si="219"/>
        <v>9857.0283782079096</v>
      </c>
      <c r="V175" s="84">
        <f t="shared" si="219"/>
        <v>8256.0874866363374</v>
      </c>
      <c r="W175" s="84">
        <f t="shared" si="221"/>
        <v>8574.1863942454147</v>
      </c>
      <c r="X175" s="84">
        <f t="shared" si="221"/>
        <v>8987.4463289288196</v>
      </c>
      <c r="Y175" s="84">
        <f t="shared" si="221"/>
        <v>9692.3128470681932</v>
      </c>
      <c r="DA175" s="171" t="s">
        <v>585</v>
      </c>
    </row>
    <row r="176" spans="1:105" ht="11.45" customHeight="1" x14ac:dyDescent="0.25">
      <c r="A176" s="111" t="s">
        <v>115</v>
      </c>
      <c r="B176" s="84">
        <f t="shared" si="219"/>
        <v>0</v>
      </c>
      <c r="C176" s="84">
        <f t="shared" si="219"/>
        <v>0</v>
      </c>
      <c r="D176" s="84">
        <f t="shared" si="219"/>
        <v>0</v>
      </c>
      <c r="E176" s="84">
        <f t="shared" si="219"/>
        <v>0</v>
      </c>
      <c r="F176" s="84">
        <f t="shared" si="219"/>
        <v>0</v>
      </c>
      <c r="G176" s="84">
        <f t="shared" si="219"/>
        <v>0</v>
      </c>
      <c r="H176" s="84">
        <f t="shared" si="219"/>
        <v>0</v>
      </c>
      <c r="I176" s="84">
        <f t="shared" si="219"/>
        <v>0</v>
      </c>
      <c r="J176" s="84">
        <f t="shared" si="219"/>
        <v>0</v>
      </c>
      <c r="K176" s="84">
        <f t="shared" si="219"/>
        <v>16241.901394012277</v>
      </c>
      <c r="L176" s="84">
        <f t="shared" si="219"/>
        <v>16249.33133432817</v>
      </c>
      <c r="M176" s="84">
        <f t="shared" si="222"/>
        <v>16259.789267894228</v>
      </c>
      <c r="N176" s="84">
        <f t="shared" si="219"/>
        <v>16297.544882216851</v>
      </c>
      <c r="O176" s="84">
        <f t="shared" si="219"/>
        <v>16315.63431436979</v>
      </c>
      <c r="P176" s="84">
        <f t="shared" si="219"/>
        <v>16333.615907765665</v>
      </c>
      <c r="Q176" s="84">
        <f t="shared" si="219"/>
        <v>16355.328184150925</v>
      </c>
      <c r="R176" s="84">
        <f t="shared" si="219"/>
        <v>16319.524882165184</v>
      </c>
      <c r="S176" s="84">
        <f t="shared" si="219"/>
        <v>16271.566032600373</v>
      </c>
      <c r="T176" s="84">
        <f t="shared" si="219"/>
        <v>16225.041004908107</v>
      </c>
      <c r="U176" s="84">
        <f t="shared" si="219"/>
        <v>16175.653625145405</v>
      </c>
      <c r="V176" s="84">
        <f t="shared" si="219"/>
        <v>13215.066863906308</v>
      </c>
      <c r="W176" s="84">
        <f t="shared" si="221"/>
        <v>15951.868462203596</v>
      </c>
      <c r="X176" s="84">
        <f t="shared" si="221"/>
        <v>15972.541920476979</v>
      </c>
      <c r="Y176" s="84">
        <f t="shared" si="221"/>
        <v>15952.924419448529</v>
      </c>
      <c r="DA176" s="171" t="s">
        <v>586</v>
      </c>
    </row>
    <row r="177" spans="1:105" ht="11.45" customHeight="1" x14ac:dyDescent="0.25">
      <c r="A177" s="109" t="s">
        <v>21</v>
      </c>
      <c r="B177" s="110">
        <f t="shared" si="219"/>
        <v>53029.687983980672</v>
      </c>
      <c r="C177" s="110">
        <f t="shared" si="219"/>
        <v>52027.443046881861</v>
      </c>
      <c r="D177" s="110">
        <f t="shared" si="219"/>
        <v>52187.971793809767</v>
      </c>
      <c r="E177" s="110">
        <f t="shared" si="219"/>
        <v>51177.297487260585</v>
      </c>
      <c r="F177" s="110">
        <f t="shared" si="219"/>
        <v>50805.731655824617</v>
      </c>
      <c r="G177" s="110">
        <f t="shared" si="219"/>
        <v>51816.639601835777</v>
      </c>
      <c r="H177" s="110">
        <f t="shared" si="219"/>
        <v>52818.006957687961</v>
      </c>
      <c r="I177" s="110">
        <f t="shared" si="219"/>
        <v>53858.921161825718</v>
      </c>
      <c r="J177" s="110">
        <f t="shared" si="219"/>
        <v>54942.207871514307</v>
      </c>
      <c r="K177" s="110">
        <f t="shared" si="219"/>
        <v>56123.768560337041</v>
      </c>
      <c r="L177" s="110">
        <f t="shared" si="219"/>
        <v>57344.513686657927</v>
      </c>
      <c r="M177" s="110">
        <f t="shared" si="222"/>
        <v>58423.695534898987</v>
      </c>
      <c r="N177" s="110">
        <f t="shared" si="219"/>
        <v>59538.138142801341</v>
      </c>
      <c r="O177" s="110">
        <f t="shared" si="219"/>
        <v>60605.50585920686</v>
      </c>
      <c r="P177" s="110">
        <f t="shared" si="219"/>
        <v>61678.113159405271</v>
      </c>
      <c r="Q177" s="110">
        <f t="shared" si="219"/>
        <v>62832.135042200673</v>
      </c>
      <c r="R177" s="110">
        <f t="shared" si="219"/>
        <v>62798.852406758051</v>
      </c>
      <c r="S177" s="110">
        <f t="shared" si="219"/>
        <v>64650.783954388105</v>
      </c>
      <c r="T177" s="110">
        <f t="shared" si="219"/>
        <v>61831.753076457535</v>
      </c>
      <c r="U177" s="110">
        <f t="shared" si="219"/>
        <v>55493.378101100541</v>
      </c>
      <c r="V177" s="110">
        <f t="shared" si="219"/>
        <v>46040.166729821911</v>
      </c>
      <c r="W177" s="110">
        <f t="shared" si="221"/>
        <v>46806.005298793054</v>
      </c>
      <c r="X177" s="110">
        <f t="shared" si="221"/>
        <v>45164.363982848976</v>
      </c>
      <c r="Y177" s="110">
        <f t="shared" si="221"/>
        <v>44643.718059974941</v>
      </c>
      <c r="DA177" s="176" t="s">
        <v>587</v>
      </c>
    </row>
    <row r="178" spans="1:105" ht="11.45" customHeight="1" x14ac:dyDescent="0.25">
      <c r="A178" s="111" t="s">
        <v>110</v>
      </c>
      <c r="B178" s="102">
        <f t="shared" si="219"/>
        <v>53185.196973258826</v>
      </c>
      <c r="C178" s="102">
        <f t="shared" si="219"/>
        <v>51108.093592624042</v>
      </c>
      <c r="D178" s="102">
        <f t="shared" si="219"/>
        <v>50268.316751828293</v>
      </c>
      <c r="E178" s="102">
        <f t="shared" si="219"/>
        <v>48281.021176929127</v>
      </c>
      <c r="F178" s="102">
        <f t="shared" si="219"/>
        <v>46973.552390006735</v>
      </c>
      <c r="G178" s="102">
        <f t="shared" si="219"/>
        <v>47015.124970430305</v>
      </c>
      <c r="H178" s="102">
        <f t="shared" si="219"/>
        <v>47029.008847744481</v>
      </c>
      <c r="I178" s="102">
        <f t="shared" si="219"/>
        <v>47061.425362787973</v>
      </c>
      <c r="J178" s="102">
        <f t="shared" si="219"/>
        <v>47129.953074057848</v>
      </c>
      <c r="K178" s="102">
        <f t="shared" si="219"/>
        <v>47249.758029255798</v>
      </c>
      <c r="L178" s="102">
        <f t="shared" si="219"/>
        <v>47381.817808563144</v>
      </c>
      <c r="M178" s="102">
        <f t="shared" si="222"/>
        <v>47371.109273139919</v>
      </c>
      <c r="N178" s="102">
        <f t="shared" si="219"/>
        <v>47372.894282138303</v>
      </c>
      <c r="O178" s="102">
        <f t="shared" si="219"/>
        <v>47318.658092941034</v>
      </c>
      <c r="P178" s="102">
        <f t="shared" si="219"/>
        <v>47253.30583310208</v>
      </c>
      <c r="Q178" s="102">
        <f t="shared" si="219"/>
        <v>47237.32544844965</v>
      </c>
      <c r="R178" s="102">
        <f t="shared" si="219"/>
        <v>48155.273801512885</v>
      </c>
      <c r="S178" s="102">
        <f t="shared" si="219"/>
        <v>50640.410875793357</v>
      </c>
      <c r="T178" s="102">
        <f t="shared" si="219"/>
        <v>49290.933726969844</v>
      </c>
      <c r="U178" s="102">
        <f t="shared" si="219"/>
        <v>44879.529980944571</v>
      </c>
      <c r="V178" s="102">
        <f t="shared" si="219"/>
        <v>38520.783173933771</v>
      </c>
      <c r="W178" s="102">
        <f t="shared" si="221"/>
        <v>38963.241577201145</v>
      </c>
      <c r="X178" s="102">
        <f t="shared" si="221"/>
        <v>38280.208124124423</v>
      </c>
      <c r="Y178" s="102">
        <f t="shared" si="221"/>
        <v>38573.330909950084</v>
      </c>
      <c r="DA178" s="175" t="s">
        <v>588</v>
      </c>
    </row>
    <row r="179" spans="1:105" ht="11.45" customHeight="1" x14ac:dyDescent="0.25">
      <c r="A179" s="111" t="s">
        <v>111</v>
      </c>
      <c r="B179" s="102">
        <f t="shared" si="219"/>
        <v>53426.61983184659</v>
      </c>
      <c r="C179" s="102">
        <f t="shared" si="219"/>
        <v>52394.28076685845</v>
      </c>
      <c r="D179" s="102">
        <f t="shared" si="219"/>
        <v>52513.067342694434</v>
      </c>
      <c r="E179" s="102">
        <f t="shared" si="219"/>
        <v>51472.204490362426</v>
      </c>
      <c r="F179" s="102">
        <f t="shared" si="219"/>
        <v>51058.900850619488</v>
      </c>
      <c r="G179" s="102">
        <f t="shared" si="219"/>
        <v>52157.836763366227</v>
      </c>
      <c r="H179" s="102">
        <f t="shared" si="219"/>
        <v>53140.159436869653</v>
      </c>
      <c r="I179" s="102">
        <f t="shared" si="219"/>
        <v>54178.954799915846</v>
      </c>
      <c r="J179" s="102">
        <f t="shared" si="219"/>
        <v>55289.585185259755</v>
      </c>
      <c r="K179" s="102">
        <f t="shared" si="219"/>
        <v>56516.483172198481</v>
      </c>
      <c r="L179" s="102">
        <f t="shared" si="219"/>
        <v>57776.953010129575</v>
      </c>
      <c r="M179" s="102">
        <f t="shared" si="222"/>
        <v>58945.28342166877</v>
      </c>
      <c r="N179" s="102">
        <f t="shared" si="219"/>
        <v>60194.534794324034</v>
      </c>
      <c r="O179" s="102">
        <f t="shared" si="219"/>
        <v>61777.625235250664</v>
      </c>
      <c r="P179" s="102">
        <f t="shared" si="219"/>
        <v>63079.873832481033</v>
      </c>
      <c r="Q179" s="102">
        <f t="shared" si="219"/>
        <v>64324.142328225251</v>
      </c>
      <c r="R179" s="102">
        <f t="shared" si="219"/>
        <v>64397.088309725463</v>
      </c>
      <c r="S179" s="102">
        <f t="shared" si="219"/>
        <v>66328.585483019066</v>
      </c>
      <c r="T179" s="102">
        <f t="shared" si="219"/>
        <v>63714.805601134278</v>
      </c>
      <c r="U179" s="102">
        <f t="shared" si="219"/>
        <v>57052.215875500769</v>
      </c>
      <c r="V179" s="102">
        <f t="shared" si="219"/>
        <v>46769.285391763522</v>
      </c>
      <c r="W179" s="102">
        <f t="shared" si="221"/>
        <v>47197.76402257818</v>
      </c>
      <c r="X179" s="102">
        <f t="shared" si="221"/>
        <v>45252.481019566228</v>
      </c>
      <c r="Y179" s="102">
        <f t="shared" si="221"/>
        <v>44089.401529093528</v>
      </c>
      <c r="DA179" s="175" t="s">
        <v>589</v>
      </c>
    </row>
    <row r="180" spans="1:105" ht="11.45" customHeight="1" x14ac:dyDescent="0.25">
      <c r="A180" s="111" t="s">
        <v>112</v>
      </c>
      <c r="B180" s="102">
        <f t="shared" si="219"/>
        <v>29317.574385531461</v>
      </c>
      <c r="C180" s="102">
        <f t="shared" si="219"/>
        <v>28736.053061625094</v>
      </c>
      <c r="D180" s="102">
        <f t="shared" si="219"/>
        <v>28829.157463657393</v>
      </c>
      <c r="E180" s="102">
        <f t="shared" si="219"/>
        <v>28243.221118092195</v>
      </c>
      <c r="F180" s="102">
        <f t="shared" ref="B180:V192" si="223">IF(F43=0,0,F43*1000000/F70)</f>
        <v>27860.580974803477</v>
      </c>
      <c r="G180" s="102">
        <f t="shared" si="223"/>
        <v>28022.603879397044</v>
      </c>
      <c r="H180" s="102">
        <f t="shared" si="223"/>
        <v>28168.962288106864</v>
      </c>
      <c r="I180" s="102">
        <f t="shared" si="223"/>
        <v>28327.237814853463</v>
      </c>
      <c r="J180" s="102">
        <f t="shared" si="223"/>
        <v>28508.232287433089</v>
      </c>
      <c r="K180" s="102">
        <f t="shared" si="223"/>
        <v>28721.49221410061</v>
      </c>
      <c r="L180" s="102">
        <f t="shared" si="223"/>
        <v>28943.647406840108</v>
      </c>
      <c r="M180" s="102">
        <f t="shared" si="222"/>
        <v>29079.653313273888</v>
      </c>
      <c r="N180" s="102">
        <f t="shared" si="223"/>
        <v>29224.003996432268</v>
      </c>
      <c r="O180" s="102">
        <f t="shared" si="223"/>
        <v>29334.341867731699</v>
      </c>
      <c r="P180" s="102">
        <f t="shared" si="223"/>
        <v>29438.132493344416</v>
      </c>
      <c r="Q180" s="102">
        <f t="shared" si="223"/>
        <v>30473.848204593654</v>
      </c>
      <c r="R180" s="102">
        <f t="shared" si="223"/>
        <v>30913.752587382864</v>
      </c>
      <c r="S180" s="102">
        <f t="shared" si="223"/>
        <v>32349.752436868923</v>
      </c>
      <c r="T180" s="102">
        <f t="shared" si="223"/>
        <v>31333.337484303578</v>
      </c>
      <c r="U180" s="102">
        <f t="shared" si="223"/>
        <v>28389.241005798503</v>
      </c>
      <c r="V180" s="102">
        <f t="shared" si="223"/>
        <v>24247.471665726698</v>
      </c>
      <c r="W180" s="102">
        <f t="shared" si="221"/>
        <v>24405.758184125207</v>
      </c>
      <c r="X180" s="102">
        <f t="shared" si="221"/>
        <v>23155.148563356328</v>
      </c>
      <c r="Y180" s="102">
        <f t="shared" si="221"/>
        <v>23218.079553986168</v>
      </c>
      <c r="DA180" s="175" t="s">
        <v>590</v>
      </c>
    </row>
    <row r="181" spans="1:105" ht="11.45" customHeight="1" x14ac:dyDescent="0.25">
      <c r="A181" s="111" t="s">
        <v>113</v>
      </c>
      <c r="B181" s="102">
        <f t="shared" si="223"/>
        <v>49386.133515922738</v>
      </c>
      <c r="C181" s="102">
        <f t="shared" si="223"/>
        <v>47927.274622253812</v>
      </c>
      <c r="D181" s="102">
        <f t="shared" si="223"/>
        <v>48388.692435594938</v>
      </c>
      <c r="E181" s="102">
        <f t="shared" si="223"/>
        <v>46935.860977261524</v>
      </c>
      <c r="F181" s="102">
        <f t="shared" si="223"/>
        <v>46116.946577712319</v>
      </c>
      <c r="G181" s="102">
        <f t="shared" si="223"/>
        <v>46614.76857909032</v>
      </c>
      <c r="H181" s="102">
        <f t="shared" si="223"/>
        <v>47090.202884242448</v>
      </c>
      <c r="I181" s="102">
        <f t="shared" si="223"/>
        <v>48550.621021385072</v>
      </c>
      <c r="J181" s="102">
        <f t="shared" si="223"/>
        <v>50094.69044861634</v>
      </c>
      <c r="K181" s="102">
        <f t="shared" si="223"/>
        <v>51743.911556537751</v>
      </c>
      <c r="L181" s="102">
        <f t="shared" si="223"/>
        <v>53460.911944688036</v>
      </c>
      <c r="M181" s="102">
        <f t="shared" si="222"/>
        <v>55068.491002687049</v>
      </c>
      <c r="N181" s="102">
        <f t="shared" si="223"/>
        <v>55615.819188992413</v>
      </c>
      <c r="O181" s="102">
        <f t="shared" si="223"/>
        <v>56102.167101684274</v>
      </c>
      <c r="P181" s="102">
        <f t="shared" si="223"/>
        <v>56579.383692071482</v>
      </c>
      <c r="Q181" s="102">
        <f t="shared" si="223"/>
        <v>58274.196313148197</v>
      </c>
      <c r="R181" s="102">
        <f t="shared" si="223"/>
        <v>58824.202917587405</v>
      </c>
      <c r="S181" s="102">
        <f t="shared" si="223"/>
        <v>61253.458837456092</v>
      </c>
      <c r="T181" s="102">
        <f t="shared" si="223"/>
        <v>57867.59916945536</v>
      </c>
      <c r="U181" s="102">
        <f t="shared" si="223"/>
        <v>52172.052351786813</v>
      </c>
      <c r="V181" s="102">
        <f t="shared" si="223"/>
        <v>44028.523926092923</v>
      </c>
      <c r="W181" s="102">
        <f t="shared" si="221"/>
        <v>43224.414732354984</v>
      </c>
      <c r="X181" s="102">
        <f t="shared" si="221"/>
        <v>41217.66199722077</v>
      </c>
      <c r="Y181" s="102">
        <f t="shared" si="221"/>
        <v>41126.088731917844</v>
      </c>
      <c r="DA181" s="175" t="s">
        <v>591</v>
      </c>
    </row>
    <row r="182" spans="1:105" ht="11.45" customHeight="1" x14ac:dyDescent="0.25">
      <c r="A182" s="111" t="s">
        <v>115</v>
      </c>
      <c r="B182" s="102">
        <f t="shared" si="223"/>
        <v>54704.359906748461</v>
      </c>
      <c r="C182" s="102">
        <f t="shared" si="223"/>
        <v>54756.574347664129</v>
      </c>
      <c r="D182" s="102">
        <f t="shared" si="223"/>
        <v>54765.009460889712</v>
      </c>
      <c r="E182" s="102">
        <f t="shared" si="223"/>
        <v>54818.584924329291</v>
      </c>
      <c r="F182" s="102">
        <f t="shared" si="223"/>
        <v>54838.561301228176</v>
      </c>
      <c r="G182" s="102">
        <f t="shared" si="223"/>
        <v>54892.609795100987</v>
      </c>
      <c r="H182" s="102">
        <f t="shared" si="223"/>
        <v>54945.169496818402</v>
      </c>
      <c r="I182" s="102">
        <f t="shared" si="223"/>
        <v>54998.81083989235</v>
      </c>
      <c r="J182" s="102">
        <f t="shared" si="223"/>
        <v>55054.51275666272</v>
      </c>
      <c r="K182" s="102">
        <f t="shared" si="223"/>
        <v>55113.115148321471</v>
      </c>
      <c r="L182" s="102">
        <f t="shared" si="223"/>
        <v>55172.44262562193</v>
      </c>
      <c r="M182" s="102">
        <f t="shared" si="222"/>
        <v>55223.899399346214</v>
      </c>
      <c r="N182" s="102">
        <f t="shared" si="223"/>
        <v>55276.09829987197</v>
      </c>
      <c r="O182" s="102">
        <f t="shared" si="223"/>
        <v>55325.229232101468</v>
      </c>
      <c r="P182" s="102">
        <f t="shared" si="223"/>
        <v>55373.780135402609</v>
      </c>
      <c r="Q182" s="102">
        <f t="shared" si="223"/>
        <v>55425.128526180924</v>
      </c>
      <c r="R182" s="102">
        <f t="shared" si="223"/>
        <v>55423.660202168867</v>
      </c>
      <c r="S182" s="102">
        <f t="shared" si="223"/>
        <v>55343.178604846442</v>
      </c>
      <c r="T182" s="102">
        <f t="shared" si="223"/>
        <v>55219.947221085298</v>
      </c>
      <c r="U182" s="102">
        <f t="shared" si="223"/>
        <v>54922.14208644833</v>
      </c>
      <c r="V182" s="102">
        <f t="shared" si="223"/>
        <v>48552.248870961106</v>
      </c>
      <c r="W182" s="102">
        <f t="shared" si="221"/>
        <v>54450.88173403799</v>
      </c>
      <c r="X182" s="102">
        <f t="shared" si="221"/>
        <v>54359.468798272763</v>
      </c>
      <c r="Y182" s="102">
        <f t="shared" si="221"/>
        <v>54327.963671076548</v>
      </c>
      <c r="DA182" s="175" t="s">
        <v>592</v>
      </c>
    </row>
    <row r="183" spans="1:105" ht="11.45" customHeight="1" x14ac:dyDescent="0.25">
      <c r="A183" s="27" t="s">
        <v>34</v>
      </c>
      <c r="B183" s="28">
        <f t="shared" si="223"/>
        <v>26190.125214088977</v>
      </c>
      <c r="C183" s="28">
        <f t="shared" si="223"/>
        <v>26017.167653341941</v>
      </c>
      <c r="D183" s="28">
        <f t="shared" si="223"/>
        <v>25876.621665053164</v>
      </c>
      <c r="E183" s="28">
        <f t="shared" si="223"/>
        <v>26028.688639651675</v>
      </c>
      <c r="F183" s="28">
        <f t="shared" si="223"/>
        <v>26757.614970937015</v>
      </c>
      <c r="G183" s="28">
        <f t="shared" si="223"/>
        <v>26359.878867960775</v>
      </c>
      <c r="H183" s="28">
        <f t="shared" si="223"/>
        <v>27264.569304779357</v>
      </c>
      <c r="I183" s="28">
        <f t="shared" si="223"/>
        <v>27457.681231850656</v>
      </c>
      <c r="J183" s="28">
        <f t="shared" si="223"/>
        <v>27511.985640882365</v>
      </c>
      <c r="K183" s="28">
        <f t="shared" si="223"/>
        <v>25708.092662329993</v>
      </c>
      <c r="L183" s="28">
        <f t="shared" si="223"/>
        <v>25314.206167446293</v>
      </c>
      <c r="M183" s="28">
        <f t="shared" si="222"/>
        <v>26162.301269269748</v>
      </c>
      <c r="N183" s="28">
        <f t="shared" si="223"/>
        <v>25284.524175448274</v>
      </c>
      <c r="O183" s="28">
        <f t="shared" si="223"/>
        <v>25848.194226996453</v>
      </c>
      <c r="P183" s="28">
        <f t="shared" si="223"/>
        <v>25277.171389932428</v>
      </c>
      <c r="Q183" s="28">
        <f t="shared" si="223"/>
        <v>25890.729127313854</v>
      </c>
      <c r="R183" s="28">
        <f t="shared" si="223"/>
        <v>25877.153477552209</v>
      </c>
      <c r="S183" s="28">
        <f t="shared" si="223"/>
        <v>25201.307144468126</v>
      </c>
      <c r="T183" s="28">
        <f t="shared" si="223"/>
        <v>24831.867618517292</v>
      </c>
      <c r="U183" s="28">
        <f t="shared" si="223"/>
        <v>24256.743004588996</v>
      </c>
      <c r="V183" s="28">
        <f t="shared" si="223"/>
        <v>23374.248842279565</v>
      </c>
      <c r="W183" s="28">
        <f t="shared" si="221"/>
        <v>23694.293458919296</v>
      </c>
      <c r="X183" s="28">
        <f t="shared" si="221"/>
        <v>22934.696347550514</v>
      </c>
      <c r="Y183" s="28">
        <f t="shared" si="221"/>
        <v>22195.477537727922</v>
      </c>
      <c r="DA183" s="173" t="s">
        <v>593</v>
      </c>
    </row>
    <row r="184" spans="1:105" ht="11.45" customHeight="1" x14ac:dyDescent="0.25">
      <c r="A184" s="136" t="s">
        <v>153</v>
      </c>
      <c r="B184" s="137">
        <f t="shared" si="223"/>
        <v>22091.969497793973</v>
      </c>
      <c r="C184" s="137">
        <f t="shared" si="223"/>
        <v>22350.54084092252</v>
      </c>
      <c r="D184" s="137">
        <f t="shared" si="223"/>
        <v>22041.037991967165</v>
      </c>
      <c r="E184" s="137">
        <f t="shared" si="223"/>
        <v>22085.879155810042</v>
      </c>
      <c r="F184" s="137">
        <f t="shared" si="223"/>
        <v>22504.474070245251</v>
      </c>
      <c r="G184" s="137">
        <f t="shared" si="223"/>
        <v>22246.335825117814</v>
      </c>
      <c r="H184" s="137">
        <f t="shared" si="223"/>
        <v>23034.706882076396</v>
      </c>
      <c r="I184" s="137">
        <f t="shared" si="223"/>
        <v>23742.004538611727</v>
      </c>
      <c r="J184" s="137">
        <f t="shared" si="223"/>
        <v>23824.27335995427</v>
      </c>
      <c r="K184" s="137">
        <f t="shared" si="223"/>
        <v>22135.765808976601</v>
      </c>
      <c r="L184" s="137">
        <f t="shared" si="223"/>
        <v>22454.70863591427</v>
      </c>
      <c r="M184" s="137">
        <f t="shared" si="222"/>
        <v>23187.83265496766</v>
      </c>
      <c r="N184" s="137">
        <f t="shared" si="223"/>
        <v>22478.327080930776</v>
      </c>
      <c r="O184" s="137">
        <f t="shared" si="223"/>
        <v>22757.982292008575</v>
      </c>
      <c r="P184" s="137">
        <f t="shared" si="223"/>
        <v>21902.855960417794</v>
      </c>
      <c r="Q184" s="137">
        <f t="shared" si="223"/>
        <v>22547.569024602526</v>
      </c>
      <c r="R184" s="137">
        <f t="shared" si="223"/>
        <v>22499.619107536892</v>
      </c>
      <c r="S184" s="137">
        <f t="shared" si="223"/>
        <v>22141.336786583117</v>
      </c>
      <c r="T184" s="137">
        <f t="shared" si="223"/>
        <v>21773.749565202779</v>
      </c>
      <c r="U184" s="137">
        <f t="shared" si="223"/>
        <v>21160.49729520093</v>
      </c>
      <c r="V184" s="137">
        <f t="shared" si="223"/>
        <v>20059.414584933882</v>
      </c>
      <c r="W184" s="137">
        <f t="shared" si="221"/>
        <v>20362.174380225406</v>
      </c>
      <c r="X184" s="137">
        <f t="shared" si="221"/>
        <v>19892.411779945964</v>
      </c>
      <c r="Y184" s="137">
        <f t="shared" si="221"/>
        <v>19449.052687875635</v>
      </c>
      <c r="DA184" s="174" t="s">
        <v>594</v>
      </c>
    </row>
    <row r="185" spans="1:105" ht="11.45" customHeight="1" x14ac:dyDescent="0.25">
      <c r="A185" s="111" t="s">
        <v>110</v>
      </c>
      <c r="B185" s="84">
        <f t="shared" si="223"/>
        <v>8361.2903411044063</v>
      </c>
      <c r="C185" s="84">
        <f t="shared" si="223"/>
        <v>8294.0780038166013</v>
      </c>
      <c r="D185" s="84">
        <f t="shared" si="223"/>
        <v>8026.2295378448553</v>
      </c>
      <c r="E185" s="84">
        <f t="shared" si="223"/>
        <v>7913.0340448859106</v>
      </c>
      <c r="F185" s="84">
        <f t="shared" si="223"/>
        <v>8030.6876291045219</v>
      </c>
      <c r="G185" s="84">
        <f t="shared" si="223"/>
        <v>7944.6629476761991</v>
      </c>
      <c r="H185" s="84">
        <f t="shared" si="223"/>
        <v>8003.1604185393271</v>
      </c>
      <c r="I185" s="84">
        <f t="shared" si="223"/>
        <v>8377.7314837341346</v>
      </c>
      <c r="J185" s="84">
        <f t="shared" si="223"/>
        <v>8474.1148046842427</v>
      </c>
      <c r="K185" s="84">
        <f t="shared" si="223"/>
        <v>8193.8293227614013</v>
      </c>
      <c r="L185" s="84">
        <f t="shared" si="223"/>
        <v>8254.5865701432431</v>
      </c>
      <c r="M185" s="84">
        <f t="shared" si="222"/>
        <v>8332.2825970176491</v>
      </c>
      <c r="N185" s="84">
        <f t="shared" si="223"/>
        <v>8323.1038813797622</v>
      </c>
      <c r="O185" s="84">
        <f t="shared" si="223"/>
        <v>8409.3398819042559</v>
      </c>
      <c r="P185" s="84">
        <f t="shared" si="223"/>
        <v>8672.2298106944672</v>
      </c>
      <c r="Q185" s="84">
        <f t="shared" si="223"/>
        <v>8854.0829707641478</v>
      </c>
      <c r="R185" s="84">
        <f t="shared" si="223"/>
        <v>8828.0956023495619</v>
      </c>
      <c r="S185" s="84">
        <f t="shared" si="223"/>
        <v>8691.4347045134964</v>
      </c>
      <c r="T185" s="84">
        <f t="shared" si="223"/>
        <v>8554.4429844839924</v>
      </c>
      <c r="U185" s="84">
        <f t="shared" si="223"/>
        <v>8348.1662554175782</v>
      </c>
      <c r="V185" s="84">
        <f t="shared" si="223"/>
        <v>7928.7955229776589</v>
      </c>
      <c r="W185" s="84">
        <f t="shared" si="221"/>
        <v>8050.236843113682</v>
      </c>
      <c r="X185" s="84">
        <f t="shared" si="221"/>
        <v>7890.226627162474</v>
      </c>
      <c r="Y185" s="84">
        <f t="shared" si="221"/>
        <v>7744.3338827926846</v>
      </c>
      <c r="DA185" s="171" t="s">
        <v>595</v>
      </c>
    </row>
    <row r="186" spans="1:105" ht="11.45" customHeight="1" x14ac:dyDescent="0.25">
      <c r="A186" s="111" t="s">
        <v>111</v>
      </c>
      <c r="B186" s="84">
        <f t="shared" si="223"/>
        <v>24241.317974210699</v>
      </c>
      <c r="C186" s="84">
        <f t="shared" si="223"/>
        <v>24219.581628190961</v>
      </c>
      <c r="D186" s="84">
        <f t="shared" si="223"/>
        <v>23666.670736971148</v>
      </c>
      <c r="E186" s="84">
        <f t="shared" si="223"/>
        <v>23526.866604281116</v>
      </c>
      <c r="F186" s="84">
        <f t="shared" si="223"/>
        <v>23801.442868119011</v>
      </c>
      <c r="G186" s="84">
        <f t="shared" si="223"/>
        <v>23394.155654616588</v>
      </c>
      <c r="H186" s="84">
        <f t="shared" si="223"/>
        <v>24147.053732303226</v>
      </c>
      <c r="I186" s="84">
        <f t="shared" si="223"/>
        <v>24790.390578676877</v>
      </c>
      <c r="J186" s="84">
        <f t="shared" si="223"/>
        <v>24804.472790538886</v>
      </c>
      <c r="K186" s="84">
        <f t="shared" si="223"/>
        <v>22984.940613769882</v>
      </c>
      <c r="L186" s="84">
        <f t="shared" si="223"/>
        <v>23289.783700980948</v>
      </c>
      <c r="M186" s="84">
        <f t="shared" si="222"/>
        <v>24044.177619715592</v>
      </c>
      <c r="N186" s="84">
        <f t="shared" si="223"/>
        <v>23282.553427573512</v>
      </c>
      <c r="O186" s="84">
        <f t="shared" si="223"/>
        <v>23558.132043395482</v>
      </c>
      <c r="P186" s="84">
        <f t="shared" si="223"/>
        <v>22639.332130153314</v>
      </c>
      <c r="Q186" s="84">
        <f t="shared" si="223"/>
        <v>23302.866001529244</v>
      </c>
      <c r="R186" s="84">
        <f t="shared" si="223"/>
        <v>23234.470418847544</v>
      </c>
      <c r="S186" s="84">
        <f t="shared" si="223"/>
        <v>22874.795611141551</v>
      </c>
      <c r="T186" s="84">
        <f t="shared" si="223"/>
        <v>22514.250119789438</v>
      </c>
      <c r="U186" s="84">
        <f t="shared" si="223"/>
        <v>21971.354938827117</v>
      </c>
      <c r="V186" s="84">
        <f t="shared" si="223"/>
        <v>20867.622342771811</v>
      </c>
      <c r="W186" s="84">
        <f t="shared" si="221"/>
        <v>21187.241079068146</v>
      </c>
      <c r="X186" s="84">
        <f t="shared" si="221"/>
        <v>20766.113715173007</v>
      </c>
      <c r="Y186" s="84">
        <f t="shared" si="221"/>
        <v>20382.141813862585</v>
      </c>
      <c r="DA186" s="171" t="s">
        <v>596</v>
      </c>
    </row>
    <row r="187" spans="1:105" ht="11.45" customHeight="1" x14ac:dyDescent="0.25">
      <c r="A187" s="111" t="s">
        <v>112</v>
      </c>
      <c r="B187" s="84">
        <f t="shared" si="223"/>
        <v>8756.5814563005515</v>
      </c>
      <c r="C187" s="84">
        <f t="shared" si="223"/>
        <v>8686.1915664248609</v>
      </c>
      <c r="D187" s="84">
        <f t="shared" si="223"/>
        <v>8405.6802081843161</v>
      </c>
      <c r="E187" s="84">
        <f t="shared" si="223"/>
        <v>8287.1332478296081</v>
      </c>
      <c r="F187" s="84">
        <f t="shared" si="223"/>
        <v>8410.3490616342406</v>
      </c>
      <c r="G187" s="84">
        <f t="shared" si="223"/>
        <v>8320.2574490423121</v>
      </c>
      <c r="H187" s="84">
        <f t="shared" si="223"/>
        <v>8381.5204655987836</v>
      </c>
      <c r="I187" s="84">
        <f t="shared" si="223"/>
        <v>8773.7998758026351</v>
      </c>
      <c r="J187" s="84">
        <f t="shared" si="223"/>
        <v>8874.7398463690552</v>
      </c>
      <c r="K187" s="84">
        <f t="shared" si="223"/>
        <v>8581.2034957163123</v>
      </c>
      <c r="L187" s="84">
        <f t="shared" si="223"/>
        <v>8644.8331227302515</v>
      </c>
      <c r="M187" s="84">
        <f t="shared" si="222"/>
        <v>8726.2023325532828</v>
      </c>
      <c r="N187" s="84">
        <f t="shared" si="223"/>
        <v>8716.5896809327241</v>
      </c>
      <c r="O187" s="84">
        <f t="shared" si="223"/>
        <v>8806.9026030119931</v>
      </c>
      <c r="P187" s="84">
        <f t="shared" si="223"/>
        <v>9082.2210026345638</v>
      </c>
      <c r="Q187" s="84">
        <f t="shared" si="223"/>
        <v>9272.6715125764877</v>
      </c>
      <c r="R187" s="84">
        <f t="shared" si="223"/>
        <v>9245.4555567761581</v>
      </c>
      <c r="S187" s="84">
        <f t="shared" si="223"/>
        <v>9102.3338333371648</v>
      </c>
      <c r="T187" s="84">
        <f t="shared" si="223"/>
        <v>8958.8656476457909</v>
      </c>
      <c r="U187" s="84">
        <f t="shared" si="223"/>
        <v>8742.836912017563</v>
      </c>
      <c r="V187" s="84">
        <f t="shared" si="223"/>
        <v>8303.6398707492262</v>
      </c>
      <c r="W187" s="84">
        <f t="shared" si="221"/>
        <v>8430.8224907216463</v>
      </c>
      <c r="X187" s="84">
        <f t="shared" si="221"/>
        <v>8430.1818736439272</v>
      </c>
      <c r="Y187" s="84">
        <f t="shared" si="221"/>
        <v>8441.4628694111689</v>
      </c>
      <c r="DA187" s="171" t="s">
        <v>597</v>
      </c>
    </row>
    <row r="188" spans="1:105" ht="11.45" customHeight="1" x14ac:dyDescent="0.25">
      <c r="A188" s="111" t="s">
        <v>113</v>
      </c>
      <c r="B188" s="84">
        <f t="shared" si="223"/>
        <v>0</v>
      </c>
      <c r="C188" s="84">
        <f t="shared" si="223"/>
        <v>0</v>
      </c>
      <c r="D188" s="84">
        <f t="shared" si="223"/>
        <v>0</v>
      </c>
      <c r="E188" s="84">
        <f t="shared" si="223"/>
        <v>14957.132015076171</v>
      </c>
      <c r="F188" s="84">
        <f t="shared" si="223"/>
        <v>14878.935011416288</v>
      </c>
      <c r="G188" s="84">
        <f t="shared" si="223"/>
        <v>14428.075665859806</v>
      </c>
      <c r="H188" s="84">
        <f t="shared" si="223"/>
        <v>14246.503109746036</v>
      </c>
      <c r="I188" s="84">
        <f t="shared" si="223"/>
        <v>14617.968189681755</v>
      </c>
      <c r="J188" s="84">
        <f t="shared" si="223"/>
        <v>14786.143586852228</v>
      </c>
      <c r="K188" s="84">
        <f t="shared" si="223"/>
        <v>14013.974085556587</v>
      </c>
      <c r="L188" s="84">
        <f t="shared" si="223"/>
        <v>14067.833774406026</v>
      </c>
      <c r="M188" s="84">
        <f t="shared" si="222"/>
        <v>13919.053795035594</v>
      </c>
      <c r="N188" s="84">
        <f t="shared" si="223"/>
        <v>13628.399573801453</v>
      </c>
      <c r="O188" s="84">
        <f t="shared" si="223"/>
        <v>13496.938523032115</v>
      </c>
      <c r="P188" s="84">
        <f t="shared" si="223"/>
        <v>13643.253941774181</v>
      </c>
      <c r="Q188" s="84">
        <f t="shared" si="223"/>
        <v>13653.518809354671</v>
      </c>
      <c r="R188" s="84">
        <f t="shared" si="223"/>
        <v>13888.463838514195</v>
      </c>
      <c r="S188" s="84">
        <f t="shared" si="223"/>
        <v>13949.698969380053</v>
      </c>
      <c r="T188" s="84">
        <f t="shared" si="223"/>
        <v>14007.198370390133</v>
      </c>
      <c r="U188" s="84">
        <f t="shared" si="223"/>
        <v>13945.587400101942</v>
      </c>
      <c r="V188" s="84">
        <f t="shared" si="223"/>
        <v>13512.60617363283</v>
      </c>
      <c r="W188" s="84">
        <f t="shared" si="221"/>
        <v>13719.571875730777</v>
      </c>
      <c r="X188" s="84">
        <f t="shared" si="221"/>
        <v>13446.875345010481</v>
      </c>
      <c r="Y188" s="84">
        <f t="shared" si="221"/>
        <v>13464.869517155683</v>
      </c>
      <c r="DA188" s="171" t="s">
        <v>598</v>
      </c>
    </row>
    <row r="189" spans="1:105" ht="11.45" customHeight="1" x14ac:dyDescent="0.25">
      <c r="A189" s="111" t="s">
        <v>115</v>
      </c>
      <c r="B189" s="84">
        <f t="shared" si="223"/>
        <v>0</v>
      </c>
      <c r="C189" s="84">
        <f t="shared" si="223"/>
        <v>0</v>
      </c>
      <c r="D189" s="84">
        <f t="shared" si="223"/>
        <v>0</v>
      </c>
      <c r="E189" s="84">
        <f t="shared" si="223"/>
        <v>0</v>
      </c>
      <c r="F189" s="84">
        <f t="shared" si="223"/>
        <v>0</v>
      </c>
      <c r="G189" s="84">
        <f t="shared" si="223"/>
        <v>0</v>
      </c>
      <c r="H189" s="84">
        <f t="shared" si="223"/>
        <v>0</v>
      </c>
      <c r="I189" s="84">
        <f t="shared" si="223"/>
        <v>0</v>
      </c>
      <c r="J189" s="84">
        <f t="shared" si="223"/>
        <v>0</v>
      </c>
      <c r="K189" s="84">
        <f t="shared" si="223"/>
        <v>0</v>
      </c>
      <c r="L189" s="84">
        <f t="shared" si="223"/>
        <v>0</v>
      </c>
      <c r="M189" s="84">
        <f t="shared" si="222"/>
        <v>13347.017281383964</v>
      </c>
      <c r="N189" s="84">
        <f t="shared" si="223"/>
        <v>13354.107401116868</v>
      </c>
      <c r="O189" s="84">
        <f t="shared" si="223"/>
        <v>13354.271082191941</v>
      </c>
      <c r="P189" s="84">
        <f t="shared" si="223"/>
        <v>13367.461838265725</v>
      </c>
      <c r="Q189" s="84">
        <f t="shared" si="223"/>
        <v>13374.276158083248</v>
      </c>
      <c r="R189" s="84">
        <f t="shared" si="223"/>
        <v>13369.748172973712</v>
      </c>
      <c r="S189" s="84">
        <f t="shared" si="223"/>
        <v>13366.214596685653</v>
      </c>
      <c r="T189" s="84">
        <f t="shared" si="223"/>
        <v>13362.500009971893</v>
      </c>
      <c r="U189" s="84">
        <f t="shared" si="223"/>
        <v>13353.366647567867</v>
      </c>
      <c r="V189" s="84">
        <f t="shared" si="223"/>
        <v>12963.432543439661</v>
      </c>
      <c r="W189" s="84">
        <f t="shared" si="221"/>
        <v>13343.044213600759</v>
      </c>
      <c r="X189" s="84">
        <f t="shared" si="221"/>
        <v>13327.713376415441</v>
      </c>
      <c r="Y189" s="84">
        <f t="shared" si="221"/>
        <v>13322.248194089108</v>
      </c>
      <c r="DA189" s="171" t="s">
        <v>599</v>
      </c>
    </row>
    <row r="190" spans="1:105" ht="11.45" customHeight="1" x14ac:dyDescent="0.25">
      <c r="A190" s="109" t="s">
        <v>154</v>
      </c>
      <c r="B190" s="110">
        <f t="shared" si="223"/>
        <v>51293.690994623103</v>
      </c>
      <c r="C190" s="110">
        <f t="shared" si="223"/>
        <v>49613.258846222634</v>
      </c>
      <c r="D190" s="110">
        <f t="shared" si="223"/>
        <v>51840.217110544509</v>
      </c>
      <c r="E190" s="110">
        <f t="shared" si="223"/>
        <v>54410.763075819108</v>
      </c>
      <c r="F190" s="110">
        <f t="shared" si="223"/>
        <v>63234.818195695203</v>
      </c>
      <c r="G190" s="110">
        <f t="shared" si="223"/>
        <v>61941.542317276369</v>
      </c>
      <c r="H190" s="110">
        <f t="shared" si="223"/>
        <v>62915.481945489417</v>
      </c>
      <c r="I190" s="110">
        <f t="shared" si="223"/>
        <v>55856.232177590253</v>
      </c>
      <c r="J190" s="110">
        <f t="shared" si="223"/>
        <v>56154.801016320496</v>
      </c>
      <c r="K190" s="110">
        <f t="shared" si="223"/>
        <v>52746.729995951064</v>
      </c>
      <c r="L190" s="110">
        <f t="shared" si="223"/>
        <v>46806.632493607889</v>
      </c>
      <c r="M190" s="110">
        <f t="shared" si="222"/>
        <v>48663.694290444037</v>
      </c>
      <c r="N190" s="110">
        <f t="shared" si="223"/>
        <v>46048.706224497764</v>
      </c>
      <c r="O190" s="110">
        <f t="shared" si="223"/>
        <v>48288.575259753416</v>
      </c>
      <c r="P190" s="110">
        <f t="shared" si="223"/>
        <v>50160.32410992615</v>
      </c>
      <c r="Q190" s="110">
        <f t="shared" si="223"/>
        <v>50678.529488596621</v>
      </c>
      <c r="R190" s="110">
        <f t="shared" si="223"/>
        <v>50536.301006108355</v>
      </c>
      <c r="S190" s="110">
        <f t="shared" si="223"/>
        <v>47990.680763988756</v>
      </c>
      <c r="T190" s="110">
        <f t="shared" si="223"/>
        <v>47692.122196231248</v>
      </c>
      <c r="U190" s="110">
        <f t="shared" si="223"/>
        <v>47151.820519986308</v>
      </c>
      <c r="V190" s="110">
        <f t="shared" si="223"/>
        <v>48314.592444955917</v>
      </c>
      <c r="W190" s="110">
        <f t="shared" si="221"/>
        <v>49321.925919553607</v>
      </c>
      <c r="X190" s="110">
        <f t="shared" si="221"/>
        <v>45366.819933574887</v>
      </c>
      <c r="Y190" s="110">
        <f t="shared" si="221"/>
        <v>42480.156182522362</v>
      </c>
      <c r="DA190" s="176" t="s">
        <v>600</v>
      </c>
    </row>
    <row r="191" spans="1:105" ht="11.45" customHeight="1" x14ac:dyDescent="0.25">
      <c r="A191" s="128" t="s">
        <v>27</v>
      </c>
      <c r="B191" s="102">
        <f t="shared" si="223"/>
        <v>47799.865981684161</v>
      </c>
      <c r="C191" s="102">
        <f t="shared" si="223"/>
        <v>45793.316855035002</v>
      </c>
      <c r="D191" s="102">
        <f t="shared" si="223"/>
        <v>48066.925040173926</v>
      </c>
      <c r="E191" s="102">
        <f t="shared" si="223"/>
        <v>50784.260829351013</v>
      </c>
      <c r="F191" s="102">
        <f t="shared" si="223"/>
        <v>59574.861581496421</v>
      </c>
      <c r="G191" s="102">
        <f t="shared" si="223"/>
        <v>58006.165563514369</v>
      </c>
      <c r="H191" s="102">
        <f t="shared" si="223"/>
        <v>58847.34157597067</v>
      </c>
      <c r="I191" s="102">
        <f t="shared" si="223"/>
        <v>50923.782669079585</v>
      </c>
      <c r="J191" s="102">
        <f t="shared" si="223"/>
        <v>51166.377889532181</v>
      </c>
      <c r="K191" s="102">
        <f t="shared" si="223"/>
        <v>47902.466167206534</v>
      </c>
      <c r="L191" s="102">
        <f t="shared" si="223"/>
        <v>40764.394770980944</v>
      </c>
      <c r="M191" s="102">
        <f t="shared" si="222"/>
        <v>42867.618601429938</v>
      </c>
      <c r="N191" s="102">
        <f t="shared" si="223"/>
        <v>40059.883849446378</v>
      </c>
      <c r="O191" s="102">
        <f t="shared" si="223"/>
        <v>42365.428982298596</v>
      </c>
      <c r="P191" s="102">
        <f t="shared" si="223"/>
        <v>44240.011856619596</v>
      </c>
      <c r="Q191" s="102">
        <f t="shared" si="223"/>
        <v>44768.289740119399</v>
      </c>
      <c r="R191" s="102">
        <f t="shared" si="223"/>
        <v>44450.265472460378</v>
      </c>
      <c r="S191" s="102">
        <f t="shared" si="223"/>
        <v>41495.708707458725</v>
      </c>
      <c r="T191" s="102">
        <f t="shared" si="223"/>
        <v>41442.764912823288</v>
      </c>
      <c r="U191" s="102">
        <f t="shared" si="223"/>
        <v>40756.20851666791</v>
      </c>
      <c r="V191" s="102">
        <f t="shared" si="223"/>
        <v>41930.993245073951</v>
      </c>
      <c r="W191" s="102">
        <f t="shared" si="221"/>
        <v>43198.121579647981</v>
      </c>
      <c r="X191" s="102">
        <f t="shared" si="221"/>
        <v>39173.126614987079</v>
      </c>
      <c r="Y191" s="102">
        <f t="shared" si="221"/>
        <v>36203.934514585999</v>
      </c>
      <c r="DA191" s="175" t="s">
        <v>601</v>
      </c>
    </row>
    <row r="192" spans="1:105" ht="11.45" customHeight="1" x14ac:dyDescent="0.25">
      <c r="A192" s="138" t="s">
        <v>116</v>
      </c>
      <c r="B192" s="86">
        <f t="shared" si="223"/>
        <v>85001.425971418343</v>
      </c>
      <c r="C192" s="86">
        <f t="shared" si="223"/>
        <v>84997.879241390605</v>
      </c>
      <c r="D192" s="86">
        <f t="shared" si="223"/>
        <v>84999.925378072672</v>
      </c>
      <c r="E192" s="86">
        <f t="shared" si="223"/>
        <v>85002.596720602611</v>
      </c>
      <c r="F192" s="86">
        <f t="shared" si="223"/>
        <v>84999.584937802618</v>
      </c>
      <c r="G192" s="86">
        <f t="shared" si="223"/>
        <v>84999.259412563508</v>
      </c>
      <c r="H192" s="86">
        <f t="shared" si="223"/>
        <v>84998.322508583355</v>
      </c>
      <c r="I192" s="86">
        <f t="shared" si="223"/>
        <v>85001.381763346435</v>
      </c>
      <c r="J192" s="86">
        <f t="shared" si="223"/>
        <v>85001.589004881593</v>
      </c>
      <c r="K192" s="86">
        <f t="shared" si="223"/>
        <v>84997.59989424485</v>
      </c>
      <c r="L192" s="86">
        <f t="shared" si="223"/>
        <v>84998.422715914334</v>
      </c>
      <c r="M192" s="86">
        <f t="shared" si="222"/>
        <v>84997.314133484208</v>
      </c>
      <c r="N192" s="86">
        <f t="shared" si="223"/>
        <v>84998.162912687258</v>
      </c>
      <c r="O192" s="86">
        <f t="shared" si="223"/>
        <v>84998.333917903336</v>
      </c>
      <c r="P192" s="86">
        <f t="shared" si="223"/>
        <v>85002.049614370975</v>
      </c>
      <c r="Q192" s="86">
        <f t="shared" si="223"/>
        <v>85002.358464139528</v>
      </c>
      <c r="R192" s="86">
        <f t="shared" si="223"/>
        <v>85002.075466272508</v>
      </c>
      <c r="S192" s="86">
        <f t="shared" si="223"/>
        <v>85001.787696162064</v>
      </c>
      <c r="T192" s="86">
        <f t="shared" si="223"/>
        <v>85001.481113757967</v>
      </c>
      <c r="U192" s="86">
        <f t="shared" si="223"/>
        <v>85001.875182899836</v>
      </c>
      <c r="V192" s="86">
        <f t="shared" ref="V192:W192" si="224">IF(V55=0,0,V55*1000000/V82)</f>
        <v>84999.466171719221</v>
      </c>
      <c r="W192" s="86">
        <f t="shared" si="224"/>
        <v>85000.746314535616</v>
      </c>
      <c r="X192" s="86">
        <f t="shared" ref="X192:Y192" si="225">IF(X55=0,0,X55*1000000/X82)</f>
        <v>84999.083728109981</v>
      </c>
      <c r="Y192" s="86">
        <f t="shared" si="225"/>
        <v>85001.047706310506</v>
      </c>
      <c r="DA192" s="178" t="s">
        <v>602</v>
      </c>
    </row>
    <row r="193" spans="1:105" ht="11.45" customHeight="1" x14ac:dyDescent="0.25">
      <c r="A193" s="106"/>
      <c r="B193" s="106"/>
      <c r="C193" s="106"/>
      <c r="D193" s="106"/>
      <c r="E193" s="106"/>
      <c r="F193" s="106"/>
      <c r="G193" s="106"/>
      <c r="H193" s="106"/>
      <c r="I193" s="106"/>
      <c r="J193" s="106"/>
      <c r="K193" s="106"/>
      <c r="L193" s="106"/>
      <c r="M193" s="106"/>
      <c r="N193" s="106"/>
      <c r="O193" s="106"/>
      <c r="P193" s="106"/>
      <c r="Q193" s="106"/>
      <c r="R193" s="106"/>
      <c r="S193" s="106"/>
      <c r="T193" s="106"/>
      <c r="U193" s="106"/>
      <c r="V193" s="106"/>
      <c r="W193" s="106"/>
      <c r="X193" s="106"/>
      <c r="Y193" s="106"/>
      <c r="DA193" s="171"/>
    </row>
    <row r="194" spans="1:105" ht="11.45" customHeight="1" x14ac:dyDescent="0.25">
      <c r="A194" s="53" t="s">
        <v>137</v>
      </c>
      <c r="B194" s="62"/>
      <c r="C194" s="62"/>
      <c r="D194" s="62"/>
      <c r="E194" s="62"/>
      <c r="F194" s="62"/>
      <c r="G194" s="62"/>
      <c r="H194" s="62"/>
      <c r="I194" s="62"/>
      <c r="J194" s="62"/>
      <c r="K194" s="62"/>
      <c r="L194" s="62"/>
      <c r="M194" s="62"/>
      <c r="N194" s="62"/>
      <c r="O194" s="62"/>
      <c r="P194" s="62"/>
      <c r="Q194" s="62"/>
      <c r="R194" s="62"/>
      <c r="S194" s="62"/>
      <c r="T194" s="62"/>
      <c r="U194" s="62"/>
      <c r="V194" s="62"/>
      <c r="W194" s="62"/>
      <c r="X194" s="62"/>
      <c r="Y194" s="62"/>
      <c r="DA194" s="172"/>
    </row>
    <row r="195" spans="1:105" ht="11.45" customHeight="1" x14ac:dyDescent="0.25">
      <c r="A195" s="27" t="s">
        <v>107</v>
      </c>
      <c r="B195" s="28">
        <f t="shared" ref="B195:L195" si="226">IF(B4=0,0,B4*1000000/B58)</f>
        <v>20360.209945457307</v>
      </c>
      <c r="C195" s="28">
        <f t="shared" si="226"/>
        <v>19937.078854338306</v>
      </c>
      <c r="D195" s="28">
        <f t="shared" si="226"/>
        <v>19716.874404881059</v>
      </c>
      <c r="E195" s="28">
        <f t="shared" si="226"/>
        <v>19591.744255848553</v>
      </c>
      <c r="F195" s="28">
        <f t="shared" si="226"/>
        <v>20084.603492437411</v>
      </c>
      <c r="G195" s="28">
        <f t="shared" si="226"/>
        <v>19378.222404482225</v>
      </c>
      <c r="H195" s="28">
        <f t="shared" si="226"/>
        <v>18708.356264007529</v>
      </c>
      <c r="I195" s="28">
        <f t="shared" si="226"/>
        <v>18362.452319056571</v>
      </c>
      <c r="J195" s="28">
        <f t="shared" si="226"/>
        <v>17657.699036349801</v>
      </c>
      <c r="K195" s="28">
        <f t="shared" si="226"/>
        <v>17098.931068987404</v>
      </c>
      <c r="L195" s="28">
        <f t="shared" si="226"/>
        <v>16579.439108012008</v>
      </c>
      <c r="M195" s="28">
        <f>IF(M4=0,0,M4*1000000/M58)</f>
        <v>16356.341337339069</v>
      </c>
      <c r="N195" s="28">
        <f t="shared" ref="N195:V195" si="227">IF(N4=0,0,N4*1000000/N58)</f>
        <v>15534.43198682245</v>
      </c>
      <c r="O195" s="28">
        <f t="shared" si="227"/>
        <v>16018.146482068538</v>
      </c>
      <c r="P195" s="28">
        <f t="shared" si="227"/>
        <v>15885.346551057732</v>
      </c>
      <c r="Q195" s="28">
        <f t="shared" si="227"/>
        <v>15072.266162893269</v>
      </c>
      <c r="R195" s="28">
        <f t="shared" si="227"/>
        <v>14994.057722330583</v>
      </c>
      <c r="S195" s="28">
        <f t="shared" si="227"/>
        <v>14449.381365871335</v>
      </c>
      <c r="T195" s="28">
        <f t="shared" si="227"/>
        <v>15229.749943219682</v>
      </c>
      <c r="U195" s="28">
        <f t="shared" si="227"/>
        <v>15003.066351278181</v>
      </c>
      <c r="V195" s="28">
        <f t="shared" si="227"/>
        <v>10483.181777985554</v>
      </c>
      <c r="W195" s="28">
        <f t="shared" ref="W195:Y195" si="228">IF(W4=0,0,W4*1000000/W58)</f>
        <v>11490.604932220664</v>
      </c>
      <c r="X195" s="28">
        <f t="shared" si="228"/>
        <v>12391.13429929606</v>
      </c>
      <c r="Y195" s="28">
        <f t="shared" si="228"/>
        <v>13237.909688258689</v>
      </c>
      <c r="DA195" s="173" t="s">
        <v>603</v>
      </c>
    </row>
    <row r="196" spans="1:105" ht="11.45" customHeight="1" x14ac:dyDescent="0.25">
      <c r="A196" s="136" t="s">
        <v>173</v>
      </c>
      <c r="B196" s="137">
        <f t="shared" ref="B196:L196" si="229">IF(B5=0,0,B5*1000000/B59)</f>
        <v>3527.696767168396</v>
      </c>
      <c r="C196" s="137">
        <f t="shared" si="229"/>
        <v>3689.2897015739968</v>
      </c>
      <c r="D196" s="137">
        <f t="shared" si="229"/>
        <v>3679.9484576985751</v>
      </c>
      <c r="E196" s="137">
        <f t="shared" si="229"/>
        <v>3663.2339554288733</v>
      </c>
      <c r="F196" s="137">
        <f t="shared" si="229"/>
        <v>3423.2615263873199</v>
      </c>
      <c r="G196" s="137">
        <f t="shared" si="229"/>
        <v>3325.9468620898156</v>
      </c>
      <c r="H196" s="137">
        <f t="shared" si="229"/>
        <v>3103.1187138502205</v>
      </c>
      <c r="I196" s="137">
        <f t="shared" si="229"/>
        <v>3198.9341702468391</v>
      </c>
      <c r="J196" s="137">
        <f t="shared" si="229"/>
        <v>3241.3089347634059</v>
      </c>
      <c r="K196" s="137">
        <f t="shared" si="229"/>
        <v>3170.8798723144091</v>
      </c>
      <c r="L196" s="137">
        <f t="shared" si="229"/>
        <v>3072.907921584771</v>
      </c>
      <c r="M196" s="137">
        <f>IF(M5=0,0,M5*1000000/M59)</f>
        <v>3070.9289223026417</v>
      </c>
      <c r="N196" s="137">
        <f t="shared" ref="N196:V196" si="230">IF(N5=0,0,N5*1000000/N59)</f>
        <v>2918.5374900585934</v>
      </c>
      <c r="O196" s="137">
        <f t="shared" si="230"/>
        <v>2871.3437649010316</v>
      </c>
      <c r="P196" s="137">
        <f t="shared" si="230"/>
        <v>2745.646967782835</v>
      </c>
      <c r="Q196" s="137">
        <f t="shared" si="230"/>
        <v>2795.0066573252066</v>
      </c>
      <c r="R196" s="137">
        <f t="shared" si="230"/>
        <v>2816.4302171038244</v>
      </c>
      <c r="S196" s="137">
        <f t="shared" si="230"/>
        <v>2604.0139102230346</v>
      </c>
      <c r="T196" s="137">
        <f t="shared" si="230"/>
        <v>2447.0169952943429</v>
      </c>
      <c r="U196" s="137">
        <f t="shared" si="230"/>
        <v>2554.0674431571147</v>
      </c>
      <c r="V196" s="137">
        <f t="shared" si="230"/>
        <v>2220.2208453228632</v>
      </c>
      <c r="W196" s="137">
        <f t="shared" ref="W196:Y196" si="231">IF(W5=0,0,W5*1000000/W59)</f>
        <v>2380.908352261888</v>
      </c>
      <c r="X196" s="137">
        <f t="shared" si="231"/>
        <v>2370.1250921943433</v>
      </c>
      <c r="Y196" s="137">
        <f t="shared" si="231"/>
        <v>2548.2871469687429</v>
      </c>
      <c r="DA196" s="174" t="s">
        <v>604</v>
      </c>
    </row>
    <row r="197" spans="1:105" ht="11.45" customHeight="1" x14ac:dyDescent="0.25">
      <c r="A197" s="109" t="s">
        <v>20</v>
      </c>
      <c r="B197" s="110">
        <f t="shared" ref="B197:V210" si="232">IF(B6=0,0,B6*1000000/B60)</f>
        <v>22244.419346559542</v>
      </c>
      <c r="C197" s="110">
        <f t="shared" si="232"/>
        <v>21654.554797034427</v>
      </c>
      <c r="D197" s="110">
        <f t="shared" si="232"/>
        <v>21488.4075108094</v>
      </c>
      <c r="E197" s="110">
        <f t="shared" si="232"/>
        <v>21313.075068268219</v>
      </c>
      <c r="F197" s="110">
        <f t="shared" si="232"/>
        <v>21942.743335036452</v>
      </c>
      <c r="G197" s="110">
        <f t="shared" si="232"/>
        <v>21281.543667067413</v>
      </c>
      <c r="H197" s="110">
        <f t="shared" si="232"/>
        <v>20867.722188014512</v>
      </c>
      <c r="I197" s="110">
        <f t="shared" si="232"/>
        <v>20580.406180871338</v>
      </c>
      <c r="J197" s="110">
        <f t="shared" si="232"/>
        <v>19886.624594505636</v>
      </c>
      <c r="K197" s="110">
        <f t="shared" si="232"/>
        <v>19397.18636055617</v>
      </c>
      <c r="L197" s="110">
        <f t="shared" si="232"/>
        <v>18918.04276186107</v>
      </c>
      <c r="M197" s="110">
        <f>IF(M6=0,0,M6*1000000/M60)</f>
        <v>18667.070344217416</v>
      </c>
      <c r="N197" s="110">
        <f t="shared" ref="N197:V197" si="233">IF(N6=0,0,N6*1000000/N60)</f>
        <v>17776.449881354609</v>
      </c>
      <c r="O197" s="110">
        <f t="shared" si="233"/>
        <v>18368.76057482851</v>
      </c>
      <c r="P197" s="110">
        <f t="shared" si="233"/>
        <v>18275.806860313976</v>
      </c>
      <c r="Q197" s="110">
        <f t="shared" si="233"/>
        <v>17220.385381114898</v>
      </c>
      <c r="R197" s="110">
        <f t="shared" si="233"/>
        <v>17122.702526729598</v>
      </c>
      <c r="S197" s="110">
        <f t="shared" si="233"/>
        <v>16564.667170812176</v>
      </c>
      <c r="T197" s="110">
        <f t="shared" si="233"/>
        <v>17470.130813970703</v>
      </c>
      <c r="U197" s="110">
        <f t="shared" si="233"/>
        <v>17182.348753685616</v>
      </c>
      <c r="V197" s="110">
        <f t="shared" si="233"/>
        <v>12110.859492271786</v>
      </c>
      <c r="W197" s="110">
        <f t="shared" ref="W197:Y209" si="234">IF(W6=0,0,W6*1000000/W60)</f>
        <v>13117.786279543197</v>
      </c>
      <c r="X197" s="110">
        <f t="shared" si="234"/>
        <v>14085.285732244776</v>
      </c>
      <c r="Y197" s="110">
        <f t="shared" si="234"/>
        <v>15009.826970111475</v>
      </c>
      <c r="DA197" s="176" t="s">
        <v>605</v>
      </c>
    </row>
    <row r="198" spans="1:105" ht="11.45" customHeight="1" x14ac:dyDescent="0.25">
      <c r="A198" s="111" t="s">
        <v>110</v>
      </c>
      <c r="B198" s="84">
        <f t="shared" si="232"/>
        <v>18640.041834367741</v>
      </c>
      <c r="C198" s="84">
        <f t="shared" si="232"/>
        <v>17965.730548386149</v>
      </c>
      <c r="D198" s="84">
        <f t="shared" si="232"/>
        <v>17614.566068279091</v>
      </c>
      <c r="E198" s="84">
        <f t="shared" si="232"/>
        <v>17288.664193112865</v>
      </c>
      <c r="F198" s="84">
        <f t="shared" si="232"/>
        <v>17699.979586674748</v>
      </c>
      <c r="G198" s="84">
        <f t="shared" si="232"/>
        <v>17062.638744613032</v>
      </c>
      <c r="H198" s="84">
        <f t="shared" si="232"/>
        <v>16543.057313584086</v>
      </c>
      <c r="I198" s="84">
        <f t="shared" si="232"/>
        <v>16292.526050516701</v>
      </c>
      <c r="J198" s="84">
        <f t="shared" si="232"/>
        <v>15807.00078047145</v>
      </c>
      <c r="K198" s="84">
        <f t="shared" si="232"/>
        <v>15569.624658649742</v>
      </c>
      <c r="L198" s="84">
        <f t="shared" si="232"/>
        <v>15265.528732035591</v>
      </c>
      <c r="M198" s="84">
        <f t="shared" ref="M198:M219" si="235">IF(M7=0,0,M7*1000000/M61)</f>
        <v>15180.542684825115</v>
      </c>
      <c r="N198" s="84">
        <f t="shared" si="232"/>
        <v>14238.491242691163</v>
      </c>
      <c r="O198" s="84">
        <f t="shared" si="232"/>
        <v>14686.208562891939</v>
      </c>
      <c r="P198" s="84">
        <f t="shared" si="232"/>
        <v>14525.778286685494</v>
      </c>
      <c r="Q198" s="84">
        <f t="shared" si="232"/>
        <v>13725.040883374109</v>
      </c>
      <c r="R198" s="84">
        <f t="shared" si="232"/>
        <v>13927.378777693593</v>
      </c>
      <c r="S198" s="84">
        <f t="shared" si="232"/>
        <v>13661.302424504425</v>
      </c>
      <c r="T198" s="84">
        <f t="shared" si="232"/>
        <v>14599.055967739007</v>
      </c>
      <c r="U198" s="84">
        <f t="shared" si="232"/>
        <v>14633.088326134515</v>
      </c>
      <c r="V198" s="84">
        <f t="shared" si="232"/>
        <v>10862.336147379625</v>
      </c>
      <c r="W198" s="84">
        <f t="shared" si="234"/>
        <v>10690.876248798879</v>
      </c>
      <c r="X198" s="84">
        <f t="shared" si="234"/>
        <v>12006.814361009654</v>
      </c>
      <c r="Y198" s="84">
        <f t="shared" si="234"/>
        <v>13085.868032894559</v>
      </c>
      <c r="DA198" s="171" t="s">
        <v>606</v>
      </c>
    </row>
    <row r="199" spans="1:105" ht="11.45" customHeight="1" x14ac:dyDescent="0.25">
      <c r="A199" s="111" t="s">
        <v>111</v>
      </c>
      <c r="B199" s="84">
        <f t="shared" si="232"/>
        <v>42655.021406929474</v>
      </c>
      <c r="C199" s="84">
        <f t="shared" si="232"/>
        <v>41901.477187753066</v>
      </c>
      <c r="D199" s="84">
        <f t="shared" si="232"/>
        <v>42391.201822343573</v>
      </c>
      <c r="E199" s="84">
        <f t="shared" si="232"/>
        <v>42499.637391435681</v>
      </c>
      <c r="F199" s="84">
        <f t="shared" si="232"/>
        <v>43492.53066289331</v>
      </c>
      <c r="G199" s="84">
        <f t="shared" si="232"/>
        <v>42246.817187799214</v>
      </c>
      <c r="H199" s="84">
        <f t="shared" si="232"/>
        <v>41557.819965425799</v>
      </c>
      <c r="I199" s="84">
        <f t="shared" si="232"/>
        <v>40428.222942104338</v>
      </c>
      <c r="J199" s="84">
        <f t="shared" si="232"/>
        <v>38899.775782097349</v>
      </c>
      <c r="K199" s="84">
        <f t="shared" si="232"/>
        <v>37324.46322101447</v>
      </c>
      <c r="L199" s="84">
        <f t="shared" si="232"/>
        <v>36266.500667030225</v>
      </c>
      <c r="M199" s="84">
        <f t="shared" si="235"/>
        <v>35214.821017942115</v>
      </c>
      <c r="N199" s="84">
        <f t="shared" si="232"/>
        <v>34401.77490615219</v>
      </c>
      <c r="O199" s="84">
        <f t="shared" si="232"/>
        <v>36042.829864530322</v>
      </c>
      <c r="P199" s="84">
        <f t="shared" si="232"/>
        <v>36493.178372502429</v>
      </c>
      <c r="Q199" s="84">
        <f t="shared" si="232"/>
        <v>34105.602100801909</v>
      </c>
      <c r="R199" s="84">
        <f t="shared" si="232"/>
        <v>33019.33554717982</v>
      </c>
      <c r="S199" s="84">
        <f t="shared" si="232"/>
        <v>31431.251688417273</v>
      </c>
      <c r="T199" s="84">
        <f t="shared" si="232"/>
        <v>32821.531697109574</v>
      </c>
      <c r="U199" s="84">
        <f t="shared" si="232"/>
        <v>31825.038142412621</v>
      </c>
      <c r="V199" s="84">
        <f t="shared" si="232"/>
        <v>19787.658847193881</v>
      </c>
      <c r="W199" s="84">
        <f t="shared" si="234"/>
        <v>29352.586428864593</v>
      </c>
      <c r="X199" s="84">
        <f t="shared" si="234"/>
        <v>29495.319729079903</v>
      </c>
      <c r="Y199" s="84">
        <f t="shared" si="234"/>
        <v>30646.859181750919</v>
      </c>
      <c r="DA199" s="171" t="s">
        <v>607</v>
      </c>
    </row>
    <row r="200" spans="1:105" ht="11.45" customHeight="1" x14ac:dyDescent="0.25">
      <c r="A200" s="111" t="s">
        <v>112</v>
      </c>
      <c r="B200" s="84">
        <f t="shared" si="232"/>
        <v>25228.355945158139</v>
      </c>
      <c r="C200" s="84">
        <f t="shared" si="232"/>
        <v>24304.595136582233</v>
      </c>
      <c r="D200" s="84">
        <f t="shared" si="232"/>
        <v>23872.290837791894</v>
      </c>
      <c r="E200" s="84">
        <f t="shared" si="232"/>
        <v>23428.145839925834</v>
      </c>
      <c r="F200" s="84">
        <f t="shared" si="232"/>
        <v>24369.918331495617</v>
      </c>
      <c r="G200" s="84">
        <f t="shared" si="232"/>
        <v>23233.441485732881</v>
      </c>
      <c r="H200" s="84">
        <f t="shared" si="232"/>
        <v>22557.994765169682</v>
      </c>
      <c r="I200" s="84">
        <f t="shared" si="232"/>
        <v>22049.320748889473</v>
      </c>
      <c r="J200" s="84">
        <f t="shared" si="232"/>
        <v>20906.545040099827</v>
      </c>
      <c r="K200" s="84">
        <f t="shared" si="232"/>
        <v>20247.846055205362</v>
      </c>
      <c r="L200" s="84">
        <f t="shared" si="232"/>
        <v>19775.528303383573</v>
      </c>
      <c r="M200" s="84">
        <f t="shared" si="235"/>
        <v>19032.873537289062</v>
      </c>
      <c r="N200" s="84">
        <f t="shared" si="232"/>
        <v>18873.655854849465</v>
      </c>
      <c r="O200" s="84">
        <f t="shared" si="232"/>
        <v>19257.278414949011</v>
      </c>
      <c r="P200" s="84">
        <f t="shared" si="232"/>
        <v>18976.266113617745</v>
      </c>
      <c r="Q200" s="84">
        <f t="shared" si="232"/>
        <v>18400.857943382667</v>
      </c>
      <c r="R200" s="84">
        <f t="shared" si="232"/>
        <v>18501.04642052967</v>
      </c>
      <c r="S200" s="84">
        <f t="shared" si="232"/>
        <v>18100.889345028434</v>
      </c>
      <c r="T200" s="84">
        <f t="shared" si="232"/>
        <v>19203.541668569524</v>
      </c>
      <c r="U200" s="84">
        <f t="shared" si="232"/>
        <v>18872.659154174944</v>
      </c>
      <c r="V200" s="84">
        <f t="shared" si="232"/>
        <v>13422.899474812377</v>
      </c>
      <c r="W200" s="84">
        <f t="shared" si="234"/>
        <v>14673.071044094659</v>
      </c>
      <c r="X200" s="84">
        <f t="shared" si="234"/>
        <v>15974.025620211469</v>
      </c>
      <c r="Y200" s="84">
        <f t="shared" si="234"/>
        <v>17170.338398158299</v>
      </c>
      <c r="DA200" s="171" t="s">
        <v>608</v>
      </c>
    </row>
    <row r="201" spans="1:105" ht="11.45" customHeight="1" x14ac:dyDescent="0.25">
      <c r="A201" s="111" t="s">
        <v>113</v>
      </c>
      <c r="B201" s="84">
        <f t="shared" si="232"/>
        <v>0</v>
      </c>
      <c r="C201" s="84">
        <f t="shared" si="232"/>
        <v>0</v>
      </c>
      <c r="D201" s="84">
        <f t="shared" si="232"/>
        <v>0</v>
      </c>
      <c r="E201" s="84">
        <f t="shared" si="232"/>
        <v>0</v>
      </c>
      <c r="F201" s="84">
        <f t="shared" si="232"/>
        <v>0</v>
      </c>
      <c r="G201" s="84">
        <f t="shared" si="232"/>
        <v>0</v>
      </c>
      <c r="H201" s="84">
        <f t="shared" si="232"/>
        <v>0</v>
      </c>
      <c r="I201" s="84">
        <f t="shared" si="232"/>
        <v>0</v>
      </c>
      <c r="J201" s="84">
        <f t="shared" si="232"/>
        <v>0</v>
      </c>
      <c r="K201" s="84">
        <f t="shared" si="232"/>
        <v>0</v>
      </c>
      <c r="L201" s="84">
        <f t="shared" si="232"/>
        <v>26619.259803385092</v>
      </c>
      <c r="M201" s="84">
        <f t="shared" si="235"/>
        <v>25619.593960854363</v>
      </c>
      <c r="N201" s="84">
        <f t="shared" si="232"/>
        <v>25405.275698953505</v>
      </c>
      <c r="O201" s="84">
        <f t="shared" si="232"/>
        <v>25921.658798159122</v>
      </c>
      <c r="P201" s="84">
        <f t="shared" si="232"/>
        <v>25543.396364795753</v>
      </c>
      <c r="Q201" s="84">
        <f t="shared" si="232"/>
        <v>24278.383868131124</v>
      </c>
      <c r="R201" s="84">
        <f t="shared" si="232"/>
        <v>24410.574134194951</v>
      </c>
      <c r="S201" s="84">
        <f t="shared" si="232"/>
        <v>23882.600540982054</v>
      </c>
      <c r="T201" s="84">
        <f t="shared" si="232"/>
        <v>25337.457508324958</v>
      </c>
      <c r="U201" s="84">
        <f t="shared" si="232"/>
        <v>25169.250756598623</v>
      </c>
      <c r="V201" s="84">
        <f t="shared" si="232"/>
        <v>17901.257051390767</v>
      </c>
      <c r="W201" s="84">
        <f t="shared" si="234"/>
        <v>19181.034753235668</v>
      </c>
      <c r="X201" s="84">
        <f t="shared" si="234"/>
        <v>20881.677710792974</v>
      </c>
      <c r="Y201" s="84">
        <f t="shared" si="234"/>
        <v>22445.530083658912</v>
      </c>
      <c r="DA201" s="171" t="s">
        <v>609</v>
      </c>
    </row>
    <row r="202" spans="1:105" ht="11.45" customHeight="1" x14ac:dyDescent="0.25">
      <c r="A202" s="111" t="s">
        <v>114</v>
      </c>
      <c r="B202" s="84">
        <f t="shared" si="232"/>
        <v>0</v>
      </c>
      <c r="C202" s="84">
        <f t="shared" si="232"/>
        <v>0</v>
      </c>
      <c r="D202" s="84">
        <f t="shared" si="232"/>
        <v>0</v>
      </c>
      <c r="E202" s="84">
        <f t="shared" si="232"/>
        <v>0</v>
      </c>
      <c r="F202" s="84">
        <f t="shared" si="232"/>
        <v>0</v>
      </c>
      <c r="G202" s="84">
        <f t="shared" si="232"/>
        <v>0</v>
      </c>
      <c r="H202" s="84">
        <f t="shared" si="232"/>
        <v>0</v>
      </c>
      <c r="I202" s="84">
        <f t="shared" si="232"/>
        <v>0</v>
      </c>
      <c r="J202" s="84">
        <f t="shared" si="232"/>
        <v>0</v>
      </c>
      <c r="K202" s="84">
        <f t="shared" si="232"/>
        <v>0</v>
      </c>
      <c r="L202" s="84">
        <f t="shared" si="232"/>
        <v>0</v>
      </c>
      <c r="M202" s="84">
        <f t="shared" si="235"/>
        <v>15072.622664554396</v>
      </c>
      <c r="N202" s="84">
        <f t="shared" si="232"/>
        <v>15043.256773171803</v>
      </c>
      <c r="O202" s="84">
        <f t="shared" si="232"/>
        <v>15335.951319356001</v>
      </c>
      <c r="P202" s="84">
        <f t="shared" si="232"/>
        <v>14821.873884467183</v>
      </c>
      <c r="Q202" s="84">
        <f t="shared" si="232"/>
        <v>14479.858223842844</v>
      </c>
      <c r="R202" s="84">
        <f t="shared" si="232"/>
        <v>13693.824617543498</v>
      </c>
      <c r="S202" s="84">
        <f t="shared" si="232"/>
        <v>12601.742858822618</v>
      </c>
      <c r="T202" s="84">
        <f t="shared" si="232"/>
        <v>13407.572583167055</v>
      </c>
      <c r="U202" s="84">
        <f t="shared" si="232"/>
        <v>13581.657187840721</v>
      </c>
      <c r="V202" s="84">
        <f t="shared" si="232"/>
        <v>9964.4457779603799</v>
      </c>
      <c r="W202" s="84">
        <f t="shared" si="234"/>
        <v>10737.363136283286</v>
      </c>
      <c r="X202" s="84">
        <f t="shared" si="234"/>
        <v>11230.189442526071</v>
      </c>
      <c r="Y202" s="84">
        <f t="shared" si="234"/>
        <v>12549.299537671497</v>
      </c>
      <c r="DA202" s="171" t="s">
        <v>610</v>
      </c>
    </row>
    <row r="203" spans="1:105" ht="11.45" customHeight="1" x14ac:dyDescent="0.25">
      <c r="A203" s="111" t="s">
        <v>115</v>
      </c>
      <c r="B203" s="84">
        <f t="shared" si="232"/>
        <v>0</v>
      </c>
      <c r="C203" s="84">
        <f t="shared" si="232"/>
        <v>0</v>
      </c>
      <c r="D203" s="84">
        <f t="shared" si="232"/>
        <v>0</v>
      </c>
      <c r="E203" s="84">
        <f t="shared" si="232"/>
        <v>0</v>
      </c>
      <c r="F203" s="84">
        <f t="shared" si="232"/>
        <v>0</v>
      </c>
      <c r="G203" s="84">
        <f t="shared" si="232"/>
        <v>0</v>
      </c>
      <c r="H203" s="84">
        <f t="shared" si="232"/>
        <v>0</v>
      </c>
      <c r="I203" s="84">
        <f t="shared" si="232"/>
        <v>0</v>
      </c>
      <c r="J203" s="84">
        <f t="shared" si="232"/>
        <v>0</v>
      </c>
      <c r="K203" s="84">
        <f t="shared" si="232"/>
        <v>21327.147784559904</v>
      </c>
      <c r="L203" s="84">
        <f t="shared" si="232"/>
        <v>21159.636525533242</v>
      </c>
      <c r="M203" s="84">
        <f t="shared" si="235"/>
        <v>20851.678652897986</v>
      </c>
      <c r="N203" s="84">
        <f t="shared" si="232"/>
        <v>21178.064493866226</v>
      </c>
      <c r="O203" s="84">
        <f t="shared" si="232"/>
        <v>21861.016565243415</v>
      </c>
      <c r="P203" s="84">
        <f t="shared" si="232"/>
        <v>21795.097894263658</v>
      </c>
      <c r="Q203" s="84">
        <f t="shared" si="232"/>
        <v>20969.453749513301</v>
      </c>
      <c r="R203" s="84">
        <f t="shared" si="232"/>
        <v>20716.966817785295</v>
      </c>
      <c r="S203" s="84">
        <f t="shared" si="232"/>
        <v>20246.780551737626</v>
      </c>
      <c r="T203" s="84">
        <f t="shared" si="232"/>
        <v>21131.819842280707</v>
      </c>
      <c r="U203" s="84">
        <f t="shared" si="232"/>
        <v>20946.457293528496</v>
      </c>
      <c r="V203" s="84">
        <f t="shared" si="232"/>
        <v>15349.422340996001</v>
      </c>
      <c r="W203" s="84">
        <f t="shared" si="234"/>
        <v>19093.12466277647</v>
      </c>
      <c r="X203" s="84">
        <f t="shared" si="234"/>
        <v>19083.613282895538</v>
      </c>
      <c r="Y203" s="84">
        <f t="shared" si="234"/>
        <v>19623.327964128141</v>
      </c>
      <c r="DA203" s="171" t="s">
        <v>611</v>
      </c>
    </row>
    <row r="204" spans="1:105" ht="11.45" customHeight="1" x14ac:dyDescent="0.25">
      <c r="A204" s="109" t="s">
        <v>21</v>
      </c>
      <c r="B204" s="110">
        <f t="shared" si="232"/>
        <v>412036.17700982373</v>
      </c>
      <c r="C204" s="110">
        <f t="shared" si="232"/>
        <v>410963.6016462018</v>
      </c>
      <c r="D204" s="110">
        <f t="shared" si="232"/>
        <v>389501.01821345568</v>
      </c>
      <c r="E204" s="110">
        <f t="shared" si="232"/>
        <v>404132.06508369482</v>
      </c>
      <c r="F204" s="110">
        <f t="shared" si="232"/>
        <v>414332.74145278434</v>
      </c>
      <c r="G204" s="110">
        <f t="shared" si="232"/>
        <v>425164.99392859207</v>
      </c>
      <c r="H204" s="110">
        <f t="shared" si="232"/>
        <v>442102.03351509396</v>
      </c>
      <c r="I204" s="110">
        <f t="shared" si="232"/>
        <v>457482.99067009619</v>
      </c>
      <c r="J204" s="110">
        <f t="shared" si="232"/>
        <v>455192.78530682385</v>
      </c>
      <c r="K204" s="110">
        <f t="shared" si="232"/>
        <v>428339.878770596</v>
      </c>
      <c r="L204" s="110">
        <f t="shared" si="232"/>
        <v>416544.17558622896</v>
      </c>
      <c r="M204" s="110">
        <f t="shared" si="235"/>
        <v>444275.6531793123</v>
      </c>
      <c r="N204" s="110">
        <f t="shared" si="232"/>
        <v>408143.95864943106</v>
      </c>
      <c r="O204" s="110">
        <f t="shared" si="232"/>
        <v>444040.56141210214</v>
      </c>
      <c r="P204" s="110">
        <f t="shared" si="232"/>
        <v>458250.09696576442</v>
      </c>
      <c r="Q204" s="110">
        <f t="shared" si="232"/>
        <v>508862.59363742173</v>
      </c>
      <c r="R204" s="110">
        <f t="shared" si="232"/>
        <v>528591.3565186325</v>
      </c>
      <c r="S204" s="110">
        <f t="shared" si="232"/>
        <v>470209.52940940118</v>
      </c>
      <c r="T204" s="110">
        <f t="shared" si="232"/>
        <v>551796.03199582337</v>
      </c>
      <c r="U204" s="110">
        <f t="shared" si="232"/>
        <v>510213.19354659517</v>
      </c>
      <c r="V204" s="110">
        <f t="shared" si="232"/>
        <v>231213.26547787798</v>
      </c>
      <c r="W204" s="110">
        <f t="shared" si="234"/>
        <v>289044.94182986615</v>
      </c>
      <c r="X204" s="110">
        <f t="shared" si="234"/>
        <v>400190.56693663652</v>
      </c>
      <c r="Y204" s="110">
        <f t="shared" si="234"/>
        <v>413902.72590306436</v>
      </c>
      <c r="DA204" s="176" t="s">
        <v>612</v>
      </c>
    </row>
    <row r="205" spans="1:105" ht="11.45" customHeight="1" x14ac:dyDescent="0.25">
      <c r="A205" s="111" t="s">
        <v>110</v>
      </c>
      <c r="B205" s="102">
        <f t="shared" si="232"/>
        <v>335005.19986510463</v>
      </c>
      <c r="C205" s="102">
        <f t="shared" si="232"/>
        <v>322175.54928646766</v>
      </c>
      <c r="D205" s="102">
        <f t="shared" si="232"/>
        <v>316039.66268805263</v>
      </c>
      <c r="E205" s="102">
        <f t="shared" si="232"/>
        <v>304350.01256023231</v>
      </c>
      <c r="F205" s="102">
        <f t="shared" si="232"/>
        <v>296575.17643304379</v>
      </c>
      <c r="G205" s="102">
        <f t="shared" si="232"/>
        <v>296927.96863892814</v>
      </c>
      <c r="H205" s="102">
        <f t="shared" si="232"/>
        <v>297314.30080717255</v>
      </c>
      <c r="I205" s="102">
        <f t="shared" si="232"/>
        <v>297743.33643197245</v>
      </c>
      <c r="J205" s="102">
        <f t="shared" si="232"/>
        <v>297797.74685740948</v>
      </c>
      <c r="K205" s="102">
        <f t="shared" si="232"/>
        <v>297368.27556921955</v>
      </c>
      <c r="L205" s="102">
        <f t="shared" si="232"/>
        <v>297528.45530262333</v>
      </c>
      <c r="M205" s="102">
        <f t="shared" si="235"/>
        <v>298081.56523269747</v>
      </c>
      <c r="N205" s="102">
        <f t="shared" si="232"/>
        <v>296727.71816535137</v>
      </c>
      <c r="O205" s="102">
        <f t="shared" si="232"/>
        <v>297246.230527181</v>
      </c>
      <c r="P205" s="102">
        <f t="shared" si="232"/>
        <v>297022.83709896746</v>
      </c>
      <c r="Q205" s="102">
        <f t="shared" si="232"/>
        <v>298137.94965079619</v>
      </c>
      <c r="R205" s="102">
        <f t="shared" si="232"/>
        <v>304521.38231173536</v>
      </c>
      <c r="S205" s="102">
        <f t="shared" si="232"/>
        <v>318008.27822868677</v>
      </c>
      <c r="T205" s="102">
        <f t="shared" si="232"/>
        <v>312664.05774252774</v>
      </c>
      <c r="U205" s="102">
        <f t="shared" si="232"/>
        <v>285147.49221979501</v>
      </c>
      <c r="V205" s="102">
        <f t="shared" si="232"/>
        <v>186080.79510567852</v>
      </c>
      <c r="W205" s="102">
        <f t="shared" si="234"/>
        <v>243033.79113227889</v>
      </c>
      <c r="X205" s="102">
        <f t="shared" si="234"/>
        <v>242727.08403534393</v>
      </c>
      <c r="Y205" s="102">
        <f t="shared" si="234"/>
        <v>245194.70453551837</v>
      </c>
      <c r="DA205" s="175" t="s">
        <v>613</v>
      </c>
    </row>
    <row r="206" spans="1:105" ht="11.45" customHeight="1" x14ac:dyDescent="0.25">
      <c r="A206" s="111" t="s">
        <v>111</v>
      </c>
      <c r="B206" s="102">
        <f t="shared" si="232"/>
        <v>415218.90570721158</v>
      </c>
      <c r="C206" s="102">
        <f t="shared" si="232"/>
        <v>413991.43358718441</v>
      </c>
      <c r="D206" s="102">
        <f t="shared" si="232"/>
        <v>392043.14082108793</v>
      </c>
      <c r="E206" s="102">
        <f t="shared" si="232"/>
        <v>406637.94143911096</v>
      </c>
      <c r="F206" s="102">
        <f t="shared" si="232"/>
        <v>416589.37814195687</v>
      </c>
      <c r="G206" s="102">
        <f t="shared" si="232"/>
        <v>428180.03130431625</v>
      </c>
      <c r="H206" s="102">
        <f t="shared" si="232"/>
        <v>445045.9209814014</v>
      </c>
      <c r="I206" s="102">
        <f t="shared" si="232"/>
        <v>460485.91291386355</v>
      </c>
      <c r="J206" s="102">
        <f t="shared" si="232"/>
        <v>458323.62170255644</v>
      </c>
      <c r="K206" s="102">
        <f t="shared" si="232"/>
        <v>431511.72545603639</v>
      </c>
      <c r="L206" s="102">
        <f t="shared" si="232"/>
        <v>419823.05405515071</v>
      </c>
      <c r="M206" s="102">
        <f t="shared" si="235"/>
        <v>448397.99873961922</v>
      </c>
      <c r="N206" s="102">
        <f t="shared" si="232"/>
        <v>412687.56133139896</v>
      </c>
      <c r="O206" s="102">
        <f t="shared" si="232"/>
        <v>452700.70165723114</v>
      </c>
      <c r="P206" s="102">
        <f t="shared" si="232"/>
        <v>468742.85331568425</v>
      </c>
      <c r="Q206" s="102">
        <f t="shared" si="232"/>
        <v>521153.51986606017</v>
      </c>
      <c r="R206" s="102">
        <f t="shared" si="232"/>
        <v>542352.32596589322</v>
      </c>
      <c r="S206" s="102">
        <f t="shared" si="232"/>
        <v>482543.91490842268</v>
      </c>
      <c r="T206" s="102">
        <f t="shared" si="232"/>
        <v>568905.36716111365</v>
      </c>
      <c r="U206" s="102">
        <f t="shared" si="232"/>
        <v>525938.48978612723</v>
      </c>
      <c r="V206" s="102">
        <f t="shared" si="232"/>
        <v>234952.87500110973</v>
      </c>
      <c r="W206" s="102">
        <f t="shared" si="234"/>
        <v>291433.70529040054</v>
      </c>
      <c r="X206" s="102">
        <f t="shared" si="234"/>
        <v>402416.90570431348</v>
      </c>
      <c r="Y206" s="102">
        <f t="shared" si="234"/>
        <v>410455.65267077839</v>
      </c>
      <c r="DA206" s="175" t="s">
        <v>614</v>
      </c>
    </row>
    <row r="207" spans="1:105" ht="11.45" customHeight="1" x14ac:dyDescent="0.25">
      <c r="A207" s="111" t="s">
        <v>112</v>
      </c>
      <c r="B207" s="102">
        <f t="shared" si="232"/>
        <v>227849.17317741169</v>
      </c>
      <c r="C207" s="102">
        <f t="shared" si="232"/>
        <v>227056.83957292885</v>
      </c>
      <c r="D207" s="102">
        <f t="shared" si="232"/>
        <v>215227.82825692848</v>
      </c>
      <c r="E207" s="102">
        <f t="shared" si="232"/>
        <v>223125.5763918373</v>
      </c>
      <c r="F207" s="102">
        <f t="shared" si="232"/>
        <v>227314.37437173503</v>
      </c>
      <c r="G207" s="102">
        <f t="shared" si="232"/>
        <v>230046.33916750445</v>
      </c>
      <c r="H207" s="102">
        <f t="shared" si="232"/>
        <v>235913.51432609433</v>
      </c>
      <c r="I207" s="102">
        <f t="shared" si="232"/>
        <v>240763.1157462117</v>
      </c>
      <c r="J207" s="102">
        <f t="shared" si="232"/>
        <v>236319.30365427118</v>
      </c>
      <c r="K207" s="102">
        <f t="shared" si="232"/>
        <v>219292.84993223613</v>
      </c>
      <c r="L207" s="102">
        <f t="shared" si="232"/>
        <v>210312.41380459577</v>
      </c>
      <c r="M207" s="102">
        <f t="shared" si="235"/>
        <v>221209.52844414709</v>
      </c>
      <c r="N207" s="102">
        <f t="shared" si="232"/>
        <v>200356.77628933027</v>
      </c>
      <c r="O207" s="102">
        <f t="shared" si="232"/>
        <v>214959.33350636103</v>
      </c>
      <c r="P207" s="102">
        <f t="shared" si="232"/>
        <v>218753.04091223609</v>
      </c>
      <c r="Q207" s="102">
        <f t="shared" si="232"/>
        <v>246898.79539550765</v>
      </c>
      <c r="R207" s="102">
        <f t="shared" si="232"/>
        <v>260355.64743956231</v>
      </c>
      <c r="S207" s="102">
        <f t="shared" si="232"/>
        <v>235346.13430285524</v>
      </c>
      <c r="T207" s="102">
        <f t="shared" si="232"/>
        <v>279773.33835847839</v>
      </c>
      <c r="U207" s="102">
        <f t="shared" si="232"/>
        <v>261707.53075299383</v>
      </c>
      <c r="V207" s="102">
        <f t="shared" si="232"/>
        <v>121810.99479389797</v>
      </c>
      <c r="W207" s="102">
        <f t="shared" si="234"/>
        <v>150699.09952977044</v>
      </c>
      <c r="X207" s="102">
        <f t="shared" si="234"/>
        <v>205911.87546072033</v>
      </c>
      <c r="Y207" s="102">
        <f t="shared" si="234"/>
        <v>216151.5390678379</v>
      </c>
      <c r="DA207" s="175" t="s">
        <v>615</v>
      </c>
    </row>
    <row r="208" spans="1:105" ht="11.45" customHeight="1" x14ac:dyDescent="0.25">
      <c r="A208" s="111" t="s">
        <v>113</v>
      </c>
      <c r="B208" s="102">
        <f t="shared" si="232"/>
        <v>383817.21284505475</v>
      </c>
      <c r="C208" s="102">
        <f t="shared" si="232"/>
        <v>378695.55299524404</v>
      </c>
      <c r="D208" s="102">
        <f t="shared" si="232"/>
        <v>361252.08300778136</v>
      </c>
      <c r="E208" s="102">
        <f t="shared" si="232"/>
        <v>370800.16440794826</v>
      </c>
      <c r="F208" s="102">
        <f t="shared" si="232"/>
        <v>376267.99199657922</v>
      </c>
      <c r="G208" s="102">
        <f t="shared" si="232"/>
        <v>382675.24705812166</v>
      </c>
      <c r="H208" s="102">
        <f t="shared" si="232"/>
        <v>394377.86664369976</v>
      </c>
      <c r="I208" s="102">
        <f t="shared" si="232"/>
        <v>412648.73281760392</v>
      </c>
      <c r="J208" s="102">
        <f t="shared" si="232"/>
        <v>415260.48490954039</v>
      </c>
      <c r="K208" s="102">
        <f t="shared" si="232"/>
        <v>395072.4338167907</v>
      </c>
      <c r="L208" s="102">
        <f t="shared" si="232"/>
        <v>388461.52584850689</v>
      </c>
      <c r="M208" s="102">
        <f t="shared" si="235"/>
        <v>418907.15806005266</v>
      </c>
      <c r="N208" s="102">
        <f t="shared" si="232"/>
        <v>381296.35640472668</v>
      </c>
      <c r="O208" s="102">
        <f t="shared" si="232"/>
        <v>411111.4714220473</v>
      </c>
      <c r="P208" s="102">
        <f t="shared" si="232"/>
        <v>420438.09125388908</v>
      </c>
      <c r="Q208" s="102">
        <f t="shared" si="232"/>
        <v>472136.92132878682</v>
      </c>
      <c r="R208" s="102">
        <f t="shared" si="232"/>
        <v>495417.48102025653</v>
      </c>
      <c r="S208" s="102">
        <f t="shared" si="232"/>
        <v>445622.10416314495</v>
      </c>
      <c r="T208" s="102">
        <f t="shared" si="232"/>
        <v>516696.04013741331</v>
      </c>
      <c r="U208" s="102">
        <f t="shared" si="232"/>
        <v>480950.47671451513</v>
      </c>
      <c r="V208" s="102">
        <f t="shared" si="232"/>
        <v>221184.2278931305</v>
      </c>
      <c r="W208" s="102">
        <f t="shared" si="234"/>
        <v>266899.32468904863</v>
      </c>
      <c r="X208" s="102">
        <f t="shared" si="234"/>
        <v>366536.45562805975</v>
      </c>
      <c r="Y208" s="102">
        <f t="shared" si="234"/>
        <v>382868.33131805382</v>
      </c>
      <c r="DA208" s="175" t="s">
        <v>616</v>
      </c>
    </row>
    <row r="209" spans="1:105" ht="11.45" customHeight="1" x14ac:dyDescent="0.25">
      <c r="A209" s="111" t="s">
        <v>115</v>
      </c>
      <c r="B209" s="102">
        <f t="shared" si="232"/>
        <v>425149.19583877566</v>
      </c>
      <c r="C209" s="102">
        <f t="shared" si="232"/>
        <v>432657.00722914847</v>
      </c>
      <c r="D209" s="102">
        <f t="shared" si="232"/>
        <v>408855.30788044364</v>
      </c>
      <c r="E209" s="102">
        <f t="shared" si="232"/>
        <v>433074.8361556601</v>
      </c>
      <c r="F209" s="102">
        <f t="shared" si="232"/>
        <v>447427.61340505938</v>
      </c>
      <c r="G209" s="102">
        <f t="shared" si="232"/>
        <v>450630.64035949932</v>
      </c>
      <c r="H209" s="102">
        <f t="shared" si="232"/>
        <v>460162.78124345839</v>
      </c>
      <c r="I209" s="102">
        <f t="shared" si="232"/>
        <v>467454.15655054414</v>
      </c>
      <c r="J209" s="102">
        <f t="shared" si="232"/>
        <v>456374.98623213288</v>
      </c>
      <c r="K209" s="102">
        <f t="shared" si="232"/>
        <v>420796.80259737413</v>
      </c>
      <c r="L209" s="102">
        <f t="shared" si="232"/>
        <v>400897.97325778415</v>
      </c>
      <c r="M209" s="102">
        <f t="shared" si="235"/>
        <v>420089.35297038686</v>
      </c>
      <c r="N209" s="102">
        <f t="shared" si="232"/>
        <v>378967.26480623701</v>
      </c>
      <c r="O209" s="102">
        <f t="shared" si="232"/>
        <v>405418.14285260404</v>
      </c>
      <c r="P209" s="102">
        <f t="shared" si="232"/>
        <v>411479.32173223037</v>
      </c>
      <c r="Q209" s="102">
        <f t="shared" si="232"/>
        <v>449053.8042941509</v>
      </c>
      <c r="R209" s="102">
        <f t="shared" si="232"/>
        <v>466778.10772463062</v>
      </c>
      <c r="S209" s="102">
        <f t="shared" si="232"/>
        <v>402624.50756311696</v>
      </c>
      <c r="T209" s="102">
        <f t="shared" si="232"/>
        <v>493055.32759672409</v>
      </c>
      <c r="U209" s="102">
        <f t="shared" si="232"/>
        <v>506302.30608045054</v>
      </c>
      <c r="V209" s="102">
        <f t="shared" si="232"/>
        <v>243909.87299563605</v>
      </c>
      <c r="W209" s="102">
        <f t="shared" si="234"/>
        <v>336219.7881342186</v>
      </c>
      <c r="X209" s="102">
        <f t="shared" si="234"/>
        <v>483402.649681743</v>
      </c>
      <c r="Y209" s="102">
        <f t="shared" si="234"/>
        <v>505772.79376703163</v>
      </c>
      <c r="DA209" s="175" t="s">
        <v>617</v>
      </c>
    </row>
    <row r="210" spans="1:105" ht="11.45" customHeight="1" x14ac:dyDescent="0.25">
      <c r="A210" s="27" t="s">
        <v>108</v>
      </c>
      <c r="B210" s="28">
        <f t="shared" si="232"/>
        <v>58714.938116541125</v>
      </c>
      <c r="C210" s="28">
        <f t="shared" si="232"/>
        <v>55240.468176836846</v>
      </c>
      <c r="D210" s="28">
        <f t="shared" si="232"/>
        <v>52946.624525425388</v>
      </c>
      <c r="E210" s="28">
        <f t="shared" si="232"/>
        <v>52971.415330993179</v>
      </c>
      <c r="F210" s="28">
        <f t="shared" ref="B210:V219" si="236">IF(F19=0,0,F19*1000000/F73)</f>
        <v>57006.975719032933</v>
      </c>
      <c r="G210" s="28">
        <f t="shared" si="236"/>
        <v>53942.954979122595</v>
      </c>
      <c r="H210" s="28">
        <f t="shared" si="236"/>
        <v>56022.234418596287</v>
      </c>
      <c r="I210" s="28">
        <f t="shared" si="236"/>
        <v>56243.574219703172</v>
      </c>
      <c r="J210" s="28">
        <f t="shared" si="236"/>
        <v>57001.925273715009</v>
      </c>
      <c r="K210" s="28">
        <f t="shared" si="236"/>
        <v>53352.303651763905</v>
      </c>
      <c r="L210" s="28">
        <f t="shared" si="236"/>
        <v>53763.435554145501</v>
      </c>
      <c r="M210" s="28">
        <f t="shared" si="235"/>
        <v>54521.009450844511</v>
      </c>
      <c r="N210" s="28">
        <f t="shared" si="236"/>
        <v>52762.237042763212</v>
      </c>
      <c r="O210" s="28">
        <f t="shared" si="236"/>
        <v>59033.484996809988</v>
      </c>
      <c r="P210" s="28">
        <f t="shared" si="236"/>
        <v>59623.418867499007</v>
      </c>
      <c r="Q210" s="28">
        <f t="shared" si="236"/>
        <v>59027.984244186075</v>
      </c>
      <c r="R210" s="28">
        <f t="shared" si="236"/>
        <v>60552.834392762568</v>
      </c>
      <c r="S210" s="28">
        <f t="shared" si="236"/>
        <v>58115.689533073899</v>
      </c>
      <c r="T210" s="28">
        <f t="shared" si="236"/>
        <v>57770.138491870734</v>
      </c>
      <c r="U210" s="28">
        <f t="shared" si="236"/>
        <v>58035.782473273306</v>
      </c>
      <c r="V210" s="28">
        <f t="shared" si="236"/>
        <v>56827.297501995919</v>
      </c>
      <c r="W210" s="28">
        <f t="shared" ref="W210:Y210" si="237">IF(W19=0,0,W19*1000000/W73)</f>
        <v>56770.103416747341</v>
      </c>
      <c r="X210" s="28">
        <f t="shared" si="237"/>
        <v>54347.669510121857</v>
      </c>
      <c r="Y210" s="28">
        <f t="shared" si="237"/>
        <v>50587.523899492684</v>
      </c>
      <c r="DA210" s="173" t="s">
        <v>618</v>
      </c>
    </row>
    <row r="211" spans="1:105" ht="11.45" customHeight="1" x14ac:dyDescent="0.25">
      <c r="A211" s="136" t="s">
        <v>153</v>
      </c>
      <c r="B211" s="137">
        <f t="shared" si="236"/>
        <v>4416.5318273120811</v>
      </c>
      <c r="C211" s="137">
        <f t="shared" si="236"/>
        <v>4475.8424858587232</v>
      </c>
      <c r="D211" s="137">
        <f t="shared" si="236"/>
        <v>4439.3868851894103</v>
      </c>
      <c r="E211" s="137">
        <f t="shared" si="236"/>
        <v>4457.8773439403185</v>
      </c>
      <c r="F211" s="137">
        <f t="shared" si="236"/>
        <v>4534.8550546231018</v>
      </c>
      <c r="G211" s="137">
        <f t="shared" si="236"/>
        <v>4500.6564255066796</v>
      </c>
      <c r="H211" s="137">
        <f t="shared" si="236"/>
        <v>4633.4626099103534</v>
      </c>
      <c r="I211" s="137">
        <f t="shared" si="236"/>
        <v>4751.4169867783776</v>
      </c>
      <c r="J211" s="137">
        <f t="shared" si="236"/>
        <v>4768.2061607786409</v>
      </c>
      <c r="K211" s="137">
        <f t="shared" si="236"/>
        <v>4497.5126762475011</v>
      </c>
      <c r="L211" s="137">
        <f t="shared" si="236"/>
        <v>4550.9926395155089</v>
      </c>
      <c r="M211" s="137">
        <f t="shared" si="235"/>
        <v>4670.7285779021213</v>
      </c>
      <c r="N211" s="137">
        <f t="shared" si="236"/>
        <v>4556.2851059015229</v>
      </c>
      <c r="O211" s="137">
        <f t="shared" si="236"/>
        <v>4602.4598392535727</v>
      </c>
      <c r="P211" s="137">
        <f t="shared" si="236"/>
        <v>4462.5642434826641</v>
      </c>
      <c r="Q211" s="137">
        <f t="shared" si="236"/>
        <v>4568.0644373478353</v>
      </c>
      <c r="R211" s="137">
        <f t="shared" si="236"/>
        <v>4561.9286251624817</v>
      </c>
      <c r="S211" s="137">
        <f t="shared" si="236"/>
        <v>4502.910642976407</v>
      </c>
      <c r="T211" s="137">
        <f t="shared" si="236"/>
        <v>4441.0594277232467</v>
      </c>
      <c r="U211" s="137">
        <f t="shared" si="236"/>
        <v>4334.6498248140742</v>
      </c>
      <c r="V211" s="137">
        <f t="shared" si="236"/>
        <v>4150.6980491587638</v>
      </c>
      <c r="W211" s="137">
        <f t="shared" ref="W211:Y211" si="238">IF(W20=0,0,W20*1000000/W74)</f>
        <v>4201.1586750473743</v>
      </c>
      <c r="X211" s="137">
        <f t="shared" si="238"/>
        <v>4119.247516808583</v>
      </c>
      <c r="Y211" s="137">
        <f t="shared" si="238"/>
        <v>4041.6142257572305</v>
      </c>
      <c r="DA211" s="174" t="s">
        <v>619</v>
      </c>
    </row>
    <row r="212" spans="1:105" ht="11.45" customHeight="1" x14ac:dyDescent="0.25">
      <c r="A212" s="111" t="s">
        <v>110</v>
      </c>
      <c r="B212" s="84">
        <f t="shared" si="236"/>
        <v>1370.8604988103423</v>
      </c>
      <c r="C212" s="84">
        <f t="shared" si="236"/>
        <v>1362.0376459243398</v>
      </c>
      <c r="D212" s="84">
        <f t="shared" si="236"/>
        <v>1326.7340632686</v>
      </c>
      <c r="E212" s="84">
        <f t="shared" si="236"/>
        <v>1311.7438791929142</v>
      </c>
      <c r="F212" s="84">
        <f t="shared" si="236"/>
        <v>1327.3235677725602</v>
      </c>
      <c r="G212" s="84">
        <f t="shared" si="236"/>
        <v>1315.9367045931399</v>
      </c>
      <c r="H212" s="84">
        <f t="shared" si="236"/>
        <v>1323.6825289587496</v>
      </c>
      <c r="I212" s="84">
        <f t="shared" si="236"/>
        <v>1373.0165377670464</v>
      </c>
      <c r="J212" s="84">
        <f t="shared" si="236"/>
        <v>1385.6389849377445</v>
      </c>
      <c r="K212" s="84">
        <f t="shared" si="236"/>
        <v>1348.8515324975065</v>
      </c>
      <c r="L212" s="84">
        <f t="shared" si="236"/>
        <v>1356.8470046739351</v>
      </c>
      <c r="M212" s="84">
        <f t="shared" si="235"/>
        <v>1367.0544464985364</v>
      </c>
      <c r="N212" s="84">
        <f t="shared" si="236"/>
        <v>1365.8495726372655</v>
      </c>
      <c r="O212" s="84">
        <f t="shared" si="236"/>
        <v>1377.1591870445552</v>
      </c>
      <c r="P212" s="84">
        <f t="shared" si="236"/>
        <v>1411.4946662843413</v>
      </c>
      <c r="Q212" s="84">
        <f t="shared" si="236"/>
        <v>1435.1242035005992</v>
      </c>
      <c r="R212" s="84">
        <f t="shared" si="236"/>
        <v>1431.7534593345836</v>
      </c>
      <c r="S212" s="84">
        <f t="shared" si="236"/>
        <v>1413.9947483200203</v>
      </c>
      <c r="T212" s="84">
        <f t="shared" si="236"/>
        <v>1396.1369070037383</v>
      </c>
      <c r="U212" s="84">
        <f t="shared" si="236"/>
        <v>1369.1388395306371</v>
      </c>
      <c r="V212" s="84">
        <f t="shared" si="236"/>
        <v>1313.8336877235542</v>
      </c>
      <c r="W212" s="84">
        <f t="shared" ref="W212:Y212" si="239">IF(W21=0,0,W21*1000000/W75)</f>
        <v>1329.9078368400681</v>
      </c>
      <c r="X212" s="84">
        <f t="shared" si="239"/>
        <v>1308.7183773807233</v>
      </c>
      <c r="Y212" s="84">
        <f t="shared" si="239"/>
        <v>1289.323426854331</v>
      </c>
      <c r="DA212" s="171" t="s">
        <v>620</v>
      </c>
    </row>
    <row r="213" spans="1:105" ht="11.45" customHeight="1" x14ac:dyDescent="0.25">
      <c r="A213" s="111" t="s">
        <v>111</v>
      </c>
      <c r="B213" s="84">
        <f t="shared" si="236"/>
        <v>4894.1785375133004</v>
      </c>
      <c r="C213" s="84">
        <f t="shared" si="236"/>
        <v>4890.6674709756171</v>
      </c>
      <c r="D213" s="84">
        <f t="shared" si="236"/>
        <v>4801.1421055248902</v>
      </c>
      <c r="E213" s="84">
        <f t="shared" si="236"/>
        <v>4778.4395645802852</v>
      </c>
      <c r="F213" s="84">
        <f t="shared" si="236"/>
        <v>4823.0021304612437</v>
      </c>
      <c r="G213" s="84">
        <f t="shared" si="236"/>
        <v>4756.8638983772889</v>
      </c>
      <c r="H213" s="84">
        <f t="shared" si="236"/>
        <v>4878.9474941284579</v>
      </c>
      <c r="I213" s="84">
        <f t="shared" si="236"/>
        <v>4982.6630699473499</v>
      </c>
      <c r="J213" s="84">
        <f t="shared" si="236"/>
        <v>4984.9272676599394</v>
      </c>
      <c r="K213" s="84">
        <f t="shared" si="236"/>
        <v>4690.1802587613529</v>
      </c>
      <c r="L213" s="84">
        <f t="shared" si="236"/>
        <v>4739.8782858834629</v>
      </c>
      <c r="M213" s="84">
        <f t="shared" si="235"/>
        <v>4862.3113822910027</v>
      </c>
      <c r="N213" s="84">
        <f t="shared" si="236"/>
        <v>4738.7010596653945</v>
      </c>
      <c r="O213" s="84">
        <f t="shared" si="236"/>
        <v>4783.5190397245833</v>
      </c>
      <c r="P213" s="84">
        <f t="shared" si="236"/>
        <v>4633.6765425382018</v>
      </c>
      <c r="Q213" s="84">
        <f t="shared" si="236"/>
        <v>4742.0081478261709</v>
      </c>
      <c r="R213" s="84">
        <f t="shared" si="236"/>
        <v>4730.8703687680973</v>
      </c>
      <c r="S213" s="84">
        <f t="shared" si="236"/>
        <v>4672.1911602922464</v>
      </c>
      <c r="T213" s="84">
        <f t="shared" si="236"/>
        <v>4613.1844005861285</v>
      </c>
      <c r="U213" s="84">
        <f t="shared" si="236"/>
        <v>4523.9760549804132</v>
      </c>
      <c r="V213" s="84">
        <f t="shared" si="236"/>
        <v>4341.2340457199998</v>
      </c>
      <c r="W213" s="84">
        <f t="shared" ref="W213:Y213" si="240">IF(W22=0,0,W22*1000000/W76)</f>
        <v>4394.347041719896</v>
      </c>
      <c r="X213" s="84">
        <f t="shared" si="240"/>
        <v>4324.3317850897392</v>
      </c>
      <c r="Y213" s="84">
        <f t="shared" si="240"/>
        <v>4260.2460333488807</v>
      </c>
      <c r="DA213" s="171" t="s">
        <v>621</v>
      </c>
    </row>
    <row r="214" spans="1:105" ht="11.45" customHeight="1" x14ac:dyDescent="0.25">
      <c r="A214" s="111" t="s">
        <v>112</v>
      </c>
      <c r="B214" s="84">
        <f t="shared" si="236"/>
        <v>1435.6697511202569</v>
      </c>
      <c r="C214" s="84">
        <f t="shared" si="236"/>
        <v>1426.4297861362118</v>
      </c>
      <c r="D214" s="84">
        <f t="shared" si="236"/>
        <v>1389.4571796828166</v>
      </c>
      <c r="E214" s="84">
        <f t="shared" si="236"/>
        <v>1373.7583147291155</v>
      </c>
      <c r="F214" s="84">
        <f t="shared" si="236"/>
        <v>1390.0745537958055</v>
      </c>
      <c r="G214" s="84">
        <f t="shared" si="236"/>
        <v>1378.1493615234879</v>
      </c>
      <c r="H214" s="84">
        <f t="shared" si="236"/>
        <v>1386.2613800321888</v>
      </c>
      <c r="I214" s="84">
        <f t="shared" si="236"/>
        <v>1437.9277196845726</v>
      </c>
      <c r="J214" s="84">
        <f t="shared" si="236"/>
        <v>1451.1469098237667</v>
      </c>
      <c r="K214" s="84">
        <f t="shared" si="236"/>
        <v>1412.620281669364</v>
      </c>
      <c r="L214" s="84">
        <f t="shared" si="236"/>
        <v>1420.9937504209865</v>
      </c>
      <c r="M214" s="84">
        <f t="shared" si="235"/>
        <v>1431.6837626261799</v>
      </c>
      <c r="N214" s="84">
        <f t="shared" si="236"/>
        <v>1430.421926751528</v>
      </c>
      <c r="O214" s="84">
        <f t="shared" si="236"/>
        <v>1442.2662182133292</v>
      </c>
      <c r="P214" s="84">
        <f t="shared" si="236"/>
        <v>1478.2249528749201</v>
      </c>
      <c r="Q214" s="84">
        <f t="shared" si="236"/>
        <v>1502.9716078728513</v>
      </c>
      <c r="R214" s="84">
        <f t="shared" si="236"/>
        <v>1499.4415072957961</v>
      </c>
      <c r="S214" s="84">
        <f t="shared" si="236"/>
        <v>1480.8432296120923</v>
      </c>
      <c r="T214" s="84">
        <f t="shared" si="236"/>
        <v>1462.1411351098877</v>
      </c>
      <c r="U214" s="84">
        <f t="shared" si="236"/>
        <v>1433.866698109571</v>
      </c>
      <c r="V214" s="84">
        <f t="shared" si="236"/>
        <v>1375.9469217359374</v>
      </c>
      <c r="W214" s="84">
        <f t="shared" ref="W214:Y214" si="241">IF(W23=0,0,W23*1000000/W77)</f>
        <v>1392.780997618642</v>
      </c>
      <c r="X214" s="84">
        <f t="shared" si="241"/>
        <v>1392.6963324677884</v>
      </c>
      <c r="Y214" s="84">
        <f t="shared" si="241"/>
        <v>1394.1870618870462</v>
      </c>
      <c r="DA214" s="171" t="s">
        <v>622</v>
      </c>
    </row>
    <row r="215" spans="1:105" ht="11.45" customHeight="1" x14ac:dyDescent="0.25">
      <c r="A215" s="111" t="s">
        <v>113</v>
      </c>
      <c r="B215" s="84">
        <f t="shared" si="236"/>
        <v>0</v>
      </c>
      <c r="C215" s="84">
        <f t="shared" si="236"/>
        <v>0</v>
      </c>
      <c r="D215" s="84">
        <f t="shared" si="236"/>
        <v>0</v>
      </c>
      <c r="E215" s="84">
        <f t="shared" si="236"/>
        <v>2380.5290279987262</v>
      </c>
      <c r="F215" s="84">
        <f t="shared" si="236"/>
        <v>2370.5673448755661</v>
      </c>
      <c r="G215" s="84">
        <f t="shared" si="236"/>
        <v>2312.9249933365727</v>
      </c>
      <c r="H215" s="84">
        <f t="shared" si="236"/>
        <v>2289.6096239242306</v>
      </c>
      <c r="I215" s="84">
        <f t="shared" si="236"/>
        <v>2337.2460263713774</v>
      </c>
      <c r="J215" s="84">
        <f t="shared" si="236"/>
        <v>2358.7328502233136</v>
      </c>
      <c r="K215" s="84">
        <f t="shared" si="236"/>
        <v>2259.6640077833313</v>
      </c>
      <c r="L215" s="84">
        <f t="shared" si="236"/>
        <v>2266.6089669653347</v>
      </c>
      <c r="M215" s="84">
        <f t="shared" si="235"/>
        <v>2247.4114583700466</v>
      </c>
      <c r="N215" s="84">
        <f t="shared" si="236"/>
        <v>2209.7884877358829</v>
      </c>
      <c r="O215" s="84">
        <f t="shared" si="236"/>
        <v>2192.7192832364985</v>
      </c>
      <c r="P215" s="84">
        <f t="shared" si="236"/>
        <v>2211.7151371526506</v>
      </c>
      <c r="Q215" s="84">
        <f t="shared" si="236"/>
        <v>2213.0462715287244</v>
      </c>
      <c r="R215" s="84">
        <f t="shared" si="236"/>
        <v>2243.4592735776328</v>
      </c>
      <c r="S215" s="84">
        <f t="shared" si="236"/>
        <v>2251.3690357686551</v>
      </c>
      <c r="T215" s="84">
        <f t="shared" si="236"/>
        <v>2258.7899328057151</v>
      </c>
      <c r="U215" s="84">
        <f t="shared" si="236"/>
        <v>2250.8381607929718</v>
      </c>
      <c r="V215" s="84">
        <f t="shared" si="236"/>
        <v>2194.7553463560712</v>
      </c>
      <c r="W215" s="84">
        <f t="shared" ref="W215:Y215" si="242">IF(W24=0,0,W24*1000000/W78)</f>
        <v>2221.6071656093277</v>
      </c>
      <c r="X215" s="84">
        <f t="shared" si="242"/>
        <v>2186.2102353362343</v>
      </c>
      <c r="Y215" s="84">
        <f t="shared" si="242"/>
        <v>2188.5503347811168</v>
      </c>
      <c r="DA215" s="171" t="s">
        <v>623</v>
      </c>
    </row>
    <row r="216" spans="1:105" ht="11.45" customHeight="1" x14ac:dyDescent="0.25">
      <c r="A216" s="111" t="s">
        <v>115</v>
      </c>
      <c r="B216" s="84">
        <f t="shared" si="236"/>
        <v>0</v>
      </c>
      <c r="C216" s="84">
        <f t="shared" si="236"/>
        <v>0</v>
      </c>
      <c r="D216" s="84">
        <f t="shared" si="236"/>
        <v>0</v>
      </c>
      <c r="E216" s="84">
        <f t="shared" si="236"/>
        <v>0</v>
      </c>
      <c r="F216" s="84">
        <f t="shared" si="236"/>
        <v>0</v>
      </c>
      <c r="G216" s="84">
        <f t="shared" si="236"/>
        <v>0</v>
      </c>
      <c r="H216" s="84">
        <f t="shared" si="236"/>
        <v>0</v>
      </c>
      <c r="I216" s="84">
        <f t="shared" si="236"/>
        <v>0</v>
      </c>
      <c r="J216" s="84">
        <f t="shared" si="236"/>
        <v>0</v>
      </c>
      <c r="K216" s="84">
        <f t="shared" si="236"/>
        <v>0</v>
      </c>
      <c r="L216" s="84">
        <f t="shared" si="236"/>
        <v>0</v>
      </c>
      <c r="M216" s="84">
        <f t="shared" si="235"/>
        <v>2745.840962577573</v>
      </c>
      <c r="N216" s="84">
        <f t="shared" si="236"/>
        <v>2747.007803486897</v>
      </c>
      <c r="O216" s="84">
        <f t="shared" si="236"/>
        <v>2747.0347394775049</v>
      </c>
      <c r="P216" s="84">
        <f t="shared" si="236"/>
        <v>2749.2052443107023</v>
      </c>
      <c r="Q216" s="84">
        <f t="shared" si="236"/>
        <v>2750.3263552112076</v>
      </c>
      <c r="R216" s="84">
        <f t="shared" si="236"/>
        <v>2749.5814112118287</v>
      </c>
      <c r="S216" s="84">
        <f t="shared" si="236"/>
        <v>2749.0000322739597</v>
      </c>
      <c r="T216" s="84">
        <f t="shared" si="236"/>
        <v>2748.3888385668829</v>
      </c>
      <c r="U216" s="84">
        <f t="shared" si="236"/>
        <v>2746.8859013930437</v>
      </c>
      <c r="V216" s="84">
        <f t="shared" si="236"/>
        <v>2682.5264388026935</v>
      </c>
      <c r="W216" s="84">
        <f t="shared" ref="W216:Y216" si="243">IF(W25=0,0,W25*1000000/W79)</f>
        <v>2745.1870494630325</v>
      </c>
      <c r="X216" s="84">
        <f t="shared" si="243"/>
        <v>2742.6634362407053</v>
      </c>
      <c r="Y216" s="84">
        <f t="shared" si="243"/>
        <v>2741.7636707632282</v>
      </c>
      <c r="DA216" s="171" t="s">
        <v>624</v>
      </c>
    </row>
    <row r="217" spans="1:105" ht="11.45" customHeight="1" x14ac:dyDescent="0.25">
      <c r="A217" s="109" t="s">
        <v>154</v>
      </c>
      <c r="B217" s="110">
        <f t="shared" si="236"/>
        <v>391323.97213639662</v>
      </c>
      <c r="C217" s="110">
        <f t="shared" si="236"/>
        <v>381929.49284645548</v>
      </c>
      <c r="D217" s="110">
        <f t="shared" si="236"/>
        <v>381298.81329572079</v>
      </c>
      <c r="E217" s="110">
        <f t="shared" si="236"/>
        <v>402193.17000953463</v>
      </c>
      <c r="F217" s="110">
        <f t="shared" si="236"/>
        <v>507035.84939175745</v>
      </c>
      <c r="G217" s="110">
        <f t="shared" si="236"/>
        <v>481613.02162791975</v>
      </c>
      <c r="H217" s="110">
        <f t="shared" si="236"/>
        <v>489146.63218426384</v>
      </c>
      <c r="I217" s="110">
        <f t="shared" si="236"/>
        <v>449793.05960578792</v>
      </c>
      <c r="J217" s="110">
        <f t="shared" si="236"/>
        <v>462706.23703954427</v>
      </c>
      <c r="K217" s="110">
        <f t="shared" si="236"/>
        <v>423130.0506003226</v>
      </c>
      <c r="L217" s="110">
        <f t="shared" si="236"/>
        <v>423651.7785269196</v>
      </c>
      <c r="M217" s="110">
        <f t="shared" si="235"/>
        <v>431630.64064498444</v>
      </c>
      <c r="N217" s="110">
        <f t="shared" si="236"/>
        <v>409457.48265480832</v>
      </c>
      <c r="O217" s="110">
        <f t="shared" si="236"/>
        <v>454298.58986216207</v>
      </c>
      <c r="P217" s="110">
        <f t="shared" si="236"/>
        <v>466395.102916078</v>
      </c>
      <c r="Q217" s="110">
        <f t="shared" si="236"/>
        <v>462820.0786666348</v>
      </c>
      <c r="R217" s="110">
        <f t="shared" si="236"/>
        <v>469338.60955408943</v>
      </c>
      <c r="S217" s="110">
        <f t="shared" si="236"/>
        <v>457401.14200773957</v>
      </c>
      <c r="T217" s="110">
        <f t="shared" si="236"/>
        <v>456419.34121971211</v>
      </c>
      <c r="U217" s="110">
        <f t="shared" si="236"/>
        <v>455126.87602673087</v>
      </c>
      <c r="V217" s="110">
        <f t="shared" si="236"/>
        <v>453158.57327030512</v>
      </c>
      <c r="W217" s="110">
        <f t="shared" ref="W217:Y217" si="244">IF(W26=0,0,W26*1000000/W80)</f>
        <v>461082.66334235424</v>
      </c>
      <c r="X217" s="110">
        <f t="shared" si="244"/>
        <v>424704.26983701321</v>
      </c>
      <c r="Y217" s="110">
        <f t="shared" si="244"/>
        <v>394368.57438486547</v>
      </c>
      <c r="DA217" s="176" t="s">
        <v>625</v>
      </c>
    </row>
    <row r="218" spans="1:105" ht="11.45" customHeight="1" x14ac:dyDescent="0.25">
      <c r="A218" s="111" t="s">
        <v>27</v>
      </c>
      <c r="B218" s="163">
        <f t="shared" si="236"/>
        <v>306270.6975750454</v>
      </c>
      <c r="C218" s="163">
        <f t="shared" si="236"/>
        <v>292448.91413045529</v>
      </c>
      <c r="D218" s="163">
        <f t="shared" si="236"/>
        <v>286000.56716135738</v>
      </c>
      <c r="E218" s="163">
        <f t="shared" si="236"/>
        <v>306237.47494989983</v>
      </c>
      <c r="F218" s="163">
        <f t="shared" si="236"/>
        <v>392287.86425161536</v>
      </c>
      <c r="G218" s="163">
        <f t="shared" si="236"/>
        <v>360719.46686009609</v>
      </c>
      <c r="H218" s="163">
        <f t="shared" si="236"/>
        <v>358647.25136188569</v>
      </c>
      <c r="I218" s="163">
        <f t="shared" si="236"/>
        <v>322860.99069904466</v>
      </c>
      <c r="J218" s="163">
        <f t="shared" si="236"/>
        <v>338175.63284452521</v>
      </c>
      <c r="K218" s="163">
        <f t="shared" si="236"/>
        <v>311370.99819160986</v>
      </c>
      <c r="L218" s="163">
        <f t="shared" si="236"/>
        <v>300009.9790440076</v>
      </c>
      <c r="M218" s="163">
        <f t="shared" si="235"/>
        <v>308852.58590837795</v>
      </c>
      <c r="N218" s="163">
        <f t="shared" si="236"/>
        <v>288316.6207825091</v>
      </c>
      <c r="O218" s="163">
        <f t="shared" si="236"/>
        <v>334154.08808284794</v>
      </c>
      <c r="P218" s="163">
        <f t="shared" si="236"/>
        <v>341438.88547775825</v>
      </c>
      <c r="Q218" s="163">
        <f t="shared" si="236"/>
        <v>337519.54088109703</v>
      </c>
      <c r="R218" s="163">
        <f t="shared" si="236"/>
        <v>343079.077546168</v>
      </c>
      <c r="S218" s="163">
        <f t="shared" si="236"/>
        <v>328655.52714515076</v>
      </c>
      <c r="T218" s="163">
        <f t="shared" si="236"/>
        <v>331455.13588742411</v>
      </c>
      <c r="U218" s="163">
        <f t="shared" si="236"/>
        <v>330058.16988589754</v>
      </c>
      <c r="V218" s="163">
        <f t="shared" si="236"/>
        <v>326983.26684293628</v>
      </c>
      <c r="W218" s="163">
        <f t="shared" ref="W218:Y218" si="245">IF(W27=0,0,W27*1000000/W81)</f>
        <v>335296.18399645021</v>
      </c>
      <c r="X218" s="163">
        <f t="shared" si="245"/>
        <v>305193.7984496124</v>
      </c>
      <c r="Y218" s="163">
        <f t="shared" si="245"/>
        <v>278969.88479417906</v>
      </c>
      <c r="DA218" s="207" t="s">
        <v>626</v>
      </c>
    </row>
    <row r="219" spans="1:105" ht="11.45" customHeight="1" x14ac:dyDescent="0.25">
      <c r="A219" s="138" t="s">
        <v>116</v>
      </c>
      <c r="B219" s="86">
        <f t="shared" si="236"/>
        <v>1211901.1983011952</v>
      </c>
      <c r="C219" s="86">
        <f t="shared" si="236"/>
        <v>1210799.7526331013</v>
      </c>
      <c r="D219" s="86">
        <f t="shared" si="236"/>
        <v>1218780.2436458042</v>
      </c>
      <c r="E219" s="86">
        <f t="shared" si="236"/>
        <v>1211639.9760587555</v>
      </c>
      <c r="F219" s="86">
        <f t="shared" si="236"/>
        <v>1189410.9138974706</v>
      </c>
      <c r="G219" s="86">
        <f t="shared" si="236"/>
        <v>1189938.9479360823</v>
      </c>
      <c r="H219" s="86">
        <f t="shared" si="236"/>
        <v>1197528.5360820312</v>
      </c>
      <c r="I219" s="86">
        <f t="shared" si="236"/>
        <v>1199816.7809096426</v>
      </c>
      <c r="J219" s="86">
        <f t="shared" si="236"/>
        <v>1182835.1928232042</v>
      </c>
      <c r="K219" s="86">
        <f t="shared" si="236"/>
        <v>1167170.1744686605</v>
      </c>
      <c r="L219" s="86">
        <f t="shared" si="236"/>
        <v>1205167.1516934778</v>
      </c>
      <c r="M219" s="86">
        <f t="shared" si="235"/>
        <v>1201284.3520903299</v>
      </c>
      <c r="N219" s="86">
        <f t="shared" si="236"/>
        <v>1197320.3473677698</v>
      </c>
      <c r="O219" s="86">
        <f t="shared" si="236"/>
        <v>1198915.6325325086</v>
      </c>
      <c r="P219" s="86">
        <f t="shared" si="236"/>
        <v>1201776.9614705956</v>
      </c>
      <c r="Q219" s="86">
        <f t="shared" si="236"/>
        <v>1190505.3186101494</v>
      </c>
      <c r="R219" s="86">
        <f t="shared" si="236"/>
        <v>1184357.8580569853</v>
      </c>
      <c r="S219" s="86">
        <f t="shared" si="236"/>
        <v>1191048.2889476467</v>
      </c>
      <c r="T219" s="86">
        <f t="shared" si="236"/>
        <v>1202469.5632104322</v>
      </c>
      <c r="U219" s="86">
        <f t="shared" si="236"/>
        <v>1195299.5696789143</v>
      </c>
      <c r="V219" s="86">
        <f t="shared" si="236"/>
        <v>1178255.0335570469</v>
      </c>
      <c r="W219" s="86">
        <f t="shared" ref="W219:Y219" si="246">IF(W28=0,0,W28*1000000/W82)</f>
        <v>1193946.2487208489</v>
      </c>
      <c r="X219" s="86">
        <f t="shared" si="246"/>
        <v>1189429.0123456791</v>
      </c>
      <c r="Y219" s="86">
        <f t="shared" si="246"/>
        <v>1176185.3140868375</v>
      </c>
      <c r="DA219" s="178" t="s">
        <v>627</v>
      </c>
    </row>
    <row r="220" spans="1:105" ht="11.45" customHeight="1" x14ac:dyDescent="0.25">
      <c r="A220" s="106"/>
      <c r="B220" s="106"/>
      <c r="C220" s="106"/>
      <c r="D220" s="106"/>
      <c r="E220" s="106"/>
      <c r="F220" s="106"/>
      <c r="G220" s="106"/>
      <c r="H220" s="106"/>
      <c r="I220" s="106"/>
      <c r="J220" s="106"/>
      <c r="K220" s="106"/>
      <c r="L220" s="106"/>
      <c r="M220" s="106"/>
      <c r="N220" s="106"/>
      <c r="O220" s="106"/>
      <c r="P220" s="106"/>
      <c r="Q220" s="106"/>
      <c r="R220" s="106"/>
      <c r="S220" s="106"/>
      <c r="T220" s="106"/>
      <c r="U220" s="106"/>
      <c r="V220" s="106"/>
      <c r="W220" s="106"/>
      <c r="X220" s="106"/>
      <c r="Y220" s="106"/>
      <c r="DA220" s="171"/>
    </row>
    <row r="221" spans="1:105" ht="11.45" customHeight="1" x14ac:dyDescent="0.25">
      <c r="A221" s="53" t="s">
        <v>37</v>
      </c>
      <c r="B221" s="76"/>
      <c r="C221" s="76"/>
      <c r="D221" s="76"/>
      <c r="E221" s="76"/>
      <c r="F221" s="76"/>
      <c r="G221" s="76"/>
      <c r="H221" s="76"/>
      <c r="I221" s="76"/>
      <c r="J221" s="76"/>
      <c r="K221" s="76"/>
      <c r="L221" s="76"/>
      <c r="M221" s="76"/>
      <c r="N221" s="76"/>
      <c r="O221" s="76"/>
      <c r="P221" s="76"/>
      <c r="Q221" s="76"/>
      <c r="R221" s="76"/>
      <c r="S221" s="76"/>
      <c r="T221" s="76"/>
      <c r="U221" s="76"/>
      <c r="V221" s="76"/>
      <c r="W221" s="76"/>
      <c r="X221" s="76"/>
      <c r="Y221" s="76"/>
      <c r="DA221" s="183"/>
    </row>
    <row r="222" spans="1:105" ht="11.45" customHeight="1" x14ac:dyDescent="0.25">
      <c r="A222" s="27" t="s">
        <v>38</v>
      </c>
      <c r="B222" s="46">
        <f t="shared" ref="B222:K222" si="247">IF(B4=0,0,B4/B$4)</f>
        <v>1</v>
      </c>
      <c r="C222" s="46">
        <f t="shared" si="247"/>
        <v>1</v>
      </c>
      <c r="D222" s="46">
        <f t="shared" si="247"/>
        <v>1</v>
      </c>
      <c r="E222" s="46">
        <f t="shared" si="247"/>
        <v>1</v>
      </c>
      <c r="F222" s="46">
        <f t="shared" si="247"/>
        <v>1</v>
      </c>
      <c r="G222" s="46">
        <f t="shared" si="247"/>
        <v>1</v>
      </c>
      <c r="H222" s="46">
        <f t="shared" si="247"/>
        <v>1</v>
      </c>
      <c r="I222" s="46">
        <f t="shared" si="247"/>
        <v>1</v>
      </c>
      <c r="J222" s="46">
        <f t="shared" si="247"/>
        <v>1</v>
      </c>
      <c r="K222" s="46">
        <f t="shared" si="247"/>
        <v>1</v>
      </c>
      <c r="L222" s="46">
        <f t="shared" ref="L222" si="248">IF(L4=0,0,L4/L$4)</f>
        <v>1</v>
      </c>
      <c r="M222" s="46">
        <f t="shared" ref="M222:V222" si="249">IF(M4=0,0,M4/M$4)</f>
        <v>1</v>
      </c>
      <c r="N222" s="46">
        <f t="shared" si="249"/>
        <v>1</v>
      </c>
      <c r="O222" s="46">
        <f t="shared" si="249"/>
        <v>1</v>
      </c>
      <c r="P222" s="46">
        <f t="shared" si="249"/>
        <v>1</v>
      </c>
      <c r="Q222" s="46">
        <f t="shared" si="249"/>
        <v>1</v>
      </c>
      <c r="R222" s="46">
        <f t="shared" si="249"/>
        <v>1</v>
      </c>
      <c r="S222" s="46">
        <f t="shared" si="249"/>
        <v>1</v>
      </c>
      <c r="T222" s="46">
        <f t="shared" si="249"/>
        <v>1</v>
      </c>
      <c r="U222" s="46">
        <f t="shared" si="249"/>
        <v>1</v>
      </c>
      <c r="V222" s="46">
        <f t="shared" si="249"/>
        <v>1</v>
      </c>
      <c r="W222" s="46">
        <f t="shared" ref="W222:Y222" si="250">IF(W4=0,0,W4/W$4)</f>
        <v>1</v>
      </c>
      <c r="X222" s="46">
        <f t="shared" si="250"/>
        <v>1</v>
      </c>
      <c r="Y222" s="46">
        <f t="shared" si="250"/>
        <v>1</v>
      </c>
      <c r="DA222" s="211"/>
    </row>
    <row r="223" spans="1:105" ht="11.45" customHeight="1" x14ac:dyDescent="0.25">
      <c r="A223" s="153" t="s">
        <v>173</v>
      </c>
      <c r="B223" s="154">
        <f t="shared" ref="B223:K223" si="251">IF(B5=0,0,B5/B$4)</f>
        <v>2.2962558650162612E-2</v>
      </c>
      <c r="C223" s="154">
        <f t="shared" si="251"/>
        <v>2.3756699069868863E-2</v>
      </c>
      <c r="D223" s="154">
        <f t="shared" si="251"/>
        <v>2.4221624178105434E-2</v>
      </c>
      <c r="E223" s="154">
        <f t="shared" si="251"/>
        <v>2.409181021688055E-2</v>
      </c>
      <c r="F223" s="154">
        <f t="shared" si="251"/>
        <v>2.2248313942088611E-2</v>
      </c>
      <c r="G223" s="154">
        <f t="shared" si="251"/>
        <v>2.3535658558122771E-2</v>
      </c>
      <c r="H223" s="154">
        <f t="shared" si="251"/>
        <v>2.5320539038787636E-2</v>
      </c>
      <c r="I223" s="154">
        <f t="shared" si="251"/>
        <v>2.7744049812422462E-2</v>
      </c>
      <c r="J223" s="154">
        <f t="shared" si="251"/>
        <v>3.0574579385578012E-2</v>
      </c>
      <c r="K223" s="154">
        <f t="shared" si="251"/>
        <v>3.2064764516154649E-2</v>
      </c>
      <c r="L223" s="154">
        <f t="shared" ref="L223" si="252">IF(L5=0,0,L5/L$4)</f>
        <v>3.3174723205559233E-2</v>
      </c>
      <c r="M223" s="154">
        <f t="shared" ref="M223:V223" si="253">IF(M5=0,0,M5/M$4)</f>
        <v>3.3927962442960223E-2</v>
      </c>
      <c r="N223" s="154">
        <f t="shared" si="253"/>
        <v>3.3993837492761698E-2</v>
      </c>
      <c r="O223" s="154">
        <f t="shared" si="253"/>
        <v>3.2510423921302295E-2</v>
      </c>
      <c r="P223" s="154">
        <f t="shared" si="253"/>
        <v>3.1603161864648878E-2</v>
      </c>
      <c r="Q223" s="154">
        <f t="shared" si="253"/>
        <v>3.3732536613473044E-2</v>
      </c>
      <c r="R223" s="154">
        <f t="shared" si="253"/>
        <v>3.4226366476502179E-2</v>
      </c>
      <c r="S223" s="154">
        <f t="shared" si="253"/>
        <v>3.2914065473304416E-2</v>
      </c>
      <c r="T223" s="154">
        <f t="shared" si="253"/>
        <v>2.9435619566260646E-2</v>
      </c>
      <c r="U223" s="154">
        <f t="shared" si="253"/>
        <v>3.1206734795901161E-2</v>
      </c>
      <c r="V223" s="154">
        <f t="shared" si="253"/>
        <v>3.9486379850475088E-2</v>
      </c>
      <c r="W223" s="154">
        <f t="shared" ref="W223:Y223" si="254">IF(W5=0,0,W5/W$4)</f>
        <v>3.6461757748718016E-2</v>
      </c>
      <c r="X223" s="154">
        <f t="shared" si="254"/>
        <v>3.3763436096617132E-2</v>
      </c>
      <c r="Y223" s="154">
        <f t="shared" si="254"/>
        <v>3.3197320086873858E-2</v>
      </c>
      <c r="DA223" s="212"/>
    </row>
    <row r="224" spans="1:105" ht="11.45" customHeight="1" x14ac:dyDescent="0.25">
      <c r="A224" s="155" t="s">
        <v>20</v>
      </c>
      <c r="B224" s="156">
        <f t="shared" ref="B224:K224" si="255">IF(B6=0,0,B6/B$4)</f>
        <v>0.94607849827193458</v>
      </c>
      <c r="C224" s="156">
        <f t="shared" si="255"/>
        <v>0.9450600230745827</v>
      </c>
      <c r="D224" s="156">
        <f t="shared" si="255"/>
        <v>0.94681268038674415</v>
      </c>
      <c r="E224" s="156">
        <f t="shared" si="255"/>
        <v>0.94612041317690365</v>
      </c>
      <c r="F224" s="156">
        <f t="shared" si="255"/>
        <v>0.94834916719751217</v>
      </c>
      <c r="G224" s="156">
        <f t="shared" si="255"/>
        <v>0.94610364624033993</v>
      </c>
      <c r="H224" s="156">
        <f t="shared" si="255"/>
        <v>0.94368506944268593</v>
      </c>
      <c r="I224" s="156">
        <f t="shared" si="255"/>
        <v>0.9408842696114933</v>
      </c>
      <c r="J224" s="156">
        <f t="shared" si="255"/>
        <v>0.9372371076248639</v>
      </c>
      <c r="K224" s="156">
        <f t="shared" si="255"/>
        <v>0.93685231042643768</v>
      </c>
      <c r="L224" s="156">
        <f t="shared" ref="L224" si="256">IF(L6=0,0,L6/L$4)</f>
        <v>0.93538997904528598</v>
      </c>
      <c r="M224" s="156">
        <f t="shared" ref="M224:V224" si="257">IF(M6=0,0,M6/M$4)</f>
        <v>0.93367721093096456</v>
      </c>
      <c r="N224" s="156">
        <f t="shared" si="257"/>
        <v>0.93596503785357099</v>
      </c>
      <c r="O224" s="156">
        <f t="shared" si="257"/>
        <v>0.93752963385453902</v>
      </c>
      <c r="P224" s="156">
        <f t="shared" si="257"/>
        <v>0.93894799859630307</v>
      </c>
      <c r="Q224" s="156">
        <f t="shared" si="257"/>
        <v>0.93358493483230387</v>
      </c>
      <c r="R224" s="156">
        <f t="shared" si="257"/>
        <v>0.93281650264977178</v>
      </c>
      <c r="S224" s="156">
        <f t="shared" si="257"/>
        <v>0.93592184250382393</v>
      </c>
      <c r="T224" s="156">
        <f t="shared" si="257"/>
        <v>0.93585521802397043</v>
      </c>
      <c r="U224" s="156">
        <f t="shared" si="257"/>
        <v>0.93414744112344172</v>
      </c>
      <c r="V224" s="156">
        <f t="shared" si="257"/>
        <v>0.9387345569752833</v>
      </c>
      <c r="W224" s="156">
        <f t="shared" ref="W224:Y224" si="258">IF(W6=0,0,W6/W$4)</f>
        <v>0.93963628876669048</v>
      </c>
      <c r="X224" s="156">
        <f t="shared" si="258"/>
        <v>0.93497159034102373</v>
      </c>
      <c r="Y224" s="156">
        <f t="shared" si="258"/>
        <v>0.93724212412305108</v>
      </c>
      <c r="DA224" s="213"/>
    </row>
    <row r="225" spans="1:105" ht="11.45" customHeight="1" x14ac:dyDescent="0.25">
      <c r="A225" s="157" t="s">
        <v>110</v>
      </c>
      <c r="B225" s="103">
        <f t="shared" ref="B225:K225" si="259">IF(B7=0,0,B7/B$4)</f>
        <v>0.63098550184568547</v>
      </c>
      <c r="C225" s="103">
        <f t="shared" si="259"/>
        <v>0.6209325325733861</v>
      </c>
      <c r="D225" s="103">
        <f t="shared" si="259"/>
        <v>0.61418582420863133</v>
      </c>
      <c r="E225" s="103">
        <f t="shared" si="259"/>
        <v>0.60688336975169532</v>
      </c>
      <c r="F225" s="103">
        <f t="shared" si="259"/>
        <v>0.60404125292702926</v>
      </c>
      <c r="G225" s="103">
        <f t="shared" si="259"/>
        <v>0.59838851244389279</v>
      </c>
      <c r="H225" s="103">
        <f t="shared" si="259"/>
        <v>0.58842372128033504</v>
      </c>
      <c r="I225" s="103">
        <f t="shared" si="259"/>
        <v>0.58485350551473259</v>
      </c>
      <c r="J225" s="103">
        <f t="shared" si="259"/>
        <v>0.58776322118373336</v>
      </c>
      <c r="K225" s="103">
        <f t="shared" si="259"/>
        <v>0.59628055853655038</v>
      </c>
      <c r="L225" s="103">
        <f t="shared" ref="L225" si="260">IF(L7=0,0,L7/L$4)</f>
        <v>0.60228612254737546</v>
      </c>
      <c r="M225" s="103">
        <f t="shared" ref="M225:V225" si="261">IF(M7=0,0,M7/M$4)</f>
        <v>0.60791742247977132</v>
      </c>
      <c r="N225" s="103">
        <f t="shared" si="261"/>
        <v>0.60239671898022518</v>
      </c>
      <c r="O225" s="103">
        <f t="shared" si="261"/>
        <v>0.60246222909042746</v>
      </c>
      <c r="P225" s="103">
        <f t="shared" si="261"/>
        <v>0.60059119107754577</v>
      </c>
      <c r="Q225" s="103">
        <f t="shared" si="261"/>
        <v>0.5966416267498762</v>
      </c>
      <c r="R225" s="103">
        <f t="shared" si="261"/>
        <v>0.61180916536655683</v>
      </c>
      <c r="S225" s="103">
        <f t="shared" si="261"/>
        <v>0.62573890561755519</v>
      </c>
      <c r="T225" s="103">
        <f t="shared" si="261"/>
        <v>0.63824390031678369</v>
      </c>
      <c r="U225" s="103">
        <f t="shared" si="261"/>
        <v>0.65290762766681743</v>
      </c>
      <c r="V225" s="103">
        <f t="shared" si="261"/>
        <v>0.69640639573389185</v>
      </c>
      <c r="W225" s="103">
        <f t="shared" ref="W225:Y225" si="262">IF(W7=0,0,W7/W$4)</f>
        <v>0.63486013302988697</v>
      </c>
      <c r="X225" s="103">
        <f t="shared" si="262"/>
        <v>0.65977757666449155</v>
      </c>
      <c r="Y225" s="103">
        <f t="shared" si="262"/>
        <v>0.67081434590014066</v>
      </c>
      <c r="DA225" s="191"/>
    </row>
    <row r="226" spans="1:105" ht="11.45" customHeight="1" x14ac:dyDescent="0.25">
      <c r="A226" s="157" t="s">
        <v>111</v>
      </c>
      <c r="B226" s="103">
        <f t="shared" ref="B226:K226" si="263">IF(B8=0,0,B8/B$4)</f>
        <v>0.23525105163353824</v>
      </c>
      <c r="C226" s="103">
        <f t="shared" si="263"/>
        <v>0.24628540454474279</v>
      </c>
      <c r="D226" s="103">
        <f t="shared" si="263"/>
        <v>0.25902533831068036</v>
      </c>
      <c r="E226" s="103">
        <f t="shared" si="263"/>
        <v>0.2710287419824951</v>
      </c>
      <c r="F226" s="103">
        <f t="shared" si="263"/>
        <v>0.27911941357077596</v>
      </c>
      <c r="G226" s="103">
        <f t="shared" si="263"/>
        <v>0.28804521599064381</v>
      </c>
      <c r="H226" s="103">
        <f t="shared" si="263"/>
        <v>0.30076929751256237</v>
      </c>
      <c r="I226" s="103">
        <f t="shared" si="263"/>
        <v>0.30685234272803902</v>
      </c>
      <c r="J226" s="103">
        <f t="shared" si="263"/>
        <v>0.30602339369876147</v>
      </c>
      <c r="K226" s="103">
        <f t="shared" si="263"/>
        <v>0.30180091850316987</v>
      </c>
      <c r="L226" s="103">
        <f t="shared" ref="L226" si="264">IF(L8=0,0,L8/L$4)</f>
        <v>0.29805989920959314</v>
      </c>
      <c r="M226" s="103">
        <f t="shared" ref="M226:V226" si="265">IF(M8=0,0,M8/M$4)</f>
        <v>0.29581898907942972</v>
      </c>
      <c r="N226" s="103">
        <f t="shared" si="265"/>
        <v>0.30609567147389877</v>
      </c>
      <c r="O226" s="103">
        <f t="shared" si="265"/>
        <v>0.30584866472255456</v>
      </c>
      <c r="P226" s="103">
        <f t="shared" si="265"/>
        <v>0.30933080192271201</v>
      </c>
      <c r="Q226" s="103">
        <f t="shared" si="265"/>
        <v>0.30566012747680349</v>
      </c>
      <c r="R226" s="103">
        <f t="shared" si="265"/>
        <v>0.29242337707406224</v>
      </c>
      <c r="S226" s="103">
        <f t="shared" si="265"/>
        <v>0.28225957664418755</v>
      </c>
      <c r="T226" s="103">
        <f t="shared" si="265"/>
        <v>0.26751625105614801</v>
      </c>
      <c r="U226" s="103">
        <f t="shared" si="265"/>
        <v>0.2421646204136694</v>
      </c>
      <c r="V226" s="103">
        <f t="shared" si="265"/>
        <v>0.19338114261364012</v>
      </c>
      <c r="W226" s="103">
        <f t="shared" ref="W226:Y226" si="266">IF(W8=0,0,W8/W$4)</f>
        <v>0.2407823762053164</v>
      </c>
      <c r="X226" s="103">
        <f t="shared" si="266"/>
        <v>0.19927728901800273</v>
      </c>
      <c r="Y226" s="103">
        <f t="shared" si="266"/>
        <v>0.17122092571001205</v>
      </c>
      <c r="DA226" s="191"/>
    </row>
    <row r="227" spans="1:105" ht="11.45" customHeight="1" x14ac:dyDescent="0.25">
      <c r="A227" s="157" t="s">
        <v>112</v>
      </c>
      <c r="B227" s="103">
        <f t="shared" ref="B227:K227" si="267">IF(B9=0,0,B9/B$4)</f>
        <v>7.9841944792710853E-2</v>
      </c>
      <c r="C227" s="103">
        <f t="shared" si="267"/>
        <v>7.784208595645388E-2</v>
      </c>
      <c r="D227" s="103">
        <f t="shared" si="267"/>
        <v>7.3601517867432451E-2</v>
      </c>
      <c r="E227" s="103">
        <f t="shared" si="267"/>
        <v>6.820830144271306E-2</v>
      </c>
      <c r="F227" s="103">
        <f t="shared" si="267"/>
        <v>6.5188500699706942E-2</v>
      </c>
      <c r="G227" s="103">
        <f t="shared" si="267"/>
        <v>5.9669917805803302E-2</v>
      </c>
      <c r="H227" s="103">
        <f t="shared" si="267"/>
        <v>5.4492050649788487E-2</v>
      </c>
      <c r="I227" s="103">
        <f t="shared" si="267"/>
        <v>4.9178421368721845E-2</v>
      </c>
      <c r="J227" s="103">
        <f t="shared" si="267"/>
        <v>4.3450492742368979E-2</v>
      </c>
      <c r="K227" s="103">
        <f t="shared" si="267"/>
        <v>3.8767009389076124E-2</v>
      </c>
      <c r="L227" s="103">
        <f t="shared" ref="L227" si="268">IF(L9=0,0,L9/L$4)</f>
        <v>3.5007978991016049E-2</v>
      </c>
      <c r="M227" s="103">
        <f t="shared" ref="M227:V227" si="269">IF(M9=0,0,M9/M$4)</f>
        <v>2.9713385920197403E-2</v>
      </c>
      <c r="N227" s="103">
        <f t="shared" si="269"/>
        <v>2.5776983780743671E-2</v>
      </c>
      <c r="O227" s="103">
        <f t="shared" si="269"/>
        <v>2.5122254809626047E-2</v>
      </c>
      <c r="P227" s="103">
        <f t="shared" si="269"/>
        <v>2.2905714508079395E-2</v>
      </c>
      <c r="Q227" s="103">
        <f t="shared" si="269"/>
        <v>2.0717219663521389E-2</v>
      </c>
      <c r="R227" s="103">
        <f t="shared" si="269"/>
        <v>1.7594172747234564E-2</v>
      </c>
      <c r="S227" s="103">
        <f t="shared" si="269"/>
        <v>1.6243467943791536E-2</v>
      </c>
      <c r="T227" s="103">
        <f t="shared" si="269"/>
        <v>1.455881087857371E-2</v>
      </c>
      <c r="U227" s="103">
        <f t="shared" si="269"/>
        <v>1.5614306612568676E-2</v>
      </c>
      <c r="V227" s="103">
        <f t="shared" si="269"/>
        <v>1.4815695287733499E-2</v>
      </c>
      <c r="W227" s="103">
        <f t="shared" ref="W227:Y227" si="270">IF(W9=0,0,W9/W$4)</f>
        <v>1.2930343583300736E-2</v>
      </c>
      <c r="X227" s="103">
        <f t="shared" si="270"/>
        <v>1.2479266006939946E-2</v>
      </c>
      <c r="Y227" s="103">
        <f t="shared" si="270"/>
        <v>1.2210518035416233E-2</v>
      </c>
      <c r="DA227" s="191"/>
    </row>
    <row r="228" spans="1:105" ht="11.45" customHeight="1" x14ac:dyDescent="0.25">
      <c r="A228" s="157" t="s">
        <v>113</v>
      </c>
      <c r="B228" s="103">
        <f t="shared" ref="B228:K228" si="271">IF(B10=0,0,B10/B$4)</f>
        <v>0</v>
      </c>
      <c r="C228" s="103">
        <f t="shared" si="271"/>
        <v>0</v>
      </c>
      <c r="D228" s="103">
        <f t="shared" si="271"/>
        <v>0</v>
      </c>
      <c r="E228" s="103">
        <f t="shared" si="271"/>
        <v>0</v>
      </c>
      <c r="F228" s="103">
        <f t="shared" si="271"/>
        <v>0</v>
      </c>
      <c r="G228" s="103">
        <f t="shared" si="271"/>
        <v>0</v>
      </c>
      <c r="H228" s="103">
        <f t="shared" si="271"/>
        <v>0</v>
      </c>
      <c r="I228" s="103">
        <f t="shared" si="271"/>
        <v>0</v>
      </c>
      <c r="J228" s="103">
        <f t="shared" si="271"/>
        <v>0</v>
      </c>
      <c r="K228" s="103">
        <f t="shared" si="271"/>
        <v>0</v>
      </c>
      <c r="L228" s="103">
        <f t="shared" ref="L228" si="272">IF(L10=0,0,L10/L$4)</f>
        <v>2.4174163951154759E-5</v>
      </c>
      <c r="M228" s="103">
        <f t="shared" ref="M228:V228" si="273">IF(M10=0,0,M10/M$4)</f>
        <v>1.1148511140065813E-4</v>
      </c>
      <c r="N228" s="103">
        <f t="shared" si="273"/>
        <v>9.6169106332548687E-4</v>
      </c>
      <c r="O228" s="103">
        <f t="shared" si="273"/>
        <v>1.0860831959150533E-3</v>
      </c>
      <c r="P228" s="103">
        <f t="shared" si="273"/>
        <v>1.610906040226727E-3</v>
      </c>
      <c r="Q228" s="103">
        <f t="shared" si="273"/>
        <v>1.6769541135619073E-3</v>
      </c>
      <c r="R228" s="103">
        <f t="shared" si="273"/>
        <v>5.0910373551523423E-4</v>
      </c>
      <c r="S228" s="103">
        <f t="shared" si="273"/>
        <v>5.8612201993607147E-4</v>
      </c>
      <c r="T228" s="103">
        <f t="shared" si="273"/>
        <v>1.6463495351527891E-3</v>
      </c>
      <c r="U228" s="103">
        <f t="shared" si="273"/>
        <v>1.6302039897808341E-3</v>
      </c>
      <c r="V228" s="103">
        <f t="shared" si="273"/>
        <v>1.5764628595703936E-3</v>
      </c>
      <c r="W228" s="103">
        <f t="shared" ref="W228:Y228" si="274">IF(W10=0,0,W10/W$4)</f>
        <v>1.3185882481892336E-3</v>
      </c>
      <c r="X228" s="103">
        <f t="shared" si="274"/>
        <v>1.1717374132385312E-3</v>
      </c>
      <c r="Y228" s="103">
        <f t="shared" si="274"/>
        <v>4.2382931399352299E-4</v>
      </c>
      <c r="DA228" s="191"/>
    </row>
    <row r="229" spans="1:105" ht="11.45" customHeight="1" x14ac:dyDescent="0.25">
      <c r="A229" s="157" t="s">
        <v>114</v>
      </c>
      <c r="B229" s="103">
        <f t="shared" ref="B229:K229" si="275">IF(B11=0,0,B11/B$4)</f>
        <v>0</v>
      </c>
      <c r="C229" s="103">
        <f t="shared" si="275"/>
        <v>0</v>
      </c>
      <c r="D229" s="103">
        <f t="shared" si="275"/>
        <v>0</v>
      </c>
      <c r="E229" s="103">
        <f t="shared" si="275"/>
        <v>0</v>
      </c>
      <c r="F229" s="103">
        <f t="shared" si="275"/>
        <v>0</v>
      </c>
      <c r="G229" s="103">
        <f t="shared" si="275"/>
        <v>0</v>
      </c>
      <c r="H229" s="103">
        <f t="shared" si="275"/>
        <v>0</v>
      </c>
      <c r="I229" s="103">
        <f t="shared" si="275"/>
        <v>0</v>
      </c>
      <c r="J229" s="103">
        <f t="shared" si="275"/>
        <v>0</v>
      </c>
      <c r="K229" s="103">
        <f t="shared" si="275"/>
        <v>0</v>
      </c>
      <c r="L229" s="103">
        <f t="shared" ref="L229" si="276">IF(L11=0,0,L11/L$4)</f>
        <v>0</v>
      </c>
      <c r="M229" s="103">
        <f t="shared" ref="M229:V229" si="277">IF(M11=0,0,M11/M$4)</f>
        <v>1.4618730219033232E-6</v>
      </c>
      <c r="N229" s="103">
        <f t="shared" si="277"/>
        <v>4.3600513472718297E-4</v>
      </c>
      <c r="O229" s="103">
        <f t="shared" si="277"/>
        <v>2.4238741480361154E-3</v>
      </c>
      <c r="P229" s="103">
        <f t="shared" si="277"/>
        <v>3.5459379403684614E-3</v>
      </c>
      <c r="Q229" s="103">
        <f t="shared" si="277"/>
        <v>7.5743462913426965E-3</v>
      </c>
      <c r="R229" s="103">
        <f t="shared" si="277"/>
        <v>8.723579355147398E-3</v>
      </c>
      <c r="S229" s="103">
        <f t="shared" si="277"/>
        <v>8.2523160051468977E-3</v>
      </c>
      <c r="T229" s="103">
        <f t="shared" si="277"/>
        <v>8.0575666565684111E-3</v>
      </c>
      <c r="U229" s="103">
        <f t="shared" si="277"/>
        <v>7.9005137478751711E-3</v>
      </c>
      <c r="V229" s="103">
        <f t="shared" si="277"/>
        <v>8.9245939354253307E-3</v>
      </c>
      <c r="W229" s="103">
        <f t="shared" ref="W229:Y229" si="278">IF(W11=0,0,W11/W$4)</f>
        <v>1.1994927815609235E-2</v>
      </c>
      <c r="X229" s="103">
        <f t="shared" si="278"/>
        <v>1.5628394238659998E-2</v>
      </c>
      <c r="Y229" s="103">
        <f t="shared" si="278"/>
        <v>2.2787772716683523E-2</v>
      </c>
      <c r="DA229" s="191"/>
    </row>
    <row r="230" spans="1:105" ht="11.45" customHeight="1" x14ac:dyDescent="0.25">
      <c r="A230" s="157" t="s">
        <v>115</v>
      </c>
      <c r="B230" s="103">
        <f t="shared" ref="B230:K230" si="279">IF(B12=0,0,B12/B$4)</f>
        <v>0</v>
      </c>
      <c r="C230" s="103">
        <f t="shared" si="279"/>
        <v>0</v>
      </c>
      <c r="D230" s="103">
        <f t="shared" si="279"/>
        <v>0</v>
      </c>
      <c r="E230" s="103">
        <f t="shared" si="279"/>
        <v>0</v>
      </c>
      <c r="F230" s="103">
        <f t="shared" si="279"/>
        <v>0</v>
      </c>
      <c r="G230" s="103">
        <f t="shared" si="279"/>
        <v>0</v>
      </c>
      <c r="H230" s="103">
        <f t="shared" si="279"/>
        <v>0</v>
      </c>
      <c r="I230" s="103">
        <f t="shared" si="279"/>
        <v>0</v>
      </c>
      <c r="J230" s="103">
        <f t="shared" si="279"/>
        <v>0</v>
      </c>
      <c r="K230" s="103">
        <f t="shared" si="279"/>
        <v>3.823997641487279E-6</v>
      </c>
      <c r="L230" s="103">
        <f t="shared" ref="L230" si="280">IF(L12=0,0,L12/L$4)</f>
        <v>1.1804133350175445E-5</v>
      </c>
      <c r="M230" s="103">
        <f t="shared" ref="M230:V230" si="281">IF(M12=0,0,M12/M$4)</f>
        <v>1.1446646714348114E-4</v>
      </c>
      <c r="N230" s="103">
        <f t="shared" si="281"/>
        <v>2.9796742065068302E-4</v>
      </c>
      <c r="O230" s="103">
        <f t="shared" si="281"/>
        <v>5.8652788797960704E-4</v>
      </c>
      <c r="P230" s="103">
        <f t="shared" si="281"/>
        <v>9.6344710737106167E-4</v>
      </c>
      <c r="Q230" s="103">
        <f t="shared" si="281"/>
        <v>1.3146605371983382E-3</v>
      </c>
      <c r="R230" s="103">
        <f t="shared" si="281"/>
        <v>1.75710437125555E-3</v>
      </c>
      <c r="S230" s="103">
        <f t="shared" si="281"/>
        <v>2.8414542732065036E-3</v>
      </c>
      <c r="T230" s="103">
        <f t="shared" si="281"/>
        <v>5.8323395807439197E-3</v>
      </c>
      <c r="U230" s="103">
        <f t="shared" si="281"/>
        <v>1.3930168692730279E-2</v>
      </c>
      <c r="V230" s="103">
        <f t="shared" si="281"/>
        <v>2.3630266545022222E-2</v>
      </c>
      <c r="W230" s="103">
        <f t="shared" ref="W230:Y230" si="282">IF(W12=0,0,W12/W$4)</f>
        <v>3.7749919884387938E-2</v>
      </c>
      <c r="X230" s="103">
        <f t="shared" si="282"/>
        <v>4.6637326999690899E-2</v>
      </c>
      <c r="Y230" s="103">
        <f t="shared" si="282"/>
        <v>5.9784732446805003E-2</v>
      </c>
      <c r="DA230" s="191"/>
    </row>
    <row r="231" spans="1:105" ht="11.45" customHeight="1" x14ac:dyDescent="0.25">
      <c r="A231" s="155" t="s">
        <v>21</v>
      </c>
      <c r="B231" s="156">
        <f t="shared" ref="B231:K231" si="283">IF(B13=0,0,B13/B$4)</f>
        <v>3.0958943077902912E-2</v>
      </c>
      <c r="C231" s="156">
        <f t="shared" si="283"/>
        <v>3.1183277855548315E-2</v>
      </c>
      <c r="D231" s="156">
        <f t="shared" si="283"/>
        <v>2.8965695435150565E-2</v>
      </c>
      <c r="E231" s="156">
        <f t="shared" si="283"/>
        <v>2.9787776606215774E-2</v>
      </c>
      <c r="F231" s="156">
        <f t="shared" si="283"/>
        <v>2.9402518860399133E-2</v>
      </c>
      <c r="G231" s="156">
        <f t="shared" si="283"/>
        <v>3.0360695201537218E-2</v>
      </c>
      <c r="H231" s="156">
        <f t="shared" si="283"/>
        <v>3.0994391518526301E-2</v>
      </c>
      <c r="I231" s="156">
        <f t="shared" si="283"/>
        <v>3.1371680576084256E-2</v>
      </c>
      <c r="J231" s="156">
        <f t="shared" si="283"/>
        <v>3.2188312989558217E-2</v>
      </c>
      <c r="K231" s="156">
        <f t="shared" si="283"/>
        <v>3.10829250574075E-2</v>
      </c>
      <c r="L231" s="156">
        <f t="shared" ref="L231" si="284">IF(L13=0,0,L13/L$4)</f>
        <v>3.1435297749154857E-2</v>
      </c>
      <c r="M231" s="156">
        <f t="shared" ref="M231:V231" si="285">IF(M13=0,0,M13/M$4)</f>
        <v>3.2394826626075374E-2</v>
      </c>
      <c r="N231" s="156">
        <f t="shared" si="285"/>
        <v>3.0041124653667376E-2</v>
      </c>
      <c r="O231" s="156">
        <f t="shared" si="285"/>
        <v>2.9959942224158764E-2</v>
      </c>
      <c r="P231" s="156">
        <f t="shared" si="285"/>
        <v>2.9448839539048102E-2</v>
      </c>
      <c r="Q231" s="156">
        <f t="shared" si="285"/>
        <v>3.2682528554222948E-2</v>
      </c>
      <c r="R231" s="156">
        <f t="shared" si="285"/>
        <v>3.2957130873726086E-2</v>
      </c>
      <c r="S231" s="156">
        <f t="shared" si="285"/>
        <v>3.1164092022871636E-2</v>
      </c>
      <c r="T231" s="156">
        <f t="shared" si="285"/>
        <v>3.4709162409768839E-2</v>
      </c>
      <c r="U231" s="156">
        <f t="shared" si="285"/>
        <v>3.4645824080657146E-2</v>
      </c>
      <c r="V231" s="156">
        <f t="shared" si="285"/>
        <v>2.1779063174241504E-2</v>
      </c>
      <c r="W231" s="156">
        <f t="shared" ref="W231:Y231" si="286">IF(W13=0,0,W13/W$4)</f>
        <v>2.3901953484591561E-2</v>
      </c>
      <c r="X231" s="156">
        <f t="shared" si="286"/>
        <v>3.126497356235907E-2</v>
      </c>
      <c r="Y231" s="156">
        <f t="shared" si="286"/>
        <v>2.9560555790075008E-2</v>
      </c>
      <c r="DA231" s="213"/>
    </row>
    <row r="232" spans="1:105" ht="11.45" customHeight="1" x14ac:dyDescent="0.25">
      <c r="A232" s="157" t="s">
        <v>110</v>
      </c>
      <c r="B232" s="103">
        <f t="shared" ref="B232:K232" si="287">IF(B14=0,0,B14/B$4)</f>
        <v>3.1447037771958506E-5</v>
      </c>
      <c r="C232" s="103">
        <f t="shared" si="287"/>
        <v>3.8704478649500271E-5</v>
      </c>
      <c r="D232" s="103">
        <f t="shared" si="287"/>
        <v>4.5652343433012114E-5</v>
      </c>
      <c r="E232" s="103">
        <f t="shared" si="287"/>
        <v>5.124398186503046E-5</v>
      </c>
      <c r="F232" s="103">
        <f t="shared" si="287"/>
        <v>4.6381401975879343E-5</v>
      </c>
      <c r="G232" s="103">
        <f t="shared" si="287"/>
        <v>5.0974227907262998E-5</v>
      </c>
      <c r="H232" s="103">
        <f t="shared" si="287"/>
        <v>5.3081012600665983E-5</v>
      </c>
      <c r="I232" s="103">
        <f t="shared" si="287"/>
        <v>5.6480246296468858E-5</v>
      </c>
      <c r="J232" s="103">
        <f t="shared" si="287"/>
        <v>5.6960632433028544E-5</v>
      </c>
      <c r="K232" s="103">
        <f t="shared" si="287"/>
        <v>5.9031406947717153E-5</v>
      </c>
      <c r="L232" s="103">
        <f t="shared" ref="L232" si="288">IF(L14=0,0,L14/L$4)</f>
        <v>6.5619796181764923E-5</v>
      </c>
      <c r="M232" s="103">
        <f t="shared" ref="M232:V232" si="289">IF(M14=0,0,M14/M$4)</f>
        <v>5.3966308897363144E-5</v>
      </c>
      <c r="N232" s="103">
        <f t="shared" si="289"/>
        <v>3.3796385750910699E-5</v>
      </c>
      <c r="O232" s="103">
        <f t="shared" si="289"/>
        <v>2.8749362070576668E-5</v>
      </c>
      <c r="P232" s="103">
        <f t="shared" si="289"/>
        <v>2.6932971725269537E-5</v>
      </c>
      <c r="Q232" s="103">
        <f t="shared" si="289"/>
        <v>4.5890704378514923E-5</v>
      </c>
      <c r="R232" s="103">
        <f t="shared" si="289"/>
        <v>5.6489715790078103E-5</v>
      </c>
      <c r="S232" s="103">
        <f t="shared" si="289"/>
        <v>5.3646520131806258E-5</v>
      </c>
      <c r="T232" s="103">
        <f t="shared" si="289"/>
        <v>4.5627055378430705E-5</v>
      </c>
      <c r="U232" s="103">
        <f t="shared" si="289"/>
        <v>2.0406635540737183E-4</v>
      </c>
      <c r="V232" s="103">
        <f t="shared" si="289"/>
        <v>1.8099022367214834E-4</v>
      </c>
      <c r="W232" s="103">
        <f t="shared" ref="W232:Y232" si="290">IF(W14=0,0,W14/W$4)</f>
        <v>2.4847827774264789E-4</v>
      </c>
      <c r="X232" s="103">
        <f t="shared" si="290"/>
        <v>2.8006491883599954E-4</v>
      </c>
      <c r="Y232" s="103">
        <f t="shared" si="290"/>
        <v>2.6340824165763799E-4</v>
      </c>
      <c r="DA232" s="191"/>
    </row>
    <row r="233" spans="1:105" ht="11.45" customHeight="1" x14ac:dyDescent="0.25">
      <c r="A233" s="157" t="s">
        <v>111</v>
      </c>
      <c r="B233" s="103">
        <f t="shared" ref="B233:K233" si="291">IF(B15=0,0,B15/B$4)</f>
        <v>3.0485364865225108E-2</v>
      </c>
      <c r="C233" s="103">
        <f t="shared" si="291"/>
        <v>3.072502755662327E-2</v>
      </c>
      <c r="D233" s="103">
        <f t="shared" si="291"/>
        <v>2.852407830544109E-2</v>
      </c>
      <c r="E233" s="103">
        <f t="shared" si="291"/>
        <v>2.936944888974824E-2</v>
      </c>
      <c r="F233" s="103">
        <f t="shared" si="291"/>
        <v>2.899194005141708E-2</v>
      </c>
      <c r="G233" s="103">
        <f t="shared" si="291"/>
        <v>2.9876323303743339E-2</v>
      </c>
      <c r="H233" s="103">
        <f t="shared" si="291"/>
        <v>3.0457294509159977E-2</v>
      </c>
      <c r="I233" s="103">
        <f t="shared" si="291"/>
        <v>3.0797263565820875E-2</v>
      </c>
      <c r="J233" s="103">
        <f t="shared" si="291"/>
        <v>3.1521368212808154E-2</v>
      </c>
      <c r="K233" s="103">
        <f t="shared" si="291"/>
        <v>3.0105555278083691E-2</v>
      </c>
      <c r="L233" s="103">
        <f t="shared" ref="L233" si="292">IF(L15=0,0,L15/L$4)</f>
        <v>3.0165872555303421E-2</v>
      </c>
      <c r="M233" s="103">
        <f t="shared" ref="M233:V233" si="293">IF(M15=0,0,M15/M$4)</f>
        <v>3.0410762991732017E-2</v>
      </c>
      <c r="N233" s="103">
        <f t="shared" si="293"/>
        <v>2.7685273330772572E-2</v>
      </c>
      <c r="O233" s="103">
        <f t="shared" si="293"/>
        <v>2.5672467272380598E-2</v>
      </c>
      <c r="P233" s="103">
        <f t="shared" si="293"/>
        <v>2.4937663203221064E-2</v>
      </c>
      <c r="Q233" s="103">
        <f t="shared" si="293"/>
        <v>2.7040522964576725E-2</v>
      </c>
      <c r="R233" s="103">
        <f t="shared" si="293"/>
        <v>2.6341365984027074E-2</v>
      </c>
      <c r="S233" s="103">
        <f t="shared" si="293"/>
        <v>2.4385058162844368E-2</v>
      </c>
      <c r="T233" s="103">
        <f t="shared" si="293"/>
        <v>2.6494317519455263E-2</v>
      </c>
      <c r="U233" s="103">
        <f t="shared" si="293"/>
        <v>2.4858321740146919E-2</v>
      </c>
      <c r="V233" s="103">
        <f t="shared" si="293"/>
        <v>1.3831023315692817E-2</v>
      </c>
      <c r="W233" s="103">
        <f t="shared" ref="W233:Y233" si="294">IF(W15=0,0,W15/W$4)</f>
        <v>1.3956939778998667E-2</v>
      </c>
      <c r="X233" s="103">
        <f t="shared" si="294"/>
        <v>1.8087481561007167E-2</v>
      </c>
      <c r="Y233" s="103">
        <f t="shared" si="294"/>
        <v>1.6555226978207885E-2</v>
      </c>
      <c r="DA233" s="191"/>
    </row>
    <row r="234" spans="1:105" ht="11.45" customHeight="1" x14ac:dyDescent="0.25">
      <c r="A234" s="157" t="s">
        <v>112</v>
      </c>
      <c r="B234" s="103">
        <f t="shared" ref="B234:K234" si="295">IF(B16=0,0,B16/B$4)</f>
        <v>2.8415843988764634E-4</v>
      </c>
      <c r="C234" s="103">
        <f t="shared" si="295"/>
        <v>2.6974333957764158E-4</v>
      </c>
      <c r="D234" s="103">
        <f t="shared" si="295"/>
        <v>2.1904277205057451E-4</v>
      </c>
      <c r="E234" s="103">
        <f t="shared" si="295"/>
        <v>2.0806931830095755E-4</v>
      </c>
      <c r="F234" s="103">
        <f t="shared" si="295"/>
        <v>1.7774851387488324E-4</v>
      </c>
      <c r="G234" s="103">
        <f t="shared" si="295"/>
        <v>2.2671633363606028E-4</v>
      </c>
      <c r="H234" s="103">
        <f t="shared" si="295"/>
        <v>1.9103894436459207E-4</v>
      </c>
      <c r="I234" s="103">
        <f t="shared" si="295"/>
        <v>1.7202900402441928E-4</v>
      </c>
      <c r="J234" s="103">
        <f t="shared" si="295"/>
        <v>1.6875216810121983E-4</v>
      </c>
      <c r="K234" s="103">
        <f t="shared" si="295"/>
        <v>1.4744857400886139E-4</v>
      </c>
      <c r="L234" s="103">
        <f t="shared" ref="L234" si="296">IF(L16=0,0,L16/L$4)</f>
        <v>1.4324572160799348E-4</v>
      </c>
      <c r="M234" s="103">
        <f t="shared" ref="M234:V234" si="297">IF(M16=0,0,M16/M$4)</f>
        <v>1.4446238123585594E-4</v>
      </c>
      <c r="N234" s="103">
        <f t="shared" si="297"/>
        <v>1.3155075085882976E-4</v>
      </c>
      <c r="O234" s="103">
        <f t="shared" si="297"/>
        <v>1.34446233066547E-4</v>
      </c>
      <c r="P234" s="103">
        <f t="shared" si="297"/>
        <v>1.3459970300811166E-4</v>
      </c>
      <c r="Q234" s="103">
        <f t="shared" si="297"/>
        <v>1.5697200431470602E-4</v>
      </c>
      <c r="R234" s="103">
        <f t="shared" si="297"/>
        <v>1.6213934788374156E-4</v>
      </c>
      <c r="S234" s="103">
        <f t="shared" si="297"/>
        <v>1.445145528154444E-4</v>
      </c>
      <c r="T234" s="103">
        <f t="shared" si="297"/>
        <v>1.5798395344028706E-4</v>
      </c>
      <c r="U234" s="103">
        <f t="shared" si="297"/>
        <v>1.475127755636087E-4</v>
      </c>
      <c r="V234" s="103">
        <f t="shared" si="297"/>
        <v>9.3478558555141458E-5</v>
      </c>
      <c r="W234" s="103">
        <f t="shared" ref="W234:Y234" si="298">IF(W16=0,0,W16/W$4)</f>
        <v>1.0271672520398436E-4</v>
      </c>
      <c r="X234" s="103">
        <f t="shared" si="298"/>
        <v>1.2415813731877874E-4</v>
      </c>
      <c r="Y234" s="103">
        <f t="shared" si="298"/>
        <v>1.1759235768599674E-4</v>
      </c>
      <c r="DA234" s="191"/>
    </row>
    <row r="235" spans="1:105" ht="11.45" customHeight="1" x14ac:dyDescent="0.25">
      <c r="A235" s="157" t="s">
        <v>113</v>
      </c>
      <c r="B235" s="103">
        <f t="shared" ref="B235:K235" si="299">IF(B17=0,0,B17/B$4)</f>
        <v>1.5441015407769055E-5</v>
      </c>
      <c r="C235" s="103">
        <f t="shared" si="299"/>
        <v>2.2747247545673339E-5</v>
      </c>
      <c r="D235" s="103">
        <f t="shared" si="299"/>
        <v>4.269545737962591E-5</v>
      </c>
      <c r="E235" s="103">
        <f t="shared" si="299"/>
        <v>3.8419888268934894E-5</v>
      </c>
      <c r="F235" s="103">
        <f t="shared" si="299"/>
        <v>3.5306738474904623E-5</v>
      </c>
      <c r="G235" s="103">
        <f t="shared" si="299"/>
        <v>4.6229559709574086E-5</v>
      </c>
      <c r="H235" s="103">
        <f t="shared" si="299"/>
        <v>1.2573260286159399E-4</v>
      </c>
      <c r="I235" s="103">
        <f t="shared" si="299"/>
        <v>1.7742822384178477E-4</v>
      </c>
      <c r="J235" s="103">
        <f t="shared" si="299"/>
        <v>3.0447426269091394E-4</v>
      </c>
      <c r="K235" s="103">
        <f t="shared" si="299"/>
        <v>6.1729585418538444E-4</v>
      </c>
      <c r="L235" s="103">
        <f t="shared" ref="L235" si="300">IF(L17=0,0,L17/L$4)</f>
        <v>8.2651227514322998E-4</v>
      </c>
      <c r="M235" s="103">
        <f t="shared" ref="M235:V235" si="301">IF(M17=0,0,M17/M$4)</f>
        <v>1.5520366369636412E-3</v>
      </c>
      <c r="N235" s="103">
        <f t="shared" si="301"/>
        <v>1.9696100588661794E-3</v>
      </c>
      <c r="O235" s="103">
        <f t="shared" si="301"/>
        <v>3.9073082671554366E-3</v>
      </c>
      <c r="P235" s="103">
        <f t="shared" si="301"/>
        <v>4.1364352175758063E-3</v>
      </c>
      <c r="Q235" s="103">
        <f t="shared" si="301"/>
        <v>5.1566510711887979E-3</v>
      </c>
      <c r="R235" s="103">
        <f t="shared" si="301"/>
        <v>5.9178045767071478E-3</v>
      </c>
      <c r="S235" s="103">
        <f t="shared" si="301"/>
        <v>5.7794063420048775E-3</v>
      </c>
      <c r="T235" s="103">
        <f t="shared" si="301"/>
        <v>6.7599026242584903E-3</v>
      </c>
      <c r="U235" s="103">
        <f t="shared" si="301"/>
        <v>6.9508738682751009E-3</v>
      </c>
      <c r="V235" s="103">
        <f t="shared" si="301"/>
        <v>5.048725528397845E-3</v>
      </c>
      <c r="W235" s="103">
        <f t="shared" ref="W235:Y235" si="302">IF(W17=0,0,W17/W$4)</f>
        <v>5.908035040102063E-3</v>
      </c>
      <c r="X235" s="103">
        <f t="shared" si="302"/>
        <v>7.5770792752152955E-3</v>
      </c>
      <c r="Y235" s="103">
        <f t="shared" si="302"/>
        <v>7.1003453606467331E-3</v>
      </c>
      <c r="DA235" s="191"/>
    </row>
    <row r="236" spans="1:105" ht="11.45" customHeight="1" x14ac:dyDescent="0.25">
      <c r="A236" s="157" t="s">
        <v>115</v>
      </c>
      <c r="B236" s="103">
        <f t="shared" ref="B236:K236" si="303">IF(B18=0,0,B18/B$4)</f>
        <v>1.4253171961044276E-4</v>
      </c>
      <c r="C236" s="103">
        <f t="shared" si="303"/>
        <v>1.2705523315223021E-4</v>
      </c>
      <c r="D236" s="103">
        <f t="shared" si="303"/>
        <v>1.3422655684626572E-4</v>
      </c>
      <c r="E236" s="103">
        <f t="shared" si="303"/>
        <v>1.2059452803261365E-4</v>
      </c>
      <c r="F236" s="103">
        <f t="shared" si="303"/>
        <v>1.511421546563876E-4</v>
      </c>
      <c r="G236" s="103">
        <f t="shared" si="303"/>
        <v>1.6045177654097802E-4</v>
      </c>
      <c r="H236" s="103">
        <f t="shared" si="303"/>
        <v>1.6724444953947521E-4</v>
      </c>
      <c r="I236" s="103">
        <f t="shared" si="303"/>
        <v>1.6847953610071357E-4</v>
      </c>
      <c r="J236" s="103">
        <f t="shared" si="303"/>
        <v>1.3675771352490774E-4</v>
      </c>
      <c r="K236" s="103">
        <f t="shared" si="303"/>
        <v>1.5359394418184712E-4</v>
      </c>
      <c r="L236" s="103">
        <f t="shared" ref="L236" si="304">IF(L18=0,0,L18/L$4)</f>
        <v>2.3404740091845122E-4</v>
      </c>
      <c r="M236" s="103">
        <f t="shared" ref="M236:V236" si="305">IF(M18=0,0,M18/M$4)</f>
        <v>2.335983072464948E-4</v>
      </c>
      <c r="N236" s="103">
        <f t="shared" si="305"/>
        <v>2.2089412741888435E-4</v>
      </c>
      <c r="O236" s="103">
        <f t="shared" si="305"/>
        <v>2.1697108948560444E-4</v>
      </c>
      <c r="P236" s="103">
        <f t="shared" si="305"/>
        <v>2.1320844351785121E-4</v>
      </c>
      <c r="Q236" s="103">
        <f t="shared" si="305"/>
        <v>2.824918097642035E-4</v>
      </c>
      <c r="R236" s="103">
        <f t="shared" si="305"/>
        <v>4.7933124931804754E-4</v>
      </c>
      <c r="S236" s="103">
        <f t="shared" si="305"/>
        <v>8.0146644507513921E-4</v>
      </c>
      <c r="T236" s="103">
        <f t="shared" si="305"/>
        <v>1.2513312572363727E-3</v>
      </c>
      <c r="U236" s="103">
        <f t="shared" si="305"/>
        <v>2.4850493412641467E-3</v>
      </c>
      <c r="V236" s="103">
        <f t="shared" si="305"/>
        <v>2.6248455479235553E-3</v>
      </c>
      <c r="W236" s="103">
        <f t="shared" ref="W236:Y236" si="306">IF(W18=0,0,W18/W$4)</f>
        <v>3.6857836625442016E-3</v>
      </c>
      <c r="X236" s="103">
        <f t="shared" si="306"/>
        <v>5.1961896699818282E-3</v>
      </c>
      <c r="Y236" s="103">
        <f t="shared" si="306"/>
        <v>5.5239828518767525E-3</v>
      </c>
      <c r="DA236" s="191"/>
    </row>
    <row r="237" spans="1:105" ht="11.45" customHeight="1" x14ac:dyDescent="0.25">
      <c r="A237" s="27" t="s">
        <v>39</v>
      </c>
      <c r="B237" s="46">
        <f t="shared" ref="B237:K237" si="307">IF(B19=0,0,B19/B$19)</f>
        <v>1</v>
      </c>
      <c r="C237" s="46">
        <f t="shared" si="307"/>
        <v>1</v>
      </c>
      <c r="D237" s="46">
        <f t="shared" si="307"/>
        <v>1</v>
      </c>
      <c r="E237" s="46">
        <f t="shared" si="307"/>
        <v>1</v>
      </c>
      <c r="F237" s="46">
        <f t="shared" si="307"/>
        <v>1</v>
      </c>
      <c r="G237" s="46">
        <f t="shared" si="307"/>
        <v>1</v>
      </c>
      <c r="H237" s="46">
        <f t="shared" si="307"/>
        <v>1</v>
      </c>
      <c r="I237" s="46">
        <f t="shared" si="307"/>
        <v>1</v>
      </c>
      <c r="J237" s="46">
        <f t="shared" si="307"/>
        <v>1</v>
      </c>
      <c r="K237" s="46">
        <f t="shared" si="307"/>
        <v>1</v>
      </c>
      <c r="L237" s="46">
        <f t="shared" ref="L237" si="308">IF(L19=0,0,L19/L$19)</f>
        <v>1</v>
      </c>
      <c r="M237" s="46">
        <f t="shared" ref="M237:V237" si="309">IF(M19=0,0,M19/M$19)</f>
        <v>1</v>
      </c>
      <c r="N237" s="46">
        <f t="shared" si="309"/>
        <v>1</v>
      </c>
      <c r="O237" s="46">
        <f t="shared" si="309"/>
        <v>1</v>
      </c>
      <c r="P237" s="46">
        <f t="shared" si="309"/>
        <v>1</v>
      </c>
      <c r="Q237" s="46">
        <f t="shared" si="309"/>
        <v>1</v>
      </c>
      <c r="R237" s="46">
        <f t="shared" si="309"/>
        <v>1</v>
      </c>
      <c r="S237" s="46">
        <f t="shared" si="309"/>
        <v>1</v>
      </c>
      <c r="T237" s="46">
        <f t="shared" si="309"/>
        <v>1</v>
      </c>
      <c r="U237" s="46">
        <f t="shared" si="309"/>
        <v>1</v>
      </c>
      <c r="V237" s="46">
        <f t="shared" si="309"/>
        <v>1</v>
      </c>
      <c r="W237" s="46">
        <f t="shared" ref="W237:Y237" si="310">IF(W19=0,0,W19/W$19)</f>
        <v>1</v>
      </c>
      <c r="X237" s="46">
        <f t="shared" si="310"/>
        <v>1</v>
      </c>
      <c r="Y237" s="46">
        <f t="shared" si="310"/>
        <v>1</v>
      </c>
      <c r="DA237" s="211"/>
    </row>
    <row r="238" spans="1:105" ht="11.45" customHeight="1" x14ac:dyDescent="0.25">
      <c r="A238" s="153" t="s">
        <v>153</v>
      </c>
      <c r="B238" s="154">
        <f t="shared" ref="B238:K238" si="311">IF(B20=0,0,B20/B$19)</f>
        <v>6.4663575769359216E-2</v>
      </c>
      <c r="C238" s="154">
        <f t="shared" si="311"/>
        <v>7.0127500224247546E-2</v>
      </c>
      <c r="D238" s="154">
        <f t="shared" si="311"/>
        <v>7.3054210139540735E-2</v>
      </c>
      <c r="E238" s="154">
        <f t="shared" si="311"/>
        <v>7.3891366595467051E-2</v>
      </c>
      <c r="F238" s="154">
        <f t="shared" si="311"/>
        <v>7.1242452582647289E-2</v>
      </c>
      <c r="G238" s="154">
        <f t="shared" si="311"/>
        <v>7.478755057165784E-2</v>
      </c>
      <c r="H238" s="154">
        <f t="shared" si="311"/>
        <v>7.3935378125974158E-2</v>
      </c>
      <c r="I238" s="154">
        <f t="shared" si="311"/>
        <v>7.4704873228749857E-2</v>
      </c>
      <c r="J238" s="154">
        <f t="shared" si="311"/>
        <v>7.4108566221770256E-2</v>
      </c>
      <c r="K238" s="154">
        <f t="shared" si="311"/>
        <v>7.4460682279069712E-2</v>
      </c>
      <c r="L238" s="154">
        <f t="shared" ref="L238" si="312">IF(L20=0,0,L20/L$19)</f>
        <v>7.4708718985631653E-2</v>
      </c>
      <c r="M238" s="154">
        <f t="shared" ref="M238:V238" si="313">IF(M20=0,0,M20/M$19)</f>
        <v>7.5666085413206019E-2</v>
      </c>
      <c r="N238" s="154">
        <f t="shared" si="313"/>
        <v>7.607394716157502E-2</v>
      </c>
      <c r="O238" s="154">
        <f t="shared" si="313"/>
        <v>6.8526872339385717E-2</v>
      </c>
      <c r="P238" s="154">
        <f t="shared" si="313"/>
        <v>6.5908247559520905E-2</v>
      </c>
      <c r="Q238" s="154">
        <f t="shared" si="313"/>
        <v>6.8191100310137615E-2</v>
      </c>
      <c r="R238" s="154">
        <f t="shared" si="313"/>
        <v>6.6262139450861943E-2</v>
      </c>
      <c r="S238" s="154">
        <f t="shared" si="313"/>
        <v>6.8309765826027921E-2</v>
      </c>
      <c r="T238" s="154">
        <f t="shared" si="313"/>
        <v>6.7804186389274379E-2</v>
      </c>
      <c r="U238" s="154">
        <f t="shared" si="313"/>
        <v>6.5791820325699871E-2</v>
      </c>
      <c r="V238" s="154">
        <f t="shared" si="313"/>
        <v>6.4471611365310572E-2</v>
      </c>
      <c r="W238" s="154">
        <f t="shared" ref="W238:Y238" si="314">IF(W20=0,0,W20/W$19)</f>
        <v>6.5488200193279486E-2</v>
      </c>
      <c r="X238" s="154">
        <f t="shared" si="314"/>
        <v>6.674261967904041E-2</v>
      </c>
      <c r="Y238" s="154">
        <f t="shared" si="314"/>
        <v>7.0366316907437748E-2</v>
      </c>
      <c r="DA238" s="212"/>
    </row>
    <row r="239" spans="1:105" ht="11.45" customHeight="1" x14ac:dyDescent="0.25">
      <c r="A239" s="157" t="s">
        <v>110</v>
      </c>
      <c r="B239" s="103">
        <f t="shared" ref="B239:K239" si="315">IF(B21=0,0,B21/B$19)</f>
        <v>2.0596010966831657E-3</v>
      </c>
      <c r="C239" s="103">
        <f t="shared" si="315"/>
        <v>1.856883219006269E-3</v>
      </c>
      <c r="D239" s="103">
        <f t="shared" si="315"/>
        <v>1.6440841623983563E-3</v>
      </c>
      <c r="E239" s="103">
        <f t="shared" si="315"/>
        <v>1.426596120869632E-3</v>
      </c>
      <c r="F239" s="103">
        <f t="shared" si="315"/>
        <v>1.2008478344200594E-3</v>
      </c>
      <c r="G239" s="103">
        <f t="shared" si="315"/>
        <v>1.1713792706800254E-3</v>
      </c>
      <c r="H239" s="103">
        <f t="shared" si="315"/>
        <v>1.0387185866623037E-3</v>
      </c>
      <c r="I239" s="103">
        <f t="shared" si="315"/>
        <v>9.5954943704279027E-4</v>
      </c>
      <c r="J239" s="103">
        <f t="shared" si="315"/>
        <v>8.8121401696163366E-4</v>
      </c>
      <c r="K239" s="103">
        <f t="shared" si="315"/>
        <v>8.5740571346429892E-4</v>
      </c>
      <c r="L239" s="103">
        <f t="shared" ref="L239" si="316">IF(L21=0,0,L21/L$19)</f>
        <v>8.1113409405670289E-4</v>
      </c>
      <c r="M239" s="103">
        <f t="shared" ref="M239:V239" si="317">IF(M21=0,0,M21/M$19)</f>
        <v>7.7268634304744925E-4</v>
      </c>
      <c r="N239" s="103">
        <f t="shared" si="317"/>
        <v>7.6713589576389476E-4</v>
      </c>
      <c r="O239" s="103">
        <f t="shared" si="317"/>
        <v>6.4610614149625527E-4</v>
      </c>
      <c r="P239" s="103">
        <f t="shared" si="317"/>
        <v>6.4901708780546678E-4</v>
      </c>
      <c r="Q239" s="103">
        <f t="shared" si="317"/>
        <v>6.5853735264613511E-4</v>
      </c>
      <c r="R239" s="103">
        <f t="shared" si="317"/>
        <v>6.3749872266405882E-4</v>
      </c>
      <c r="S239" s="103">
        <f t="shared" si="317"/>
        <v>6.5617841546837042E-4</v>
      </c>
      <c r="T239" s="103">
        <f t="shared" si="317"/>
        <v>6.2060444573330147E-4</v>
      </c>
      <c r="U239" s="103">
        <f t="shared" si="317"/>
        <v>6.2810056178613652E-4</v>
      </c>
      <c r="V239" s="103">
        <f t="shared" si="317"/>
        <v>6.5029873260675629E-4</v>
      </c>
      <c r="W239" s="103">
        <f t="shared" ref="W239:Y239" si="318">IF(W21=0,0,W21/W$19)</f>
        <v>7.0257228919735491E-4</v>
      </c>
      <c r="X239" s="103">
        <f t="shared" si="318"/>
        <v>7.5412927151176693E-4</v>
      </c>
      <c r="Y239" s="103">
        <f t="shared" si="318"/>
        <v>8.4304021459350527E-4</v>
      </c>
      <c r="DA239" s="191"/>
    </row>
    <row r="240" spans="1:105" ht="11.45" customHeight="1" x14ac:dyDescent="0.25">
      <c r="A240" s="157" t="s">
        <v>111</v>
      </c>
      <c r="B240" s="103">
        <f t="shared" ref="B240:K240" si="319">IF(B22=0,0,B22/B$19)</f>
        <v>6.1898340570861736E-2</v>
      </c>
      <c r="C240" s="103">
        <f t="shared" si="319"/>
        <v>6.7575217595371495E-2</v>
      </c>
      <c r="D240" s="103">
        <f t="shared" si="319"/>
        <v>7.0739141080789408E-2</v>
      </c>
      <c r="E240" s="103">
        <f t="shared" si="319"/>
        <v>7.1839733937888561E-2</v>
      </c>
      <c r="F240" s="103">
        <f t="shared" si="319"/>
        <v>6.9483317345376022E-2</v>
      </c>
      <c r="G240" s="103">
        <f t="shared" si="319"/>
        <v>7.3123498209688192E-2</v>
      </c>
      <c r="H240" s="103">
        <f t="shared" si="319"/>
        <v>7.2444105271661396E-2</v>
      </c>
      <c r="I240" s="103">
        <f t="shared" si="319"/>
        <v>7.3282069879743894E-2</v>
      </c>
      <c r="J240" s="103">
        <f t="shared" si="319"/>
        <v>7.2772592093394303E-2</v>
      </c>
      <c r="K240" s="103">
        <f t="shared" si="319"/>
        <v>7.3124584356812378E-2</v>
      </c>
      <c r="L240" s="103">
        <f t="shared" ref="L240" si="320">IF(L22=0,0,L22/L$19)</f>
        <v>7.3408850798017178E-2</v>
      </c>
      <c r="M240" s="103">
        <f t="shared" ref="M240:V240" si="321">IF(M22=0,0,M22/M$19)</f>
        <v>7.4388448967129525E-2</v>
      </c>
      <c r="N240" s="103">
        <f t="shared" si="321"/>
        <v>7.4754814276522613E-2</v>
      </c>
      <c r="O240" s="103">
        <f t="shared" si="321"/>
        <v>6.7341470752513052E-2</v>
      </c>
      <c r="P240" s="103">
        <f t="shared" si="321"/>
        <v>6.4677818440426055E-2</v>
      </c>
      <c r="Q240" s="103">
        <f t="shared" si="321"/>
        <v>6.6932831353351457E-2</v>
      </c>
      <c r="R240" s="103">
        <f t="shared" si="321"/>
        <v>6.5089909900949358E-2</v>
      </c>
      <c r="S240" s="103">
        <f t="shared" si="321"/>
        <v>6.7052372360621906E-2</v>
      </c>
      <c r="T240" s="103">
        <f t="shared" si="321"/>
        <v>6.6447771100995576E-2</v>
      </c>
      <c r="U240" s="103">
        <f t="shared" si="321"/>
        <v>6.4280923923971861E-2</v>
      </c>
      <c r="V240" s="103">
        <f t="shared" si="321"/>
        <v>6.2869402648232556E-2</v>
      </c>
      <c r="W240" s="103">
        <f t="shared" ref="W240:Y240" si="322">IF(W22=0,0,W22/W$19)</f>
        <v>6.3774831476679228E-2</v>
      </c>
      <c r="X240" s="103">
        <f t="shared" si="322"/>
        <v>6.4713002102287143E-2</v>
      </c>
      <c r="Y240" s="103">
        <f t="shared" si="322"/>
        <v>6.7743823117421248E-2</v>
      </c>
      <c r="DA240" s="191"/>
    </row>
    <row r="241" spans="1:105" ht="11.45" customHeight="1" x14ac:dyDescent="0.25">
      <c r="A241" s="157" t="s">
        <v>112</v>
      </c>
      <c r="B241" s="103">
        <f t="shared" ref="B241:K241" si="323">IF(B23=0,0,B23/B$19)</f>
        <v>7.0563410181431838E-4</v>
      </c>
      <c r="C241" s="103">
        <f t="shared" si="323"/>
        <v>6.9539940986977514E-4</v>
      </c>
      <c r="D241" s="103">
        <f t="shared" si="323"/>
        <v>6.7098489635296311E-4</v>
      </c>
      <c r="E241" s="103">
        <f t="shared" si="323"/>
        <v>6.2107044499726911E-4</v>
      </c>
      <c r="F241" s="103">
        <f t="shared" si="323"/>
        <v>5.481472524036052E-4</v>
      </c>
      <c r="G241" s="103">
        <f t="shared" si="323"/>
        <v>4.8308025180890233E-4</v>
      </c>
      <c r="H241" s="103">
        <f t="shared" si="323"/>
        <v>4.4324033599285438E-4</v>
      </c>
      <c r="I241" s="103">
        <f t="shared" si="323"/>
        <v>4.416210214099836E-4</v>
      </c>
      <c r="J241" s="103">
        <f t="shared" si="323"/>
        <v>4.3350309786538524E-4</v>
      </c>
      <c r="K241" s="103">
        <f t="shared" si="323"/>
        <v>4.4269758165477586E-4</v>
      </c>
      <c r="L241" s="103">
        <f t="shared" ref="L241" si="324">IF(L23=0,0,L23/L$19)</f>
        <v>4.3797714956323591E-4</v>
      </c>
      <c r="M241" s="103">
        <f t="shared" ref="M241:V241" si="325">IF(M23=0,0,M23/M$19)</f>
        <v>4.3876861774202661E-4</v>
      </c>
      <c r="N241" s="103">
        <f t="shared" si="325"/>
        <v>4.5238164391018485E-4</v>
      </c>
      <c r="O241" s="103">
        <f t="shared" si="325"/>
        <v>4.1869896496221447E-4</v>
      </c>
      <c r="P241" s="103">
        <f t="shared" si="325"/>
        <v>4.180483265537521E-4</v>
      </c>
      <c r="Q241" s="103">
        <f t="shared" si="325"/>
        <v>4.1893750206031425E-4</v>
      </c>
      <c r="R241" s="103">
        <f t="shared" si="325"/>
        <v>4.0154794753233193E-4</v>
      </c>
      <c r="S241" s="103">
        <f t="shared" si="325"/>
        <v>4.1468008267604814E-4</v>
      </c>
      <c r="T241" s="103">
        <f t="shared" si="325"/>
        <v>4.3457349114474098E-4</v>
      </c>
      <c r="U241" s="103">
        <f t="shared" si="325"/>
        <v>5.2886931320970162E-4</v>
      </c>
      <c r="V241" s="103">
        <f t="shared" si="325"/>
        <v>5.303301469433083E-4</v>
      </c>
      <c r="W241" s="103">
        <f t="shared" ref="W241:Y241" si="326">IF(W23=0,0,W23/W$19)</f>
        <v>4.6952211717633173E-4</v>
      </c>
      <c r="X241" s="103">
        <f t="shared" si="326"/>
        <v>5.1860734612653415E-4</v>
      </c>
      <c r="Y241" s="103">
        <f t="shared" si="326"/>
        <v>5.5739707391735472E-4</v>
      </c>
      <c r="DA241" s="191"/>
    </row>
    <row r="242" spans="1:105" ht="11.45" customHeight="1" x14ac:dyDescent="0.25">
      <c r="A242" s="157" t="s">
        <v>113</v>
      </c>
      <c r="B242" s="103">
        <f t="shared" ref="B242:K242" si="327">IF(B24=0,0,B24/B$19)</f>
        <v>0</v>
      </c>
      <c r="C242" s="103">
        <f t="shared" si="327"/>
        <v>0</v>
      </c>
      <c r="D242" s="103">
        <f t="shared" si="327"/>
        <v>0</v>
      </c>
      <c r="E242" s="103">
        <f t="shared" si="327"/>
        <v>3.9660917115888507E-6</v>
      </c>
      <c r="F242" s="103">
        <f t="shared" si="327"/>
        <v>1.0140150447600053E-5</v>
      </c>
      <c r="G242" s="103">
        <f t="shared" si="327"/>
        <v>9.5928394807164433E-6</v>
      </c>
      <c r="H242" s="103">
        <f t="shared" si="327"/>
        <v>9.3139316575991706E-6</v>
      </c>
      <c r="I242" s="103">
        <f t="shared" si="327"/>
        <v>2.1632890553180572E-5</v>
      </c>
      <c r="J242" s="103">
        <f t="shared" si="327"/>
        <v>2.1257013548929485E-5</v>
      </c>
      <c r="K242" s="103">
        <f t="shared" si="327"/>
        <v>3.599462713825697E-5</v>
      </c>
      <c r="L242" s="103">
        <f t="shared" ref="L242" si="328">IF(L24=0,0,L24/L$19)</f>
        <v>5.075694399454797E-5</v>
      </c>
      <c r="M242" s="103">
        <f t="shared" ref="M242:V242" si="329">IF(M24=0,0,M24/M$19)</f>
        <v>6.5355099644901719E-5</v>
      </c>
      <c r="N242" s="103">
        <f t="shared" si="329"/>
        <v>7.8293057260956329E-5</v>
      </c>
      <c r="O242" s="103">
        <f t="shared" si="329"/>
        <v>8.7029404038231159E-5</v>
      </c>
      <c r="P242" s="103">
        <f t="shared" si="329"/>
        <v>1.0068644625449055E-4</v>
      </c>
      <c r="Q242" s="103">
        <f t="shared" si="329"/>
        <v>1.0843363105398317E-4</v>
      </c>
      <c r="R242" s="103">
        <f t="shared" si="329"/>
        <v>6.0767399903618266E-5</v>
      </c>
      <c r="S242" s="103">
        <f t="shared" si="329"/>
        <v>8.4750816880825841E-5</v>
      </c>
      <c r="T242" s="103">
        <f t="shared" si="329"/>
        <v>1.5658114679729596E-4</v>
      </c>
      <c r="U242" s="103">
        <f t="shared" si="329"/>
        <v>1.5864955877750521E-4</v>
      </c>
      <c r="V242" s="103">
        <f t="shared" si="329"/>
        <v>1.59881579917711E-4</v>
      </c>
      <c r="W242" s="103">
        <f t="shared" ref="W242:Y242" si="330">IF(W24=0,0,W24/W$19)</f>
        <v>1.4714969823100165E-4</v>
      </c>
      <c r="X242" s="103">
        <f t="shared" si="330"/>
        <v>1.421415623672317E-4</v>
      </c>
      <c r="Y242" s="103">
        <f t="shared" si="330"/>
        <v>1.0498143783091625E-4</v>
      </c>
      <c r="DA242" s="191"/>
    </row>
    <row r="243" spans="1:105" ht="11.45" customHeight="1" x14ac:dyDescent="0.25">
      <c r="A243" s="157" t="s">
        <v>115</v>
      </c>
      <c r="B243" s="103">
        <f t="shared" ref="B243:K243" si="331">IF(B25=0,0,B25/B$19)</f>
        <v>0</v>
      </c>
      <c r="C243" s="103">
        <f t="shared" si="331"/>
        <v>0</v>
      </c>
      <c r="D243" s="103">
        <f t="shared" si="331"/>
        <v>0</v>
      </c>
      <c r="E243" s="103">
        <f t="shared" si="331"/>
        <v>0</v>
      </c>
      <c r="F243" s="103">
        <f t="shared" si="331"/>
        <v>0</v>
      </c>
      <c r="G243" s="103">
        <f t="shared" si="331"/>
        <v>0</v>
      </c>
      <c r="H243" s="103">
        <f t="shared" si="331"/>
        <v>0</v>
      </c>
      <c r="I243" s="103">
        <f t="shared" si="331"/>
        <v>0</v>
      </c>
      <c r="J243" s="103">
        <f t="shared" si="331"/>
        <v>0</v>
      </c>
      <c r="K243" s="103">
        <f t="shared" si="331"/>
        <v>0</v>
      </c>
      <c r="L243" s="103">
        <f t="shared" ref="L243" si="332">IF(L25=0,0,L25/L$19)</f>
        <v>0</v>
      </c>
      <c r="M243" s="103">
        <f t="shared" ref="M243:V243" si="333">IF(M25=0,0,M25/M$19)</f>
        <v>8.2638564211464109E-7</v>
      </c>
      <c r="N243" s="103">
        <f t="shared" si="333"/>
        <v>2.1322288117382244E-5</v>
      </c>
      <c r="O243" s="103">
        <f t="shared" si="333"/>
        <v>3.3567076375966775E-5</v>
      </c>
      <c r="P243" s="103">
        <f t="shared" si="333"/>
        <v>6.2677258481128262E-5</v>
      </c>
      <c r="Q243" s="103">
        <f t="shared" si="333"/>
        <v>7.2360471025728206E-5</v>
      </c>
      <c r="R243" s="103">
        <f t="shared" si="333"/>
        <v>7.2415479812577098E-5</v>
      </c>
      <c r="S243" s="103">
        <f t="shared" si="333"/>
        <v>1.0178415038076464E-4</v>
      </c>
      <c r="T243" s="103">
        <f t="shared" si="333"/>
        <v>1.4465620460345427E-4</v>
      </c>
      <c r="U243" s="103">
        <f t="shared" si="333"/>
        <v>1.9527696795467608E-4</v>
      </c>
      <c r="V243" s="103">
        <f t="shared" si="333"/>
        <v>2.6169825761022264E-4</v>
      </c>
      <c r="W243" s="103">
        <f t="shared" ref="W243:Y243" si="334">IF(W25=0,0,W25/W$19)</f>
        <v>3.9412461199557486E-4</v>
      </c>
      <c r="X243" s="103">
        <f t="shared" si="334"/>
        <v>6.1473939674773677E-4</v>
      </c>
      <c r="Y243" s="103">
        <f t="shared" si="334"/>
        <v>1.1170750636747154E-3</v>
      </c>
      <c r="DA243" s="191"/>
    </row>
    <row r="244" spans="1:105" ht="11.45" customHeight="1" x14ac:dyDescent="0.25">
      <c r="A244" s="155" t="s">
        <v>154</v>
      </c>
      <c r="B244" s="156">
        <f t="shared" ref="B244:K244" si="335">IF(B26=0,0,B26/B$19)</f>
        <v>0.93533642423064078</v>
      </c>
      <c r="C244" s="156">
        <f t="shared" si="335"/>
        <v>0.92987249977575237</v>
      </c>
      <c r="D244" s="156">
        <f t="shared" si="335"/>
        <v>0.92694578986045917</v>
      </c>
      <c r="E244" s="156">
        <f t="shared" si="335"/>
        <v>0.92610863340453287</v>
      </c>
      <c r="F244" s="156">
        <f t="shared" si="335"/>
        <v>0.92875754741735272</v>
      </c>
      <c r="G244" s="156">
        <f t="shared" si="335"/>
        <v>0.92521244942834224</v>
      </c>
      <c r="H244" s="156">
        <f t="shared" si="335"/>
        <v>0.92606462187402594</v>
      </c>
      <c r="I244" s="156">
        <f t="shared" si="335"/>
        <v>0.92529512677125014</v>
      </c>
      <c r="J244" s="156">
        <f t="shared" si="335"/>
        <v>0.9258914337782298</v>
      </c>
      <c r="K244" s="156">
        <f t="shared" si="335"/>
        <v>0.92553931772093023</v>
      </c>
      <c r="L244" s="156">
        <f t="shared" ref="L244" si="336">IF(L26=0,0,L26/L$19)</f>
        <v>0.92529128101436831</v>
      </c>
      <c r="M244" s="156">
        <f t="shared" ref="M244:V244" si="337">IF(M26=0,0,M26/M$19)</f>
        <v>0.92433391458679404</v>
      </c>
      <c r="N244" s="156">
        <f t="shared" si="337"/>
        <v>0.92392605283842488</v>
      </c>
      <c r="O244" s="156">
        <f t="shared" si="337"/>
        <v>0.9314731276606143</v>
      </c>
      <c r="P244" s="156">
        <f t="shared" si="337"/>
        <v>0.93409175244047904</v>
      </c>
      <c r="Q244" s="156">
        <f t="shared" si="337"/>
        <v>0.93180889968986236</v>
      </c>
      <c r="R244" s="156">
        <f t="shared" si="337"/>
        <v>0.93373786054913799</v>
      </c>
      <c r="S244" s="156">
        <f t="shared" si="337"/>
        <v>0.93169023417397212</v>
      </c>
      <c r="T244" s="156">
        <f t="shared" si="337"/>
        <v>0.93219581361072568</v>
      </c>
      <c r="U244" s="156">
        <f t="shared" si="337"/>
        <v>0.93420817967430014</v>
      </c>
      <c r="V244" s="156">
        <f t="shared" si="337"/>
        <v>0.93552838863468946</v>
      </c>
      <c r="W244" s="156">
        <f t="shared" ref="W244:Y244" si="338">IF(W26=0,0,W26/W$19)</f>
        <v>0.9345117998067205</v>
      </c>
      <c r="X244" s="156">
        <f t="shared" si="338"/>
        <v>0.93325738032095962</v>
      </c>
      <c r="Y244" s="156">
        <f t="shared" si="338"/>
        <v>0.92963368309256222</v>
      </c>
      <c r="DA244" s="213"/>
    </row>
    <row r="245" spans="1:105" ht="11.45" customHeight="1" x14ac:dyDescent="0.25">
      <c r="A245" s="157" t="s">
        <v>27</v>
      </c>
      <c r="B245" s="103">
        <f t="shared" ref="B245:K245" si="339">IF(B27=0,0,B27/B$19)</f>
        <v>0.66329276565611806</v>
      </c>
      <c r="C245" s="103">
        <f t="shared" si="339"/>
        <v>0.64264058805669599</v>
      </c>
      <c r="D245" s="103">
        <f t="shared" si="339"/>
        <v>0.62424042277021363</v>
      </c>
      <c r="E245" s="103">
        <f t="shared" si="339"/>
        <v>0.63042321970774684</v>
      </c>
      <c r="F245" s="103">
        <f t="shared" si="339"/>
        <v>0.61512920002213733</v>
      </c>
      <c r="G245" s="103">
        <f t="shared" si="339"/>
        <v>0.59193833877356417</v>
      </c>
      <c r="H245" s="103">
        <f t="shared" si="339"/>
        <v>0.57337226984945933</v>
      </c>
      <c r="I245" s="103">
        <f t="shared" si="339"/>
        <v>0.56804193655684931</v>
      </c>
      <c r="J245" s="103">
        <f t="shared" si="339"/>
        <v>0.57693328570318203</v>
      </c>
      <c r="K245" s="103">
        <f t="shared" si="339"/>
        <v>0.59213898368090057</v>
      </c>
      <c r="L245" s="103">
        <f t="shared" ref="L245" si="340">IF(L27=0,0,L27/L$19)</f>
        <v>0.56574231696084765</v>
      </c>
      <c r="M245" s="103">
        <f t="shared" ref="M245:V245" si="341">IF(M27=0,0,M27/M$19)</f>
        <v>0.57041141809252083</v>
      </c>
      <c r="N245" s="103">
        <f t="shared" si="341"/>
        <v>0.563875269640011</v>
      </c>
      <c r="O245" s="103">
        <f t="shared" si="341"/>
        <v>0.58994608555232975</v>
      </c>
      <c r="P245" s="103">
        <f t="shared" si="341"/>
        <v>0.58451048212891654</v>
      </c>
      <c r="Q245" s="103">
        <f t="shared" si="341"/>
        <v>0.57971609727980045</v>
      </c>
      <c r="R245" s="103">
        <f t="shared" si="341"/>
        <v>0.58011048941648724</v>
      </c>
      <c r="S245" s="103">
        <f t="shared" si="341"/>
        <v>0.56950477442957192</v>
      </c>
      <c r="T245" s="103">
        <f t="shared" si="341"/>
        <v>0.57984321080583723</v>
      </c>
      <c r="U245" s="103">
        <f t="shared" si="341"/>
        <v>0.57955871196993747</v>
      </c>
      <c r="V245" s="103">
        <f t="shared" si="341"/>
        <v>0.57498942004174103</v>
      </c>
      <c r="W245" s="103">
        <f t="shared" ref="W245:Y245" si="342">IF(W27=0,0,W27/W$19)</f>
        <v>0.58001809563458584</v>
      </c>
      <c r="X245" s="103">
        <f t="shared" si="342"/>
        <v>0.57999980280128671</v>
      </c>
      <c r="Y245" s="103">
        <f t="shared" si="342"/>
        <v>0.57302702566242192</v>
      </c>
      <c r="DA245" s="191"/>
    </row>
    <row r="246" spans="1:105" ht="11.45" customHeight="1" x14ac:dyDescent="0.25">
      <c r="A246" s="158" t="s">
        <v>116</v>
      </c>
      <c r="B246" s="105">
        <f t="shared" ref="B246:K246" si="343">IF(B28=0,0,B28/B$19)</f>
        <v>0.27204365857452267</v>
      </c>
      <c r="C246" s="105">
        <f t="shared" si="343"/>
        <v>0.28723191171905643</v>
      </c>
      <c r="D246" s="105">
        <f t="shared" si="343"/>
        <v>0.30270536709024559</v>
      </c>
      <c r="E246" s="105">
        <f t="shared" si="343"/>
        <v>0.29568541369678603</v>
      </c>
      <c r="F246" s="105">
        <f t="shared" si="343"/>
        <v>0.31362834739521545</v>
      </c>
      <c r="G246" s="105">
        <f t="shared" si="343"/>
        <v>0.33327411065477802</v>
      </c>
      <c r="H246" s="105">
        <f t="shared" si="343"/>
        <v>0.35269235202456656</v>
      </c>
      <c r="I246" s="105">
        <f t="shared" si="343"/>
        <v>0.35725319021440088</v>
      </c>
      <c r="J246" s="105">
        <f t="shared" si="343"/>
        <v>0.34895814807504771</v>
      </c>
      <c r="K246" s="105">
        <f t="shared" si="343"/>
        <v>0.33340033404002967</v>
      </c>
      <c r="L246" s="105">
        <f t="shared" ref="L246" si="344">IF(L28=0,0,L28/L$19)</f>
        <v>0.35954896405352066</v>
      </c>
      <c r="M246" s="105">
        <f t="shared" ref="M246:V246" si="345">IF(M28=0,0,M28/M$19)</f>
        <v>0.35392249649427326</v>
      </c>
      <c r="N246" s="105">
        <f t="shared" si="345"/>
        <v>0.36005078319841388</v>
      </c>
      <c r="O246" s="105">
        <f t="shared" si="345"/>
        <v>0.34152704210828455</v>
      </c>
      <c r="P246" s="105">
        <f t="shared" si="345"/>
        <v>0.3495812703115625</v>
      </c>
      <c r="Q246" s="105">
        <f t="shared" si="345"/>
        <v>0.35209280241006197</v>
      </c>
      <c r="R246" s="105">
        <f t="shared" si="345"/>
        <v>0.3536273711326508</v>
      </c>
      <c r="S246" s="105">
        <f t="shared" si="345"/>
        <v>0.36218545974440008</v>
      </c>
      <c r="T246" s="105">
        <f t="shared" si="345"/>
        <v>0.35235260280488839</v>
      </c>
      <c r="U246" s="105">
        <f t="shared" si="345"/>
        <v>0.35464946770436268</v>
      </c>
      <c r="V246" s="105">
        <f t="shared" si="345"/>
        <v>0.36053896859294837</v>
      </c>
      <c r="W246" s="105">
        <f t="shared" ref="W246:Y246" si="346">IF(W28=0,0,W28/W$19)</f>
        <v>0.35449370417213472</v>
      </c>
      <c r="X246" s="105">
        <f t="shared" si="346"/>
        <v>0.35325757751967285</v>
      </c>
      <c r="Y246" s="105">
        <f t="shared" si="346"/>
        <v>0.35660665743014031</v>
      </c>
      <c r="DA246" s="192"/>
    </row>
    <row r="247" spans="1:105" ht="11.45" customHeight="1" x14ac:dyDescent="0.25">
      <c r="A247" s="106"/>
      <c r="B247" s="106"/>
      <c r="C247" s="106"/>
      <c r="D247" s="106"/>
      <c r="E247" s="106"/>
      <c r="F247" s="106"/>
      <c r="G247" s="106"/>
      <c r="H247" s="106"/>
      <c r="I247" s="106"/>
      <c r="J247" s="106"/>
      <c r="K247" s="106"/>
      <c r="L247" s="106"/>
      <c r="M247" s="106"/>
      <c r="N247" s="106"/>
      <c r="O247" s="106"/>
      <c r="P247" s="106"/>
      <c r="Q247" s="106"/>
      <c r="R247" s="106"/>
      <c r="S247" s="106"/>
      <c r="T247" s="106"/>
      <c r="U247" s="106"/>
      <c r="V247" s="106"/>
      <c r="W247" s="106"/>
      <c r="X247" s="106"/>
      <c r="Y247" s="106"/>
      <c r="DA247" s="171"/>
    </row>
    <row r="248" spans="1:105" ht="11.45" customHeight="1" x14ac:dyDescent="0.25">
      <c r="A248" s="53" t="s">
        <v>66</v>
      </c>
      <c r="B248" s="76"/>
      <c r="C248" s="76"/>
      <c r="D248" s="76"/>
      <c r="E248" s="76"/>
      <c r="F248" s="76"/>
      <c r="G248" s="76"/>
      <c r="H248" s="76"/>
      <c r="I248" s="76"/>
      <c r="J248" s="76"/>
      <c r="K248" s="76"/>
      <c r="L248" s="76"/>
      <c r="M248" s="76"/>
      <c r="N248" s="76"/>
      <c r="O248" s="76"/>
      <c r="P248" s="76"/>
      <c r="Q248" s="76"/>
      <c r="R248" s="76"/>
      <c r="S248" s="76"/>
      <c r="T248" s="76"/>
      <c r="U248" s="76"/>
      <c r="V248" s="76"/>
      <c r="W248" s="76"/>
      <c r="X248" s="76"/>
      <c r="Y248" s="76"/>
      <c r="DA248" s="183"/>
    </row>
    <row r="249" spans="1:105" ht="11.45" customHeight="1" x14ac:dyDescent="0.25">
      <c r="A249" s="27" t="s">
        <v>33</v>
      </c>
      <c r="B249" s="46">
        <f t="shared" ref="B249:K249" si="347">IF(B31=0,0,B31/B$31)</f>
        <v>1</v>
      </c>
      <c r="C249" s="46">
        <f t="shared" si="347"/>
        <v>1</v>
      </c>
      <c r="D249" s="46">
        <f t="shared" si="347"/>
        <v>1</v>
      </c>
      <c r="E249" s="46">
        <f t="shared" si="347"/>
        <v>1</v>
      </c>
      <c r="F249" s="46">
        <f t="shared" si="347"/>
        <v>1</v>
      </c>
      <c r="G249" s="46">
        <f t="shared" si="347"/>
        <v>1</v>
      </c>
      <c r="H249" s="46">
        <f t="shared" si="347"/>
        <v>1</v>
      </c>
      <c r="I249" s="46">
        <f t="shared" si="347"/>
        <v>1</v>
      </c>
      <c r="J249" s="46">
        <f t="shared" si="347"/>
        <v>1</v>
      </c>
      <c r="K249" s="46">
        <f t="shared" si="347"/>
        <v>1</v>
      </c>
      <c r="L249" s="46">
        <f t="shared" ref="L249" si="348">IF(L31=0,0,L31/L$31)</f>
        <v>1</v>
      </c>
      <c r="M249" s="46">
        <f t="shared" ref="M249:V249" si="349">IF(M31=0,0,M31/M$31)</f>
        <v>1</v>
      </c>
      <c r="N249" s="46">
        <f t="shared" si="349"/>
        <v>1</v>
      </c>
      <c r="O249" s="46">
        <f t="shared" si="349"/>
        <v>1</v>
      </c>
      <c r="P249" s="46">
        <f t="shared" si="349"/>
        <v>1</v>
      </c>
      <c r="Q249" s="46">
        <f t="shared" si="349"/>
        <v>1</v>
      </c>
      <c r="R249" s="46">
        <f t="shared" si="349"/>
        <v>1</v>
      </c>
      <c r="S249" s="46">
        <f t="shared" si="349"/>
        <v>1</v>
      </c>
      <c r="T249" s="46">
        <f t="shared" si="349"/>
        <v>1</v>
      </c>
      <c r="U249" s="46">
        <f t="shared" si="349"/>
        <v>1</v>
      </c>
      <c r="V249" s="46">
        <f t="shared" si="349"/>
        <v>1</v>
      </c>
      <c r="W249" s="46">
        <f t="shared" ref="W249:Y249" si="350">IF(W31=0,0,W31/W$31)</f>
        <v>1</v>
      </c>
      <c r="X249" s="46">
        <f t="shared" si="350"/>
        <v>1</v>
      </c>
      <c r="Y249" s="46">
        <f t="shared" si="350"/>
        <v>1</v>
      </c>
      <c r="DA249" s="211"/>
    </row>
    <row r="250" spans="1:105" ht="11.45" customHeight="1" x14ac:dyDescent="0.25">
      <c r="A250" s="153" t="s">
        <v>173</v>
      </c>
      <c r="B250" s="154">
        <f t="shared" ref="B250:K250" si="351">IF(B32=0,0,B32/B$31)</f>
        <v>3.1984767496122633E-2</v>
      </c>
      <c r="C250" s="154">
        <f t="shared" si="351"/>
        <v>3.2833106426410283E-2</v>
      </c>
      <c r="D250" s="154">
        <f t="shared" si="351"/>
        <v>3.3376575795178672E-2</v>
      </c>
      <c r="E250" s="154">
        <f t="shared" si="351"/>
        <v>3.3287468433206804E-2</v>
      </c>
      <c r="F250" s="154">
        <f t="shared" si="351"/>
        <v>3.1092924757108391E-2</v>
      </c>
      <c r="G250" s="154">
        <f t="shared" si="351"/>
        <v>3.1838677888780559E-2</v>
      </c>
      <c r="H250" s="154">
        <f t="shared" si="351"/>
        <v>3.3743411854353263E-2</v>
      </c>
      <c r="I250" s="154">
        <f t="shared" si="351"/>
        <v>3.6487793650841822E-2</v>
      </c>
      <c r="J250" s="154">
        <f t="shared" si="351"/>
        <v>3.8936522246814813E-2</v>
      </c>
      <c r="K250" s="154">
        <f t="shared" si="351"/>
        <v>4.0560551889820454E-2</v>
      </c>
      <c r="L250" s="154">
        <f t="shared" ref="L250" si="352">IF(L32=0,0,L32/L$31)</f>
        <v>4.1596437705488487E-2</v>
      </c>
      <c r="M250" s="154">
        <f t="shared" ref="M250:V250" si="353">IF(M32=0,0,M32/M$31)</f>
        <v>4.182471550183095E-2</v>
      </c>
      <c r="N250" s="154">
        <f t="shared" si="353"/>
        <v>4.2731203969768351E-2</v>
      </c>
      <c r="O250" s="154">
        <f t="shared" si="353"/>
        <v>4.2468557704339834E-2</v>
      </c>
      <c r="P250" s="154">
        <f t="shared" si="353"/>
        <v>4.098948941108109E-2</v>
      </c>
      <c r="Q250" s="154">
        <f t="shared" si="353"/>
        <v>4.1711660610250792E-2</v>
      </c>
      <c r="R250" s="154">
        <f t="shared" si="353"/>
        <v>4.1814166664802595E-2</v>
      </c>
      <c r="S250" s="154">
        <f t="shared" si="353"/>
        <v>3.91680416325711E-2</v>
      </c>
      <c r="T250" s="154">
        <f t="shared" si="353"/>
        <v>3.7257839967674872E-2</v>
      </c>
      <c r="U250" s="154">
        <f t="shared" si="353"/>
        <v>3.9186450710687853E-2</v>
      </c>
      <c r="V250" s="154">
        <f t="shared" si="353"/>
        <v>4.2702870318333329E-2</v>
      </c>
      <c r="W250" s="154">
        <f t="shared" ref="W250:Y250" si="354">IF(W32=0,0,W32/W$31)</f>
        <v>4.1068811668065829E-2</v>
      </c>
      <c r="X250" s="154">
        <f t="shared" si="354"/>
        <v>3.8259803996166963E-2</v>
      </c>
      <c r="Y250" s="154">
        <f t="shared" si="354"/>
        <v>3.89314644617084E-2</v>
      </c>
      <c r="DA250" s="212"/>
    </row>
    <row r="251" spans="1:105" ht="11.45" customHeight="1" x14ac:dyDescent="0.25">
      <c r="A251" s="155" t="s">
        <v>20</v>
      </c>
      <c r="B251" s="156">
        <f t="shared" ref="B251:K251" si="355">IF(B33=0,0,B33/B$31)</f>
        <v>0.96160527833826137</v>
      </c>
      <c r="C251" s="156">
        <f t="shared" si="355"/>
        <v>0.96086558725191096</v>
      </c>
      <c r="D251" s="156">
        <f t="shared" si="355"/>
        <v>0.96044805888553297</v>
      </c>
      <c r="E251" s="156">
        <f t="shared" si="355"/>
        <v>0.9606915933860265</v>
      </c>
      <c r="F251" s="156">
        <f t="shared" si="355"/>
        <v>0.96308562313552093</v>
      </c>
      <c r="G251" s="156">
        <f t="shared" si="355"/>
        <v>0.96238332197911347</v>
      </c>
      <c r="H251" s="156">
        <f t="shared" si="355"/>
        <v>0.96055881433365453</v>
      </c>
      <c r="I251" s="156">
        <f t="shared" si="355"/>
        <v>0.95789472950151766</v>
      </c>
      <c r="J251" s="156">
        <f t="shared" si="355"/>
        <v>0.955338455489669</v>
      </c>
      <c r="K251" s="156">
        <f t="shared" si="355"/>
        <v>0.95347547164459356</v>
      </c>
      <c r="L251" s="156">
        <f t="shared" ref="L251" si="356">IF(L33=0,0,L33/L$31)</f>
        <v>0.95213265493499377</v>
      </c>
      <c r="M251" s="156">
        <f t="shared" ref="M251:V251" si="357">IF(M33=0,0,M33/M$31)</f>
        <v>0.95211155324599672</v>
      </c>
      <c r="N251" s="156">
        <f t="shared" si="357"/>
        <v>0.95094748915150162</v>
      </c>
      <c r="O251" s="156">
        <f t="shared" si="357"/>
        <v>0.95140489644621495</v>
      </c>
      <c r="P251" s="156">
        <f t="shared" si="357"/>
        <v>0.95310141488620181</v>
      </c>
      <c r="Q251" s="156">
        <f t="shared" si="357"/>
        <v>0.95254270847516764</v>
      </c>
      <c r="R251" s="156">
        <f t="shared" si="357"/>
        <v>0.9526767038459717</v>
      </c>
      <c r="S251" s="156">
        <f t="shared" si="357"/>
        <v>0.9549627845448676</v>
      </c>
      <c r="T251" s="156">
        <f t="shared" si="357"/>
        <v>0.95707854417656668</v>
      </c>
      <c r="U251" s="156">
        <f t="shared" si="357"/>
        <v>0.95536649336935675</v>
      </c>
      <c r="V251" s="156">
        <f t="shared" si="357"/>
        <v>0.95190401199209818</v>
      </c>
      <c r="W251" s="156">
        <f t="shared" ref="W251:Y251" si="358">IF(W33=0,0,W33/W$31)</f>
        <v>0.95391726589560843</v>
      </c>
      <c r="X251" s="156">
        <f t="shared" si="358"/>
        <v>0.95714189113844972</v>
      </c>
      <c r="Y251" s="156">
        <f t="shared" si="358"/>
        <v>0.95676405125366182</v>
      </c>
      <c r="DA251" s="213"/>
    </row>
    <row r="252" spans="1:105" ht="11.45" customHeight="1" x14ac:dyDescent="0.25">
      <c r="A252" s="157" t="s">
        <v>110</v>
      </c>
      <c r="B252" s="103">
        <f t="shared" ref="B252:K252" si="359">IF(B34=0,0,B34/B$31)</f>
        <v>0.65251926730197407</v>
      </c>
      <c r="C252" s="103">
        <f t="shared" si="359"/>
        <v>0.64300169040847999</v>
      </c>
      <c r="D252" s="103">
        <f t="shared" si="359"/>
        <v>0.63528370953644897</v>
      </c>
      <c r="E252" s="103">
        <f t="shared" si="359"/>
        <v>0.6290515546566362</v>
      </c>
      <c r="F252" s="103">
        <f t="shared" si="359"/>
        <v>0.62658635867490875</v>
      </c>
      <c r="G252" s="103">
        <f t="shared" si="359"/>
        <v>0.62238163180813078</v>
      </c>
      <c r="H252" s="103">
        <f t="shared" si="359"/>
        <v>0.61318989286529313</v>
      </c>
      <c r="I252" s="103">
        <f t="shared" si="359"/>
        <v>0.60999627604232076</v>
      </c>
      <c r="J252" s="103">
        <f t="shared" si="359"/>
        <v>0.61387209830705025</v>
      </c>
      <c r="K252" s="103">
        <f t="shared" si="359"/>
        <v>0.62160956099166842</v>
      </c>
      <c r="L252" s="103">
        <f t="shared" ref="L252" si="360">IF(L34=0,0,L34/L$31)</f>
        <v>0.6278160917725405</v>
      </c>
      <c r="M252" s="103">
        <f t="shared" ref="M252:V252" si="361">IF(M34=0,0,M34/M$31)</f>
        <v>0.63477396311169731</v>
      </c>
      <c r="N252" s="103">
        <f t="shared" si="361"/>
        <v>0.62717708246561521</v>
      </c>
      <c r="O252" s="103">
        <f t="shared" si="361"/>
        <v>0.62639296467570005</v>
      </c>
      <c r="P252" s="103">
        <f t="shared" si="361"/>
        <v>0.62476219185323001</v>
      </c>
      <c r="Q252" s="103">
        <f t="shared" si="361"/>
        <v>0.62380798185820474</v>
      </c>
      <c r="R252" s="103">
        <f t="shared" si="361"/>
        <v>0.63958646159415666</v>
      </c>
      <c r="S252" s="103">
        <f t="shared" si="361"/>
        <v>0.65293260316095547</v>
      </c>
      <c r="T252" s="103">
        <f t="shared" si="361"/>
        <v>0.66642878470770828</v>
      </c>
      <c r="U252" s="103">
        <f t="shared" si="361"/>
        <v>0.67991310283182216</v>
      </c>
      <c r="V252" s="103">
        <f t="shared" si="361"/>
        <v>0.71632251469014674</v>
      </c>
      <c r="W252" s="103">
        <f t="shared" ref="W252:Y252" si="362">IF(W34=0,0,W34/W$31)</f>
        <v>0.65564499870606896</v>
      </c>
      <c r="X252" s="103">
        <f t="shared" si="362"/>
        <v>0.68433342360024674</v>
      </c>
      <c r="Y252" s="103">
        <f t="shared" si="362"/>
        <v>0.69091107221689141</v>
      </c>
      <c r="DA252" s="191"/>
    </row>
    <row r="253" spans="1:105" ht="11.45" customHeight="1" x14ac:dyDescent="0.25">
      <c r="A253" s="157" t="s">
        <v>111</v>
      </c>
      <c r="B253" s="103">
        <f t="shared" ref="B253:K253" si="363">IF(B35=0,0,B35/B$31)</f>
        <v>0.22528099272998489</v>
      </c>
      <c r="C253" s="103">
        <f t="shared" si="363"/>
        <v>0.2361703612591555</v>
      </c>
      <c r="D253" s="103">
        <f t="shared" si="363"/>
        <v>0.24810139064191342</v>
      </c>
      <c r="E253" s="103">
        <f t="shared" si="363"/>
        <v>0.26014493277001977</v>
      </c>
      <c r="F253" s="103">
        <f t="shared" si="363"/>
        <v>0.26811641167232175</v>
      </c>
      <c r="G253" s="103">
        <f t="shared" si="363"/>
        <v>0.27742986110389278</v>
      </c>
      <c r="H253" s="103">
        <f t="shared" si="363"/>
        <v>0.29024004685521704</v>
      </c>
      <c r="I253" s="103">
        <f t="shared" si="363"/>
        <v>0.29636611570656896</v>
      </c>
      <c r="J253" s="103">
        <f t="shared" si="363"/>
        <v>0.2959709815679627</v>
      </c>
      <c r="K253" s="103">
        <f t="shared" si="363"/>
        <v>0.2913443576929457</v>
      </c>
      <c r="L253" s="103">
        <f t="shared" ref="L253" si="364">IF(L35=0,0,L35/L$31)</f>
        <v>0.2877081438543298</v>
      </c>
      <c r="M253" s="103">
        <f t="shared" ref="M253:V253" si="365">IF(M35=0,0,M35/M$31)</f>
        <v>0.28603526597944057</v>
      </c>
      <c r="N253" s="103">
        <f t="shared" si="365"/>
        <v>0.29510990712767404</v>
      </c>
      <c r="O253" s="103">
        <f t="shared" si="365"/>
        <v>0.29447108341622835</v>
      </c>
      <c r="P253" s="103">
        <f t="shared" si="365"/>
        <v>0.29797372332454969</v>
      </c>
      <c r="Q253" s="103">
        <f t="shared" si="365"/>
        <v>0.29593421894297312</v>
      </c>
      <c r="R253" s="103">
        <f t="shared" si="365"/>
        <v>0.28308339162116869</v>
      </c>
      <c r="S253" s="103">
        <f t="shared" si="365"/>
        <v>0.27273627265325218</v>
      </c>
      <c r="T253" s="103">
        <f t="shared" si="365"/>
        <v>0.25866416256360919</v>
      </c>
      <c r="U253" s="103">
        <f t="shared" si="365"/>
        <v>0.23352392472226063</v>
      </c>
      <c r="V253" s="103">
        <f t="shared" si="365"/>
        <v>0.18419548946763062</v>
      </c>
      <c r="W253" s="103">
        <f t="shared" ref="W253:Y253" si="366">IF(W35=0,0,W35/W$31)</f>
        <v>0.23026843613210995</v>
      </c>
      <c r="X253" s="103">
        <f t="shared" si="366"/>
        <v>0.19140224408842868</v>
      </c>
      <c r="Y253" s="103">
        <f t="shared" si="366"/>
        <v>0.16330356659904383</v>
      </c>
      <c r="DA253" s="191"/>
    </row>
    <row r="254" spans="1:105" ht="11.45" customHeight="1" x14ac:dyDescent="0.25">
      <c r="A254" s="157" t="s">
        <v>112</v>
      </c>
      <c r="B254" s="103">
        <f t="shared" ref="B254:K254" si="367">IF(B36=0,0,B36/B$31)</f>
        <v>8.3805018306302381E-2</v>
      </c>
      <c r="C254" s="103">
        <f t="shared" si="367"/>
        <v>8.1693535584275515E-2</v>
      </c>
      <c r="D254" s="103">
        <f t="shared" si="367"/>
        <v>7.7062958707170684E-2</v>
      </c>
      <c r="E254" s="103">
        <f t="shared" si="367"/>
        <v>7.1495105959370545E-2</v>
      </c>
      <c r="F254" s="103">
        <f t="shared" si="367"/>
        <v>6.8382852788290552E-2</v>
      </c>
      <c r="G254" s="103">
        <f t="shared" si="367"/>
        <v>6.2571829067089912E-2</v>
      </c>
      <c r="H254" s="103">
        <f t="shared" si="367"/>
        <v>5.7128874613144177E-2</v>
      </c>
      <c r="I254" s="103">
        <f t="shared" si="367"/>
        <v>5.1532337752627951E-2</v>
      </c>
      <c r="J254" s="103">
        <f t="shared" si="367"/>
        <v>4.5495375614656101E-2</v>
      </c>
      <c r="K254" s="103">
        <f t="shared" si="367"/>
        <v>4.0517288368538087E-2</v>
      </c>
      <c r="L254" s="103">
        <f t="shared" ref="L254" si="368">IF(L36=0,0,L36/L$31)</f>
        <v>3.6570031092824827E-2</v>
      </c>
      <c r="M254" s="103">
        <f t="shared" ref="M254:V254" si="369">IF(M36=0,0,M36/M$31)</f>
        <v>3.1057217434423735E-2</v>
      </c>
      <c r="N254" s="103">
        <f t="shared" si="369"/>
        <v>2.6872633912092075E-2</v>
      </c>
      <c r="O254" s="103">
        <f t="shared" si="369"/>
        <v>2.6221460800034631E-2</v>
      </c>
      <c r="P254" s="103">
        <f t="shared" si="369"/>
        <v>2.3906859430207775E-2</v>
      </c>
      <c r="Q254" s="103">
        <f t="shared" si="369"/>
        <v>2.166573497445734E-2</v>
      </c>
      <c r="R254" s="103">
        <f t="shared" si="369"/>
        <v>1.8402484417969066E-2</v>
      </c>
      <c r="S254" s="103">
        <f t="shared" si="369"/>
        <v>1.6945545163693298E-2</v>
      </c>
      <c r="T254" s="103">
        <f t="shared" si="369"/>
        <v>1.5280043454918606E-2</v>
      </c>
      <c r="U254" s="103">
        <f t="shared" si="369"/>
        <v>1.6380886668505325E-2</v>
      </c>
      <c r="V254" s="103">
        <f t="shared" si="369"/>
        <v>1.5265805968591414E-2</v>
      </c>
      <c r="W254" s="103">
        <f t="shared" ref="W254:Y254" si="370">IF(W36=0,0,W36/W$31)</f>
        <v>1.3375602538785178E-2</v>
      </c>
      <c r="X254" s="103">
        <f t="shared" si="370"/>
        <v>1.3015142095658534E-2</v>
      </c>
      <c r="Y254" s="103">
        <f t="shared" si="370"/>
        <v>1.2731761332350162E-2</v>
      </c>
      <c r="DA254" s="191"/>
    </row>
    <row r="255" spans="1:105" ht="11.45" customHeight="1" x14ac:dyDescent="0.25">
      <c r="A255" s="157" t="s">
        <v>113</v>
      </c>
      <c r="B255" s="103">
        <f t="shared" ref="B255:K255" si="371">IF(B37=0,0,B37/B$31)</f>
        <v>0</v>
      </c>
      <c r="C255" s="103">
        <f t="shared" si="371"/>
        <v>0</v>
      </c>
      <c r="D255" s="103">
        <f t="shared" si="371"/>
        <v>0</v>
      </c>
      <c r="E255" s="103">
        <f t="shared" si="371"/>
        <v>0</v>
      </c>
      <c r="F255" s="103">
        <f t="shared" si="371"/>
        <v>0</v>
      </c>
      <c r="G255" s="103">
        <f t="shared" si="371"/>
        <v>0</v>
      </c>
      <c r="H255" s="103">
        <f t="shared" si="371"/>
        <v>0</v>
      </c>
      <c r="I255" s="103">
        <f t="shared" si="371"/>
        <v>0</v>
      </c>
      <c r="J255" s="103">
        <f t="shared" si="371"/>
        <v>0</v>
      </c>
      <c r="K255" s="103">
        <f t="shared" si="371"/>
        <v>0</v>
      </c>
      <c r="L255" s="103">
        <f t="shared" ref="L255" si="372">IF(L37=0,0,L37/L$31)</f>
        <v>2.525281243923406E-5</v>
      </c>
      <c r="M255" s="103">
        <f t="shared" ref="M255:V255" si="373">IF(M37=0,0,M37/M$31)</f>
        <v>1.1652718928668597E-4</v>
      </c>
      <c r="N255" s="103">
        <f t="shared" si="373"/>
        <v>1.0025677209209456E-3</v>
      </c>
      <c r="O255" s="103">
        <f t="shared" si="373"/>
        <v>1.1336039763576785E-3</v>
      </c>
      <c r="P255" s="103">
        <f t="shared" si="373"/>
        <v>1.6813142521875488E-3</v>
      </c>
      <c r="Q255" s="103">
        <f t="shared" si="373"/>
        <v>1.753731628995179E-3</v>
      </c>
      <c r="R255" s="103">
        <f t="shared" si="373"/>
        <v>5.3249298472538399E-4</v>
      </c>
      <c r="S255" s="103">
        <f t="shared" si="373"/>
        <v>6.114554597965666E-4</v>
      </c>
      <c r="T255" s="103">
        <f t="shared" si="373"/>
        <v>1.7279084568742034E-3</v>
      </c>
      <c r="U255" s="103">
        <f t="shared" si="373"/>
        <v>1.710238402879166E-3</v>
      </c>
      <c r="V255" s="103">
        <f t="shared" si="373"/>
        <v>1.6243568501855988E-3</v>
      </c>
      <c r="W255" s="103">
        <f t="shared" ref="W255:Y255" si="374">IF(W37=0,0,W37/W$31)</f>
        <v>1.3639940970222872E-3</v>
      </c>
      <c r="X255" s="103">
        <f t="shared" si="374"/>
        <v>1.222053358235802E-3</v>
      </c>
      <c r="Y255" s="103">
        <f t="shared" si="374"/>
        <v>4.4192176415185888E-4</v>
      </c>
      <c r="DA255" s="191"/>
    </row>
    <row r="256" spans="1:105" ht="11.45" customHeight="1" x14ac:dyDescent="0.25">
      <c r="A256" s="157" t="s">
        <v>114</v>
      </c>
      <c r="B256" s="103">
        <f t="shared" ref="B256:K256" si="375">IF(B38=0,0,B38/B$31)</f>
        <v>0</v>
      </c>
      <c r="C256" s="103">
        <f t="shared" si="375"/>
        <v>0</v>
      </c>
      <c r="D256" s="103">
        <f t="shared" si="375"/>
        <v>0</v>
      </c>
      <c r="E256" s="103">
        <f t="shared" si="375"/>
        <v>0</v>
      </c>
      <c r="F256" s="103">
        <f t="shared" si="375"/>
        <v>0</v>
      </c>
      <c r="G256" s="103">
        <f t="shared" si="375"/>
        <v>0</v>
      </c>
      <c r="H256" s="103">
        <f t="shared" si="375"/>
        <v>0</v>
      </c>
      <c r="I256" s="103">
        <f t="shared" si="375"/>
        <v>0</v>
      </c>
      <c r="J256" s="103">
        <f t="shared" si="375"/>
        <v>0</v>
      </c>
      <c r="K256" s="103">
        <f t="shared" si="375"/>
        <v>0</v>
      </c>
      <c r="L256" s="103">
        <f t="shared" ref="L256" si="376">IF(L38=0,0,L38/L$31)</f>
        <v>0</v>
      </c>
      <c r="M256" s="103">
        <f t="shared" ref="M256:V256" si="377">IF(M38=0,0,M38/M$31)</f>
        <v>1.5279883761718384E-6</v>
      </c>
      <c r="N256" s="103">
        <f t="shared" si="377"/>
        <v>4.5453752343471211E-4</v>
      </c>
      <c r="O256" s="103">
        <f t="shared" si="377"/>
        <v>2.5299289987534522E-3</v>
      </c>
      <c r="P256" s="103">
        <f t="shared" si="377"/>
        <v>3.7009210019939816E-3</v>
      </c>
      <c r="Q256" s="103">
        <f t="shared" si="377"/>
        <v>7.9211294767485858E-3</v>
      </c>
      <c r="R256" s="103">
        <f t="shared" si="377"/>
        <v>9.124358130293421E-3</v>
      </c>
      <c r="S256" s="103">
        <f t="shared" si="377"/>
        <v>8.6089986482064292E-3</v>
      </c>
      <c r="T256" s="103">
        <f t="shared" si="377"/>
        <v>8.4567324680661204E-3</v>
      </c>
      <c r="U256" s="103">
        <f t="shared" si="377"/>
        <v>8.2883872808503286E-3</v>
      </c>
      <c r="V256" s="103">
        <f t="shared" si="377"/>
        <v>9.1957290373992882E-3</v>
      </c>
      <c r="W256" s="103">
        <f t="shared" ref="W256:Y256" si="378">IF(W38=0,0,W38/W$31)</f>
        <v>1.2407975542909152E-2</v>
      </c>
      <c r="X256" s="103">
        <f t="shared" si="378"/>
        <v>1.6299498033779662E-2</v>
      </c>
      <c r="Y256" s="103">
        <f t="shared" si="378"/>
        <v>2.3760538470451995E-2</v>
      </c>
      <c r="DA256" s="191"/>
    </row>
    <row r="257" spans="1:105" ht="11.45" customHeight="1" x14ac:dyDescent="0.25">
      <c r="A257" s="157" t="s">
        <v>115</v>
      </c>
      <c r="B257" s="103">
        <f t="shared" ref="B257:K257" si="379">IF(B39=0,0,B39/B$31)</f>
        <v>0</v>
      </c>
      <c r="C257" s="103">
        <f t="shared" si="379"/>
        <v>0</v>
      </c>
      <c r="D257" s="103">
        <f t="shared" si="379"/>
        <v>0</v>
      </c>
      <c r="E257" s="103">
        <f t="shared" si="379"/>
        <v>0</v>
      </c>
      <c r="F257" s="103">
        <f t="shared" si="379"/>
        <v>0</v>
      </c>
      <c r="G257" s="103">
        <f t="shared" si="379"/>
        <v>0</v>
      </c>
      <c r="H257" s="103">
        <f t="shared" si="379"/>
        <v>0</v>
      </c>
      <c r="I257" s="103">
        <f t="shared" si="379"/>
        <v>0</v>
      </c>
      <c r="J257" s="103">
        <f t="shared" si="379"/>
        <v>0</v>
      </c>
      <c r="K257" s="103">
        <f t="shared" si="379"/>
        <v>4.2645914413905021E-6</v>
      </c>
      <c r="L257" s="103">
        <f t="shared" ref="L257" si="380">IF(L39=0,0,L39/L$31)</f>
        <v>1.3135402859444343E-5</v>
      </c>
      <c r="M257" s="103">
        <f t="shared" ref="M257:V257" si="381">IF(M39=0,0,M39/M$31)</f>
        <v>1.2705154277231463E-4</v>
      </c>
      <c r="N257" s="103">
        <f t="shared" si="381"/>
        <v>3.3076040176451297E-4</v>
      </c>
      <c r="O257" s="103">
        <f t="shared" si="381"/>
        <v>6.5585457914083597E-4</v>
      </c>
      <c r="P257" s="103">
        <f t="shared" si="381"/>
        <v>1.0764050240328429E-3</v>
      </c>
      <c r="Q257" s="103">
        <f t="shared" si="381"/>
        <v>1.4599115937887147E-3</v>
      </c>
      <c r="R257" s="103">
        <f t="shared" si="381"/>
        <v>1.9475150976585695E-3</v>
      </c>
      <c r="S257" s="103">
        <f t="shared" si="381"/>
        <v>3.1279094589637627E-3</v>
      </c>
      <c r="T257" s="103">
        <f t="shared" si="381"/>
        <v>6.5209125253902073E-3</v>
      </c>
      <c r="U257" s="103">
        <f t="shared" si="381"/>
        <v>1.5549953463039053E-2</v>
      </c>
      <c r="V257" s="103">
        <f t="shared" si="381"/>
        <v>2.5300115978144546E-2</v>
      </c>
      <c r="W257" s="103">
        <f t="shared" ref="W257:Y257" si="382">IF(W39=0,0,W39/W$31)</f>
        <v>4.0856258878712561E-2</v>
      </c>
      <c r="X257" s="103">
        <f t="shared" si="382"/>
        <v>5.0869529962100229E-2</v>
      </c>
      <c r="Y257" s="103">
        <f t="shared" si="382"/>
        <v>6.5615190870772486E-2</v>
      </c>
      <c r="DA257" s="191"/>
    </row>
    <row r="258" spans="1:105" ht="11.45" customHeight="1" x14ac:dyDescent="0.25">
      <c r="A258" s="155" t="s">
        <v>21</v>
      </c>
      <c r="B258" s="156">
        <f t="shared" ref="B258:K258" si="383">IF(B40=0,0,B40/B$31)</f>
        <v>6.4099541656161144E-3</v>
      </c>
      <c r="C258" s="156">
        <f t="shared" si="383"/>
        <v>6.3013063216787596E-3</v>
      </c>
      <c r="D258" s="156">
        <f t="shared" si="383"/>
        <v>6.1753653192883748E-3</v>
      </c>
      <c r="E258" s="156">
        <f t="shared" si="383"/>
        <v>6.020938180766669E-3</v>
      </c>
      <c r="F258" s="156">
        <f t="shared" si="383"/>
        <v>5.8214521073706007E-3</v>
      </c>
      <c r="G258" s="156">
        <f t="shared" si="383"/>
        <v>5.7780001321059635E-3</v>
      </c>
      <c r="H258" s="156">
        <f t="shared" si="383"/>
        <v>5.6977738119923212E-3</v>
      </c>
      <c r="I258" s="156">
        <f t="shared" si="383"/>
        <v>5.6174768476404489E-3</v>
      </c>
      <c r="J258" s="156">
        <f t="shared" si="383"/>
        <v>5.7250222635162216E-3</v>
      </c>
      <c r="K258" s="156">
        <f t="shared" si="383"/>
        <v>5.9639764655859502E-3</v>
      </c>
      <c r="L258" s="156">
        <f t="shared" ref="L258" si="384">IF(L40=0,0,L40/L$31)</f>
        <v>6.270907359517781E-3</v>
      </c>
      <c r="M258" s="156">
        <f t="shared" ref="M258:V258" si="385">IF(M40=0,0,M40/M$31)</f>
        <v>6.0637312521723092E-3</v>
      </c>
      <c r="N258" s="156">
        <f t="shared" si="385"/>
        <v>6.3213068787299166E-3</v>
      </c>
      <c r="O258" s="156">
        <f t="shared" si="385"/>
        <v>6.1265458494452673E-3</v>
      </c>
      <c r="P258" s="156">
        <f t="shared" si="385"/>
        <v>5.9090957027170743E-3</v>
      </c>
      <c r="Q258" s="156">
        <f t="shared" si="385"/>
        <v>5.7456309145815241E-3</v>
      </c>
      <c r="R258" s="156">
        <f t="shared" si="385"/>
        <v>5.5091294892257057E-3</v>
      </c>
      <c r="S258" s="156">
        <f t="shared" si="385"/>
        <v>5.86917382256131E-3</v>
      </c>
      <c r="T258" s="156">
        <f t="shared" si="385"/>
        <v>5.6636158557584566E-3</v>
      </c>
      <c r="U258" s="156">
        <f t="shared" si="385"/>
        <v>5.4470559199553542E-3</v>
      </c>
      <c r="V258" s="156">
        <f t="shared" si="385"/>
        <v>5.3931176895685362E-3</v>
      </c>
      <c r="W258" s="156">
        <f t="shared" ref="W258:Y258" si="386">IF(W40=0,0,W40/W$31)</f>
        <v>5.0139224363257217E-3</v>
      </c>
      <c r="X258" s="156">
        <f t="shared" si="386"/>
        <v>4.5983048653833927E-3</v>
      </c>
      <c r="Y258" s="156">
        <f t="shared" si="386"/>
        <v>4.3044842846298552E-3</v>
      </c>
      <c r="DA258" s="213"/>
    </row>
    <row r="259" spans="1:105" ht="11.45" customHeight="1" x14ac:dyDescent="0.25">
      <c r="A259" s="157" t="s">
        <v>110</v>
      </c>
      <c r="B259" s="103">
        <f t="shared" ref="B259:K259" si="387">IF(B41=0,0,B41/B$31)</f>
        <v>8.0316364466420041E-6</v>
      </c>
      <c r="C259" s="103">
        <f t="shared" si="387"/>
        <v>9.8002697521466277E-6</v>
      </c>
      <c r="D259" s="103">
        <f t="shared" si="387"/>
        <v>1.1554009013906261E-5</v>
      </c>
      <c r="E259" s="103">
        <f t="shared" si="387"/>
        <v>1.2975318693690976E-5</v>
      </c>
      <c r="F259" s="103">
        <f t="shared" si="387"/>
        <v>1.1861669379814898E-5</v>
      </c>
      <c r="G259" s="103">
        <f t="shared" si="387"/>
        <v>1.2603501992285762E-5</v>
      </c>
      <c r="H259" s="103">
        <f t="shared" si="387"/>
        <v>1.2919681842090013E-5</v>
      </c>
      <c r="I259" s="103">
        <f t="shared" si="387"/>
        <v>1.3578144190673883E-5</v>
      </c>
      <c r="J259" s="103">
        <f t="shared" si="387"/>
        <v>1.3283686849703792E-5</v>
      </c>
      <c r="K259" s="103">
        <f t="shared" si="387"/>
        <v>1.3735479110359816E-5</v>
      </c>
      <c r="L259" s="103">
        <f t="shared" ref="L259" si="388">IF(L41=0,0,L41/L$31)</f>
        <v>1.5142587329229037E-5</v>
      </c>
      <c r="M259" s="103">
        <f t="shared" ref="M259:V259" si="389">IF(M41=0,0,M41/M$31)</f>
        <v>1.2207561643431441E-5</v>
      </c>
      <c r="N259" s="103">
        <f t="shared" si="389"/>
        <v>7.7830688229637937E-6</v>
      </c>
      <c r="O259" s="103">
        <f t="shared" si="389"/>
        <v>6.8569274678301153E-6</v>
      </c>
      <c r="P259" s="103">
        <f t="shared" si="389"/>
        <v>6.3877947692326088E-6</v>
      </c>
      <c r="Q259" s="103">
        <f t="shared" si="389"/>
        <v>1.03522213277471E-5</v>
      </c>
      <c r="R259" s="103">
        <f t="shared" si="389"/>
        <v>1.2568903368741583E-5</v>
      </c>
      <c r="S259" s="103">
        <f t="shared" si="389"/>
        <v>1.1701471412439192E-5</v>
      </c>
      <c r="T259" s="103">
        <f t="shared" si="389"/>
        <v>1.0474376863666772E-5</v>
      </c>
      <c r="U259" s="103">
        <f t="shared" si="389"/>
        <v>4.6427105831646257E-5</v>
      </c>
      <c r="V259" s="103">
        <f t="shared" si="389"/>
        <v>4.6593489237654342E-5</v>
      </c>
      <c r="W259" s="103">
        <f t="shared" ref="W259:Y259" si="390">IF(W41=0,0,W41/W$31)</f>
        <v>5.1604177281183246E-5</v>
      </c>
      <c r="X259" s="103">
        <f t="shared" si="390"/>
        <v>5.7560612713254812E-5</v>
      </c>
      <c r="Y259" s="103">
        <f t="shared" si="390"/>
        <v>5.5943788955512557E-5</v>
      </c>
      <c r="DA259" s="191"/>
    </row>
    <row r="260" spans="1:105" ht="11.45" customHeight="1" x14ac:dyDescent="0.25">
      <c r="A260" s="157" t="s">
        <v>111</v>
      </c>
      <c r="B260" s="103">
        <f t="shared" ref="B260:K260" si="391">IF(B42=0,0,B42/B$31)</f>
        <v>6.3104023645300473E-3</v>
      </c>
      <c r="C260" s="103">
        <f t="shared" si="391"/>
        <v>6.2067537249198817E-3</v>
      </c>
      <c r="D260" s="103">
        <f t="shared" si="391"/>
        <v>6.0794182054515972E-3</v>
      </c>
      <c r="E260" s="103">
        <f t="shared" si="391"/>
        <v>5.93379734073856E-3</v>
      </c>
      <c r="F260" s="103">
        <f t="shared" si="391"/>
        <v>5.7375156367237331E-3</v>
      </c>
      <c r="G260" s="103">
        <f t="shared" si="391"/>
        <v>5.6829574196822349E-3</v>
      </c>
      <c r="H260" s="103">
        <f t="shared" si="391"/>
        <v>5.5959257592027535E-3</v>
      </c>
      <c r="I260" s="103">
        <f t="shared" si="391"/>
        <v>5.5112131983437373E-3</v>
      </c>
      <c r="J260" s="103">
        <f t="shared" si="391"/>
        <v>5.6033064780257038E-3</v>
      </c>
      <c r="K260" s="103">
        <f t="shared" si="391"/>
        <v>5.7741078845403174E-3</v>
      </c>
      <c r="L260" s="103">
        <f t="shared" ref="L260" si="392">IF(L42=0,0,L42/L$31)</f>
        <v>6.0157009943390682E-3</v>
      </c>
      <c r="M260" s="103">
        <f t="shared" ref="M260:V260" si="393">IF(M42=0,0,M42/M$31)</f>
        <v>5.6903697331074374E-3</v>
      </c>
      <c r="N260" s="103">
        <f t="shared" si="393"/>
        <v>5.8249648484866952E-3</v>
      </c>
      <c r="O260" s="103">
        <f t="shared" si="393"/>
        <v>5.2489559734725218E-3</v>
      </c>
      <c r="P260" s="103">
        <f t="shared" si="393"/>
        <v>5.0030660473539433E-3</v>
      </c>
      <c r="Q260" s="103">
        <f t="shared" si="393"/>
        <v>4.7518661673023902E-3</v>
      </c>
      <c r="R260" s="103">
        <f t="shared" si="393"/>
        <v>4.4007322942553745E-3</v>
      </c>
      <c r="S260" s="103">
        <f t="shared" si="393"/>
        <v>4.591216926078375E-3</v>
      </c>
      <c r="T260" s="103">
        <f t="shared" si="393"/>
        <v>4.3208554405363368E-3</v>
      </c>
      <c r="U260" s="103">
        <f t="shared" si="393"/>
        <v>3.8979011969001252E-3</v>
      </c>
      <c r="V260" s="103">
        <f t="shared" si="393"/>
        <v>3.4238193861986627E-3</v>
      </c>
      <c r="W260" s="103">
        <f t="shared" ref="W260:Y260" si="394">IF(W42=0,0,W42/W$31)</f>
        <v>2.9280592597935081E-3</v>
      </c>
      <c r="X260" s="103">
        <f t="shared" si="394"/>
        <v>2.6506654864896159E-3</v>
      </c>
      <c r="Y260" s="103">
        <f t="shared" si="394"/>
        <v>2.4007645152401913E-3</v>
      </c>
      <c r="DA260" s="191"/>
    </row>
    <row r="261" spans="1:105" ht="11.45" customHeight="1" x14ac:dyDescent="0.25">
      <c r="A261" s="157" t="s">
        <v>112</v>
      </c>
      <c r="B261" s="103">
        <f t="shared" ref="B261:K261" si="395">IF(B43=0,0,B43/B$31)</f>
        <v>5.8820161703678262E-5</v>
      </c>
      <c r="C261" s="103">
        <f t="shared" si="395"/>
        <v>5.449077220876075E-5</v>
      </c>
      <c r="D261" s="103">
        <f t="shared" si="395"/>
        <v>4.6685211066849021E-5</v>
      </c>
      <c r="E261" s="103">
        <f t="shared" si="395"/>
        <v>4.2038281762054897E-5</v>
      </c>
      <c r="F261" s="103">
        <f t="shared" si="395"/>
        <v>3.5176496500505839E-5</v>
      </c>
      <c r="G261" s="103">
        <f t="shared" si="395"/>
        <v>4.3125094654427238E-5</v>
      </c>
      <c r="H261" s="103">
        <f t="shared" si="395"/>
        <v>3.5099629399427146E-5</v>
      </c>
      <c r="I261" s="103">
        <f t="shared" si="395"/>
        <v>3.0784829809668748E-5</v>
      </c>
      <c r="J261" s="103">
        <f t="shared" si="395"/>
        <v>2.9997749790512946E-5</v>
      </c>
      <c r="K261" s="103">
        <f t="shared" si="395"/>
        <v>2.8279962481495411E-5</v>
      </c>
      <c r="L261" s="103">
        <f t="shared" ref="L261" si="396">IF(L43=0,0,L43/L$31)</f>
        <v>2.8566169545807661E-5</v>
      </c>
      <c r="M261" s="103">
        <f t="shared" ref="M261:V261" si="397">IF(M43=0,0,M43/M$31)</f>
        <v>2.7031362612659117E-5</v>
      </c>
      <c r="N261" s="103">
        <f t="shared" si="397"/>
        <v>2.7678198816732827E-5</v>
      </c>
      <c r="O261" s="103">
        <f t="shared" si="397"/>
        <v>2.7488684693923115E-5</v>
      </c>
      <c r="P261" s="103">
        <f t="shared" si="397"/>
        <v>2.7003781333321849E-5</v>
      </c>
      <c r="Q261" s="103">
        <f t="shared" si="397"/>
        <v>2.7584893882926881E-5</v>
      </c>
      <c r="R261" s="103">
        <f t="shared" si="397"/>
        <v>2.7087883932600963E-5</v>
      </c>
      <c r="S261" s="103">
        <f t="shared" si="397"/>
        <v>2.7209189189546008E-5</v>
      </c>
      <c r="T261" s="103">
        <f t="shared" si="397"/>
        <v>2.5764989954492651E-5</v>
      </c>
      <c r="U261" s="103">
        <f t="shared" si="397"/>
        <v>2.3130693634028552E-5</v>
      </c>
      <c r="V261" s="103">
        <f t="shared" si="397"/>
        <v>2.3140276295526452E-5</v>
      </c>
      <c r="W261" s="103">
        <f t="shared" ref="W261:Y261" si="398">IF(W43=0,0,W43/W$31)</f>
        <v>2.1549183641370526E-5</v>
      </c>
      <c r="X261" s="103">
        <f t="shared" si="398"/>
        <v>1.8194997924266017E-5</v>
      </c>
      <c r="Y261" s="103">
        <f t="shared" si="398"/>
        <v>1.7052714527417098E-5</v>
      </c>
      <c r="DA261" s="191"/>
    </row>
    <row r="262" spans="1:105" ht="11.45" customHeight="1" x14ac:dyDescent="0.25">
      <c r="A262" s="157" t="s">
        <v>113</v>
      </c>
      <c r="B262" s="103">
        <f t="shared" ref="B262:K262" si="399">IF(B44=0,0,B44/B$31)</f>
        <v>3.1962556646674805E-6</v>
      </c>
      <c r="C262" s="103">
        <f t="shared" si="399"/>
        <v>4.5951647455999636E-6</v>
      </c>
      <c r="D262" s="103">
        <f t="shared" si="399"/>
        <v>9.0998046669317823E-6</v>
      </c>
      <c r="E262" s="103">
        <f t="shared" si="399"/>
        <v>7.762346229154343E-6</v>
      </c>
      <c r="F262" s="103">
        <f t="shared" si="399"/>
        <v>6.9872165754419491E-6</v>
      </c>
      <c r="G262" s="103">
        <f t="shared" si="399"/>
        <v>8.7936061170970632E-6</v>
      </c>
      <c r="H262" s="103">
        <f t="shared" si="399"/>
        <v>2.3100880182026679E-5</v>
      </c>
      <c r="I262" s="103">
        <f t="shared" si="399"/>
        <v>3.1751027714058128E-5</v>
      </c>
      <c r="J262" s="103">
        <f t="shared" si="399"/>
        <v>5.4124002391332391E-5</v>
      </c>
      <c r="K262" s="103">
        <f t="shared" si="399"/>
        <v>1.1839452306467334E-4</v>
      </c>
      <c r="L262" s="103">
        <f t="shared" ref="L262" si="400">IF(L44=0,0,L44/L$31)</f>
        <v>1.6482369957299462E-4</v>
      </c>
      <c r="M262" s="103">
        <f t="shared" ref="M262:V262" si="401">IF(M44=0,0,M44/M$31)</f>
        <v>2.9041238807631645E-4</v>
      </c>
      <c r="N262" s="103">
        <f t="shared" si="401"/>
        <v>4.1440477112317351E-4</v>
      </c>
      <c r="O262" s="103">
        <f t="shared" si="401"/>
        <v>7.9888266489870109E-4</v>
      </c>
      <c r="P262" s="103">
        <f t="shared" si="401"/>
        <v>8.2986358527207952E-4</v>
      </c>
      <c r="Q262" s="103">
        <f t="shared" si="401"/>
        <v>9.0618497999708498E-4</v>
      </c>
      <c r="R262" s="103">
        <f t="shared" si="401"/>
        <v>9.8866071439116768E-4</v>
      </c>
      <c r="S262" s="103">
        <f t="shared" si="401"/>
        <v>1.0881461935788308E-3</v>
      </c>
      <c r="T262" s="103">
        <f t="shared" si="401"/>
        <v>1.1024462890985877E-3</v>
      </c>
      <c r="U262" s="103">
        <f t="shared" si="401"/>
        <v>1.0899295557388335E-3</v>
      </c>
      <c r="V262" s="103">
        <f t="shared" si="401"/>
        <v>1.2497935940945051E-3</v>
      </c>
      <c r="W262" s="103">
        <f t="shared" ref="W262:Y262" si="402">IF(W44=0,0,W44/W$31)</f>
        <v>1.2394605823538539E-3</v>
      </c>
      <c r="X262" s="103">
        <f t="shared" si="402"/>
        <v>1.1103979542683544E-3</v>
      </c>
      <c r="Y262" s="103">
        <f t="shared" si="402"/>
        <v>1.0296601315239872E-3</v>
      </c>
      <c r="DA262" s="191"/>
    </row>
    <row r="263" spans="1:105" ht="11.45" customHeight="1" x14ac:dyDescent="0.25">
      <c r="A263" s="157" t="s">
        <v>115</v>
      </c>
      <c r="B263" s="103">
        <f t="shared" ref="B263:K263" si="403">IF(B45=0,0,B45/B$31)</f>
        <v>2.9503747271080273E-5</v>
      </c>
      <c r="C263" s="103">
        <f t="shared" si="403"/>
        <v>2.566639005237193E-5</v>
      </c>
      <c r="D263" s="103">
        <f t="shared" si="403"/>
        <v>2.8608089089091167E-5</v>
      </c>
      <c r="E263" s="103">
        <f t="shared" si="403"/>
        <v>2.4364893343209024E-5</v>
      </c>
      <c r="F263" s="103">
        <f t="shared" si="403"/>
        <v>2.9911088191104141E-5</v>
      </c>
      <c r="G263" s="103">
        <f t="shared" si="403"/>
        <v>3.0520509659918502E-5</v>
      </c>
      <c r="H263" s="103">
        <f t="shared" si="403"/>
        <v>3.0727861366024093E-5</v>
      </c>
      <c r="I263" s="103">
        <f t="shared" si="403"/>
        <v>3.0149647582312202E-5</v>
      </c>
      <c r="J263" s="103">
        <f t="shared" si="403"/>
        <v>2.4310346458969003E-5</v>
      </c>
      <c r="K263" s="103">
        <f t="shared" si="403"/>
        <v>2.9458616389104534E-5</v>
      </c>
      <c r="L263" s="103">
        <f t="shared" ref="L263" si="404">IF(L45=0,0,L45/L$31)</f>
        <v>4.6673908730681502E-5</v>
      </c>
      <c r="M263" s="103">
        <f t="shared" ref="M263:V263" si="405">IF(M45=0,0,M45/M$31)</f>
        <v>4.371020673246446E-5</v>
      </c>
      <c r="N263" s="103">
        <f t="shared" si="405"/>
        <v>4.6475991480349832E-5</v>
      </c>
      <c r="O263" s="103">
        <f t="shared" si="405"/>
        <v>4.4361598912292519E-5</v>
      </c>
      <c r="P263" s="103">
        <f t="shared" si="405"/>
        <v>4.277449398849702E-5</v>
      </c>
      <c r="Q263" s="103">
        <f t="shared" si="405"/>
        <v>4.9642652071376241E-5</v>
      </c>
      <c r="R263" s="103">
        <f t="shared" si="405"/>
        <v>8.0079693277820667E-5</v>
      </c>
      <c r="S263" s="103">
        <f t="shared" si="405"/>
        <v>1.5090004230211885E-4</v>
      </c>
      <c r="T263" s="103">
        <f t="shared" si="405"/>
        <v>2.0407475930537278E-4</v>
      </c>
      <c r="U263" s="103">
        <f t="shared" si="405"/>
        <v>3.8966736785072027E-4</v>
      </c>
      <c r="V263" s="103">
        <f t="shared" si="405"/>
        <v>6.4977094374218741E-4</v>
      </c>
      <c r="W263" s="103">
        <f t="shared" ref="W263:Y263" si="406">IF(W45=0,0,W45/W$31)</f>
        <v>7.732492332558061E-4</v>
      </c>
      <c r="X263" s="103">
        <f t="shared" si="406"/>
        <v>7.614858139879015E-4</v>
      </c>
      <c r="Y263" s="103">
        <f t="shared" si="406"/>
        <v>8.0106313438274676E-4</v>
      </c>
      <c r="DA263" s="191"/>
    </row>
    <row r="264" spans="1:105" ht="11.45" customHeight="1" x14ac:dyDescent="0.25">
      <c r="A264" s="27" t="s">
        <v>34</v>
      </c>
      <c r="B264" s="46">
        <f t="shared" ref="B264:K264" si="407">IF(B46=0,0,B46/B$46)</f>
        <v>1</v>
      </c>
      <c r="C264" s="46">
        <f t="shared" si="407"/>
        <v>1</v>
      </c>
      <c r="D264" s="46">
        <f t="shared" si="407"/>
        <v>1</v>
      </c>
      <c r="E264" s="46">
        <f t="shared" si="407"/>
        <v>1</v>
      </c>
      <c r="F264" s="46">
        <f t="shared" si="407"/>
        <v>1</v>
      </c>
      <c r="G264" s="46">
        <f t="shared" si="407"/>
        <v>1</v>
      </c>
      <c r="H264" s="46">
        <f t="shared" si="407"/>
        <v>1</v>
      </c>
      <c r="I264" s="46">
        <f t="shared" si="407"/>
        <v>1</v>
      </c>
      <c r="J264" s="46">
        <f t="shared" si="407"/>
        <v>1</v>
      </c>
      <c r="K264" s="46">
        <f t="shared" si="407"/>
        <v>1</v>
      </c>
      <c r="L264" s="46">
        <f t="shared" ref="L264" si="408">IF(L46=0,0,L46/L$46)</f>
        <v>1</v>
      </c>
      <c r="M264" s="46">
        <f t="shared" ref="M264:V264" si="409">IF(M46=0,0,M46/M$46)</f>
        <v>1</v>
      </c>
      <c r="N264" s="46">
        <f t="shared" si="409"/>
        <v>1</v>
      </c>
      <c r="O264" s="46">
        <f t="shared" si="409"/>
        <v>1</v>
      </c>
      <c r="P264" s="46">
        <f t="shared" si="409"/>
        <v>1</v>
      </c>
      <c r="Q264" s="46">
        <f t="shared" si="409"/>
        <v>1</v>
      </c>
      <c r="R264" s="46">
        <f t="shared" si="409"/>
        <v>1</v>
      </c>
      <c r="S264" s="46">
        <f t="shared" si="409"/>
        <v>1</v>
      </c>
      <c r="T264" s="46">
        <f t="shared" si="409"/>
        <v>1</v>
      </c>
      <c r="U264" s="46">
        <f t="shared" si="409"/>
        <v>1</v>
      </c>
      <c r="V264" s="46">
        <f t="shared" si="409"/>
        <v>1</v>
      </c>
      <c r="W264" s="46">
        <f t="shared" ref="W264:Y264" si="410">IF(W46=0,0,W46/W$46)</f>
        <v>1</v>
      </c>
      <c r="X264" s="46">
        <f t="shared" si="410"/>
        <v>1</v>
      </c>
      <c r="Y264" s="46">
        <f t="shared" si="410"/>
        <v>1</v>
      </c>
      <c r="DA264" s="211"/>
    </row>
    <row r="265" spans="1:105" ht="11.45" customHeight="1" x14ac:dyDescent="0.25">
      <c r="A265" s="153" t="s">
        <v>153</v>
      </c>
      <c r="B265" s="154">
        <f t="shared" ref="B265:K265" si="411">IF(B47=0,0,B47/B$46)</f>
        <v>0.7251432684181055</v>
      </c>
      <c r="C265" s="154">
        <f t="shared" si="411"/>
        <v>0.74353075249241607</v>
      </c>
      <c r="D265" s="154">
        <f t="shared" si="411"/>
        <v>0.7421385644141949</v>
      </c>
      <c r="E265" s="154">
        <f t="shared" si="411"/>
        <v>0.74502280047268821</v>
      </c>
      <c r="F265" s="154">
        <f t="shared" si="411"/>
        <v>0.75322533828394789</v>
      </c>
      <c r="G265" s="154">
        <f t="shared" si="411"/>
        <v>0.7564901208121787</v>
      </c>
      <c r="H265" s="154">
        <f t="shared" si="411"/>
        <v>0.7552506550036937</v>
      </c>
      <c r="I265" s="154">
        <f t="shared" si="411"/>
        <v>0.76463156767255569</v>
      </c>
      <c r="J265" s="154">
        <f t="shared" si="411"/>
        <v>0.76718594590165345</v>
      </c>
      <c r="K265" s="154">
        <f t="shared" si="411"/>
        <v>0.76055825808294142</v>
      </c>
      <c r="L265" s="154">
        <f t="shared" ref="L265" si="412">IF(L47=0,0,L47/L$46)</f>
        <v>0.78288014869031108</v>
      </c>
      <c r="M265" s="154">
        <f t="shared" ref="M265:V265" si="413">IF(M47=0,0,M47/M$46)</f>
        <v>0.7828250940936351</v>
      </c>
      <c r="N265" s="154">
        <f t="shared" si="413"/>
        <v>0.78317255621146864</v>
      </c>
      <c r="O265" s="154">
        <f t="shared" si="413"/>
        <v>0.77387866165199226</v>
      </c>
      <c r="P265" s="154">
        <f t="shared" si="413"/>
        <v>0.76303495255331666</v>
      </c>
      <c r="Q265" s="154">
        <f t="shared" si="413"/>
        <v>0.76737716803162737</v>
      </c>
      <c r="R265" s="154">
        <f t="shared" si="413"/>
        <v>0.76473348900213101</v>
      </c>
      <c r="S265" s="154">
        <f t="shared" si="413"/>
        <v>0.77457528103962614</v>
      </c>
      <c r="T265" s="154">
        <f t="shared" si="413"/>
        <v>0.77338754234210227</v>
      </c>
      <c r="U265" s="154">
        <f t="shared" si="413"/>
        <v>0.7684349532232968</v>
      </c>
      <c r="V265" s="154">
        <f t="shared" si="413"/>
        <v>0.75750408322802754</v>
      </c>
      <c r="W265" s="154">
        <f t="shared" ref="W265:Y265" si="414">IF(W47=0,0,W47/W$46)</f>
        <v>0.76049094054091226</v>
      </c>
      <c r="X265" s="154">
        <f t="shared" si="414"/>
        <v>0.76376672283366898</v>
      </c>
      <c r="Y265" s="154">
        <f t="shared" si="414"/>
        <v>0.77176902555661053</v>
      </c>
      <c r="DA265" s="212"/>
    </row>
    <row r="266" spans="1:105" ht="11.45" customHeight="1" x14ac:dyDescent="0.25">
      <c r="A266" s="157" t="s">
        <v>110</v>
      </c>
      <c r="B266" s="103">
        <f t="shared" ref="B266:K266" si="415">IF(B48=0,0,B48/B$46)</f>
        <v>2.816269351876689E-2</v>
      </c>
      <c r="C266" s="103">
        <f t="shared" si="415"/>
        <v>2.400827354376078E-2</v>
      </c>
      <c r="D266" s="103">
        <f t="shared" si="415"/>
        <v>2.0350844868927808E-2</v>
      </c>
      <c r="E266" s="103">
        <f t="shared" si="415"/>
        <v>1.7513958455928725E-2</v>
      </c>
      <c r="F266" s="103">
        <f t="shared" si="415"/>
        <v>1.5479057323372437E-2</v>
      </c>
      <c r="G266" s="103">
        <f t="shared" si="415"/>
        <v>1.447202598851517E-2</v>
      </c>
      <c r="H266" s="103">
        <f t="shared" si="415"/>
        <v>1.2904386827797947E-2</v>
      </c>
      <c r="I266" s="103">
        <f t="shared" si="415"/>
        <v>1.1992979086002446E-2</v>
      </c>
      <c r="J266" s="103">
        <f t="shared" si="415"/>
        <v>1.1165887158869377E-2</v>
      </c>
      <c r="K266" s="103">
        <f t="shared" si="415"/>
        <v>1.0809172717964804E-2</v>
      </c>
      <c r="L266" s="103">
        <f t="shared" ref="L266" si="416">IF(L48=0,0,L48/L$46)</f>
        <v>1.0480446918875359E-2</v>
      </c>
      <c r="M266" s="103">
        <f t="shared" ref="M266:V266" si="417">IF(M48=0,0,M48/M$46)</f>
        <v>9.8145267092423112E-3</v>
      </c>
      <c r="N266" s="103">
        <f t="shared" si="417"/>
        <v>9.7549076956291812E-3</v>
      </c>
      <c r="O266" s="103">
        <f t="shared" si="417"/>
        <v>9.0105197973575843E-3</v>
      </c>
      <c r="P266" s="103">
        <f t="shared" si="417"/>
        <v>9.4058071518365455E-3</v>
      </c>
      <c r="Q266" s="103">
        <f t="shared" si="417"/>
        <v>9.2629257646952602E-3</v>
      </c>
      <c r="R266" s="103">
        <f t="shared" si="417"/>
        <v>9.1980566596452113E-3</v>
      </c>
      <c r="S266" s="103">
        <f t="shared" si="417"/>
        <v>9.3011349037453051E-3</v>
      </c>
      <c r="T266" s="103">
        <f t="shared" si="417"/>
        <v>8.846523488033867E-3</v>
      </c>
      <c r="U266" s="103">
        <f t="shared" si="417"/>
        <v>9.1629673280378323E-3</v>
      </c>
      <c r="V266" s="103">
        <f t="shared" si="417"/>
        <v>9.5411137159521105E-3</v>
      </c>
      <c r="W266" s="103">
        <f t="shared" ref="W266:Y266" si="418">IF(W48=0,0,W48/W$46)</f>
        <v>1.0189527630918902E-2</v>
      </c>
      <c r="X266" s="103">
        <f t="shared" si="418"/>
        <v>1.0774000863220902E-2</v>
      </c>
      <c r="Y266" s="103">
        <f t="shared" si="418"/>
        <v>1.1541158773085237E-2</v>
      </c>
      <c r="DA266" s="191"/>
    </row>
    <row r="267" spans="1:105" ht="11.45" customHeight="1" x14ac:dyDescent="0.25">
      <c r="A267" s="157" t="s">
        <v>111</v>
      </c>
      <c r="B267" s="103">
        <f t="shared" ref="B267:K267" si="419">IF(B49=0,0,B49/B$46)</f>
        <v>0.68733183419037791</v>
      </c>
      <c r="C267" s="103">
        <f t="shared" si="419"/>
        <v>0.71053142389282997</v>
      </c>
      <c r="D267" s="103">
        <f t="shared" si="419"/>
        <v>0.71348211704183262</v>
      </c>
      <c r="E267" s="103">
        <f t="shared" si="419"/>
        <v>0.71983340392735196</v>
      </c>
      <c r="F267" s="103">
        <f t="shared" si="419"/>
        <v>0.73054500883969031</v>
      </c>
      <c r="G267" s="103">
        <f t="shared" si="419"/>
        <v>0.73592733130613375</v>
      </c>
      <c r="H267" s="103">
        <f t="shared" si="419"/>
        <v>0.73672064806391557</v>
      </c>
      <c r="I267" s="103">
        <f t="shared" si="419"/>
        <v>0.7468418205811812</v>
      </c>
      <c r="J267" s="103">
        <f t="shared" si="419"/>
        <v>0.75025104198323966</v>
      </c>
      <c r="K267" s="103">
        <f t="shared" si="419"/>
        <v>0.74370479526456124</v>
      </c>
      <c r="L267" s="103">
        <f t="shared" ref="L267" si="420">IF(L49=0,0,L49/L$46)</f>
        <v>0.7660716502969861</v>
      </c>
      <c r="M267" s="103">
        <f t="shared" ref="M267:V267" si="421">IF(M49=0,0,M49/M$46)</f>
        <v>0.76658551576520761</v>
      </c>
      <c r="N267" s="103">
        <f t="shared" si="421"/>
        <v>0.76644126411524938</v>
      </c>
      <c r="O267" s="103">
        <f t="shared" si="421"/>
        <v>0.75743288353766181</v>
      </c>
      <c r="P267" s="103">
        <f t="shared" si="421"/>
        <v>0.74538673825933677</v>
      </c>
      <c r="Q267" s="103">
        <f t="shared" si="421"/>
        <v>0.74989405437868151</v>
      </c>
      <c r="R267" s="103">
        <f t="shared" si="421"/>
        <v>0.74803750922415579</v>
      </c>
      <c r="S267" s="103">
        <f t="shared" si="421"/>
        <v>0.75704395260996771</v>
      </c>
      <c r="T267" s="103">
        <f t="shared" si="421"/>
        <v>0.75445113079101245</v>
      </c>
      <c r="U267" s="103">
        <f t="shared" si="421"/>
        <v>0.74693362390613549</v>
      </c>
      <c r="V267" s="103">
        <f t="shared" si="421"/>
        <v>0.73471421394967584</v>
      </c>
      <c r="W267" s="103">
        <f t="shared" ref="W267:Y267" si="422">IF(W49=0,0,W49/W$46)</f>
        <v>0.7367248145743871</v>
      </c>
      <c r="X267" s="103">
        <f t="shared" si="422"/>
        <v>0.73640325408206186</v>
      </c>
      <c r="Y267" s="103">
        <f t="shared" si="422"/>
        <v>0.73869263642580096</v>
      </c>
      <c r="DA267" s="191"/>
    </row>
    <row r="268" spans="1:105" ht="11.45" customHeight="1" x14ac:dyDescent="0.25">
      <c r="A268" s="157" t="s">
        <v>112</v>
      </c>
      <c r="B268" s="103">
        <f t="shared" ref="B268:K268" si="423">IF(B50=0,0,B50/B$46)</f>
        <v>9.6487407089607159E-3</v>
      </c>
      <c r="C268" s="103">
        <f t="shared" si="423"/>
        <v>8.9910550558252485E-3</v>
      </c>
      <c r="D268" s="103">
        <f t="shared" si="423"/>
        <v>8.3056025034344717E-3</v>
      </c>
      <c r="E268" s="103">
        <f t="shared" si="423"/>
        <v>7.6247242038318692E-3</v>
      </c>
      <c r="F268" s="103">
        <f t="shared" si="423"/>
        <v>7.065676847976478E-3</v>
      </c>
      <c r="G268" s="103">
        <f t="shared" si="423"/>
        <v>5.9683060249634502E-3</v>
      </c>
      <c r="H268" s="103">
        <f t="shared" si="423"/>
        <v>5.5065393329622424E-3</v>
      </c>
      <c r="I268" s="103">
        <f t="shared" si="423"/>
        <v>5.5196235537708785E-3</v>
      </c>
      <c r="J268" s="103">
        <f t="shared" si="423"/>
        <v>5.4929297317293391E-3</v>
      </c>
      <c r="K268" s="103">
        <f t="shared" si="423"/>
        <v>5.5810155528326173E-3</v>
      </c>
      <c r="L268" s="103">
        <f t="shared" ref="L268" si="424">IF(L50=0,0,L50/L$46)</f>
        <v>5.6589857352944018E-3</v>
      </c>
      <c r="M268" s="103">
        <f t="shared" ref="M268:V268" si="425">IF(M50=0,0,M50/M$46)</f>
        <v>5.5731621980304727E-3</v>
      </c>
      <c r="N268" s="103">
        <f t="shared" si="425"/>
        <v>5.7524894922907311E-3</v>
      </c>
      <c r="O268" s="103">
        <f t="shared" si="425"/>
        <v>5.8391262218748449E-3</v>
      </c>
      <c r="P268" s="103">
        <f t="shared" si="425"/>
        <v>6.0585183558235743E-3</v>
      </c>
      <c r="Q268" s="103">
        <f t="shared" si="425"/>
        <v>5.892736328529556E-3</v>
      </c>
      <c r="R268" s="103">
        <f t="shared" si="425"/>
        <v>5.7936755661751604E-3</v>
      </c>
      <c r="S268" s="103">
        <f t="shared" si="425"/>
        <v>5.8779674855856303E-3</v>
      </c>
      <c r="T268" s="103">
        <f t="shared" si="425"/>
        <v>6.1947100494039141E-3</v>
      </c>
      <c r="U268" s="103">
        <f t="shared" si="425"/>
        <v>7.7153445364889408E-3</v>
      </c>
      <c r="V268" s="103">
        <f t="shared" si="425"/>
        <v>7.7809474096630395E-3</v>
      </c>
      <c r="W268" s="103">
        <f t="shared" ref="W268:Y268" si="426">IF(W50=0,0,W50/W$46)</f>
        <v>6.8095606101422467E-3</v>
      </c>
      <c r="X268" s="103">
        <f t="shared" si="426"/>
        <v>7.4388723767060995E-3</v>
      </c>
      <c r="Y268" s="103">
        <f t="shared" si="426"/>
        <v>7.6920177924838466E-3</v>
      </c>
      <c r="DA268" s="191"/>
    </row>
    <row r="269" spans="1:105" ht="11.45" customHeight="1" x14ac:dyDescent="0.25">
      <c r="A269" s="157" t="s">
        <v>113</v>
      </c>
      <c r="B269" s="103">
        <f t="shared" ref="B269:K269" si="427">IF(B51=0,0,B51/B$46)</f>
        <v>0</v>
      </c>
      <c r="C269" s="103">
        <f t="shared" si="427"/>
        <v>0</v>
      </c>
      <c r="D269" s="103">
        <f t="shared" si="427"/>
        <v>0</v>
      </c>
      <c r="E269" s="103">
        <f t="shared" si="427"/>
        <v>5.071388557548023E-5</v>
      </c>
      <c r="F269" s="103">
        <f t="shared" si="427"/>
        <v>1.3559527290867604E-4</v>
      </c>
      <c r="G269" s="103">
        <f t="shared" si="427"/>
        <v>1.2245749256640427E-4</v>
      </c>
      <c r="H269" s="103">
        <f t="shared" si="427"/>
        <v>1.1908077901805879E-4</v>
      </c>
      <c r="I269" s="103">
        <f t="shared" si="427"/>
        <v>2.7714445160109701E-4</v>
      </c>
      <c r="J269" s="103">
        <f t="shared" si="427"/>
        <v>2.7608702781501163E-4</v>
      </c>
      <c r="K269" s="103">
        <f t="shared" si="427"/>
        <v>4.6327454758280973E-4</v>
      </c>
      <c r="L269" s="103">
        <f t="shared" ref="L269" si="428">IF(L51=0,0,L51/L$46)</f>
        <v>6.6906573915531263E-4</v>
      </c>
      <c r="M269" s="103">
        <f t="shared" ref="M269:V269" si="429">IF(M51=0,0,M51/M$46)</f>
        <v>8.4351837855651277E-4</v>
      </c>
      <c r="N269" s="103">
        <f t="shared" si="429"/>
        <v>1.0075945720082414E-3</v>
      </c>
      <c r="O269" s="103">
        <f t="shared" si="429"/>
        <v>1.2234506534415188E-3</v>
      </c>
      <c r="P269" s="103">
        <f t="shared" si="429"/>
        <v>1.4650356308324964E-3</v>
      </c>
      <c r="Q269" s="103">
        <f t="shared" si="429"/>
        <v>1.5252174699179467E-3</v>
      </c>
      <c r="R269" s="103">
        <f t="shared" si="429"/>
        <v>8.8028773659319475E-4</v>
      </c>
      <c r="S269" s="103">
        <f t="shared" si="429"/>
        <v>1.2109671649639753E-3</v>
      </c>
      <c r="T269" s="103">
        <f t="shared" si="429"/>
        <v>2.2589620221564527E-3</v>
      </c>
      <c r="U269" s="103">
        <f t="shared" si="429"/>
        <v>2.3517695780934777E-3</v>
      </c>
      <c r="V269" s="103">
        <f t="shared" si="429"/>
        <v>2.3931547074142962E-3</v>
      </c>
      <c r="W269" s="103">
        <f t="shared" ref="W269:Y269" si="430">IF(W51=0,0,W51/W$46)</f>
        <v>2.1772514573831412E-3</v>
      </c>
      <c r="X269" s="103">
        <f t="shared" si="430"/>
        <v>2.0717553627016758E-3</v>
      </c>
      <c r="Y269" s="103">
        <f t="shared" si="430"/>
        <v>1.4720991283345395E-3</v>
      </c>
      <c r="DA269" s="191"/>
    </row>
    <row r="270" spans="1:105" ht="11.45" customHeight="1" x14ac:dyDescent="0.25">
      <c r="A270" s="157" t="s">
        <v>115</v>
      </c>
      <c r="B270" s="103">
        <f t="shared" ref="B270:K270" si="431">IF(B52=0,0,B52/B$46)</f>
        <v>0</v>
      </c>
      <c r="C270" s="103">
        <f t="shared" si="431"/>
        <v>0</v>
      </c>
      <c r="D270" s="103">
        <f t="shared" si="431"/>
        <v>0</v>
      </c>
      <c r="E270" s="103">
        <f t="shared" si="431"/>
        <v>0</v>
      </c>
      <c r="F270" s="103">
        <f t="shared" si="431"/>
        <v>0</v>
      </c>
      <c r="G270" s="103">
        <f t="shared" si="431"/>
        <v>0</v>
      </c>
      <c r="H270" s="103">
        <f t="shared" si="431"/>
        <v>0</v>
      </c>
      <c r="I270" s="103">
        <f t="shared" si="431"/>
        <v>0</v>
      </c>
      <c r="J270" s="103">
        <f t="shared" si="431"/>
        <v>0</v>
      </c>
      <c r="K270" s="103">
        <f t="shared" si="431"/>
        <v>0</v>
      </c>
      <c r="L270" s="103">
        <f t="shared" ref="L270" si="432">IF(L52=0,0,L52/L$46)</f>
        <v>0</v>
      </c>
      <c r="M270" s="103">
        <f t="shared" ref="M270:V270" si="433">IF(M52=0,0,M52/M$46)</f>
        <v>8.3710425982722674E-6</v>
      </c>
      <c r="N270" s="103">
        <f t="shared" si="433"/>
        <v>2.1630033629116419E-4</v>
      </c>
      <c r="O270" s="103">
        <f t="shared" si="433"/>
        <v>3.7268144165647195E-4</v>
      </c>
      <c r="P270" s="103">
        <f t="shared" si="433"/>
        <v>7.1885315548723635E-4</v>
      </c>
      <c r="Q270" s="103">
        <f t="shared" si="433"/>
        <v>8.0223408980326246E-4</v>
      </c>
      <c r="R270" s="103">
        <f t="shared" si="433"/>
        <v>8.2395981556172696E-4</v>
      </c>
      <c r="S270" s="103">
        <f t="shared" si="433"/>
        <v>1.1412588753636223E-3</v>
      </c>
      <c r="T270" s="103">
        <f t="shared" si="433"/>
        <v>1.6362159914955811E-3</v>
      </c>
      <c r="U270" s="103">
        <f t="shared" si="433"/>
        <v>2.2712478745410074E-3</v>
      </c>
      <c r="V270" s="103">
        <f t="shared" si="433"/>
        <v>3.0746534453223785E-3</v>
      </c>
      <c r="W270" s="103">
        <f t="shared" ref="W270:Y270" si="434">IF(W52=0,0,W52/W$46)</f>
        <v>4.5897862680807991E-3</v>
      </c>
      <c r="X270" s="103">
        <f t="shared" si="434"/>
        <v>7.078840148978304E-3</v>
      </c>
      <c r="Y270" s="103">
        <f t="shared" si="434"/>
        <v>1.2371113436906032E-2</v>
      </c>
      <c r="DA270" s="191"/>
    </row>
    <row r="271" spans="1:105" ht="11.45" customHeight="1" x14ac:dyDescent="0.25">
      <c r="A271" s="155" t="s">
        <v>154</v>
      </c>
      <c r="B271" s="156">
        <f t="shared" ref="B271:K271" si="435">IF(B53=0,0,B53/B$46)</f>
        <v>0.27485673158189444</v>
      </c>
      <c r="C271" s="156">
        <f t="shared" si="435"/>
        <v>0.25646924750758393</v>
      </c>
      <c r="D271" s="156">
        <f t="shared" si="435"/>
        <v>0.2578614355858051</v>
      </c>
      <c r="E271" s="156">
        <f t="shared" si="435"/>
        <v>0.25497719952731179</v>
      </c>
      <c r="F271" s="156">
        <f t="shared" si="435"/>
        <v>0.24677466171605211</v>
      </c>
      <c r="G271" s="156">
        <f t="shared" si="435"/>
        <v>0.2435098791878213</v>
      </c>
      <c r="H271" s="156">
        <f t="shared" si="435"/>
        <v>0.24474934499630632</v>
      </c>
      <c r="I271" s="156">
        <f t="shared" si="435"/>
        <v>0.23536843232744425</v>
      </c>
      <c r="J271" s="156">
        <f t="shared" si="435"/>
        <v>0.23281405409834657</v>
      </c>
      <c r="K271" s="156">
        <f t="shared" si="435"/>
        <v>0.23944174191705858</v>
      </c>
      <c r="L271" s="156">
        <f t="shared" ref="L271" si="436">IF(L53=0,0,L53/L$46)</f>
        <v>0.21711985130968889</v>
      </c>
      <c r="M271" s="156">
        <f t="shared" ref="M271:V271" si="437">IF(M53=0,0,M53/M$46)</f>
        <v>0.21717490590636479</v>
      </c>
      <c r="N271" s="156">
        <f t="shared" si="437"/>
        <v>0.21682744378853136</v>
      </c>
      <c r="O271" s="156">
        <f t="shared" si="437"/>
        <v>0.22612133834800779</v>
      </c>
      <c r="P271" s="156">
        <f t="shared" si="437"/>
        <v>0.23696504744668331</v>
      </c>
      <c r="Q271" s="156">
        <f t="shared" si="437"/>
        <v>0.23262283196837263</v>
      </c>
      <c r="R271" s="156">
        <f t="shared" si="437"/>
        <v>0.23526651099786897</v>
      </c>
      <c r="S271" s="156">
        <f t="shared" si="437"/>
        <v>0.22542471896037389</v>
      </c>
      <c r="T271" s="156">
        <f t="shared" si="437"/>
        <v>0.22661245765789767</v>
      </c>
      <c r="U271" s="156">
        <f t="shared" si="437"/>
        <v>0.2315650467767032</v>
      </c>
      <c r="V271" s="156">
        <f t="shared" si="437"/>
        <v>0.24249591677197249</v>
      </c>
      <c r="W271" s="156">
        <f t="shared" ref="W271:Y271" si="438">IF(W53=0,0,W53/W$46)</f>
        <v>0.23950905945908765</v>
      </c>
      <c r="X271" s="156">
        <f t="shared" si="438"/>
        <v>0.23623327716633105</v>
      </c>
      <c r="Y271" s="156">
        <f t="shared" si="438"/>
        <v>0.22823097444338955</v>
      </c>
      <c r="DA271" s="213"/>
    </row>
    <row r="272" spans="1:105" ht="11.45" customHeight="1" x14ac:dyDescent="0.25">
      <c r="A272" s="162" t="s">
        <v>27</v>
      </c>
      <c r="B272" s="104">
        <f t="shared" ref="B272:K272" si="439">IF(B54=0,0,B54/B$46)</f>
        <v>0.23207989781298211</v>
      </c>
      <c r="C272" s="104">
        <f t="shared" si="439"/>
        <v>0.21365722054956393</v>
      </c>
      <c r="D272" s="104">
        <f t="shared" si="439"/>
        <v>0.21466539288590564</v>
      </c>
      <c r="E272" s="104">
        <f t="shared" si="439"/>
        <v>0.21276113072036543</v>
      </c>
      <c r="F272" s="104">
        <f t="shared" si="439"/>
        <v>0.19902384576285184</v>
      </c>
      <c r="G272" s="104">
        <f t="shared" si="439"/>
        <v>0.19479256208504153</v>
      </c>
      <c r="H272" s="104">
        <f t="shared" si="439"/>
        <v>0.19331155383967311</v>
      </c>
      <c r="I272" s="104">
        <f t="shared" si="439"/>
        <v>0.18352470443821817</v>
      </c>
      <c r="J272" s="104">
        <f t="shared" si="439"/>
        <v>0.18085709337991757</v>
      </c>
      <c r="K272" s="104">
        <f t="shared" si="439"/>
        <v>0.1890543555711105</v>
      </c>
      <c r="L272" s="104">
        <f t="shared" ref="L272" si="440">IF(L54=0,0,L54/L$46)</f>
        <v>0.16326258289084661</v>
      </c>
      <c r="M272" s="104">
        <f t="shared" ref="M272:V272" si="441">IF(M54=0,0,M54/M$46)</f>
        <v>0.16498872722517821</v>
      </c>
      <c r="N272" s="104">
        <f t="shared" si="441"/>
        <v>0.16349010394269889</v>
      </c>
      <c r="O272" s="104">
        <f t="shared" si="441"/>
        <v>0.17082261555362208</v>
      </c>
      <c r="P272" s="104">
        <f t="shared" si="441"/>
        <v>0.17864174838054933</v>
      </c>
      <c r="Q272" s="104">
        <f t="shared" si="441"/>
        <v>0.17530754719339156</v>
      </c>
      <c r="R272" s="104">
        <f t="shared" si="441"/>
        <v>0.1758769067210213</v>
      </c>
      <c r="S272" s="104">
        <f t="shared" si="441"/>
        <v>0.16581733955300945</v>
      </c>
      <c r="T272" s="104">
        <f t="shared" si="441"/>
        <v>0.16866639801159083</v>
      </c>
      <c r="U272" s="104">
        <f t="shared" si="441"/>
        <v>0.17122378142778125</v>
      </c>
      <c r="V272" s="104">
        <f t="shared" si="441"/>
        <v>0.17926223834901941</v>
      </c>
      <c r="W272" s="104">
        <f t="shared" ref="W272:Y272" si="442">IF(W54=0,0,W54/W$46)</f>
        <v>0.17904150388942749</v>
      </c>
      <c r="X272" s="104">
        <f t="shared" si="442"/>
        <v>0.17641207528348646</v>
      </c>
      <c r="Y272" s="104">
        <f t="shared" si="442"/>
        <v>0.16949327911972642</v>
      </c>
      <c r="DA272" s="195"/>
    </row>
    <row r="273" spans="1:105" ht="11.45" customHeight="1" x14ac:dyDescent="0.25">
      <c r="A273" s="158" t="s">
        <v>116</v>
      </c>
      <c r="B273" s="105">
        <f t="shared" ref="B273:K273" si="443">IF(B55=0,0,B55/B$46)</f>
        <v>4.2776833768912351E-2</v>
      </c>
      <c r="C273" s="105">
        <f t="shared" si="443"/>
        <v>4.2812026958019986E-2</v>
      </c>
      <c r="D273" s="105">
        <f t="shared" si="443"/>
        <v>4.3196042699899455E-2</v>
      </c>
      <c r="E273" s="105">
        <f t="shared" si="443"/>
        <v>4.2216068806946352E-2</v>
      </c>
      <c r="F273" s="105">
        <f t="shared" si="443"/>
        <v>4.7750815953200271E-2</v>
      </c>
      <c r="G273" s="105">
        <f t="shared" si="443"/>
        <v>4.8717317102779774E-2</v>
      </c>
      <c r="H273" s="105">
        <f t="shared" si="443"/>
        <v>5.143779115663321E-2</v>
      </c>
      <c r="I273" s="105">
        <f t="shared" si="443"/>
        <v>5.1843727889226088E-2</v>
      </c>
      <c r="J273" s="105">
        <f t="shared" si="443"/>
        <v>5.1956960718429021E-2</v>
      </c>
      <c r="K273" s="105">
        <f t="shared" si="443"/>
        <v>5.0387386345948068E-2</v>
      </c>
      <c r="L273" s="105">
        <f t="shared" ref="L273" si="444">IF(L55=0,0,L55/L$46)</f>
        <v>5.3857268418842273E-2</v>
      </c>
      <c r="M273" s="105">
        <f t="shared" ref="M273:V273" si="445">IF(M55=0,0,M55/M$46)</f>
        <v>5.2186178681186593E-2</v>
      </c>
      <c r="N273" s="105">
        <f t="shared" si="445"/>
        <v>5.3337339845832478E-2</v>
      </c>
      <c r="O273" s="105">
        <f t="shared" si="445"/>
        <v>5.5298722794385725E-2</v>
      </c>
      <c r="P273" s="105">
        <f t="shared" si="445"/>
        <v>5.8323299066133996E-2</v>
      </c>
      <c r="Q273" s="105">
        <f t="shared" si="445"/>
        <v>5.7315284774981094E-2</v>
      </c>
      <c r="R273" s="105">
        <f t="shared" si="445"/>
        <v>5.9389604276847689E-2</v>
      </c>
      <c r="S273" s="105">
        <f t="shared" si="445"/>
        <v>5.9607379407364429E-2</v>
      </c>
      <c r="T273" s="105">
        <f t="shared" si="445"/>
        <v>5.7946059646306829E-2</v>
      </c>
      <c r="U273" s="105">
        <f t="shared" si="445"/>
        <v>6.0341265348921952E-2</v>
      </c>
      <c r="V273" s="105">
        <f t="shared" si="445"/>
        <v>6.3233678422953077E-2</v>
      </c>
      <c r="W273" s="105">
        <f t="shared" ref="W273:Y273" si="446">IF(W55=0,0,W55/W$46)</f>
        <v>6.0467555569660165E-2</v>
      </c>
      <c r="X273" s="105">
        <f t="shared" si="446"/>
        <v>5.9821201882844614E-2</v>
      </c>
      <c r="Y273" s="105">
        <f t="shared" si="446"/>
        <v>5.8737695323663124E-2</v>
      </c>
      <c r="DA273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V26 W6:Y28" formula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66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628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  <c r="L2" s="33"/>
      <c r="M2" s="33"/>
      <c r="N2" s="33"/>
      <c r="O2" s="33"/>
      <c r="P2" s="33"/>
      <c r="Q2" s="33"/>
      <c r="R2" s="33"/>
      <c r="S2" s="33"/>
      <c r="T2" s="33"/>
      <c r="U2" s="33"/>
      <c r="V2" s="33"/>
      <c r="W2" s="33"/>
      <c r="X2" s="33"/>
      <c r="Y2" s="33"/>
      <c r="DA2" s="208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51</v>
      </c>
      <c r="B4" s="145">
        <f t="shared" ref="B4:K4" si="0">B5+B9+B10+B15</f>
        <v>10202.222280914333</v>
      </c>
      <c r="C4" s="145">
        <f t="shared" si="0"/>
        <v>10279.360884994552</v>
      </c>
      <c r="D4" s="145">
        <f t="shared" si="0"/>
        <v>10517.539569425546</v>
      </c>
      <c r="E4" s="145">
        <f t="shared" si="0"/>
        <v>10693.743403538621</v>
      </c>
      <c r="F4" s="145">
        <f t="shared" si="0"/>
        <v>10866.755614726382</v>
      </c>
      <c r="G4" s="145">
        <f t="shared" si="0"/>
        <v>10920.027500230764</v>
      </c>
      <c r="H4" s="145">
        <f t="shared" si="0"/>
        <v>11255.598453324656</v>
      </c>
      <c r="I4" s="145">
        <f t="shared" si="0"/>
        <v>11356.288547194386</v>
      </c>
      <c r="J4" s="145">
        <f t="shared" si="0"/>
        <v>11457.917135830397</v>
      </c>
      <c r="K4" s="145">
        <f t="shared" si="0"/>
        <v>11087.84838528641</v>
      </c>
      <c r="L4" s="145">
        <f t="shared" ref="L4" si="1">L5+L9+L10+L15</f>
        <v>11098.21923084755</v>
      </c>
      <c r="M4" s="145">
        <f t="shared" ref="M4:V4" si="2">M5+M9+M10+M15</f>
        <v>11225.228670010069</v>
      </c>
      <c r="N4" s="145">
        <f t="shared" si="2"/>
        <v>10750.618440700886</v>
      </c>
      <c r="O4" s="145">
        <f t="shared" si="2"/>
        <v>10219.638288434882</v>
      </c>
      <c r="P4" s="145">
        <f t="shared" si="2"/>
        <v>9430.9334078321335</v>
      </c>
      <c r="Q4" s="145">
        <f t="shared" si="2"/>
        <v>9415.442382315141</v>
      </c>
      <c r="R4" s="145">
        <f t="shared" si="2"/>
        <v>9425.4041385653982</v>
      </c>
      <c r="S4" s="145">
        <f t="shared" si="2"/>
        <v>9784.749871731552</v>
      </c>
      <c r="T4" s="145">
        <f t="shared" si="2"/>
        <v>10029.051072153696</v>
      </c>
      <c r="U4" s="145">
        <f t="shared" si="2"/>
        <v>10052.819761024992</v>
      </c>
      <c r="V4" s="145">
        <f t="shared" si="2"/>
        <v>8578.3716005673887</v>
      </c>
      <c r="W4" s="145">
        <f t="shared" ref="W4:Y4" si="3">W5+W9+W10+W15</f>
        <v>8702.7086962251578</v>
      </c>
      <c r="X4" s="145">
        <f t="shared" si="3"/>
        <v>8625.9327552025316</v>
      </c>
      <c r="Y4" s="145">
        <f t="shared" si="3"/>
        <v>9008.3469338444138</v>
      </c>
      <c r="DA4" s="206" t="s">
        <v>629</v>
      </c>
    </row>
    <row r="5" spans="1:105" ht="11.45" customHeight="1" x14ac:dyDescent="0.25">
      <c r="A5" s="92" t="s">
        <v>46</v>
      </c>
      <c r="B5" s="97">
        <f t="shared" ref="B5:K5" si="4">SUM(B6:B8)</f>
        <v>10201.164746345657</v>
      </c>
      <c r="C5" s="97">
        <f t="shared" si="4"/>
        <v>10278.325451418743</v>
      </c>
      <c r="D5" s="97">
        <f t="shared" si="4"/>
        <v>10516.272484952708</v>
      </c>
      <c r="E5" s="97">
        <f t="shared" si="4"/>
        <v>10692.451246775581</v>
      </c>
      <c r="F5" s="97">
        <f t="shared" si="4"/>
        <v>10865.182373172829</v>
      </c>
      <c r="G5" s="97">
        <f t="shared" si="4"/>
        <v>10918.360963026655</v>
      </c>
      <c r="H5" s="97">
        <f t="shared" si="4"/>
        <v>11212.496474634565</v>
      </c>
      <c r="I5" s="97">
        <f t="shared" si="4"/>
        <v>11022.811092003438</v>
      </c>
      <c r="J5" s="97">
        <f t="shared" si="4"/>
        <v>11166.787016337059</v>
      </c>
      <c r="K5" s="97">
        <f t="shared" si="4"/>
        <v>10707.199742046432</v>
      </c>
      <c r="L5" s="97">
        <f t="shared" ref="L5" si="5">SUM(L6:L8)</f>
        <v>10858.840326741185</v>
      </c>
      <c r="M5" s="97">
        <f t="shared" ref="M5:V5" si="6">SUM(M6:M8)</f>
        <v>10885.07815993121</v>
      </c>
      <c r="N5" s="97">
        <f t="shared" si="6"/>
        <v>10412.569733447979</v>
      </c>
      <c r="O5" s="97">
        <f t="shared" si="6"/>
        <v>9889.5418744625968</v>
      </c>
      <c r="P5" s="97">
        <f t="shared" si="6"/>
        <v>9044.169389509887</v>
      </c>
      <c r="Q5" s="97">
        <f t="shared" si="6"/>
        <v>9070.6533104041264</v>
      </c>
      <c r="R5" s="97">
        <f t="shared" si="6"/>
        <v>9126.2693895098892</v>
      </c>
      <c r="S5" s="97">
        <f t="shared" si="6"/>
        <v>9403.6398968185713</v>
      </c>
      <c r="T5" s="97">
        <f t="shared" si="6"/>
        <v>9446.6716251074795</v>
      </c>
      <c r="U5" s="97">
        <f t="shared" si="6"/>
        <v>9331.1453138435063</v>
      </c>
      <c r="V5" s="97">
        <f t="shared" si="6"/>
        <v>7934.9657781599308</v>
      </c>
      <c r="W5" s="97">
        <f t="shared" ref="W5:Y5" si="7">SUM(W6:W8)</f>
        <v>7948.7049011177978</v>
      </c>
      <c r="X5" s="97">
        <f t="shared" si="7"/>
        <v>7878.5465176268262</v>
      </c>
      <c r="Y5" s="97">
        <f t="shared" si="7"/>
        <v>8215.1813413585569</v>
      </c>
      <c r="DA5" s="175"/>
    </row>
    <row r="6" spans="1:105" ht="11.45" customHeight="1" x14ac:dyDescent="0.25">
      <c r="A6" s="128" t="s">
        <v>52</v>
      </c>
      <c r="B6" s="97">
        <v>602.35425623387789</v>
      </c>
      <c r="C6" s="97">
        <v>559.17472055030089</v>
      </c>
      <c r="D6" s="97">
        <v>540.82347377472047</v>
      </c>
      <c r="E6" s="97">
        <v>472.81573516766969</v>
      </c>
      <c r="F6" s="97">
        <v>469.57721410146172</v>
      </c>
      <c r="G6" s="97">
        <v>447.98744625967322</v>
      </c>
      <c r="H6" s="97">
        <v>430.71564918314698</v>
      </c>
      <c r="I6" s="97">
        <v>362.70791057609631</v>
      </c>
      <c r="J6" s="97">
        <v>368.10541702493549</v>
      </c>
      <c r="K6" s="97">
        <v>367.02588134135863</v>
      </c>
      <c r="L6" s="97">
        <v>343.27712811693891</v>
      </c>
      <c r="M6" s="97">
        <v>309.81306964746352</v>
      </c>
      <c r="N6" s="97">
        <v>304.41556319862423</v>
      </c>
      <c r="O6" s="97">
        <v>286.06431642304381</v>
      </c>
      <c r="P6" s="97">
        <v>220.21556319862421</v>
      </c>
      <c r="Q6" s="97">
        <v>191.93628546861561</v>
      </c>
      <c r="R6" s="97">
        <v>181.36044711951851</v>
      </c>
      <c r="S6" s="97">
        <v>162.63886500429919</v>
      </c>
      <c r="T6" s="97">
        <v>147.68993981083401</v>
      </c>
      <c r="U6" s="97">
        <v>137.4599312123818</v>
      </c>
      <c r="V6" s="97">
        <v>116.52846087704209</v>
      </c>
      <c r="W6" s="97">
        <v>116.8433361994841</v>
      </c>
      <c r="X6" s="97">
        <v>124.401203783319</v>
      </c>
      <c r="Y6" s="97">
        <v>118.59475494411009</v>
      </c>
      <c r="DA6" s="175" t="s">
        <v>630</v>
      </c>
    </row>
    <row r="7" spans="1:105" ht="11.45" customHeight="1" x14ac:dyDescent="0.25">
      <c r="A7" s="128" t="s">
        <v>53</v>
      </c>
      <c r="B7" s="97">
        <v>3963.7336199484089</v>
      </c>
      <c r="C7" s="97">
        <v>4055.2498710232148</v>
      </c>
      <c r="D7" s="97">
        <v>4100.5159071367152</v>
      </c>
      <c r="E7" s="97">
        <v>4118.22871883061</v>
      </c>
      <c r="F7" s="97">
        <v>4074.9306964746352</v>
      </c>
      <c r="G7" s="97">
        <v>4038.5210662080822</v>
      </c>
      <c r="H7" s="97">
        <v>4096.6895958727428</v>
      </c>
      <c r="I7" s="97">
        <v>4084.1310404127262</v>
      </c>
      <c r="J7" s="97">
        <v>4061.9662080825451</v>
      </c>
      <c r="K7" s="97">
        <v>4046.1067927773001</v>
      </c>
      <c r="L7" s="97">
        <v>4048.1513327601028</v>
      </c>
      <c r="M7" s="97">
        <v>4102.69415305245</v>
      </c>
      <c r="N7" s="97">
        <v>3922.427601031814</v>
      </c>
      <c r="O7" s="97">
        <v>3823.25399828031</v>
      </c>
      <c r="P7" s="97">
        <v>3706.1550300945828</v>
      </c>
      <c r="Q7" s="97">
        <v>3690.410060189166</v>
      </c>
      <c r="R7" s="97">
        <v>3812.9728288908</v>
      </c>
      <c r="S7" s="97">
        <v>3941.5975064488389</v>
      </c>
      <c r="T7" s="97">
        <v>4004.2732588134131</v>
      </c>
      <c r="U7" s="97">
        <v>4088.4042992261388</v>
      </c>
      <c r="V7" s="97">
        <v>3394.58796216681</v>
      </c>
      <c r="W7" s="97">
        <v>3500.7983662940669</v>
      </c>
      <c r="X7" s="97">
        <v>3587.725279449699</v>
      </c>
      <c r="Y7" s="97">
        <v>4021.4474634565781</v>
      </c>
      <c r="DA7" s="175" t="s">
        <v>631</v>
      </c>
    </row>
    <row r="8" spans="1:105" ht="11.45" customHeight="1" x14ac:dyDescent="0.25">
      <c r="A8" s="128" t="s">
        <v>54</v>
      </c>
      <c r="B8" s="97">
        <v>5635.0768701633706</v>
      </c>
      <c r="C8" s="97">
        <v>5663.9008598452274</v>
      </c>
      <c r="D8" s="97">
        <v>5874.9331040412717</v>
      </c>
      <c r="E8" s="97">
        <v>6101.4067927773003</v>
      </c>
      <c r="F8" s="97">
        <v>6320.6744625967322</v>
      </c>
      <c r="G8" s="97">
        <v>6431.8524505588994</v>
      </c>
      <c r="H8" s="97">
        <v>6685.0912295786757</v>
      </c>
      <c r="I8" s="97">
        <v>6575.9721410146167</v>
      </c>
      <c r="J8" s="97">
        <v>6736.715391229578</v>
      </c>
      <c r="K8" s="97">
        <v>6294.0670679277728</v>
      </c>
      <c r="L8" s="97">
        <v>6467.4118658641437</v>
      </c>
      <c r="M8" s="97">
        <v>6472.5709372312976</v>
      </c>
      <c r="N8" s="97">
        <v>6185.7265692175406</v>
      </c>
      <c r="O8" s="97">
        <v>5780.2235597592426</v>
      </c>
      <c r="P8" s="97">
        <v>5117.7987962166808</v>
      </c>
      <c r="Q8" s="97">
        <v>5188.3069647463453</v>
      </c>
      <c r="R8" s="97">
        <v>5131.9361134995697</v>
      </c>
      <c r="S8" s="97">
        <v>5299.4035253654338</v>
      </c>
      <c r="T8" s="97">
        <v>5294.7084264832329</v>
      </c>
      <c r="U8" s="97">
        <v>5105.2810834049869</v>
      </c>
      <c r="V8" s="97">
        <v>4423.8493551160791</v>
      </c>
      <c r="W8" s="97">
        <v>4331.063198624247</v>
      </c>
      <c r="X8" s="97">
        <v>4166.4200343938082</v>
      </c>
      <c r="Y8" s="97">
        <v>4075.139122957868</v>
      </c>
      <c r="DA8" s="175" t="s">
        <v>632</v>
      </c>
    </row>
    <row r="9" spans="1:105" ht="11.45" customHeight="1" x14ac:dyDescent="0.25">
      <c r="A9" s="92" t="s">
        <v>55</v>
      </c>
      <c r="B9" s="97">
        <v>0.15041140647780771</v>
      </c>
      <c r="C9" s="97">
        <v>0.23637511714002507</v>
      </c>
      <c r="D9" s="97">
        <v>0.38681337831822782</v>
      </c>
      <c r="E9" s="97">
        <v>0.53728047786699884</v>
      </c>
      <c r="F9" s="97">
        <v>0.66617496108580776</v>
      </c>
      <c r="G9" s="97">
        <v>0.73063021340116785</v>
      </c>
      <c r="H9" s="97">
        <v>1.332311341755261</v>
      </c>
      <c r="I9" s="97">
        <v>2.105935851079241</v>
      </c>
      <c r="J9" s="97">
        <v>3.1160237098640193</v>
      </c>
      <c r="K9" s="97">
        <v>6.2750846364804724</v>
      </c>
      <c r="L9" s="97">
        <v>9.262736554322462</v>
      </c>
      <c r="M9" s="97">
        <v>17.275677591923735</v>
      </c>
      <c r="N9" s="97">
        <v>23.693669709433181</v>
      </c>
      <c r="O9" s="97">
        <v>26.151478120246981</v>
      </c>
      <c r="P9" s="97">
        <v>30.40588642197083</v>
      </c>
      <c r="Q9" s="97">
        <v>36.519539854157152</v>
      </c>
      <c r="R9" s="97">
        <v>45.715770838515667</v>
      </c>
      <c r="S9" s="97">
        <v>57.015568004550921</v>
      </c>
      <c r="T9" s="97">
        <v>61.537538849383203</v>
      </c>
      <c r="U9" s="97">
        <v>63.898494264578773</v>
      </c>
      <c r="V9" s="97">
        <v>60.079683974783542</v>
      </c>
      <c r="W9" s="97">
        <v>61.6957972538017</v>
      </c>
      <c r="X9" s="97">
        <v>63.261180170545302</v>
      </c>
      <c r="Y9" s="97">
        <v>63.115875949370817</v>
      </c>
      <c r="DA9" s="175" t="s">
        <v>633</v>
      </c>
    </row>
    <row r="10" spans="1:105" ht="11.45" customHeight="1" x14ac:dyDescent="0.25">
      <c r="A10" s="92" t="s">
        <v>56</v>
      </c>
      <c r="B10" s="97">
        <f>SUM(B11:B13)</f>
        <v>6.150839751471374E-5</v>
      </c>
      <c r="C10" s="97">
        <f t="shared" ref="C10:W10" si="8">SUM(C11:C13)</f>
        <v>8.2320521195917843E-5</v>
      </c>
      <c r="D10" s="97">
        <f t="shared" si="8"/>
        <v>1.1697421831555843E-4</v>
      </c>
      <c r="E10" s="97">
        <f t="shared" si="8"/>
        <v>1.2278954486703405E-4</v>
      </c>
      <c r="F10" s="97">
        <f t="shared" si="8"/>
        <v>2.0509050490592824E-4</v>
      </c>
      <c r="G10" s="97">
        <f t="shared" si="8"/>
        <v>2.3823027896961949E-4</v>
      </c>
      <c r="H10" s="97">
        <f t="shared" si="8"/>
        <v>40.819193387393483</v>
      </c>
      <c r="I10" s="97">
        <f t="shared" si="8"/>
        <v>330.42011745932484</v>
      </c>
      <c r="J10" s="97">
        <f t="shared" si="8"/>
        <v>287.23935032281008</v>
      </c>
      <c r="K10" s="97">
        <f t="shared" si="8"/>
        <v>373.45165655010601</v>
      </c>
      <c r="L10" s="97">
        <f t="shared" si="8"/>
        <v>228.69702268901369</v>
      </c>
      <c r="M10" s="97">
        <f t="shared" si="8"/>
        <v>321.30265430833418</v>
      </c>
      <c r="N10" s="97">
        <f t="shared" si="8"/>
        <v>311.82980406528736</v>
      </c>
      <c r="O10" s="97">
        <f t="shared" si="8"/>
        <v>298.34920975593536</v>
      </c>
      <c r="P10" s="97">
        <f t="shared" si="8"/>
        <v>348.43469827278403</v>
      </c>
      <c r="Q10" s="97">
        <f t="shared" si="8"/>
        <v>293.67074389476801</v>
      </c>
      <c r="R10" s="97">
        <f t="shared" si="8"/>
        <v>235.308046874296</v>
      </c>
      <c r="S10" s="97">
        <f t="shared" si="8"/>
        <v>302.37505968246541</v>
      </c>
      <c r="T10" s="97">
        <f t="shared" si="8"/>
        <v>490.88490311106386</v>
      </c>
      <c r="U10" s="97">
        <f t="shared" si="8"/>
        <v>605.92816093748468</v>
      </c>
      <c r="V10" s="97">
        <f t="shared" si="8"/>
        <v>518.17938739237024</v>
      </c>
      <c r="W10" s="97">
        <f t="shared" si="8"/>
        <v>589.81882011507196</v>
      </c>
      <c r="X10" s="97">
        <f t="shared" ref="X10:Y10" si="9">SUM(X11:X13)</f>
        <v>547.88490753366796</v>
      </c>
      <c r="Y10" s="97">
        <f t="shared" si="9"/>
        <v>544.55712491047439</v>
      </c>
      <c r="DA10" s="175"/>
    </row>
    <row r="11" spans="1:105" ht="11.45" customHeight="1" x14ac:dyDescent="0.25">
      <c r="A11" s="128" t="s">
        <v>57</v>
      </c>
      <c r="B11" s="97">
        <v>6.150839751471374E-5</v>
      </c>
      <c r="C11" s="97">
        <v>8.2320521195917843E-5</v>
      </c>
      <c r="D11" s="97">
        <v>1.1697421831555843E-4</v>
      </c>
      <c r="E11" s="97">
        <v>1.2278954486703405E-4</v>
      </c>
      <c r="F11" s="97">
        <v>2.0509050490592824E-4</v>
      </c>
      <c r="G11" s="97">
        <v>2.3823027896961949E-4</v>
      </c>
      <c r="H11" s="97">
        <v>4.4876142616592053E-4</v>
      </c>
      <c r="I11" s="97">
        <v>6.8495717527284001E-4</v>
      </c>
      <c r="J11" s="97">
        <v>9.152411248028161E-4</v>
      </c>
      <c r="K11" s="97">
        <v>1.7855268901206683E-3</v>
      </c>
      <c r="L11" s="97">
        <v>2.0957758581050725E-3</v>
      </c>
      <c r="M11" s="97">
        <v>7.1255035190848056E-3</v>
      </c>
      <c r="N11" s="97">
        <v>1.6476464255560434E-2</v>
      </c>
      <c r="O11" s="97">
        <v>3.0723083536338711E-2</v>
      </c>
      <c r="P11" s="97">
        <v>5.4044790410938529E-2</v>
      </c>
      <c r="Q11" s="97">
        <v>8.4501418413780435E-2</v>
      </c>
      <c r="R11" s="97">
        <v>0.10460749338458544</v>
      </c>
      <c r="S11" s="97">
        <v>0.15132795417650319</v>
      </c>
      <c r="T11" s="97">
        <v>0.17957207065118691</v>
      </c>
      <c r="U11" s="97">
        <v>0.23804915760523007</v>
      </c>
      <c r="V11" s="97">
        <v>0.32418532874181427</v>
      </c>
      <c r="W11" s="97">
        <v>0.39216491300827583</v>
      </c>
      <c r="X11" s="97">
        <v>0.55868225421823925</v>
      </c>
      <c r="Y11" s="97">
        <v>0.71224098958017412</v>
      </c>
      <c r="DA11" s="175" t="s">
        <v>634</v>
      </c>
    </row>
    <row r="12" spans="1:105" ht="11.45" customHeight="1" x14ac:dyDescent="0.25">
      <c r="A12" s="128" t="s">
        <v>58</v>
      </c>
      <c r="B12" s="97">
        <v>0</v>
      </c>
      <c r="C12" s="97">
        <v>0</v>
      </c>
      <c r="D12" s="97">
        <v>0</v>
      </c>
      <c r="E12" s="97">
        <v>0</v>
      </c>
      <c r="F12" s="97">
        <v>0</v>
      </c>
      <c r="G12" s="97">
        <v>0</v>
      </c>
      <c r="H12" s="97">
        <v>18.72553740326741</v>
      </c>
      <c r="I12" s="97">
        <v>88.277472055030088</v>
      </c>
      <c r="J12" s="97">
        <v>107.84127257093721</v>
      </c>
      <c r="K12" s="97">
        <v>138.37773000859849</v>
      </c>
      <c r="L12" s="97">
        <v>134.13585554600169</v>
      </c>
      <c r="M12" s="97">
        <v>148.9681857265692</v>
      </c>
      <c r="N12" s="97">
        <v>124.4625967325881</v>
      </c>
      <c r="O12" s="97">
        <v>125.1074806534824</v>
      </c>
      <c r="P12" s="97">
        <v>128.33190025795349</v>
      </c>
      <c r="Q12" s="97">
        <v>142.12467755803951</v>
      </c>
      <c r="R12" s="97">
        <v>120.5881341358555</v>
      </c>
      <c r="S12" s="97">
        <v>128.9419604471195</v>
      </c>
      <c r="T12" s="97">
        <v>170.66964746345661</v>
      </c>
      <c r="U12" s="97">
        <v>198.74118658641439</v>
      </c>
      <c r="V12" s="97">
        <v>226.44995700773859</v>
      </c>
      <c r="W12" s="97">
        <v>233.2489251934652</v>
      </c>
      <c r="X12" s="97">
        <v>251.08658641444541</v>
      </c>
      <c r="Y12" s="97">
        <v>257.48865004299222</v>
      </c>
      <c r="DA12" s="175" t="s">
        <v>635</v>
      </c>
    </row>
    <row r="13" spans="1:105" ht="11.45" customHeight="1" x14ac:dyDescent="0.25">
      <c r="A13" s="128" t="s">
        <v>177</v>
      </c>
      <c r="B13" s="97">
        <v>0</v>
      </c>
      <c r="C13" s="97">
        <v>0</v>
      </c>
      <c r="D13" s="97">
        <v>0</v>
      </c>
      <c r="E13" s="97">
        <v>0</v>
      </c>
      <c r="F13" s="97">
        <v>0</v>
      </c>
      <c r="G13" s="97">
        <v>0</v>
      </c>
      <c r="H13" s="97">
        <v>22.09320722269991</v>
      </c>
      <c r="I13" s="97">
        <v>242.14196044711949</v>
      </c>
      <c r="J13" s="97">
        <v>179.3971625107481</v>
      </c>
      <c r="K13" s="97">
        <v>235.07214101461739</v>
      </c>
      <c r="L13" s="97">
        <v>94.559071367153905</v>
      </c>
      <c r="M13" s="97">
        <v>172.32734307824589</v>
      </c>
      <c r="N13" s="97">
        <v>187.35073086844369</v>
      </c>
      <c r="O13" s="97">
        <v>173.21100601891661</v>
      </c>
      <c r="P13" s="97">
        <v>220.04875322441961</v>
      </c>
      <c r="Q13" s="97">
        <v>151.46156491831471</v>
      </c>
      <c r="R13" s="97">
        <v>114.61530524505589</v>
      </c>
      <c r="S13" s="97">
        <v>173.2817712811694</v>
      </c>
      <c r="T13" s="97">
        <v>320.0356835769561</v>
      </c>
      <c r="U13" s="97">
        <v>406.94892519346507</v>
      </c>
      <c r="V13" s="97">
        <v>291.40524505588991</v>
      </c>
      <c r="W13" s="97">
        <v>356.17773000859842</v>
      </c>
      <c r="X13" s="97">
        <v>296.23963886500428</v>
      </c>
      <c r="Y13" s="97">
        <v>286.35623387790201</v>
      </c>
      <c r="DA13" s="175" t="s">
        <v>636</v>
      </c>
    </row>
    <row r="14" spans="1:105" ht="11.45" hidden="1" customHeight="1" x14ac:dyDescent="0.25">
      <c r="A14" s="92" t="s">
        <v>178</v>
      </c>
      <c r="B14" s="97">
        <v>0</v>
      </c>
      <c r="C14" s="97">
        <v>0</v>
      </c>
      <c r="D14" s="97">
        <v>0</v>
      </c>
      <c r="E14" s="97">
        <v>0</v>
      </c>
      <c r="F14" s="97">
        <v>0</v>
      </c>
      <c r="G14" s="97">
        <v>0</v>
      </c>
      <c r="H14" s="97">
        <v>0</v>
      </c>
      <c r="I14" s="97">
        <v>0</v>
      </c>
      <c r="J14" s="97">
        <v>0</v>
      </c>
      <c r="K14" s="97">
        <v>0</v>
      </c>
      <c r="L14" s="97">
        <v>0</v>
      </c>
      <c r="M14" s="97">
        <v>0</v>
      </c>
      <c r="N14" s="97">
        <v>0</v>
      </c>
      <c r="O14" s="97">
        <v>0</v>
      </c>
      <c r="P14" s="97">
        <v>0</v>
      </c>
      <c r="Q14" s="97">
        <v>0</v>
      </c>
      <c r="R14" s="97">
        <v>0</v>
      </c>
      <c r="S14" s="97">
        <v>0</v>
      </c>
      <c r="T14" s="97">
        <v>0</v>
      </c>
      <c r="U14" s="97">
        <v>0</v>
      </c>
      <c r="V14" s="97">
        <v>0</v>
      </c>
      <c r="W14" s="97">
        <v>0</v>
      </c>
      <c r="X14" s="97">
        <v>0</v>
      </c>
      <c r="Y14" s="97">
        <v>0</v>
      </c>
      <c r="DA14" s="175" t="s">
        <v>637</v>
      </c>
    </row>
    <row r="15" spans="1:105" ht="11.45" customHeight="1" x14ac:dyDescent="0.25">
      <c r="A15" s="85" t="s">
        <v>91</v>
      </c>
      <c r="B15" s="98">
        <v>0.90706165380145176</v>
      </c>
      <c r="C15" s="98">
        <v>0.79897613814849122</v>
      </c>
      <c r="D15" s="98">
        <v>0.88015412030028273</v>
      </c>
      <c r="E15" s="98">
        <v>0.7547534956275882</v>
      </c>
      <c r="F15" s="98">
        <v>0.90686150196218662</v>
      </c>
      <c r="G15" s="98">
        <v>0.9356687604279692</v>
      </c>
      <c r="H15" s="98">
        <v>0.95047396094197978</v>
      </c>
      <c r="I15" s="98">
        <v>0.95140188054416963</v>
      </c>
      <c r="J15" s="98">
        <v>0.77474546066356131</v>
      </c>
      <c r="K15" s="98">
        <v>0.92190205339305509</v>
      </c>
      <c r="L15" s="98">
        <v>1.4191448630276393</v>
      </c>
      <c r="M15" s="98">
        <v>1.5721781785992546</v>
      </c>
      <c r="N15" s="98">
        <v>2.5252334781844432</v>
      </c>
      <c r="O15" s="98">
        <v>5.5957260961021626</v>
      </c>
      <c r="P15" s="98">
        <v>7.9234336274910513</v>
      </c>
      <c r="Q15" s="98">
        <v>14.598788162088765</v>
      </c>
      <c r="R15" s="98">
        <v>18.110931342698272</v>
      </c>
      <c r="S15" s="98">
        <v>21.719347225964501</v>
      </c>
      <c r="T15" s="98">
        <v>29.957005085768571</v>
      </c>
      <c r="U15" s="98">
        <v>51.847791979422091</v>
      </c>
      <c r="V15" s="98">
        <v>65.146751040303855</v>
      </c>
      <c r="W15" s="98">
        <v>102.48917773848616</v>
      </c>
      <c r="X15" s="98">
        <v>136.24014987149241</v>
      </c>
      <c r="Y15" s="98">
        <v>185.49259162601192</v>
      </c>
      <c r="DA15" s="178" t="s">
        <v>638</v>
      </c>
    </row>
    <row r="16" spans="1:105" x14ac:dyDescent="0.25">
      <c r="A16" s="106"/>
      <c r="B16" s="106"/>
      <c r="C16" s="106"/>
      <c r="D16" s="106"/>
      <c r="E16" s="106"/>
      <c r="F16" s="106"/>
      <c r="G16" s="106"/>
      <c r="H16" s="106"/>
      <c r="I16" s="106"/>
      <c r="J16" s="106"/>
      <c r="K16" s="106"/>
      <c r="L16" s="106"/>
      <c r="M16" s="106"/>
      <c r="N16" s="106"/>
      <c r="O16" s="106"/>
      <c r="P16" s="106"/>
      <c r="Q16" s="106"/>
      <c r="R16" s="106"/>
      <c r="S16" s="106"/>
      <c r="T16" s="106"/>
      <c r="U16" s="106"/>
      <c r="V16" s="106"/>
      <c r="W16" s="96"/>
      <c r="X16" s="96"/>
      <c r="Y16" s="96"/>
      <c r="DA16" s="171"/>
    </row>
    <row r="17" spans="1:105" ht="11.45" customHeight="1" x14ac:dyDescent="0.25">
      <c r="A17" s="53" t="s">
        <v>61</v>
      </c>
      <c r="B17" s="79">
        <f t="shared" ref="B17:K17" si="10">B18+B42</f>
        <v>10202.222280914335</v>
      </c>
      <c r="C17" s="79">
        <f t="shared" si="10"/>
        <v>10279.360884994552</v>
      </c>
      <c r="D17" s="79">
        <f t="shared" si="10"/>
        <v>10517.539569425546</v>
      </c>
      <c r="E17" s="79">
        <f t="shared" si="10"/>
        <v>10693.743403538621</v>
      </c>
      <c r="F17" s="79">
        <f t="shared" si="10"/>
        <v>10866.755614726382</v>
      </c>
      <c r="G17" s="79">
        <f t="shared" si="10"/>
        <v>10920.027500230764</v>
      </c>
      <c r="H17" s="79">
        <f t="shared" si="10"/>
        <v>11255.598453324656</v>
      </c>
      <c r="I17" s="79">
        <f t="shared" si="10"/>
        <v>11356.288547194388</v>
      </c>
      <c r="J17" s="79">
        <f t="shared" si="10"/>
        <v>11457.917135830397</v>
      </c>
      <c r="K17" s="79">
        <f t="shared" si="10"/>
        <v>11087.848385286412</v>
      </c>
      <c r="L17" s="79">
        <f t="shared" ref="L17" si="11">L18+L42</f>
        <v>11098.21923084755</v>
      </c>
      <c r="M17" s="79">
        <f t="shared" ref="M17:V17" si="12">M18+M42</f>
        <v>11225.228670010069</v>
      </c>
      <c r="N17" s="79">
        <f t="shared" si="12"/>
        <v>10750.618440700884</v>
      </c>
      <c r="O17" s="79">
        <f t="shared" si="12"/>
        <v>10219.638288434882</v>
      </c>
      <c r="P17" s="79">
        <f t="shared" si="12"/>
        <v>9430.9334078321335</v>
      </c>
      <c r="Q17" s="79">
        <f t="shared" si="12"/>
        <v>9415.442382315141</v>
      </c>
      <c r="R17" s="79">
        <f t="shared" si="12"/>
        <v>9425.4041385653982</v>
      </c>
      <c r="S17" s="79">
        <f t="shared" si="12"/>
        <v>9784.749871731552</v>
      </c>
      <c r="T17" s="79">
        <f t="shared" si="12"/>
        <v>10029.051072153696</v>
      </c>
      <c r="U17" s="79">
        <f t="shared" si="12"/>
        <v>10052.819761024992</v>
      </c>
      <c r="V17" s="79">
        <f t="shared" si="12"/>
        <v>8578.3716005673887</v>
      </c>
      <c r="W17" s="79">
        <f t="shared" ref="W17:Y17" si="13">W18+W42</f>
        <v>8702.7086962251578</v>
      </c>
      <c r="X17" s="79">
        <f t="shared" si="13"/>
        <v>8625.9327552025316</v>
      </c>
      <c r="Y17" s="79">
        <f t="shared" si="13"/>
        <v>9008.3469338444138</v>
      </c>
      <c r="DA17" s="172" t="s">
        <v>639</v>
      </c>
    </row>
    <row r="18" spans="1:105" ht="11.45" customHeight="1" x14ac:dyDescent="0.25">
      <c r="A18" s="27" t="s">
        <v>33</v>
      </c>
      <c r="B18" s="32">
        <f t="shared" ref="B18:K18" si="14">B19+B21+B33</f>
        <v>6296.6066703294955</v>
      </c>
      <c r="C18" s="32">
        <f t="shared" si="14"/>
        <v>6343.792835121897</v>
      </c>
      <c r="D18" s="32">
        <f t="shared" si="14"/>
        <v>6457.0033494891213</v>
      </c>
      <c r="E18" s="32">
        <f t="shared" si="14"/>
        <v>6479.6519312505252</v>
      </c>
      <c r="F18" s="32">
        <f t="shared" si="14"/>
        <v>6503.1710173560214</v>
      </c>
      <c r="G18" s="32">
        <f t="shared" si="14"/>
        <v>6525.9221776497498</v>
      </c>
      <c r="H18" s="32">
        <f t="shared" si="14"/>
        <v>6687.3575082942834</v>
      </c>
      <c r="I18" s="32">
        <f t="shared" si="14"/>
        <v>6751.8941456748289</v>
      </c>
      <c r="J18" s="32">
        <f t="shared" si="14"/>
        <v>6800.5886787244017</v>
      </c>
      <c r="K18" s="32">
        <f t="shared" si="14"/>
        <v>6790.0036118779335</v>
      </c>
      <c r="L18" s="32">
        <f t="shared" ref="L18" si="15">L19+L21+L33</f>
        <v>6735.6481079670657</v>
      </c>
      <c r="M18" s="32">
        <f t="shared" ref="M18:V18" si="16">M19+M21+M33</f>
        <v>6742.4681265241406</v>
      </c>
      <c r="N18" s="32">
        <f t="shared" si="16"/>
        <v>6453.2275724366691</v>
      </c>
      <c r="O18" s="32">
        <f t="shared" si="16"/>
        <v>6267.5144250385847</v>
      </c>
      <c r="P18" s="32">
        <f t="shared" si="16"/>
        <v>6057.0371646036247</v>
      </c>
      <c r="Q18" s="32">
        <f t="shared" si="16"/>
        <v>5986.6629806677647</v>
      </c>
      <c r="R18" s="32">
        <f t="shared" si="16"/>
        <v>6020.7380980378375</v>
      </c>
      <c r="S18" s="32">
        <f t="shared" si="16"/>
        <v>6103.739358726808</v>
      </c>
      <c r="T18" s="32">
        <f t="shared" si="16"/>
        <v>6086.336125326593</v>
      </c>
      <c r="U18" s="32">
        <f t="shared" si="16"/>
        <v>6033.6340981640478</v>
      </c>
      <c r="V18" s="32">
        <f t="shared" si="16"/>
        <v>4815.1002194827142</v>
      </c>
      <c r="W18" s="32">
        <f t="shared" ref="W18:Y18" si="17">W19+W21+W33</f>
        <v>5218.2308253269721</v>
      </c>
      <c r="X18" s="32">
        <f t="shared" si="17"/>
        <v>5244.4646357498614</v>
      </c>
      <c r="Y18" s="32">
        <f t="shared" si="17"/>
        <v>5594.2874612821552</v>
      </c>
      <c r="DA18" s="173" t="s">
        <v>391</v>
      </c>
    </row>
    <row r="19" spans="1:105" ht="11.45" customHeight="1" x14ac:dyDescent="0.25">
      <c r="A19" s="107" t="s">
        <v>174</v>
      </c>
      <c r="B19" s="129">
        <v>126.94039428765539</v>
      </c>
      <c r="C19" s="129">
        <v>131.43010885359126</v>
      </c>
      <c r="D19" s="129">
        <v>134.69180979040689</v>
      </c>
      <c r="E19" s="129">
        <v>134.99136428171059</v>
      </c>
      <c r="F19" s="129">
        <v>128.10390076855765</v>
      </c>
      <c r="G19" s="129">
        <v>131.60135439648414</v>
      </c>
      <c r="H19" s="129">
        <v>137.41439891050555</v>
      </c>
      <c r="I19" s="129">
        <v>149.43198386809021</v>
      </c>
      <c r="J19" s="129">
        <v>160.25784936048382</v>
      </c>
      <c r="K19" s="129">
        <v>163.87683578522282</v>
      </c>
      <c r="L19" s="129">
        <v>164.51935773336461</v>
      </c>
      <c r="M19" s="129">
        <v>166.60225858033417</v>
      </c>
      <c r="N19" s="129">
        <v>160.74117367566163</v>
      </c>
      <c r="O19" s="129">
        <v>157.70573579876569</v>
      </c>
      <c r="P19" s="129">
        <v>150.20576569846256</v>
      </c>
      <c r="Q19" s="129">
        <v>153.17494626930156</v>
      </c>
      <c r="R19" s="129">
        <v>154.15789032006228</v>
      </c>
      <c r="S19" s="129">
        <v>143.67968538716087</v>
      </c>
      <c r="T19" s="129">
        <v>135.35364078039763</v>
      </c>
      <c r="U19" s="129">
        <v>141.23536753641883</v>
      </c>
      <c r="V19" s="129">
        <v>125.10663494059187</v>
      </c>
      <c r="W19" s="129">
        <v>125.39159861022242</v>
      </c>
      <c r="X19" s="129">
        <v>125.6234004398997</v>
      </c>
      <c r="Y19" s="129">
        <v>132.84137858468907</v>
      </c>
      <c r="DA19" s="203" t="s">
        <v>392</v>
      </c>
    </row>
    <row r="20" spans="1:105" ht="11.45" customHeight="1" x14ac:dyDescent="0.25">
      <c r="A20" s="159" t="s">
        <v>131</v>
      </c>
      <c r="B20" s="97">
        <v>0</v>
      </c>
      <c r="C20" s="97">
        <v>0</v>
      </c>
      <c r="D20" s="97">
        <v>0</v>
      </c>
      <c r="E20" s="97">
        <v>0</v>
      </c>
      <c r="F20" s="97">
        <v>0</v>
      </c>
      <c r="G20" s="97">
        <v>0</v>
      </c>
      <c r="H20" s="97">
        <v>0.62524882258909775</v>
      </c>
      <c r="I20" s="97">
        <v>3.1615978494495471</v>
      </c>
      <c r="J20" s="97">
        <v>4.1446542783331743</v>
      </c>
      <c r="K20" s="97">
        <v>5.4192826890547137</v>
      </c>
      <c r="L20" s="97">
        <v>5.2765254536194242</v>
      </c>
      <c r="M20" s="97">
        <v>5.8373488346650824</v>
      </c>
      <c r="N20" s="97">
        <v>4.9436142074150453</v>
      </c>
      <c r="O20" s="97">
        <v>4.9970519152454047</v>
      </c>
      <c r="P20" s="97">
        <v>5.0270588195778281</v>
      </c>
      <c r="Q20" s="97">
        <v>5.6802981155210759</v>
      </c>
      <c r="R20" s="97">
        <v>4.7258991358589499</v>
      </c>
      <c r="S20" s="97">
        <v>4.5513231012530557</v>
      </c>
      <c r="T20" s="97">
        <v>5.5331913929061605</v>
      </c>
      <c r="U20" s="97">
        <v>6.5473132705773303</v>
      </c>
      <c r="V20" s="97">
        <v>7.8238319332867041</v>
      </c>
      <c r="W20" s="97">
        <v>7.8326419889753121</v>
      </c>
      <c r="X20" s="97">
        <v>8.2166961790217723</v>
      </c>
      <c r="Y20" s="97">
        <v>7.9938438748146252</v>
      </c>
      <c r="DA20" s="175" t="s">
        <v>640</v>
      </c>
    </row>
    <row r="21" spans="1:105" ht="11.45" customHeight="1" x14ac:dyDescent="0.25">
      <c r="A21" s="109" t="s">
        <v>20</v>
      </c>
      <c r="B21" s="130">
        <f t="shared" ref="B21:K21" si="18">B22+B24+B26+B27+B29+B32</f>
        <v>5806.2720643993089</v>
      </c>
      <c r="C21" s="130">
        <f t="shared" si="18"/>
        <v>5860.0254827132885</v>
      </c>
      <c r="D21" s="130">
        <f t="shared" si="18"/>
        <v>5973.8201029089905</v>
      </c>
      <c r="E21" s="130">
        <f t="shared" si="18"/>
        <v>6004.835397002731</v>
      </c>
      <c r="F21" s="130">
        <f t="shared" si="18"/>
        <v>6042.5173537022447</v>
      </c>
      <c r="G21" s="130">
        <f t="shared" si="18"/>
        <v>6062.3474427888541</v>
      </c>
      <c r="H21" s="130">
        <f t="shared" si="18"/>
        <v>6221.2510165273825</v>
      </c>
      <c r="I21" s="130">
        <f t="shared" si="18"/>
        <v>6274.7466359010914</v>
      </c>
      <c r="J21" s="130">
        <f t="shared" si="18"/>
        <v>6300.4727202689746</v>
      </c>
      <c r="K21" s="130">
        <f t="shared" si="18"/>
        <v>6274.1346054107435</v>
      </c>
      <c r="L21" s="130">
        <f t="shared" ref="L21" si="19">L22+L24+L26+L27+L29+L32</f>
        <v>6203.113363213688</v>
      </c>
      <c r="M21" s="130">
        <f t="shared" ref="M21:V21" si="20">M22+M24+M26+M27+M29+M32</f>
        <v>6213.8876387104719</v>
      </c>
      <c r="N21" s="130">
        <f t="shared" si="20"/>
        <v>5940.4980680226272</v>
      </c>
      <c r="O21" s="130">
        <f t="shared" si="20"/>
        <v>5790.7736816334464</v>
      </c>
      <c r="P21" s="130">
        <f t="shared" si="20"/>
        <v>5600.8758480624338</v>
      </c>
      <c r="Q21" s="130">
        <f t="shared" si="20"/>
        <v>5532.6563426098737</v>
      </c>
      <c r="R21" s="130">
        <f t="shared" si="20"/>
        <v>5559.8622117082368</v>
      </c>
      <c r="S21" s="130">
        <f t="shared" si="20"/>
        <v>5628.7870227968278</v>
      </c>
      <c r="T21" s="130">
        <f t="shared" si="20"/>
        <v>5642.7192011291045</v>
      </c>
      <c r="U21" s="130">
        <f t="shared" si="20"/>
        <v>5601.2573051011177</v>
      </c>
      <c r="V21" s="130">
        <f t="shared" si="20"/>
        <v>4462.1423644308243</v>
      </c>
      <c r="W21" s="130">
        <f t="shared" ref="W21:Y21" si="21">W22+W24+W26+W27+W29+W32</f>
        <v>4877.2127543996166</v>
      </c>
      <c r="X21" s="130">
        <f t="shared" si="21"/>
        <v>4905.3273566736507</v>
      </c>
      <c r="Y21" s="130">
        <f t="shared" si="21"/>
        <v>5250.1332940650655</v>
      </c>
      <c r="DA21" s="176" t="s">
        <v>393</v>
      </c>
    </row>
    <row r="22" spans="1:105" ht="11.45" customHeight="1" x14ac:dyDescent="0.25">
      <c r="A22" s="111" t="s">
        <v>110</v>
      </c>
      <c r="B22" s="96">
        <v>3764.9721242179444</v>
      </c>
      <c r="C22" s="96">
        <v>3858.1955359786043</v>
      </c>
      <c r="D22" s="96">
        <v>3907.7766523989017</v>
      </c>
      <c r="E22" s="96">
        <v>3930.9494957231746</v>
      </c>
      <c r="F22" s="96">
        <v>3898.5189341698424</v>
      </c>
      <c r="G22" s="96">
        <v>3861.0705948668215</v>
      </c>
      <c r="H22" s="96">
        <v>3937.0161158598999</v>
      </c>
      <c r="I22" s="96">
        <v>3984.7810596378931</v>
      </c>
      <c r="J22" s="96">
        <v>3973.4281353143488</v>
      </c>
      <c r="K22" s="96">
        <v>3987.5167642530855</v>
      </c>
      <c r="L22" s="96">
        <v>3986.8060607681341</v>
      </c>
      <c r="M22" s="96">
        <v>4056.063121627235</v>
      </c>
      <c r="N22" s="96">
        <v>3858.8060021860797</v>
      </c>
      <c r="O22" s="96">
        <v>3763.4578733014077</v>
      </c>
      <c r="P22" s="96">
        <v>3653.7526741005991</v>
      </c>
      <c r="Q22" s="96">
        <v>3642.3865803909448</v>
      </c>
      <c r="R22" s="96">
        <v>3740.5422774134081</v>
      </c>
      <c r="S22" s="96">
        <v>3888.7089850875209</v>
      </c>
      <c r="T22" s="96">
        <v>4002.6140745578964</v>
      </c>
      <c r="U22" s="96">
        <v>4108.0390523766528</v>
      </c>
      <c r="V22" s="96">
        <v>3459.0994541391351</v>
      </c>
      <c r="W22" s="96">
        <v>3563.719507378466</v>
      </c>
      <c r="X22" s="96">
        <v>3663.7359699731096</v>
      </c>
      <c r="Y22" s="96">
        <v>4083.7857075569696</v>
      </c>
      <c r="DA22" s="171" t="s">
        <v>641</v>
      </c>
    </row>
    <row r="23" spans="1:105" ht="11.45" customHeight="1" x14ac:dyDescent="0.25">
      <c r="A23" s="160" t="s">
        <v>131</v>
      </c>
      <c r="B23" s="96">
        <v>0</v>
      </c>
      <c r="C23" s="96">
        <v>0</v>
      </c>
      <c r="D23" s="96">
        <v>0</v>
      </c>
      <c r="E23" s="96">
        <v>0</v>
      </c>
      <c r="F23" s="96">
        <v>0</v>
      </c>
      <c r="G23" s="96">
        <v>0</v>
      </c>
      <c r="H23" s="96">
        <v>17.913804597427166</v>
      </c>
      <c r="I23" s="96">
        <v>84.307755960728372</v>
      </c>
      <c r="J23" s="96">
        <v>102.76242933745995</v>
      </c>
      <c r="K23" s="96">
        <v>131.86415559764424</v>
      </c>
      <c r="L23" s="96">
        <v>127.86631280424113</v>
      </c>
      <c r="M23" s="96">
        <v>142.11485209212861</v>
      </c>
      <c r="N23" s="96">
        <v>118.6780445846277</v>
      </c>
      <c r="O23" s="96">
        <v>119.24863910925289</v>
      </c>
      <c r="P23" s="96">
        <v>122.28311955591923</v>
      </c>
      <c r="Q23" s="96">
        <v>135.07327492198687</v>
      </c>
      <c r="R23" s="96">
        <v>114.67090967429601</v>
      </c>
      <c r="S23" s="96">
        <v>123.18213942484527</v>
      </c>
      <c r="T23" s="96">
        <v>163.62492814213419</v>
      </c>
      <c r="U23" s="96">
        <v>190.43826679418697</v>
      </c>
      <c r="V23" s="96">
        <v>216.32276163897868</v>
      </c>
      <c r="W23" s="96">
        <v>222.609324386964</v>
      </c>
      <c r="X23" s="96">
        <v>239.63533258936764</v>
      </c>
      <c r="Y23" s="96">
        <v>245.74530701364154</v>
      </c>
      <c r="DA23" s="171" t="s">
        <v>642</v>
      </c>
    </row>
    <row r="24" spans="1:105" ht="11.45" customHeight="1" x14ac:dyDescent="0.25">
      <c r="A24" s="111" t="s">
        <v>111</v>
      </c>
      <c r="B24" s="96">
        <v>1486.0782452304763</v>
      </c>
      <c r="C24" s="96">
        <v>1489.5169404130011</v>
      </c>
      <c r="D24" s="96">
        <v>1570.1402929965166</v>
      </c>
      <c r="E24" s="96">
        <v>1644.0931175038679</v>
      </c>
      <c r="F24" s="96">
        <v>1715.8792406274326</v>
      </c>
      <c r="G24" s="96">
        <v>1789.4206608576926</v>
      </c>
      <c r="H24" s="96">
        <v>1886.7052419001595</v>
      </c>
      <c r="I24" s="96">
        <v>1960.4036957457852</v>
      </c>
      <c r="J24" s="96">
        <v>1992.4127622213844</v>
      </c>
      <c r="K24" s="96">
        <v>1951.9299244401709</v>
      </c>
      <c r="L24" s="96">
        <v>1904.6529926341814</v>
      </c>
      <c r="M24" s="96">
        <v>1878.307404482284</v>
      </c>
      <c r="N24" s="96">
        <v>1798.6957885087716</v>
      </c>
      <c r="O24" s="96">
        <v>1755.8751665567077</v>
      </c>
      <c r="P24" s="96">
        <v>1732.6531737993009</v>
      </c>
      <c r="Q24" s="96">
        <v>1690.5089938118776</v>
      </c>
      <c r="R24" s="96">
        <v>1633.911989228669</v>
      </c>
      <c r="S24" s="96">
        <v>1571.2871972678217</v>
      </c>
      <c r="T24" s="96">
        <v>1469.7395366870448</v>
      </c>
      <c r="U24" s="96">
        <v>1318.384068632894</v>
      </c>
      <c r="V24" s="96">
        <v>843.4259121950281</v>
      </c>
      <c r="W24" s="96">
        <v>1112.6644634647571</v>
      </c>
      <c r="X24" s="96">
        <v>1000.0522033543403</v>
      </c>
      <c r="Y24" s="96">
        <v>881.97725248775862</v>
      </c>
      <c r="DA24" s="171" t="s">
        <v>643</v>
      </c>
    </row>
    <row r="25" spans="1:105" ht="11.45" customHeight="1" x14ac:dyDescent="0.25">
      <c r="A25" s="160" t="s">
        <v>131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6.2147344046100192</v>
      </c>
      <c r="I25" s="96">
        <v>69.622770621262063</v>
      </c>
      <c r="J25" s="96">
        <v>51.681228915138689</v>
      </c>
      <c r="K25" s="96">
        <v>70.276391996698806</v>
      </c>
      <c r="L25" s="96">
        <v>27.446360244952505</v>
      </c>
      <c r="M25" s="96">
        <v>48.711614662000486</v>
      </c>
      <c r="N25" s="96">
        <v>52.876648865150813</v>
      </c>
      <c r="O25" s="96">
        <v>51.085957304574336</v>
      </c>
      <c r="P25" s="96">
        <v>71.427324803382689</v>
      </c>
      <c r="Q25" s="96">
        <v>47.950980700527197</v>
      </c>
      <c r="R25" s="96">
        <v>35.694174409484759</v>
      </c>
      <c r="S25" s="96">
        <v>49.751705785243971</v>
      </c>
      <c r="T25" s="96">
        <v>83.773915263731382</v>
      </c>
      <c r="U25" s="96">
        <v>97.331747565947225</v>
      </c>
      <c r="V25" s="96">
        <v>52.124170478666393</v>
      </c>
      <c r="W25" s="96">
        <v>84.550017567308032</v>
      </c>
      <c r="X25" s="96">
        <v>66.385322937140828</v>
      </c>
      <c r="Y25" s="96">
        <v>57.906672763628499</v>
      </c>
      <c r="DA25" s="171" t="s">
        <v>644</v>
      </c>
    </row>
    <row r="26" spans="1:105" ht="11.45" customHeight="1" x14ac:dyDescent="0.25">
      <c r="A26" s="111" t="s">
        <v>112</v>
      </c>
      <c r="B26" s="96">
        <v>555.22169495088838</v>
      </c>
      <c r="C26" s="96">
        <v>512.31300632168359</v>
      </c>
      <c r="D26" s="96">
        <v>495.90315751357213</v>
      </c>
      <c r="E26" s="96">
        <v>429.79278377568892</v>
      </c>
      <c r="F26" s="96">
        <v>428.11917890497006</v>
      </c>
      <c r="G26" s="96">
        <v>411.85618706433945</v>
      </c>
      <c r="H26" s="96">
        <v>397.52965876732293</v>
      </c>
      <c r="I26" s="96">
        <v>329.56188051741333</v>
      </c>
      <c r="J26" s="96">
        <v>334.63182273324088</v>
      </c>
      <c r="K26" s="96">
        <v>334.68000805988504</v>
      </c>
      <c r="L26" s="96">
        <v>311.41753060097</v>
      </c>
      <c r="M26" s="96">
        <v>278.27577004134622</v>
      </c>
      <c r="N26" s="96">
        <v>273.75989008557127</v>
      </c>
      <c r="O26" s="96">
        <v>255.71938402948214</v>
      </c>
      <c r="P26" s="96">
        <v>189.97791873109432</v>
      </c>
      <c r="Q26" s="96">
        <v>161.70756627078325</v>
      </c>
      <c r="R26" s="96">
        <v>151.23921689417199</v>
      </c>
      <c r="S26" s="96">
        <v>132.4240903306</v>
      </c>
      <c r="T26" s="96">
        <v>117.95075826830723</v>
      </c>
      <c r="U26" s="96">
        <v>106.31255037792498</v>
      </c>
      <c r="V26" s="96">
        <v>86.324434248554738</v>
      </c>
      <c r="W26" s="96">
        <v>89.969067223185689</v>
      </c>
      <c r="X26" s="96">
        <v>95.90040245625049</v>
      </c>
      <c r="Y26" s="96">
        <v>89.408374818303514</v>
      </c>
      <c r="DA26" s="171" t="s">
        <v>645</v>
      </c>
    </row>
    <row r="27" spans="1:105" ht="11.45" customHeight="1" x14ac:dyDescent="0.25">
      <c r="A27" s="111" t="s">
        <v>113</v>
      </c>
      <c r="B27" s="96">
        <v>0</v>
      </c>
      <c r="C27" s="96">
        <v>0</v>
      </c>
      <c r="D27" s="96">
        <v>0</v>
      </c>
      <c r="E27" s="96">
        <v>0</v>
      </c>
      <c r="F27" s="96">
        <v>0</v>
      </c>
      <c r="G27" s="96">
        <v>0</v>
      </c>
      <c r="H27" s="96">
        <v>0</v>
      </c>
      <c r="I27" s="96">
        <v>0</v>
      </c>
      <c r="J27" s="96">
        <v>0</v>
      </c>
      <c r="K27" s="96">
        <v>0</v>
      </c>
      <c r="L27" s="96">
        <v>0.21271644254718095</v>
      </c>
      <c r="M27" s="96">
        <v>0.99770370705179756</v>
      </c>
      <c r="N27" s="96">
        <v>7.6150904566583009</v>
      </c>
      <c r="O27" s="96">
        <v>8.3061312759688271</v>
      </c>
      <c r="P27" s="96">
        <v>11.116758227883027</v>
      </c>
      <c r="Q27" s="96">
        <v>11.656051553620518</v>
      </c>
      <c r="R27" s="96">
        <v>3.1361966213505355</v>
      </c>
      <c r="S27" s="96">
        <v>4.3502110702782746</v>
      </c>
      <c r="T27" s="96">
        <v>13.812305113374288</v>
      </c>
      <c r="U27" s="96">
        <v>13.864298593104261</v>
      </c>
      <c r="V27" s="96">
        <v>10.955118158570004</v>
      </c>
      <c r="W27" s="96">
        <v>9.9839268941142283</v>
      </c>
      <c r="X27" s="96">
        <v>9.7349572478517601</v>
      </c>
      <c r="Y27" s="96">
        <v>3.5773139890417109</v>
      </c>
      <c r="DA27" s="171" t="s">
        <v>646</v>
      </c>
    </row>
    <row r="28" spans="1:105" ht="11.45" customHeight="1" x14ac:dyDescent="0.25">
      <c r="A28" s="160" t="s">
        <v>132</v>
      </c>
      <c r="B28" s="96">
        <v>0</v>
      </c>
      <c r="C28" s="96">
        <v>0</v>
      </c>
      <c r="D28" s="96">
        <v>0</v>
      </c>
      <c r="E28" s="96">
        <v>0</v>
      </c>
      <c r="F28" s="96">
        <v>0</v>
      </c>
      <c r="G28" s="96">
        <v>0</v>
      </c>
      <c r="H28" s="96">
        <v>0</v>
      </c>
      <c r="I28" s="96">
        <v>0</v>
      </c>
      <c r="J28" s="96">
        <v>0</v>
      </c>
      <c r="K28" s="96">
        <v>0</v>
      </c>
      <c r="L28" s="96">
        <v>4.8118084496806838E-5</v>
      </c>
      <c r="M28" s="96">
        <v>4.1134191232417044E-4</v>
      </c>
      <c r="N28" s="96">
        <v>5.2918174688954146E-3</v>
      </c>
      <c r="O28" s="96">
        <v>9.746696355633808E-3</v>
      </c>
      <c r="P28" s="96">
        <v>1.9724367211663034E-2</v>
      </c>
      <c r="Q28" s="96">
        <v>2.6908309988251292E-2</v>
      </c>
      <c r="R28" s="96">
        <v>7.1599074312374764E-3</v>
      </c>
      <c r="S28" s="96">
        <v>1.1515555120859881E-2</v>
      </c>
      <c r="T28" s="96">
        <v>4.0188275061810302E-2</v>
      </c>
      <c r="U28" s="96">
        <v>5.1458722668460598E-2</v>
      </c>
      <c r="V28" s="96">
        <v>5.8795713297693668E-2</v>
      </c>
      <c r="W28" s="96">
        <v>6.3061271223430471E-2</v>
      </c>
      <c r="X28" s="96">
        <v>8.5220300597790913E-2</v>
      </c>
      <c r="Y28" s="96">
        <v>3.9918295851200492E-2</v>
      </c>
      <c r="DA28" s="171" t="s">
        <v>647</v>
      </c>
    </row>
    <row r="29" spans="1:105" ht="11.45" customHeight="1" x14ac:dyDescent="0.25">
      <c r="A29" s="111" t="s">
        <v>185</v>
      </c>
      <c r="B29" s="96">
        <v>0</v>
      </c>
      <c r="C29" s="96">
        <v>0</v>
      </c>
      <c r="D29" s="96">
        <v>0</v>
      </c>
      <c r="E29" s="96">
        <v>0</v>
      </c>
      <c r="F29" s="96">
        <v>0</v>
      </c>
      <c r="G29" s="96">
        <v>0</v>
      </c>
      <c r="H29" s="96">
        <v>0</v>
      </c>
      <c r="I29" s="96">
        <v>0</v>
      </c>
      <c r="J29" s="96">
        <v>0</v>
      </c>
      <c r="K29" s="96">
        <v>0</v>
      </c>
      <c r="L29" s="96">
        <v>0</v>
      </c>
      <c r="M29" s="96">
        <v>4.8518265401313486E-3</v>
      </c>
      <c r="N29" s="96">
        <v>1.0610749731124378</v>
      </c>
      <c r="O29" s="96">
        <v>6.3753247630707062</v>
      </c>
      <c r="P29" s="96">
        <v>11.690568247557881</v>
      </c>
      <c r="Q29" s="96">
        <v>23.977012206152281</v>
      </c>
      <c r="R29" s="96">
        <v>27.731256274401098</v>
      </c>
      <c r="S29" s="96">
        <v>26.822623999399767</v>
      </c>
      <c r="T29" s="96">
        <v>26.918584402127678</v>
      </c>
      <c r="U29" s="96">
        <v>27.02358417673625</v>
      </c>
      <c r="V29" s="96">
        <v>25.702325107698471</v>
      </c>
      <c r="W29" s="96">
        <v>37.936855520511244</v>
      </c>
      <c r="X29" s="96">
        <v>50.800786742675385</v>
      </c>
      <c r="Y29" s="96">
        <v>77.514327504498198</v>
      </c>
      <c r="DA29" s="171" t="s">
        <v>648</v>
      </c>
    </row>
    <row r="30" spans="1:105" ht="11.45" customHeight="1" x14ac:dyDescent="0.25">
      <c r="A30" s="160" t="s">
        <v>131</v>
      </c>
      <c r="B30" s="96">
        <v>0</v>
      </c>
      <c r="C30" s="96">
        <v>0</v>
      </c>
      <c r="D30" s="96">
        <v>0</v>
      </c>
      <c r="E30" s="96">
        <v>0</v>
      </c>
      <c r="F30" s="96">
        <v>0</v>
      </c>
      <c r="G30" s="96">
        <v>0</v>
      </c>
      <c r="H30" s="96">
        <v>0</v>
      </c>
      <c r="I30" s="96">
        <v>0</v>
      </c>
      <c r="J30" s="96">
        <v>0</v>
      </c>
      <c r="K30" s="96">
        <v>0</v>
      </c>
      <c r="L30" s="96">
        <v>0</v>
      </c>
      <c r="M30" s="96">
        <v>1.0855502932915538E-4</v>
      </c>
      <c r="N30" s="96">
        <v>1.6144943224992919E-2</v>
      </c>
      <c r="O30" s="96">
        <v>0.10168535137902748</v>
      </c>
      <c r="P30" s="96">
        <v>0.23233344666484729</v>
      </c>
      <c r="Q30" s="96">
        <v>0.50286291929559401</v>
      </c>
      <c r="R30" s="96">
        <v>0.48093960031570954</v>
      </c>
      <c r="S30" s="96">
        <v>0.48656357512137238</v>
      </c>
      <c r="T30" s="96">
        <v>0.63653174165837656</v>
      </c>
      <c r="U30" s="96">
        <v>0.72680342472486492</v>
      </c>
      <c r="V30" s="96">
        <v>0.92470556540700088</v>
      </c>
      <c r="W30" s="96">
        <v>1.3228421598224407</v>
      </c>
      <c r="X30" s="96">
        <v>1.667537857342418</v>
      </c>
      <c r="Y30" s="96">
        <v>2.2383221590700431</v>
      </c>
      <c r="DA30" s="171" t="s">
        <v>649</v>
      </c>
    </row>
    <row r="31" spans="1:105" ht="11.45" customHeight="1" x14ac:dyDescent="0.25">
      <c r="A31" s="160" t="s">
        <v>133</v>
      </c>
      <c r="B31" s="96">
        <v>0</v>
      </c>
      <c r="C31" s="96">
        <v>0</v>
      </c>
      <c r="D31" s="96">
        <v>0</v>
      </c>
      <c r="E31" s="96">
        <v>0</v>
      </c>
      <c r="F31" s="96">
        <v>0</v>
      </c>
      <c r="G31" s="96">
        <v>0</v>
      </c>
      <c r="H31" s="96">
        <v>0</v>
      </c>
      <c r="I31" s="96">
        <v>0</v>
      </c>
      <c r="J31" s="96">
        <v>0</v>
      </c>
      <c r="K31" s="96">
        <v>0</v>
      </c>
      <c r="L31" s="96">
        <v>0</v>
      </c>
      <c r="M31" s="96">
        <v>1.753585612830427E-3</v>
      </c>
      <c r="N31" s="96">
        <v>0.53612358855258557</v>
      </c>
      <c r="O31" s="96">
        <v>3.1661599532634388</v>
      </c>
      <c r="P31" s="96">
        <v>4.7485720413971153</v>
      </c>
      <c r="Q31" s="96">
        <v>10.416808308850168</v>
      </c>
      <c r="R31" s="96">
        <v>12.043102121155842</v>
      </c>
      <c r="S31" s="96">
        <v>11.462408993999732</v>
      </c>
      <c r="T31" s="96">
        <v>11.347662923393651</v>
      </c>
      <c r="U31" s="96">
        <v>11.345344175751436</v>
      </c>
      <c r="V31" s="96">
        <v>10.915862082244839</v>
      </c>
      <c r="W31" s="96">
        <v>16.75967247517265</v>
      </c>
      <c r="X31" s="96">
        <v>25.306138840705806</v>
      </c>
      <c r="Y31" s="96">
        <v>40.317979166456944</v>
      </c>
      <c r="DA31" s="171" t="s">
        <v>650</v>
      </c>
    </row>
    <row r="32" spans="1:105" ht="11.45" customHeight="1" x14ac:dyDescent="0.25">
      <c r="A32" s="111" t="s">
        <v>115</v>
      </c>
      <c r="B32" s="96">
        <v>0</v>
      </c>
      <c r="C32" s="96">
        <v>0</v>
      </c>
      <c r="D32" s="96">
        <v>0</v>
      </c>
      <c r="E32" s="96">
        <v>0</v>
      </c>
      <c r="F32" s="96">
        <v>0</v>
      </c>
      <c r="G32" s="96">
        <v>0</v>
      </c>
      <c r="H32" s="96">
        <v>0</v>
      </c>
      <c r="I32" s="96">
        <v>0</v>
      </c>
      <c r="J32" s="96">
        <v>0</v>
      </c>
      <c r="K32" s="96">
        <v>7.9086576011184323E-3</v>
      </c>
      <c r="L32" s="96">
        <v>2.4062767854913063E-2</v>
      </c>
      <c r="M32" s="96">
        <v>0.23878702601479621</v>
      </c>
      <c r="N32" s="96">
        <v>0.56022181243422342</v>
      </c>
      <c r="O32" s="96">
        <v>1.039801706808384</v>
      </c>
      <c r="P32" s="96">
        <v>1.6847549559985933</v>
      </c>
      <c r="Q32" s="96">
        <v>2.4201383764947959</v>
      </c>
      <c r="R32" s="96">
        <v>3.3012752762360513</v>
      </c>
      <c r="S32" s="96">
        <v>5.1939150412074113</v>
      </c>
      <c r="T32" s="96">
        <v>11.683942100353908</v>
      </c>
      <c r="U32" s="96">
        <v>27.63375094380558</v>
      </c>
      <c r="V32" s="96">
        <v>36.635120581838301</v>
      </c>
      <c r="W32" s="96">
        <v>62.938933918582379</v>
      </c>
      <c r="X32" s="96">
        <v>85.103036899424026</v>
      </c>
      <c r="Y32" s="96">
        <v>113.87031770849312</v>
      </c>
      <c r="DA32" s="171" t="s">
        <v>651</v>
      </c>
    </row>
    <row r="33" spans="1:105" ht="11.45" customHeight="1" x14ac:dyDescent="0.25">
      <c r="A33" s="109" t="s">
        <v>21</v>
      </c>
      <c r="B33" s="130">
        <f t="shared" ref="B33:K33" si="22">B34+B36+B38+B39+B41</f>
        <v>363.39421164253116</v>
      </c>
      <c r="C33" s="130">
        <f t="shared" si="22"/>
        <v>352.33724355501698</v>
      </c>
      <c r="D33" s="130">
        <f t="shared" si="22"/>
        <v>348.4914367897232</v>
      </c>
      <c r="E33" s="130">
        <f t="shared" si="22"/>
        <v>339.8251699660828</v>
      </c>
      <c r="F33" s="130">
        <f t="shared" si="22"/>
        <v>332.54976288521925</v>
      </c>
      <c r="G33" s="130">
        <f t="shared" si="22"/>
        <v>331.97338046441121</v>
      </c>
      <c r="H33" s="130">
        <f t="shared" si="22"/>
        <v>328.69209285639465</v>
      </c>
      <c r="I33" s="130">
        <f t="shared" si="22"/>
        <v>327.7155259056467</v>
      </c>
      <c r="J33" s="130">
        <f t="shared" si="22"/>
        <v>339.85810909494302</v>
      </c>
      <c r="K33" s="130">
        <f t="shared" si="22"/>
        <v>351.99217068196714</v>
      </c>
      <c r="L33" s="130">
        <f t="shared" ref="L33" si="23">L34+L36+L38+L39+L41</f>
        <v>368.01538702001284</v>
      </c>
      <c r="M33" s="130">
        <f t="shared" ref="M33:V33" si="24">M34+M36+M38+M39+M41</f>
        <v>361.97822923333479</v>
      </c>
      <c r="N33" s="130">
        <f t="shared" si="24"/>
        <v>351.9883307383808</v>
      </c>
      <c r="O33" s="130">
        <f t="shared" si="24"/>
        <v>319.03500760637223</v>
      </c>
      <c r="P33" s="130">
        <f t="shared" si="24"/>
        <v>305.9555508427282</v>
      </c>
      <c r="Q33" s="130">
        <f t="shared" si="24"/>
        <v>300.83169178858958</v>
      </c>
      <c r="R33" s="130">
        <f t="shared" si="24"/>
        <v>306.71799600953779</v>
      </c>
      <c r="S33" s="130">
        <f t="shared" si="24"/>
        <v>331.27265054281929</v>
      </c>
      <c r="T33" s="130">
        <f t="shared" si="24"/>
        <v>308.2632834170908</v>
      </c>
      <c r="U33" s="130">
        <f t="shared" si="24"/>
        <v>291.14142552651208</v>
      </c>
      <c r="V33" s="130">
        <f t="shared" si="24"/>
        <v>227.8512201112984</v>
      </c>
      <c r="W33" s="130">
        <f t="shared" ref="W33:Y33" si="25">W34+W36+W38+W39+W41</f>
        <v>215.62647231713308</v>
      </c>
      <c r="X33" s="130">
        <f t="shared" si="25"/>
        <v>213.51387863631112</v>
      </c>
      <c r="Y33" s="130">
        <f t="shared" si="25"/>
        <v>211.31278863240072</v>
      </c>
      <c r="DA33" s="176" t="s">
        <v>394</v>
      </c>
    </row>
    <row r="34" spans="1:105" ht="11.45" customHeight="1" x14ac:dyDescent="0.25">
      <c r="A34" s="111" t="s">
        <v>110</v>
      </c>
      <c r="B34" s="97">
        <v>0.13853855370996498</v>
      </c>
      <c r="C34" s="97">
        <v>0.16386777049414333</v>
      </c>
      <c r="D34" s="97">
        <v>0.19168320287907062</v>
      </c>
      <c r="E34" s="97">
        <v>0.21393633522490771</v>
      </c>
      <c r="F34" s="97">
        <v>0.19966688703126423</v>
      </c>
      <c r="G34" s="97">
        <v>0.21470105132305542</v>
      </c>
      <c r="H34" s="97">
        <v>0.22201498535636138</v>
      </c>
      <c r="I34" s="97">
        <v>0.23660946142206249</v>
      </c>
      <c r="J34" s="97">
        <v>0.23695399635127598</v>
      </c>
      <c r="K34" s="97">
        <v>0.244004310653092</v>
      </c>
      <c r="L34" s="97">
        <v>0.26347812795805797</v>
      </c>
      <c r="M34" s="97">
        <v>0.21304050502383931</v>
      </c>
      <c r="N34" s="97">
        <v>0.12418382634286983</v>
      </c>
      <c r="O34" s="97">
        <v>0.10913584863337487</v>
      </c>
      <c r="P34" s="97">
        <v>0.10152524997480866</v>
      </c>
      <c r="Q34" s="97">
        <v>0.15708098873589552</v>
      </c>
      <c r="R34" s="97">
        <v>0.19178992283388888</v>
      </c>
      <c r="S34" s="97">
        <v>0.17842725971043533</v>
      </c>
      <c r="T34" s="97">
        <v>0.15843315486853782</v>
      </c>
      <c r="U34" s="97">
        <v>0.66453693536444258</v>
      </c>
      <c r="V34" s="97">
        <v>0.54754801421462684</v>
      </c>
      <c r="W34" s="97">
        <v>0.6369935826968286</v>
      </c>
      <c r="X34" s="97">
        <v>0.763158142985915</v>
      </c>
      <c r="Y34" s="97">
        <v>0.77369864887873319</v>
      </c>
      <c r="DA34" s="175" t="s">
        <v>652</v>
      </c>
    </row>
    <row r="35" spans="1:105" ht="11.45" customHeight="1" x14ac:dyDescent="0.25">
      <c r="A35" s="160" t="s">
        <v>131</v>
      </c>
      <c r="B35" s="97">
        <v>0</v>
      </c>
      <c r="C35" s="97">
        <v>0</v>
      </c>
      <c r="D35" s="97">
        <v>0</v>
      </c>
      <c r="E35" s="97">
        <v>0</v>
      </c>
      <c r="F35" s="97">
        <v>0</v>
      </c>
      <c r="G35" s="97">
        <v>0</v>
      </c>
      <c r="H35" s="97">
        <v>1.0101896838453377E-3</v>
      </c>
      <c r="I35" s="97">
        <v>5.0060498765227886E-3</v>
      </c>
      <c r="J35" s="97">
        <v>6.1282015119043685E-3</v>
      </c>
      <c r="K35" s="97">
        <v>8.0690375210202073E-3</v>
      </c>
      <c r="L35" s="97">
        <v>8.4503675907600818E-3</v>
      </c>
      <c r="M35" s="97">
        <v>7.4644350822994391E-3</v>
      </c>
      <c r="N35" s="97">
        <v>3.8192885755488873E-3</v>
      </c>
      <c r="O35" s="97">
        <v>3.4580701752739093E-3</v>
      </c>
      <c r="P35" s="97">
        <v>3.3978283118657245E-3</v>
      </c>
      <c r="Q35" s="97">
        <v>5.8251487337359527E-3</v>
      </c>
      <c r="R35" s="97">
        <v>5.8795552320111957E-3</v>
      </c>
      <c r="S35" s="97">
        <v>5.6520175891612151E-3</v>
      </c>
      <c r="T35" s="97">
        <v>6.4766707701040312E-3</v>
      </c>
      <c r="U35" s="97">
        <v>3.080624613787674E-2</v>
      </c>
      <c r="V35" s="97">
        <v>3.4242177808190458E-2</v>
      </c>
      <c r="W35" s="97">
        <v>3.9790087516535157E-2</v>
      </c>
      <c r="X35" s="97">
        <v>4.9916166697475256E-2</v>
      </c>
      <c r="Y35" s="97">
        <v>4.6557979683631942E-2</v>
      </c>
      <c r="DA35" s="175" t="s">
        <v>653</v>
      </c>
    </row>
    <row r="36" spans="1:105" ht="11.45" customHeight="1" x14ac:dyDescent="0.25">
      <c r="A36" s="111" t="s">
        <v>111</v>
      </c>
      <c r="B36" s="97">
        <v>359.62969570237465</v>
      </c>
      <c r="C36" s="97">
        <v>348.72872453420513</v>
      </c>
      <c r="D36" s="97">
        <v>344.92795763457849</v>
      </c>
      <c r="E36" s="97">
        <v>336.54314345725084</v>
      </c>
      <c r="F36" s="97">
        <v>329.52871332770621</v>
      </c>
      <c r="G36" s="97">
        <v>328.44153259794899</v>
      </c>
      <c r="H36" s="97">
        <v>324.88574645898234</v>
      </c>
      <c r="I36" s="97">
        <v>323.75763836150111</v>
      </c>
      <c r="J36" s="97">
        <v>335.07950150104074</v>
      </c>
      <c r="K36" s="97">
        <v>344.43703907863659</v>
      </c>
      <c r="L36" s="97">
        <v>357.66405815072829</v>
      </c>
      <c r="M36" s="97">
        <v>345.03687699244188</v>
      </c>
      <c r="N36" s="97">
        <v>335.59258156139532</v>
      </c>
      <c r="O36" s="97">
        <v>301.43576632651735</v>
      </c>
      <c r="P36" s="97">
        <v>287.42479411594502</v>
      </c>
      <c r="Q36" s="97">
        <v>276.66925834370011</v>
      </c>
      <c r="R36" s="97">
        <v>262.2414009444031</v>
      </c>
      <c r="S36" s="97">
        <v>275.34978776396883</v>
      </c>
      <c r="T36" s="97">
        <v>258.12856526935184</v>
      </c>
      <c r="U36" s="97">
        <v>232.98097317460048</v>
      </c>
      <c r="V36" s="97">
        <v>166.60816702962359</v>
      </c>
      <c r="W36" s="97">
        <v>147.4219378283255</v>
      </c>
      <c r="X36" s="97">
        <v>141.70847273609385</v>
      </c>
      <c r="Y36" s="97">
        <v>130.05018603660673</v>
      </c>
      <c r="DA36" s="175" t="s">
        <v>654</v>
      </c>
    </row>
    <row r="37" spans="1:105" ht="11.45" customHeight="1" x14ac:dyDescent="0.25">
      <c r="A37" s="160" t="s">
        <v>131</v>
      </c>
      <c r="B37" s="97">
        <v>0</v>
      </c>
      <c r="C37" s="97">
        <v>0</v>
      </c>
      <c r="D37" s="97">
        <v>0</v>
      </c>
      <c r="E37" s="97">
        <v>0</v>
      </c>
      <c r="F37" s="97">
        <v>0</v>
      </c>
      <c r="G37" s="97">
        <v>0</v>
      </c>
      <c r="H37" s="97">
        <v>1.0701611365920454</v>
      </c>
      <c r="I37" s="97">
        <v>11.498092888439084</v>
      </c>
      <c r="J37" s="97">
        <v>8.6916329538756756</v>
      </c>
      <c r="K37" s="97">
        <v>12.400953575940973</v>
      </c>
      <c r="L37" s="97">
        <v>5.1539974077377559</v>
      </c>
      <c r="M37" s="97">
        <v>8.948111132463147</v>
      </c>
      <c r="N37" s="97">
        <v>9.865487655187696</v>
      </c>
      <c r="O37" s="97">
        <v>8.7700623494926475</v>
      </c>
      <c r="P37" s="97">
        <v>11.848871104912231</v>
      </c>
      <c r="Q37" s="97">
        <v>7.8476732840998187</v>
      </c>
      <c r="R37" s="97">
        <v>5.7288828066657445</v>
      </c>
      <c r="S37" s="97">
        <v>8.718407209504786</v>
      </c>
      <c r="T37" s="97">
        <v>14.713110734414284</v>
      </c>
      <c r="U37" s="97">
        <v>17.200181501141326</v>
      </c>
      <c r="V37" s="97">
        <v>10.296473437470254</v>
      </c>
      <c r="W37" s="97">
        <v>11.202413523999741</v>
      </c>
      <c r="X37" s="97">
        <v>9.4068716552603515</v>
      </c>
      <c r="Y37" s="97">
        <v>8.5385122398894495</v>
      </c>
      <c r="DA37" s="175" t="s">
        <v>655</v>
      </c>
    </row>
    <row r="38" spans="1:105" ht="11.45" customHeight="1" x14ac:dyDescent="0.25">
      <c r="A38" s="111" t="s">
        <v>112</v>
      </c>
      <c r="B38" s="97">
        <v>2.5684428177697747</v>
      </c>
      <c r="C38" s="97">
        <v>2.4092176745079796</v>
      </c>
      <c r="D38" s="97">
        <v>2.1047114794288495</v>
      </c>
      <c r="E38" s="97">
        <v>1.9156035782501843</v>
      </c>
      <c r="F38" s="97">
        <v>1.6403219741844057</v>
      </c>
      <c r="G38" s="97">
        <v>2.0100418443116586</v>
      </c>
      <c r="H38" s="97">
        <v>1.6512432387698335</v>
      </c>
      <c r="I38" s="97">
        <v>1.474473774898633</v>
      </c>
      <c r="J38" s="97">
        <v>1.4705203942285141</v>
      </c>
      <c r="K38" s="97">
        <v>1.3871413406331399</v>
      </c>
      <c r="L38" s="97">
        <v>1.397870610880944</v>
      </c>
      <c r="M38" s="97">
        <v>1.3498584519187</v>
      </c>
      <c r="N38" s="97">
        <v>1.3154187458682116</v>
      </c>
      <c r="O38" s="97">
        <v>1.306636468543305</v>
      </c>
      <c r="P38" s="97">
        <v>1.2836234427255013</v>
      </c>
      <c r="Q38" s="97">
        <v>1.3287849001399352</v>
      </c>
      <c r="R38" s="97">
        <v>1.3344937438992419</v>
      </c>
      <c r="S38" s="97">
        <v>1.3509552067076214</v>
      </c>
      <c r="T38" s="97">
        <v>1.279099637691393</v>
      </c>
      <c r="U38" s="97">
        <v>1.1589147789647789</v>
      </c>
      <c r="V38" s="97">
        <v>0.9564697027164627</v>
      </c>
      <c r="W38" s="97">
        <v>0.93980937727074865</v>
      </c>
      <c r="X38" s="97">
        <v>0.85908085905135068</v>
      </c>
      <c r="Y38" s="97">
        <v>0.8403733715672117</v>
      </c>
      <c r="DA38" s="175" t="s">
        <v>656</v>
      </c>
    </row>
    <row r="39" spans="1:105" ht="11.45" customHeight="1" x14ac:dyDescent="0.25">
      <c r="A39" s="111" t="s">
        <v>113</v>
      </c>
      <c r="B39" s="97">
        <v>0.15047291487532241</v>
      </c>
      <c r="C39" s="97">
        <v>0.23645743766122099</v>
      </c>
      <c r="D39" s="97">
        <v>0.3869303525365434</v>
      </c>
      <c r="E39" s="97">
        <v>0.39773309972928034</v>
      </c>
      <c r="F39" s="97">
        <v>0.27419919433518558</v>
      </c>
      <c r="G39" s="97">
        <v>0.37143621039948943</v>
      </c>
      <c r="H39" s="97">
        <v>0.98261421234419377</v>
      </c>
      <c r="I39" s="97">
        <v>1.2954024272807456</v>
      </c>
      <c r="J39" s="97">
        <v>2.2963877426588861</v>
      </c>
      <c r="K39" s="97">
        <v>5.0099925562523717</v>
      </c>
      <c r="L39" s="97">
        <v>7.294898035272829</v>
      </c>
      <c r="M39" s="97">
        <v>14.050315414488027</v>
      </c>
      <c r="N39" s="97">
        <v>13.614151051986758</v>
      </c>
      <c r="O39" s="97">
        <v>14.94156930007134</v>
      </c>
      <c r="P39" s="97">
        <v>15.945199418256259</v>
      </c>
      <c r="Q39" s="97">
        <v>21.256832386825614</v>
      </c>
      <c r="R39" s="97">
        <v>40.552405759165708</v>
      </c>
      <c r="S39" s="97">
        <v>49.844545187927828</v>
      </c>
      <c r="T39" s="97">
        <v>42.571792589344618</v>
      </c>
      <c r="U39" s="97">
        <v>44.698562682388044</v>
      </c>
      <c r="V39" s="97">
        <v>43.926244589513331</v>
      </c>
      <c r="W39" s="97">
        <v>46.884210520428482</v>
      </c>
      <c r="X39" s="97">
        <v>49.221351257529378</v>
      </c>
      <c r="Y39" s="97">
        <v>56.903692384721609</v>
      </c>
      <c r="DA39" s="175" t="s">
        <v>657</v>
      </c>
    </row>
    <row r="40" spans="1:105" ht="11.45" customHeight="1" x14ac:dyDescent="0.25">
      <c r="A40" s="160" t="s">
        <v>132</v>
      </c>
      <c r="B40" s="97">
        <v>6.150839751471374E-5</v>
      </c>
      <c r="C40" s="97">
        <v>8.2320521195917843E-5</v>
      </c>
      <c r="D40" s="97">
        <v>1.1697421831555843E-4</v>
      </c>
      <c r="E40" s="97">
        <v>9.0876757280457623E-5</v>
      </c>
      <c r="F40" s="97">
        <v>8.4389757881800348E-5</v>
      </c>
      <c r="G40" s="97">
        <v>1.2107151812072882E-4</v>
      </c>
      <c r="H40" s="97">
        <v>3.3086176143018578E-4</v>
      </c>
      <c r="I40" s="97">
        <v>4.2119359305436066E-4</v>
      </c>
      <c r="J40" s="97">
        <v>6.7429889825328701E-4</v>
      </c>
      <c r="K40" s="97">
        <v>1.4251491899092263E-3</v>
      </c>
      <c r="L40" s="97">
        <v>1.6501616699376314E-3</v>
      </c>
      <c r="M40" s="97">
        <v>5.7927855439482909E-3</v>
      </c>
      <c r="N40" s="97">
        <v>9.4606364522029623E-3</v>
      </c>
      <c r="O40" s="97">
        <v>1.7532944544928215E-2</v>
      </c>
      <c r="P40" s="97">
        <v>2.8291428323054806E-2</v>
      </c>
      <c r="Q40" s="97">
        <v>4.9071971979682716E-2</v>
      </c>
      <c r="R40" s="97">
        <v>9.2580761478078033E-2</v>
      </c>
      <c r="S40" s="97">
        <v>0.13194477194621665</v>
      </c>
      <c r="T40" s="97">
        <v>0.12386686338099262</v>
      </c>
      <c r="U40" s="97">
        <v>0.16590315949310497</v>
      </c>
      <c r="V40" s="97">
        <v>0.23575052735592905</v>
      </c>
      <c r="W40" s="97">
        <v>0.29613377051750317</v>
      </c>
      <c r="X40" s="97">
        <v>0.43088616038059674</v>
      </c>
      <c r="Y40" s="97">
        <v>0.63497317668989695</v>
      </c>
      <c r="DA40" s="175" t="s">
        <v>658</v>
      </c>
    </row>
    <row r="41" spans="1:105" ht="11.45" customHeight="1" x14ac:dyDescent="0.25">
      <c r="A41" s="111" t="s">
        <v>115</v>
      </c>
      <c r="B41" s="97">
        <v>0.90706165380145176</v>
      </c>
      <c r="C41" s="97">
        <v>0.79897613814849122</v>
      </c>
      <c r="D41" s="97">
        <v>0.88015412030028273</v>
      </c>
      <c r="E41" s="97">
        <v>0.7547534956275882</v>
      </c>
      <c r="F41" s="97">
        <v>0.90686150196218662</v>
      </c>
      <c r="G41" s="97">
        <v>0.9356687604279692</v>
      </c>
      <c r="H41" s="97">
        <v>0.95047396094197978</v>
      </c>
      <c r="I41" s="97">
        <v>0.95140188054416963</v>
      </c>
      <c r="J41" s="97">
        <v>0.77474546066356131</v>
      </c>
      <c r="K41" s="97">
        <v>0.91399339579193661</v>
      </c>
      <c r="L41" s="97">
        <v>1.3950820951727263</v>
      </c>
      <c r="M41" s="97">
        <v>1.3281378694623578</v>
      </c>
      <c r="N41" s="97">
        <v>1.3419955527876315</v>
      </c>
      <c r="O41" s="97">
        <v>1.241899662606782</v>
      </c>
      <c r="P41" s="97">
        <v>1.2004086158265819</v>
      </c>
      <c r="Q41" s="97">
        <v>1.4197351691879996</v>
      </c>
      <c r="R41" s="97">
        <v>2.3979056392358187</v>
      </c>
      <c r="S41" s="97">
        <v>4.5489351245045553</v>
      </c>
      <c r="T41" s="97">
        <v>6.1253927658344018</v>
      </c>
      <c r="U41" s="97">
        <v>11.638437955194297</v>
      </c>
      <c r="V41" s="97">
        <v>15.812790775230383</v>
      </c>
      <c r="W41" s="97">
        <v>19.743521008411541</v>
      </c>
      <c r="X41" s="97">
        <v>20.961815640650631</v>
      </c>
      <c r="Y41" s="97">
        <v>22.744838190626428</v>
      </c>
      <c r="DA41" s="175" t="s">
        <v>659</v>
      </c>
    </row>
    <row r="42" spans="1:105" ht="11.45" customHeight="1" x14ac:dyDescent="0.25">
      <c r="A42" s="27" t="s">
        <v>34</v>
      </c>
      <c r="B42" s="32">
        <f t="shared" ref="B42:K42" si="26">B43+B52</f>
        <v>3905.6156105848386</v>
      </c>
      <c r="C42" s="32">
        <f t="shared" si="26"/>
        <v>3935.568049872656</v>
      </c>
      <c r="D42" s="32">
        <f t="shared" si="26"/>
        <v>4060.5362199364235</v>
      </c>
      <c r="E42" s="32">
        <f t="shared" si="26"/>
        <v>4214.0914722880952</v>
      </c>
      <c r="F42" s="32">
        <f t="shared" si="26"/>
        <v>4363.5845973703599</v>
      </c>
      <c r="G42" s="32">
        <f t="shared" si="26"/>
        <v>4394.1053225810138</v>
      </c>
      <c r="H42" s="32">
        <f t="shared" si="26"/>
        <v>4568.240945030373</v>
      </c>
      <c r="I42" s="32">
        <f t="shared" si="26"/>
        <v>4604.3944015195584</v>
      </c>
      <c r="J42" s="32">
        <f t="shared" si="26"/>
        <v>4657.3284571059958</v>
      </c>
      <c r="K42" s="32">
        <f t="shared" si="26"/>
        <v>4297.8447734084784</v>
      </c>
      <c r="L42" s="32">
        <f t="shared" ref="L42" si="27">L43+L52</f>
        <v>4362.5711228804848</v>
      </c>
      <c r="M42" s="32">
        <f t="shared" ref="M42:V42" si="28">M43+M52</f>
        <v>4482.7605434859279</v>
      </c>
      <c r="N42" s="32">
        <f t="shared" si="28"/>
        <v>4297.3908682642141</v>
      </c>
      <c r="O42" s="32">
        <f t="shared" si="28"/>
        <v>3952.1238633962976</v>
      </c>
      <c r="P42" s="32">
        <f t="shared" si="28"/>
        <v>3373.8962432285089</v>
      </c>
      <c r="Q42" s="32">
        <f t="shared" si="28"/>
        <v>3428.7794016473772</v>
      </c>
      <c r="R42" s="32">
        <f t="shared" si="28"/>
        <v>3404.6660405275611</v>
      </c>
      <c r="S42" s="32">
        <f t="shared" si="28"/>
        <v>3681.0105130047446</v>
      </c>
      <c r="T42" s="32">
        <f t="shared" si="28"/>
        <v>3942.7149468271032</v>
      </c>
      <c r="U42" s="32">
        <f t="shared" si="28"/>
        <v>4019.1856628609444</v>
      </c>
      <c r="V42" s="32">
        <f t="shared" si="28"/>
        <v>3763.2713810846735</v>
      </c>
      <c r="W42" s="32">
        <f t="shared" ref="W42:Y42" si="29">W43+W52</f>
        <v>3484.4778708981858</v>
      </c>
      <c r="X42" s="32">
        <f t="shared" si="29"/>
        <v>3381.4681194526693</v>
      </c>
      <c r="Y42" s="32">
        <f t="shared" si="29"/>
        <v>3414.0594725622586</v>
      </c>
      <c r="DA42" s="173" t="s">
        <v>399</v>
      </c>
    </row>
    <row r="43" spans="1:105" ht="11.45" customHeight="1" x14ac:dyDescent="0.25">
      <c r="A43" s="136" t="s">
        <v>153</v>
      </c>
      <c r="B43" s="141">
        <f t="shared" ref="B43:K43" si="30">B44+B46+B48+B49+B51</f>
        <v>1779.1506139426808</v>
      </c>
      <c r="C43" s="141">
        <f t="shared" si="30"/>
        <v>1844.777653626348</v>
      </c>
      <c r="D43" s="141">
        <f t="shared" si="30"/>
        <v>1890.4237274093794</v>
      </c>
      <c r="E43" s="141">
        <f t="shared" si="30"/>
        <v>1961.9869770890562</v>
      </c>
      <c r="F43" s="141">
        <f t="shared" si="30"/>
        <v>2055.3060940336923</v>
      </c>
      <c r="G43" s="141">
        <f t="shared" si="30"/>
        <v>2073.0697616512657</v>
      </c>
      <c r="H43" s="141">
        <f t="shared" si="30"/>
        <v>2056.274479302785</v>
      </c>
      <c r="I43" s="141">
        <f t="shared" si="30"/>
        <v>2075.4353399718111</v>
      </c>
      <c r="J43" s="141">
        <f t="shared" si="30"/>
        <v>2105.2153137350192</v>
      </c>
      <c r="K43" s="141">
        <f t="shared" si="30"/>
        <v>1977.4743294916414</v>
      </c>
      <c r="L43" s="141">
        <f t="shared" ref="L43" si="31">L44+L46+L48+L49+L51</f>
        <v>2000.2982073542769</v>
      </c>
      <c r="M43" s="141">
        <f t="shared" ref="M43:V43" si="32">M44+M46+M48+M49+M51</f>
        <v>2034.6336264632716</v>
      </c>
      <c r="N43" s="141">
        <f t="shared" si="32"/>
        <v>1929.3157521784988</v>
      </c>
      <c r="O43" s="141">
        <f t="shared" si="32"/>
        <v>1857.6399020990827</v>
      </c>
      <c r="P43" s="141">
        <f t="shared" si="32"/>
        <v>1768.701914241625</v>
      </c>
      <c r="Q43" s="141">
        <f t="shared" si="32"/>
        <v>1827.3912147834496</v>
      </c>
      <c r="R43" s="141">
        <f t="shared" si="32"/>
        <v>1839.4488760215145</v>
      </c>
      <c r="S43" s="141">
        <f t="shared" si="32"/>
        <v>1840.2835456496464</v>
      </c>
      <c r="T43" s="141">
        <f t="shared" si="32"/>
        <v>1815.9337016900668</v>
      </c>
      <c r="U43" s="141">
        <f t="shared" si="32"/>
        <v>1782.1370259731934</v>
      </c>
      <c r="V43" s="141">
        <f t="shared" si="32"/>
        <v>1709.1697457863424</v>
      </c>
      <c r="W43" s="141">
        <f t="shared" ref="W43:Y43" si="33">W44+W46+W48+W49+W51</f>
        <v>1776.9458534126502</v>
      </c>
      <c r="X43" s="141">
        <f t="shared" si="33"/>
        <v>1741.5956348544244</v>
      </c>
      <c r="Y43" s="141">
        <f t="shared" si="33"/>
        <v>1707.3561159452722</v>
      </c>
      <c r="DA43" s="174" t="s">
        <v>400</v>
      </c>
    </row>
    <row r="44" spans="1:105" ht="11.45" customHeight="1" x14ac:dyDescent="0.25">
      <c r="A44" s="111" t="s">
        <v>110</v>
      </c>
      <c r="B44" s="96">
        <v>71.682562889099231</v>
      </c>
      <c r="C44" s="96">
        <v>65.46035842052504</v>
      </c>
      <c r="D44" s="96">
        <v>57.855761744527541</v>
      </c>
      <c r="E44" s="96">
        <v>52.073922490499861</v>
      </c>
      <c r="F44" s="96">
        <v>48.108194649204151</v>
      </c>
      <c r="G44" s="96">
        <v>45.634415893453408</v>
      </c>
      <c r="H44" s="96">
        <v>40.762603520248589</v>
      </c>
      <c r="I44" s="96">
        <v>37.958859500350407</v>
      </c>
      <c r="J44" s="96">
        <v>35.884541982299048</v>
      </c>
      <c r="K44" s="96">
        <v>32.846918436936924</v>
      </c>
      <c r="L44" s="96">
        <v>30.698291676647909</v>
      </c>
      <c r="M44" s="96">
        <v>28.780819825499346</v>
      </c>
      <c r="N44" s="96">
        <v>26.693886691757971</v>
      </c>
      <c r="O44" s="96">
        <v>23.87956917517873</v>
      </c>
      <c r="P44" s="96">
        <v>23.484969097339114</v>
      </c>
      <c r="Q44" s="96">
        <v>23.255926200921426</v>
      </c>
      <c r="R44" s="96">
        <v>22.98085121710584</v>
      </c>
      <c r="S44" s="96">
        <v>22.612154156166589</v>
      </c>
      <c r="T44" s="96">
        <v>21.245836304973505</v>
      </c>
      <c r="U44" s="96">
        <v>21.528288963132695</v>
      </c>
      <c r="V44" s="96">
        <v>21.497819055153272</v>
      </c>
      <c r="W44" s="96">
        <v>23.122008870808344</v>
      </c>
      <c r="X44" s="96">
        <v>23.194689406179663</v>
      </c>
      <c r="Y44" s="96">
        <v>24.338980370991852</v>
      </c>
      <c r="DA44" s="171" t="s">
        <v>660</v>
      </c>
    </row>
    <row r="45" spans="1:105" ht="11.45" customHeight="1" x14ac:dyDescent="0.25">
      <c r="A45" s="160" t="s">
        <v>131</v>
      </c>
      <c r="B45" s="96">
        <v>0</v>
      </c>
      <c r="C45" s="96">
        <v>0</v>
      </c>
      <c r="D45" s="96">
        <v>0</v>
      </c>
      <c r="E45" s="96">
        <v>0</v>
      </c>
      <c r="F45" s="96">
        <v>0</v>
      </c>
      <c r="G45" s="96">
        <v>0</v>
      </c>
      <c r="H45" s="96">
        <v>0.1854737935672994</v>
      </c>
      <c r="I45" s="96">
        <v>0.80311219497563335</v>
      </c>
      <c r="J45" s="96">
        <v>0.92806075363217488</v>
      </c>
      <c r="K45" s="96">
        <v>1.0862226843785305</v>
      </c>
      <c r="L45" s="96">
        <v>0.98456692055038508</v>
      </c>
      <c r="M45" s="96">
        <v>1.0084118096638792</v>
      </c>
      <c r="N45" s="96">
        <v>0.82097370874481335</v>
      </c>
      <c r="O45" s="96">
        <v>0.75664620742979938</v>
      </c>
      <c r="P45" s="96">
        <v>0.78599060747972183</v>
      </c>
      <c r="Q45" s="96">
        <v>0.86241645250223287</v>
      </c>
      <c r="R45" s="96">
        <v>0.70450617015280725</v>
      </c>
      <c r="S45" s="96">
        <v>0.7162823283106432</v>
      </c>
      <c r="T45" s="96">
        <v>0.868519515987764</v>
      </c>
      <c r="U45" s="96">
        <v>0.99799685078736589</v>
      </c>
      <c r="V45" s="96">
        <v>1.3444156922580228</v>
      </c>
      <c r="W45" s="96">
        <v>1.4443265701868848</v>
      </c>
      <c r="X45" s="96">
        <v>1.5171036220161196</v>
      </c>
      <c r="Y45" s="96">
        <v>1.4646190157824159</v>
      </c>
      <c r="DA45" s="171" t="s">
        <v>661</v>
      </c>
    </row>
    <row r="46" spans="1:105" ht="11.45" customHeight="1" x14ac:dyDescent="0.25">
      <c r="A46" s="111" t="s">
        <v>111</v>
      </c>
      <c r="B46" s="96">
        <v>1662.9039325883618</v>
      </c>
      <c r="C46" s="96">
        <v>1734.8647986517137</v>
      </c>
      <c r="D46" s="96">
        <v>1789.7523608831323</v>
      </c>
      <c r="E46" s="96">
        <v>1868.6660366171429</v>
      </c>
      <c r="F46" s="96">
        <v>1966.9880053049253</v>
      </c>
      <c r="G46" s="96">
        <v>1992.9546961735095</v>
      </c>
      <c r="H46" s="96">
        <v>1983.626982714645</v>
      </c>
      <c r="I46" s="96">
        <v>2004.9937058067026</v>
      </c>
      <c r="J46" s="96">
        <v>2036.5071466469242</v>
      </c>
      <c r="K46" s="96">
        <v>1912.4018015067459</v>
      </c>
      <c r="L46" s="96">
        <v>1937.3809709201805</v>
      </c>
      <c r="M46" s="96">
        <v>1973.4270818121615</v>
      </c>
      <c r="N46" s="96">
        <v>1870.7138139301023</v>
      </c>
      <c r="O46" s="96">
        <v>1801.6396715977189</v>
      </c>
      <c r="P46" s="96">
        <v>1712.5752525389703</v>
      </c>
      <c r="Q46" s="96">
        <v>1771.2020906451553</v>
      </c>
      <c r="R46" s="96">
        <v>1785.180864065507</v>
      </c>
      <c r="S46" s="96">
        <v>1785.3213442597144</v>
      </c>
      <c r="T46" s="96">
        <v>1760.094762966756</v>
      </c>
      <c r="U46" s="96">
        <v>1723.816329903206</v>
      </c>
      <c r="V46" s="96">
        <v>1651.118885648986</v>
      </c>
      <c r="W46" s="96">
        <v>1719.6225098542275</v>
      </c>
      <c r="X46" s="96">
        <v>1681.0265125701333</v>
      </c>
      <c r="Y46" s="96">
        <v>1642.764561694418</v>
      </c>
      <c r="DA46" s="171" t="s">
        <v>662</v>
      </c>
    </row>
    <row r="47" spans="1:105" ht="11.45" customHeight="1" x14ac:dyDescent="0.25">
      <c r="A47" s="160" t="s">
        <v>131</v>
      </c>
      <c r="B47" s="96">
        <v>0</v>
      </c>
      <c r="C47" s="96">
        <v>0</v>
      </c>
      <c r="D47" s="96">
        <v>0</v>
      </c>
      <c r="E47" s="96">
        <v>0</v>
      </c>
      <c r="F47" s="96">
        <v>0</v>
      </c>
      <c r="G47" s="96">
        <v>0</v>
      </c>
      <c r="H47" s="96">
        <v>6.5339908861300691</v>
      </c>
      <c r="I47" s="96">
        <v>71.206362842194906</v>
      </c>
      <c r="J47" s="96">
        <v>52.824993911317357</v>
      </c>
      <c r="K47" s="96">
        <v>68.853239542616834</v>
      </c>
      <c r="L47" s="96">
        <v>27.917975749509157</v>
      </c>
      <c r="M47" s="96">
        <v>51.178427632981624</v>
      </c>
      <c r="N47" s="96">
        <v>54.993778324447732</v>
      </c>
      <c r="O47" s="96">
        <v>52.41744350309196</v>
      </c>
      <c r="P47" s="96">
        <v>70.599627590273556</v>
      </c>
      <c r="Q47" s="96">
        <v>50.239825742512728</v>
      </c>
      <c r="R47" s="96">
        <v>38.998769538688485</v>
      </c>
      <c r="S47" s="96">
        <v>56.528674329029073</v>
      </c>
      <c r="T47" s="96">
        <v>100.32391852319834</v>
      </c>
      <c r="U47" s="96">
        <v>127.26341273691138</v>
      </c>
      <c r="V47" s="96">
        <v>102.04002631616179</v>
      </c>
      <c r="W47" s="96">
        <v>130.67202035424626</v>
      </c>
      <c r="X47" s="96">
        <v>111.58966254816919</v>
      </c>
      <c r="Y47" s="96">
        <v>107.85655710893131</v>
      </c>
      <c r="DA47" s="171" t="s">
        <v>663</v>
      </c>
    </row>
    <row r="48" spans="1:105" ht="11.45" customHeight="1" x14ac:dyDescent="0.25">
      <c r="A48" s="111" t="s">
        <v>112</v>
      </c>
      <c r="B48" s="96">
        <v>44.564118465219728</v>
      </c>
      <c r="C48" s="96">
        <v>44.452496554109359</v>
      </c>
      <c r="D48" s="96">
        <v>42.815604781719522</v>
      </c>
      <c r="E48" s="96">
        <v>41.107347813730605</v>
      </c>
      <c r="F48" s="96">
        <v>39.817713222307255</v>
      </c>
      <c r="G48" s="96">
        <v>34.121217351022075</v>
      </c>
      <c r="H48" s="96">
        <v>31.534747177054236</v>
      </c>
      <c r="I48" s="96">
        <v>31.67155628378438</v>
      </c>
      <c r="J48" s="96">
        <v>32.003073897466102</v>
      </c>
      <c r="K48" s="96">
        <v>30.95873194084044</v>
      </c>
      <c r="L48" s="96">
        <v>30.461726905087954</v>
      </c>
      <c r="M48" s="96">
        <v>30.187441154198599</v>
      </c>
      <c r="N48" s="96">
        <v>29.340254367184738</v>
      </c>
      <c r="O48" s="96">
        <v>29.038295925018364</v>
      </c>
      <c r="P48" s="96">
        <v>28.954021024804366</v>
      </c>
      <c r="Q48" s="96">
        <v>28.899934297692422</v>
      </c>
      <c r="R48" s="96">
        <v>28.786736481447281</v>
      </c>
      <c r="S48" s="96">
        <v>28.863819466991586</v>
      </c>
      <c r="T48" s="96">
        <v>28.460081904835384</v>
      </c>
      <c r="U48" s="96">
        <v>29.98846605549204</v>
      </c>
      <c r="V48" s="96">
        <v>29.247556925770894</v>
      </c>
      <c r="W48" s="96">
        <v>25.934459599027658</v>
      </c>
      <c r="X48" s="96">
        <v>27.641720468017173</v>
      </c>
      <c r="Y48" s="96">
        <v>28.346006754239362</v>
      </c>
      <c r="DA48" s="171" t="s">
        <v>664</v>
      </c>
    </row>
    <row r="49" spans="1:105" ht="11.45" customHeight="1" x14ac:dyDescent="0.25">
      <c r="A49" s="111" t="s">
        <v>113</v>
      </c>
      <c r="B49" s="96">
        <v>0</v>
      </c>
      <c r="C49" s="96">
        <v>0</v>
      </c>
      <c r="D49" s="96">
        <v>0</v>
      </c>
      <c r="E49" s="96">
        <v>0.13967016768258556</v>
      </c>
      <c r="F49" s="96">
        <v>0.39218085725552809</v>
      </c>
      <c r="G49" s="96">
        <v>0.35943223328064805</v>
      </c>
      <c r="H49" s="96">
        <v>0.35014589083723313</v>
      </c>
      <c r="I49" s="96">
        <v>0.81121838097376819</v>
      </c>
      <c r="J49" s="96">
        <v>0.820551208329936</v>
      </c>
      <c r="K49" s="96">
        <v>1.2668776071182217</v>
      </c>
      <c r="L49" s="96">
        <v>1.7572178523605566</v>
      </c>
      <c r="M49" s="96">
        <v>2.2347839739029931</v>
      </c>
      <c r="N49" s="96">
        <v>2.4809046650436839</v>
      </c>
      <c r="O49" s="96">
        <v>2.9345006277431538</v>
      </c>
      <c r="P49" s="96">
        <v>3.3979735662424826</v>
      </c>
      <c r="Q49" s="96">
        <v>3.6911573321247975</v>
      </c>
      <c r="R49" s="96">
        <v>2.1317759513840069</v>
      </c>
      <c r="S49" s="96">
        <v>2.9721397005213195</v>
      </c>
      <c r="T49" s="96">
        <v>5.3330132173154787</v>
      </c>
      <c r="U49" s="96">
        <v>5.5736821466916968</v>
      </c>
      <c r="V49" s="96">
        <v>5.5225065554420238</v>
      </c>
      <c r="W49" s="96">
        <v>5.2198247522672663</v>
      </c>
      <c r="X49" s="96">
        <v>4.8635539193823973</v>
      </c>
      <c r="Y49" s="96">
        <v>3.3471105651876711</v>
      </c>
      <c r="DA49" s="171" t="s">
        <v>665</v>
      </c>
    </row>
    <row r="50" spans="1:105" ht="11.45" customHeight="1" x14ac:dyDescent="0.25">
      <c r="A50" s="160" t="s">
        <v>132</v>
      </c>
      <c r="B50" s="96">
        <v>0</v>
      </c>
      <c r="C50" s="96">
        <v>0</v>
      </c>
      <c r="D50" s="96">
        <v>0</v>
      </c>
      <c r="E50" s="96">
        <v>3.191278758657643E-5</v>
      </c>
      <c r="F50" s="96">
        <v>1.2070074702412789E-4</v>
      </c>
      <c r="G50" s="96">
        <v>1.1715876084889066E-4</v>
      </c>
      <c r="H50" s="96">
        <v>1.1789966473573474E-4</v>
      </c>
      <c r="I50" s="96">
        <v>2.6376358221847935E-4</v>
      </c>
      <c r="J50" s="96">
        <v>2.4094222654952912E-4</v>
      </c>
      <c r="K50" s="96">
        <v>3.6037770021144199E-4</v>
      </c>
      <c r="L50" s="96">
        <v>3.974961036706342E-4</v>
      </c>
      <c r="M50" s="96">
        <v>9.2137606281234431E-4</v>
      </c>
      <c r="N50" s="96">
        <v>1.7240103344620572E-3</v>
      </c>
      <c r="O50" s="96">
        <v>3.4434426357766914E-3</v>
      </c>
      <c r="P50" s="96">
        <v>6.0289948762206891E-3</v>
      </c>
      <c r="Q50" s="96">
        <v>8.5211364458464278E-3</v>
      </c>
      <c r="R50" s="96">
        <v>4.8668244752699454E-3</v>
      </c>
      <c r="S50" s="96">
        <v>7.8676271094266399E-3</v>
      </c>
      <c r="T50" s="96">
        <v>1.5516932208383988E-2</v>
      </c>
      <c r="U50" s="96">
        <v>2.0687275443664496E-2</v>
      </c>
      <c r="V50" s="96">
        <v>2.9639088088191535E-2</v>
      </c>
      <c r="W50" s="96">
        <v>3.2969871267342195E-2</v>
      </c>
      <c r="X50" s="96">
        <v>4.2575793239851653E-2</v>
      </c>
      <c r="Y50" s="96">
        <v>3.7349517039076588E-2</v>
      </c>
      <c r="DA50" s="171" t="s">
        <v>666</v>
      </c>
    </row>
    <row r="51" spans="1:105" ht="11.45" customHeight="1" x14ac:dyDescent="0.25">
      <c r="A51" s="111" t="s">
        <v>115</v>
      </c>
      <c r="B51" s="96">
        <v>0</v>
      </c>
      <c r="C51" s="96">
        <v>0</v>
      </c>
      <c r="D51" s="96">
        <v>0</v>
      </c>
      <c r="E51" s="96">
        <v>0</v>
      </c>
      <c r="F51" s="96">
        <v>0</v>
      </c>
      <c r="G51" s="96">
        <v>0</v>
      </c>
      <c r="H51" s="96">
        <v>0</v>
      </c>
      <c r="I51" s="96">
        <v>0</v>
      </c>
      <c r="J51" s="96">
        <v>0</v>
      </c>
      <c r="K51" s="96">
        <v>0</v>
      </c>
      <c r="L51" s="96">
        <v>0</v>
      </c>
      <c r="M51" s="96">
        <v>3.4996975092701742E-3</v>
      </c>
      <c r="N51" s="96">
        <v>8.6892524410002919E-2</v>
      </c>
      <c r="O51" s="96">
        <v>0.14786477342355731</v>
      </c>
      <c r="P51" s="96">
        <v>0.28969801426876113</v>
      </c>
      <c r="Q51" s="96">
        <v>0.34210630755580185</v>
      </c>
      <c r="R51" s="96">
        <v>0.36864830607055871</v>
      </c>
      <c r="S51" s="96">
        <v>0.51408806625280334</v>
      </c>
      <c r="T51" s="96">
        <v>0.80000729618661082</v>
      </c>
      <c r="U51" s="96">
        <v>1.2302589046707759</v>
      </c>
      <c r="V51" s="96">
        <v>1.7829776009903398</v>
      </c>
      <c r="W51" s="96">
        <v>3.0470503363195904</v>
      </c>
      <c r="X51" s="96">
        <v>4.8691584907119507</v>
      </c>
      <c r="Y51" s="96">
        <v>8.5594565604354198</v>
      </c>
      <c r="DA51" s="171" t="s">
        <v>667</v>
      </c>
    </row>
    <row r="52" spans="1:105" ht="11.45" customHeight="1" x14ac:dyDescent="0.25">
      <c r="A52" s="109" t="s">
        <v>186</v>
      </c>
      <c r="B52" s="130">
        <f t="shared" ref="B52:K52" si="34">B53+B55</f>
        <v>2126.4649966421575</v>
      </c>
      <c r="C52" s="130">
        <f t="shared" si="34"/>
        <v>2090.7903962463079</v>
      </c>
      <c r="D52" s="130">
        <f t="shared" si="34"/>
        <v>2170.1124925270442</v>
      </c>
      <c r="E52" s="130">
        <f t="shared" si="34"/>
        <v>2252.1044951990389</v>
      </c>
      <c r="F52" s="130">
        <f t="shared" si="34"/>
        <v>2308.2785033366681</v>
      </c>
      <c r="G52" s="130">
        <f t="shared" si="34"/>
        <v>2321.0355609297485</v>
      </c>
      <c r="H52" s="130">
        <f t="shared" si="34"/>
        <v>2511.9664657275885</v>
      </c>
      <c r="I52" s="130">
        <f t="shared" si="34"/>
        <v>2528.9590615477473</v>
      </c>
      <c r="J52" s="130">
        <f t="shared" si="34"/>
        <v>2552.1131433709761</v>
      </c>
      <c r="K52" s="130">
        <f t="shared" si="34"/>
        <v>2320.3704439168373</v>
      </c>
      <c r="L52" s="130">
        <f t="shared" ref="L52" si="35">L53+L55</f>
        <v>2362.2729155262077</v>
      </c>
      <c r="M52" s="130">
        <f t="shared" ref="M52:V52" si="36">M53+M55</f>
        <v>2448.126917022656</v>
      </c>
      <c r="N52" s="130">
        <f t="shared" si="36"/>
        <v>2368.0751160857149</v>
      </c>
      <c r="O52" s="130">
        <f t="shared" si="36"/>
        <v>2094.483961297215</v>
      </c>
      <c r="P52" s="130">
        <f t="shared" si="36"/>
        <v>1605.1943289868836</v>
      </c>
      <c r="Q52" s="130">
        <f t="shared" si="36"/>
        <v>1601.3881868639273</v>
      </c>
      <c r="R52" s="130">
        <f t="shared" si="36"/>
        <v>1565.2171645060466</v>
      </c>
      <c r="S52" s="130">
        <f t="shared" si="36"/>
        <v>1840.7269673550982</v>
      </c>
      <c r="T52" s="130">
        <f t="shared" si="36"/>
        <v>2126.7812451370364</v>
      </c>
      <c r="U52" s="130">
        <f t="shared" si="36"/>
        <v>2237.0486368877509</v>
      </c>
      <c r="V52" s="130">
        <f t="shared" si="36"/>
        <v>2054.1016352983311</v>
      </c>
      <c r="W52" s="130">
        <f t="shared" ref="W52:Y52" si="37">W53+W55</f>
        <v>1707.5320174855358</v>
      </c>
      <c r="X52" s="130">
        <f t="shared" si="37"/>
        <v>1639.8724845982449</v>
      </c>
      <c r="Y52" s="130">
        <f t="shared" si="37"/>
        <v>1706.7033566169866</v>
      </c>
      <c r="DA52" s="176" t="s">
        <v>401</v>
      </c>
    </row>
    <row r="53" spans="1:105" ht="11.45" customHeight="1" x14ac:dyDescent="0.25">
      <c r="A53" s="128" t="s">
        <v>27</v>
      </c>
      <c r="B53" s="97">
        <v>1741.3447948300523</v>
      </c>
      <c r="C53" s="97">
        <v>1686.9463777385167</v>
      </c>
      <c r="D53" s="97">
        <v>1750.3550779171549</v>
      </c>
      <c r="E53" s="97">
        <v>1821.7661013865609</v>
      </c>
      <c r="F53" s="97">
        <v>1797.6456359899535</v>
      </c>
      <c r="G53" s="97">
        <v>1791.3271971442689</v>
      </c>
      <c r="H53" s="97">
        <v>1910.9836593209113</v>
      </c>
      <c r="I53" s="97">
        <v>1896.8560541394536</v>
      </c>
      <c r="J53" s="97">
        <v>1905.1691867675099</v>
      </c>
      <c r="K53" s="97">
        <v>1762.9863489927948</v>
      </c>
      <c r="L53" s="97">
        <v>1698.0159181882486</v>
      </c>
      <c r="M53" s="97">
        <v>1781.4958143403087</v>
      </c>
      <c r="N53" s="97">
        <v>1709.1154228402681</v>
      </c>
      <c r="O53" s="97">
        <v>1515.0487894786913</v>
      </c>
      <c r="P53" s="97">
        <v>1157.4460729513589</v>
      </c>
      <c r="Q53" s="97">
        <v>1152.7634116924157</v>
      </c>
      <c r="R53" s="97">
        <v>1115.1990430651406</v>
      </c>
      <c r="S53" s="97">
        <v>1284.3202467859562</v>
      </c>
      <c r="T53" s="97">
        <v>1500.6023788112145</v>
      </c>
      <c r="U53" s="97">
        <v>1563.0917886280017</v>
      </c>
      <c r="V53" s="97">
        <v>1431.9617623372815</v>
      </c>
      <c r="W53" s="97">
        <v>1203.1806094565302</v>
      </c>
      <c r="X53" s="97">
        <v>1153.8901962612601</v>
      </c>
      <c r="Y53" s="97">
        <v>1191.4466953963308</v>
      </c>
      <c r="DA53" s="175" t="s">
        <v>668</v>
      </c>
    </row>
    <row r="54" spans="1:105" ht="11.45" customHeight="1" x14ac:dyDescent="0.25">
      <c r="A54" s="160" t="s">
        <v>131</v>
      </c>
      <c r="B54" s="97">
        <v>0</v>
      </c>
      <c r="C54" s="97">
        <v>0</v>
      </c>
      <c r="D54" s="97">
        <v>0</v>
      </c>
      <c r="E54" s="97">
        <v>0</v>
      </c>
      <c r="F54" s="97">
        <v>0</v>
      </c>
      <c r="G54" s="97">
        <v>0</v>
      </c>
      <c r="H54" s="97">
        <v>6.2947065765653312</v>
      </c>
      <c r="I54" s="97">
        <v>67.365907463596628</v>
      </c>
      <c r="J54" s="97">
        <v>49.418216310571822</v>
      </c>
      <c r="K54" s="97">
        <v>63.473753947483985</v>
      </c>
      <c r="L54" s="97">
        <v>24.468686302696799</v>
      </c>
      <c r="M54" s="97">
        <v>46.200923993072806</v>
      </c>
      <c r="N54" s="97">
        <v>50.243235493681105</v>
      </c>
      <c r="O54" s="97">
        <v>44.079282655061022</v>
      </c>
      <c r="P54" s="97">
        <v>47.714844404673016</v>
      </c>
      <c r="Q54" s="97">
        <v>32.697924890477161</v>
      </c>
      <c r="R54" s="97">
        <v>24.362456121794622</v>
      </c>
      <c r="S54" s="97">
        <v>40.665464062350992</v>
      </c>
      <c r="T54" s="97">
        <v>85.53307126135536</v>
      </c>
      <c r="U54" s="97">
        <v>115.39767432938299</v>
      </c>
      <c r="V54" s="97">
        <v>88.49599939934123</v>
      </c>
      <c r="W54" s="97">
        <v>91.428229269961008</v>
      </c>
      <c r="X54" s="97">
        <v>76.597374672912963</v>
      </c>
      <c r="Y54" s="97">
        <v>78.225049127986949</v>
      </c>
      <c r="DA54" s="175" t="s">
        <v>669</v>
      </c>
    </row>
    <row r="55" spans="1:105" ht="11.45" customHeight="1" x14ac:dyDescent="0.25">
      <c r="A55" s="128" t="s">
        <v>116</v>
      </c>
      <c r="B55" s="97">
        <v>385.12020181210528</v>
      </c>
      <c r="C55" s="97">
        <v>403.84401850779119</v>
      </c>
      <c r="D55" s="97">
        <v>419.75741460988939</v>
      </c>
      <c r="E55" s="97">
        <v>430.3383938124781</v>
      </c>
      <c r="F55" s="97">
        <v>510.6328673467147</v>
      </c>
      <c r="G55" s="97">
        <v>529.70836378547961</v>
      </c>
      <c r="H55" s="97">
        <v>600.98280640667724</v>
      </c>
      <c r="I55" s="97">
        <v>632.10300740829393</v>
      </c>
      <c r="J55" s="97">
        <v>646.9439566034664</v>
      </c>
      <c r="K55" s="97">
        <v>557.38409492404242</v>
      </c>
      <c r="L55" s="97">
        <v>664.25699733795932</v>
      </c>
      <c r="M55" s="97">
        <v>666.63110268234732</v>
      </c>
      <c r="N55" s="97">
        <v>658.9596932454466</v>
      </c>
      <c r="O55" s="97">
        <v>579.4351718185236</v>
      </c>
      <c r="P55" s="97">
        <v>447.74825603552483</v>
      </c>
      <c r="Q55" s="97">
        <v>448.62477517151166</v>
      </c>
      <c r="R55" s="97">
        <v>450.01812144090604</v>
      </c>
      <c r="S55" s="97">
        <v>556.40672056914184</v>
      </c>
      <c r="T55" s="97">
        <v>626.17886632582213</v>
      </c>
      <c r="U55" s="97">
        <v>673.95684825974945</v>
      </c>
      <c r="V55" s="97">
        <v>622.13987296104972</v>
      </c>
      <c r="W55" s="97">
        <v>504.3514080290056</v>
      </c>
      <c r="X55" s="97">
        <v>485.98228833698482</v>
      </c>
      <c r="Y55" s="97">
        <v>515.25666122065581</v>
      </c>
      <c r="DA55" s="175" t="s">
        <v>670</v>
      </c>
    </row>
    <row r="56" spans="1:105" ht="11.45" customHeight="1" x14ac:dyDescent="0.25">
      <c r="A56" s="161" t="s">
        <v>131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1.9796142188024435</v>
      </c>
      <c r="I56" s="98">
        <v>22.448826631626787</v>
      </c>
      <c r="J56" s="98">
        <v>16.781090419844542</v>
      </c>
      <c r="K56" s="98">
        <v>20.067801951876778</v>
      </c>
      <c r="L56" s="98">
        <v>9.5720516622576888</v>
      </c>
      <c r="M56" s="98">
        <v>17.288265657727838</v>
      </c>
      <c r="N56" s="98">
        <v>19.371580529976349</v>
      </c>
      <c r="O56" s="98">
        <v>16.858260206696642</v>
      </c>
      <c r="P56" s="98">
        <v>18.458085321178135</v>
      </c>
      <c r="Q56" s="98">
        <v>12.725160300697818</v>
      </c>
      <c r="R56" s="98">
        <v>9.8310223684222802</v>
      </c>
      <c r="S56" s="98">
        <v>17.617519895040576</v>
      </c>
      <c r="T56" s="98">
        <v>35.69166779425673</v>
      </c>
      <c r="U56" s="98">
        <v>49.755909060082104</v>
      </c>
      <c r="V56" s="98">
        <v>38.448575424250244</v>
      </c>
      <c r="W56" s="98">
        <v>38.32504929308336</v>
      </c>
      <c r="X56" s="98">
        <v>32.26040705152095</v>
      </c>
      <c r="Y56" s="98">
        <v>33.829442637465768</v>
      </c>
      <c r="DA56" s="178" t="s">
        <v>671</v>
      </c>
    </row>
    <row r="57" spans="1:105" x14ac:dyDescent="0.25">
      <c r="A57" s="106"/>
      <c r="B57" s="106"/>
      <c r="C57" s="106"/>
      <c r="D57" s="106"/>
      <c r="E57" s="106"/>
      <c r="F57" s="106"/>
      <c r="G57" s="106"/>
      <c r="H57" s="106"/>
      <c r="I57" s="106"/>
      <c r="J57" s="106"/>
      <c r="K57" s="106"/>
      <c r="L57" s="106"/>
      <c r="M57" s="106"/>
      <c r="N57" s="106"/>
      <c r="O57" s="106"/>
      <c r="P57" s="106"/>
      <c r="Q57" s="106"/>
      <c r="R57" s="106"/>
      <c r="S57" s="106"/>
      <c r="T57" s="106"/>
      <c r="U57" s="106"/>
      <c r="V57" s="106"/>
      <c r="W57" s="106"/>
      <c r="X57" s="106"/>
      <c r="Y57" s="106"/>
      <c r="DA57" s="171"/>
    </row>
    <row r="58" spans="1:105" ht="11.45" customHeight="1" x14ac:dyDescent="0.25">
      <c r="A58" s="68" t="s">
        <v>36</v>
      </c>
      <c r="B58" s="69"/>
      <c r="C58" s="69"/>
      <c r="D58" s="69"/>
      <c r="E58" s="69"/>
      <c r="F58" s="69"/>
      <c r="G58" s="69"/>
      <c r="H58" s="69"/>
      <c r="I58" s="69"/>
      <c r="J58" s="69"/>
      <c r="K58" s="69"/>
      <c r="L58" s="69"/>
      <c r="M58" s="69"/>
      <c r="N58" s="69"/>
      <c r="O58" s="69"/>
      <c r="P58" s="69"/>
      <c r="Q58" s="69"/>
      <c r="R58" s="69"/>
      <c r="S58" s="69"/>
      <c r="T58" s="69"/>
      <c r="U58" s="69"/>
      <c r="V58" s="69"/>
      <c r="W58" s="69"/>
      <c r="X58" s="69"/>
      <c r="Y58" s="69"/>
      <c r="DA58" s="179"/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73</v>
      </c>
      <c r="B60" s="79">
        <f>IF(B17=0,0,B17/TrRoad_act!B30*100)</f>
        <v>8.9559411634705768</v>
      </c>
      <c r="C60" s="79">
        <f>IF(C17=0,0,C17/TrRoad_act!C30*100)</f>
        <v>8.8168214395034852</v>
      </c>
      <c r="D60" s="79">
        <f>IF(D17=0,0,D17/TrRoad_act!D30*100)</f>
        <v>8.8083659610326599</v>
      </c>
      <c r="E60" s="79">
        <f>IF(E17=0,0,E17/TrRoad_act!E30*100)</f>
        <v>8.799987637163035</v>
      </c>
      <c r="F60" s="79">
        <f>IF(F17=0,0,F17/TrRoad_act!F30*100)</f>
        <v>8.7004189736655544</v>
      </c>
      <c r="G60" s="79">
        <f>IF(G17=0,0,G17/TrRoad_act!G30*100)</f>
        <v>8.5989338857681794</v>
      </c>
      <c r="H60" s="79">
        <f>IF(H17=0,0,H17/TrRoad_act!H30*100)</f>
        <v>8.7767625749114142</v>
      </c>
      <c r="I60" s="79">
        <f>IF(I17=0,0,I17/TrRoad_act!I30*100)</f>
        <v>8.7120479888826505</v>
      </c>
      <c r="J60" s="79">
        <f>IF(J17=0,0,J17/TrRoad_act!J30*100)</f>
        <v>8.6009572869405115</v>
      </c>
      <c r="K60" s="79">
        <f>IF(K17=0,0,K17/TrRoad_act!K30*100)</f>
        <v>8.390988919330578</v>
      </c>
      <c r="L60" s="79">
        <f>IF(L17=0,0,L17/TrRoad_act!L30*100)</f>
        <v>8.4455851731536367</v>
      </c>
      <c r="M60" s="79">
        <f>IF(M17=0,0,M17/TrRoad_act!M30*100)</f>
        <v>8.3667920926468451</v>
      </c>
      <c r="N60" s="79">
        <f>IF(N17=0,0,N17/TrRoad_act!N30*100)</f>
        <v>8.4081158211659215</v>
      </c>
      <c r="O60" s="79">
        <f>IF(O17=0,0,O17/TrRoad_act!O30*100)</f>
        <v>8.0163424279714395</v>
      </c>
      <c r="P60" s="79">
        <f>IF(P17=0,0,P17/TrRoad_act!P30*100)</f>
        <v>7.4284295117661268</v>
      </c>
      <c r="Q60" s="79">
        <f>IF(Q17=0,0,Q17/TrRoad_act!Q30*100)</f>
        <v>7.2824554801962886</v>
      </c>
      <c r="R60" s="79">
        <f>IF(R17=0,0,R17/TrRoad_act!R30*100)</f>
        <v>7.1209181466578162</v>
      </c>
      <c r="S60" s="79">
        <f>IF(S17=0,0,S17/TrRoad_act!S30*100)</f>
        <v>7.3325272104628798</v>
      </c>
      <c r="T60" s="79">
        <f>IF(T17=0,0,T17/TrRoad_act!T30*100)</f>
        <v>7.5035336756755502</v>
      </c>
      <c r="U60" s="79">
        <f>IF(U17=0,0,U17/TrRoad_act!U30*100)</f>
        <v>7.4593989157542655</v>
      </c>
      <c r="V60" s="79">
        <f>IF(V17=0,0,V17/TrRoad_act!V30*100)</f>
        <v>7.4496848186820923</v>
      </c>
      <c r="W60" s="79">
        <f>IF(W17=0,0,W17/TrRoad_act!W30*100)</f>
        <v>7.1783684414254711</v>
      </c>
      <c r="X60" s="79">
        <f>IF(X17=0,0,X17/TrRoad_act!X30*100)</f>
        <v>6.6939298668851013</v>
      </c>
      <c r="Y60" s="79">
        <f>IF(Y17=0,0,Y17/TrRoad_act!Y30*100)</f>
        <v>6.7769595351670473</v>
      </c>
      <c r="DA60" s="172" t="s">
        <v>672</v>
      </c>
    </row>
    <row r="61" spans="1:105" ht="11.45" customHeight="1" x14ac:dyDescent="0.25">
      <c r="A61" s="27" t="s">
        <v>33</v>
      </c>
      <c r="B61" s="32">
        <f>IF(B18=0,0,B18/TrRoad_act!B31*100)</f>
        <v>6.7919080739991342</v>
      </c>
      <c r="C61" s="32">
        <f>IF(C18=0,0,C18/TrRoad_act!C31*100)</f>
        <v>6.7581034480767608</v>
      </c>
      <c r="D61" s="32">
        <f>IF(D18=0,0,D18/TrRoad_act!D31*100)</f>
        <v>6.7460054837629109</v>
      </c>
      <c r="E61" s="32">
        <f>IF(E18=0,0,E18/TrRoad_act!E31*100)</f>
        <v>6.6976109375012483</v>
      </c>
      <c r="F61" s="32">
        <f>IF(F18=0,0,F18/TrRoad_act!F31*100)</f>
        <v>6.5686719954935526</v>
      </c>
      <c r="G61" s="32">
        <f>IF(G18=0,0,G18/TrRoad_act!G31*100)</f>
        <v>6.47935485845841</v>
      </c>
      <c r="H61" s="32">
        <f>IF(H18=0,0,H18/TrRoad_act!H31*100)</f>
        <v>6.5611883182256099</v>
      </c>
      <c r="I61" s="32">
        <f>IF(I18=0,0,I18/TrRoad_act!I31*100)</f>
        <v>6.4935129328963264</v>
      </c>
      <c r="J61" s="32">
        <f>IF(J18=0,0,J18/TrRoad_act!J31*100)</f>
        <v>6.3892057675695515</v>
      </c>
      <c r="K61" s="32">
        <f>IF(K18=0,0,K18/TrRoad_act!K31*100)</f>
        <v>6.3672592854932306</v>
      </c>
      <c r="L61" s="32">
        <f>IF(L18=0,0,L18/TrRoad_act!L31*100)</f>
        <v>6.3312409455022953</v>
      </c>
      <c r="M61" s="32">
        <f>IF(M18=0,0,M18/TrRoad_act!M31*100)</f>
        <v>6.2054923157627115</v>
      </c>
      <c r="N61" s="32">
        <f>IF(N18=0,0,N18/TrRoad_act!N31*100)</f>
        <v>6.236616093209479</v>
      </c>
      <c r="O61" s="32">
        <f>IF(O18=0,0,O18/TrRoad_act!O31*100)</f>
        <v>6.0548197473756709</v>
      </c>
      <c r="P61" s="32">
        <f>IF(P18=0,0,P18/TrRoad_act!P31*100)</f>
        <v>5.8485870738802204</v>
      </c>
      <c r="Q61" s="32">
        <f>IF(Q18=0,0,Q18/TrRoad_act!Q31*100)</f>
        <v>5.70433762801086</v>
      </c>
      <c r="R61" s="32">
        <f>IF(R18=0,0,R18/TrRoad_act!R31*100)</f>
        <v>5.6123563118113262</v>
      </c>
      <c r="S61" s="32">
        <f>IF(S18=0,0,S18/TrRoad_act!S31*100)</f>
        <v>5.6415601990514235</v>
      </c>
      <c r="T61" s="32">
        <f>IF(T18=0,0,T18/TrRoad_act!T31*100)</f>
        <v>5.6232740265701766</v>
      </c>
      <c r="U61" s="32">
        <f>IF(U18=0,0,U18/TrRoad_act!U31*100)</f>
        <v>5.5236205602099089</v>
      </c>
      <c r="V61" s="32">
        <f>IF(V18=0,0,V18/TrRoad_act!V31*100)</f>
        <v>5.3432926277237787</v>
      </c>
      <c r="W61" s="32">
        <f>IF(W18=0,0,W18/TrRoad_act!W31*100)</f>
        <v>5.4850743423550092</v>
      </c>
      <c r="X61" s="32">
        <f>IF(X18=0,0,X18/TrRoad_act!X31*100)</f>
        <v>5.0876892934387614</v>
      </c>
      <c r="Y61" s="32">
        <f>IF(Y18=0,0,Y18/TrRoad_act!Y31*100)</f>
        <v>5.2009767733889589</v>
      </c>
      <c r="DA61" s="173" t="s">
        <v>673</v>
      </c>
    </row>
    <row r="62" spans="1:105" ht="11.45" customHeight="1" x14ac:dyDescent="0.25">
      <c r="A62" s="136" t="s">
        <v>173</v>
      </c>
      <c r="B62" s="141">
        <f>IF(B19=0,0,B19/TrRoad_act!B32*100)</f>
        <v>4.2809669894128977</v>
      </c>
      <c r="C62" s="141">
        <f>IF(C19=0,0,C19/TrRoad_act!C32*100)</f>
        <v>4.2644078726393682</v>
      </c>
      <c r="D62" s="141">
        <f>IF(D19=0,0,D19/TrRoad_act!D32*100)</f>
        <v>4.2161406215298864</v>
      </c>
      <c r="E62" s="141">
        <f>IF(E19=0,0,E19/TrRoad_act!E32*100)</f>
        <v>4.1917315108553099</v>
      </c>
      <c r="F62" s="141">
        <f>IF(F19=0,0,F19/TrRoad_act!F32*100)</f>
        <v>4.1615314335222262</v>
      </c>
      <c r="G62" s="141">
        <f>IF(G19=0,0,G19/TrRoad_act!G32*100)</f>
        <v>4.1038852521770499</v>
      </c>
      <c r="H62" s="141">
        <f>IF(H19=0,0,H19/TrRoad_act!H32*100)</f>
        <v>3.9955007027241134</v>
      </c>
      <c r="I62" s="141">
        <f>IF(I19=0,0,I19/TrRoad_act!I32*100)</f>
        <v>3.938674070378271</v>
      </c>
      <c r="J62" s="141">
        <f>IF(J19=0,0,J19/TrRoad_act!J32*100)</f>
        <v>3.8668962395429523</v>
      </c>
      <c r="K62" s="141">
        <f>IF(K19=0,0,K19/TrRoad_act!K32*100)</f>
        <v>3.788752572839063</v>
      </c>
      <c r="L62" s="141">
        <f>IF(L19=0,0,L19/TrRoad_act!L32*100)</f>
        <v>3.7176655529343807</v>
      </c>
      <c r="M62" s="141">
        <f>IF(M19=0,0,M19/TrRoad_act!M32*100)</f>
        <v>3.6661077853087831</v>
      </c>
      <c r="N62" s="141">
        <f>IF(N19=0,0,N19/TrRoad_act!N32*100)</f>
        <v>3.6354153444829138</v>
      </c>
      <c r="O62" s="141">
        <f>IF(O19=0,0,O19/TrRoad_act!O32*100)</f>
        <v>3.5874499731295821</v>
      </c>
      <c r="P62" s="141">
        <f>IF(P19=0,0,P19/TrRoad_act!P32*100)</f>
        <v>3.5383828114331681</v>
      </c>
      <c r="Q62" s="141">
        <f>IF(Q19=0,0,Q19/TrRoad_act!Q32*100)</f>
        <v>3.4990541932538886</v>
      </c>
      <c r="R62" s="141">
        <f>IF(R19=0,0,R19/TrRoad_act!R32*100)</f>
        <v>3.4366698419450481</v>
      </c>
      <c r="S62" s="141">
        <f>IF(S19=0,0,S19/TrRoad_act!S32*100)</f>
        <v>3.3905234868180796</v>
      </c>
      <c r="T62" s="141">
        <f>IF(T19=0,0,T19/TrRoad_act!T32*100)</f>
        <v>3.3564917455817209</v>
      </c>
      <c r="U62" s="141">
        <f>IF(U19=0,0,U19/TrRoad_act!U32*100)</f>
        <v>3.2995324449000192</v>
      </c>
      <c r="V62" s="141">
        <f>IF(V19=0,0,V19/TrRoad_act!V32*100)</f>
        <v>3.2510743647194418</v>
      </c>
      <c r="W62" s="141">
        <f>IF(W19=0,0,W19/TrRoad_act!W32*100)</f>
        <v>3.2093385646297858</v>
      </c>
      <c r="X62" s="141">
        <f>IF(X19=0,0,X19/TrRoad_act!X32*100)</f>
        <v>3.1852771331205809</v>
      </c>
      <c r="Y62" s="141">
        <f>IF(Y19=0,0,Y19/TrRoad_act!Y32*100)</f>
        <v>3.1722891721464044</v>
      </c>
      <c r="DA62" s="174" t="s">
        <v>674</v>
      </c>
    </row>
    <row r="63" spans="1:105" ht="11.45" customHeight="1" x14ac:dyDescent="0.25">
      <c r="A63" s="109" t="s">
        <v>20</v>
      </c>
      <c r="B63" s="130">
        <f>IF(B21=0,0,B21/TrRoad_act!B33*100)</f>
        <v>6.5130704720232746</v>
      </c>
      <c r="C63" s="130">
        <f>IF(C21=0,0,C21/TrRoad_act!C33*100)</f>
        <v>6.4969976270687351</v>
      </c>
      <c r="D63" s="130">
        <f>IF(D21=0,0,D21/TrRoad_act!D33*100)</f>
        <v>6.4982128864170763</v>
      </c>
      <c r="E63" s="130">
        <f>IF(E21=0,0,E21/TrRoad_act!E33*100)</f>
        <v>6.4607859855768615</v>
      </c>
      <c r="F63" s="130">
        <f>IF(F21=0,0,F21/TrRoad_act!F33*100)</f>
        <v>6.3373166496087441</v>
      </c>
      <c r="G63" s="130">
        <f>IF(G21=0,0,G21/TrRoad_act!G33*100)</f>
        <v>6.2543561774361436</v>
      </c>
      <c r="H63" s="130">
        <f>IF(H21=0,0,H21/TrRoad_act!H33*100)</f>
        <v>6.3545049860855958</v>
      </c>
      <c r="I63" s="130">
        <f>IF(I21=0,0,I21/TrRoad_act!I33*100)</f>
        <v>6.2998831697483881</v>
      </c>
      <c r="J63" s="130">
        <f>IF(J21=0,0,J21/TrRoad_act!J33*100)</f>
        <v>6.1960689583212618</v>
      </c>
      <c r="K63" s="130">
        <f>IF(K21=0,0,K21/TrRoad_act!K33*100)</f>
        <v>6.1705920704682855</v>
      </c>
      <c r="L63" s="130">
        <f>IF(L21=0,0,L21/TrRoad_act!L33*100)</f>
        <v>6.1238100234105222</v>
      </c>
      <c r="M63" s="130">
        <f>IF(M21=0,0,M21/TrRoad_act!M33*100)</f>
        <v>6.0066579397877931</v>
      </c>
      <c r="N63" s="130">
        <f>IF(N21=0,0,N21/TrRoad_act!N33*100)</f>
        <v>6.0372387822697169</v>
      </c>
      <c r="O63" s="130">
        <f>IF(O21=0,0,O21/TrRoad_act!O33*100)</f>
        <v>5.8799967523536605</v>
      </c>
      <c r="P63" s="130">
        <f>IF(P21=0,0,P21/TrRoad_act!P33*100)</f>
        <v>5.6742380720965695</v>
      </c>
      <c r="Q63" s="130">
        <f>IF(Q21=0,0,Q21/TrRoad_act!Q33*100)</f>
        <v>5.5343886062436276</v>
      </c>
      <c r="R63" s="130">
        <f>IF(R21=0,0,R21/TrRoad_act!R33*100)</f>
        <v>5.4401889355049979</v>
      </c>
      <c r="S63" s="130">
        <f>IF(S21=0,0,S21/TrRoad_act!S33*100)</f>
        <v>5.4479312185257633</v>
      </c>
      <c r="T63" s="130">
        <f>IF(T21=0,0,T21/TrRoad_act!T33*100)</f>
        <v>5.4472106854059197</v>
      </c>
      <c r="U63" s="130">
        <f>IF(U21=0,0,U21/TrRoad_act!U33*100)</f>
        <v>5.3673558037892501</v>
      </c>
      <c r="V63" s="130">
        <f>IF(V21=0,0,V21/TrRoad_act!V33*100)</f>
        <v>5.2018029119943048</v>
      </c>
      <c r="W63" s="130">
        <f>IF(W21=0,0,W21/TrRoad_act!W33*100)</f>
        <v>5.3742791843178823</v>
      </c>
      <c r="X63" s="130">
        <f>IF(X21=0,0,X21/TrRoad_act!X33*100)</f>
        <v>4.9717707005718212</v>
      </c>
      <c r="Y63" s="130">
        <f>IF(Y21=0,0,Y21/TrRoad_act!Y33*100)</f>
        <v>5.1015907459327998</v>
      </c>
      <c r="DA63" s="176" t="s">
        <v>675</v>
      </c>
    </row>
    <row r="64" spans="1:105" ht="11.45" customHeight="1" x14ac:dyDescent="0.25">
      <c r="A64" s="111" t="s">
        <v>110</v>
      </c>
      <c r="B64" s="96">
        <f>IF(B22=0,0,B22/TrRoad_act!B34*100)</f>
        <v>6.2237717834604078</v>
      </c>
      <c r="C64" s="96">
        <f>IF(C22=0,0,C22/TrRoad_act!C34*100)</f>
        <v>6.3921647937207196</v>
      </c>
      <c r="D64" s="96">
        <f>IF(D22=0,0,D22/TrRoad_act!D34*100)</f>
        <v>6.4265470739175603</v>
      </c>
      <c r="E64" s="96">
        <f>IF(E22=0,0,E22/TrRoad_act!E34*100)</f>
        <v>6.4592108644405384</v>
      </c>
      <c r="F64" s="96">
        <f>IF(F22=0,0,F22/TrRoad_act!F34*100)</f>
        <v>6.2845055363985827</v>
      </c>
      <c r="G64" s="96">
        <f>IF(G22=0,0,G22/TrRoad_act!G34*100)</f>
        <v>6.159434633337062</v>
      </c>
      <c r="H64" s="96">
        <f>IF(H22=0,0,H22/TrRoad_act!H34*100)</f>
        <v>6.2994142186961266</v>
      </c>
      <c r="I64" s="96">
        <f>IF(I22=0,0,I22/TrRoad_act!I34*100)</f>
        <v>6.2824836303390112</v>
      </c>
      <c r="J64" s="96">
        <f>IF(J22=0,0,J22/TrRoad_act!J34*100)</f>
        <v>6.0811796742492907</v>
      </c>
      <c r="K64" s="96">
        <f>IF(K22=0,0,K22/TrRoad_act!K34*100)</f>
        <v>6.0154395423081395</v>
      </c>
      <c r="L64" s="96">
        <f>IF(L22=0,0,L22/TrRoad_act!L34*100)</f>
        <v>5.9690074125740393</v>
      </c>
      <c r="M64" s="96">
        <f>IF(M22=0,0,M22/TrRoad_act!M34*100)</f>
        <v>5.8808884314598435</v>
      </c>
      <c r="N64" s="96">
        <f>IF(N22=0,0,N22/TrRoad_act!N34*100)</f>
        <v>5.9461354115606859</v>
      </c>
      <c r="O64" s="96">
        <f>IF(O22=0,0,O22/TrRoad_act!O34*100)</f>
        <v>5.8042493880331039</v>
      </c>
      <c r="P64" s="96">
        <f>IF(P22=0,0,P22/TrRoad_act!P34*100)</f>
        <v>5.6469654165565197</v>
      </c>
      <c r="Q64" s="96">
        <f>IF(Q22=0,0,Q22/TrRoad_act!Q34*100)</f>
        <v>5.563595180012423</v>
      </c>
      <c r="R64" s="96">
        <f>IF(R22=0,0,R22/TrRoad_act!R34*100)</f>
        <v>5.4516856364192838</v>
      </c>
      <c r="S64" s="96">
        <f>IF(S22=0,0,S22/TrRoad_act!S34*100)</f>
        <v>5.5047846670441398</v>
      </c>
      <c r="T64" s="96">
        <f>IF(T22=0,0,T22/TrRoad_act!T34*100)</f>
        <v>5.5491093816069519</v>
      </c>
      <c r="U64" s="96">
        <f>IF(U22=0,0,U22/TrRoad_act!U34*100)</f>
        <v>5.5312848059621524</v>
      </c>
      <c r="V64" s="96">
        <f>IF(V22=0,0,V22/TrRoad_act!V34*100)</f>
        <v>5.358683110772736</v>
      </c>
      <c r="W64" s="96">
        <f>IF(W22=0,0,W22/TrRoad_act!W34*100)</f>
        <v>5.7133916250537427</v>
      </c>
      <c r="X64" s="96">
        <f>IF(X22=0,0,X22/TrRoad_act!X34*100)</f>
        <v>5.1936877536452997</v>
      </c>
      <c r="Y64" s="96">
        <f>IF(Y22=0,0,Y22/TrRoad_act!Y34*100)</f>
        <v>5.4951674119966221</v>
      </c>
      <c r="DA64" s="171" t="s">
        <v>676</v>
      </c>
    </row>
    <row r="65" spans="1:105" ht="11.45" customHeight="1" x14ac:dyDescent="0.25">
      <c r="A65" s="111" t="s">
        <v>111</v>
      </c>
      <c r="B65" s="96">
        <f>IF(B24=0,0,B24/TrRoad_act!B35*100)</f>
        <v>7.1154498074982131</v>
      </c>
      <c r="C65" s="96">
        <f>IF(C24=0,0,C24/TrRoad_act!C35*100)</f>
        <v>6.718864708563677</v>
      </c>
      <c r="D65" s="96">
        <f>IF(D24=0,0,D24/TrRoad_act!D35*100)</f>
        <v>6.6118796249225369</v>
      </c>
      <c r="E65" s="96">
        <f>IF(E24=0,0,E24/TrRoad_act!E35*100)</f>
        <v>6.5324979010213742</v>
      </c>
      <c r="F65" s="96">
        <f>IF(F24=0,0,F24/TrRoad_act!F35*100)</f>
        <v>6.464213957823163</v>
      </c>
      <c r="G65" s="96">
        <f>IF(G24=0,0,G24/TrRoad_act!G35*100)</f>
        <v>6.4039674876035475</v>
      </c>
      <c r="H65" s="96">
        <f>IF(H24=0,0,H24/TrRoad_act!H35*100)</f>
        <v>6.3778555999135316</v>
      </c>
      <c r="I65" s="96">
        <f>IF(I24=0,0,I24/TrRoad_act!I35*100)</f>
        <v>6.3616687140821844</v>
      </c>
      <c r="J65" s="96">
        <f>IF(J24=0,0,J24/TrRoad_act!J35*100)</f>
        <v>6.3245633784688238</v>
      </c>
      <c r="K65" s="96">
        <f>IF(K24=0,0,K24/TrRoad_act!K35*100)</f>
        <v>6.2826105681862368</v>
      </c>
      <c r="L65" s="96">
        <f>IF(L24=0,0,L24/TrRoad_act!L35*100)</f>
        <v>6.2226182691341352</v>
      </c>
      <c r="M65" s="96">
        <f>IF(M24=0,0,M24/TrRoad_act!M35*100)</f>
        <v>6.0437212982577435</v>
      </c>
      <c r="N65" s="96">
        <f>IF(N24=0,0,N24/TrRoad_act!N35*100)</f>
        <v>5.8904158853524917</v>
      </c>
      <c r="O65" s="96">
        <f>IF(O24=0,0,O24/TrRoad_act!O35*100)</f>
        <v>5.7604559364536465</v>
      </c>
      <c r="P65" s="96">
        <f>IF(P24=0,0,P24/TrRoad_act!P35*100)</f>
        <v>5.6146720237589385</v>
      </c>
      <c r="Q65" s="96">
        <f>IF(Q24=0,0,Q24/TrRoad_act!Q35*100)</f>
        <v>5.4430548704325847</v>
      </c>
      <c r="R65" s="96">
        <f>IF(R24=0,0,R24/TrRoad_act!R35*100)</f>
        <v>5.3803405926898238</v>
      </c>
      <c r="S65" s="96">
        <f>IF(S24=0,0,S24/TrRoad_act!S35*100)</f>
        <v>5.324954700261932</v>
      </c>
      <c r="T65" s="96">
        <f>IF(T24=0,0,T24/TrRoad_act!T35*100)</f>
        <v>5.2497355796574166</v>
      </c>
      <c r="U65" s="96">
        <f>IF(U24=0,0,U24/TrRoad_act!U35*100)</f>
        <v>5.1683918553258437</v>
      </c>
      <c r="V65" s="96">
        <f>IF(V24=0,0,V24/TrRoad_act!V35*100)</f>
        <v>5.0812618622098054</v>
      </c>
      <c r="W65" s="96">
        <f>IF(W24=0,0,W24/TrRoad_act!W35*100)</f>
        <v>5.0791266054316635</v>
      </c>
      <c r="X65" s="96">
        <f>IF(X24=0,0,X24/TrRoad_act!X35*100)</f>
        <v>5.0686822357736858</v>
      </c>
      <c r="Y65" s="96">
        <f>IF(Y24=0,0,Y24/TrRoad_act!Y35*100)</f>
        <v>5.0211344409330421</v>
      </c>
      <c r="DA65" s="171" t="s">
        <v>677</v>
      </c>
    </row>
    <row r="66" spans="1:105" ht="11.45" customHeight="1" x14ac:dyDescent="0.25">
      <c r="A66" s="111" t="s">
        <v>112</v>
      </c>
      <c r="B66" s="96">
        <f>IF(B26=0,0,B26/TrRoad_act!B36*100)</f>
        <v>7.1463064603823474</v>
      </c>
      <c r="C66" s="96">
        <f>IF(C26=0,0,C26/TrRoad_act!C36*100)</f>
        <v>6.6807240401510217</v>
      </c>
      <c r="D66" s="96">
        <f>IF(D26=0,0,D26/TrRoad_act!D36*100)</f>
        <v>6.7230582285812819</v>
      </c>
      <c r="E66" s="96">
        <f>IF(E26=0,0,E26/TrRoad_act!E36*100)</f>
        <v>6.2137109056044748</v>
      </c>
      <c r="F66" s="96">
        <f>IF(F26=0,0,F26/TrRoad_act!F36*100)</f>
        <v>6.3236797835322491</v>
      </c>
      <c r="G66" s="96">
        <f>IF(G26=0,0,G26/TrRoad_act!G36*100)</f>
        <v>6.5351659407559755</v>
      </c>
      <c r="H66" s="96">
        <f>IF(H26=0,0,H26/TrRoad_act!H36*100)</f>
        <v>6.8271874725647743</v>
      </c>
      <c r="I66" s="96">
        <f>IF(I26=0,0,I26/TrRoad_act!I36*100)</f>
        <v>6.150511185628381</v>
      </c>
      <c r="J66" s="96">
        <f>IF(J26=0,0,J26/TrRoad_act!J36*100)</f>
        <v>6.9103548783765234</v>
      </c>
      <c r="K66" s="96">
        <f>IF(K26=0,0,K26/TrRoad_act!K36*100)</f>
        <v>7.745900759847725</v>
      </c>
      <c r="L66" s="96">
        <f>IF(L26=0,0,L26/TrRoad_act!L36*100)</f>
        <v>8.0043704225234649</v>
      </c>
      <c r="M66" s="96">
        <f>IF(M26=0,0,M26/TrRoad_act!M36*100)</f>
        <v>8.2465100134345537</v>
      </c>
      <c r="N66" s="96">
        <f>IF(N26=0,0,N26/TrRoad_act!N36*100)</f>
        <v>9.84536025992087</v>
      </c>
      <c r="O66" s="96">
        <f>IF(O26=0,0,O26/TrRoad_act!O36*100)</f>
        <v>9.4213392733861578</v>
      </c>
      <c r="P66" s="96">
        <f>IF(P26=0,0,P26/TrRoad_act!P36*100)</f>
        <v>7.6731081459271433</v>
      </c>
      <c r="Q66" s="96">
        <f>IF(Q26=0,0,Q26/TrRoad_act!Q36*100)</f>
        <v>7.1117638462780173</v>
      </c>
      <c r="R66" s="96">
        <f>IF(R26=0,0,R26/TrRoad_act!R36*100)</f>
        <v>7.6609646919599204</v>
      </c>
      <c r="S66" s="96">
        <f>IF(S26=0,0,S26/TrRoad_act!S36*100)</f>
        <v>7.2229515138833662</v>
      </c>
      <c r="T66" s="96">
        <f>IF(T26=0,0,T26/TrRoad_act!T36*100)</f>
        <v>7.1319692538922013</v>
      </c>
      <c r="U66" s="96">
        <f>IF(U26=0,0,U26/TrRoad_act!U36*100)</f>
        <v>5.9414438776455345</v>
      </c>
      <c r="V66" s="96">
        <f>IF(V26=0,0,V26/TrRoad_act!V36*100)</f>
        <v>6.2750563629103198</v>
      </c>
      <c r="W66" s="96">
        <f>IF(W26=0,0,W26/TrRoad_act!W36*100)</f>
        <v>7.0703204035661393</v>
      </c>
      <c r="X66" s="96">
        <f>IF(X26=0,0,X26/TrRoad_act!X36*100)</f>
        <v>7.1481052002484908</v>
      </c>
      <c r="Y66" s="96">
        <f>IF(Y26=0,0,Y26/TrRoad_act!Y36*100)</f>
        <v>6.5287471236074275</v>
      </c>
      <c r="DA66" s="171" t="s">
        <v>678</v>
      </c>
    </row>
    <row r="67" spans="1:105" ht="11.45" customHeight="1" x14ac:dyDescent="0.25">
      <c r="A67" s="111" t="s">
        <v>113</v>
      </c>
      <c r="B67" s="96">
        <f>IF(B27=0,0,B27/TrRoad_act!B37*100)</f>
        <v>0</v>
      </c>
      <c r="C67" s="96">
        <f>IF(C27=0,0,C27/TrRoad_act!C37*100)</f>
        <v>0</v>
      </c>
      <c r="D67" s="96">
        <f>IF(D27=0,0,D27/TrRoad_act!D37*100)</f>
        <v>0</v>
      </c>
      <c r="E67" s="96">
        <f>IF(E27=0,0,E27/TrRoad_act!E37*100)</f>
        <v>0</v>
      </c>
      <c r="F67" s="96">
        <f>IF(F27=0,0,F27/TrRoad_act!F37*100)</f>
        <v>0</v>
      </c>
      <c r="G67" s="96">
        <f>IF(G27=0,0,G27/TrRoad_act!G37*100)</f>
        <v>0</v>
      </c>
      <c r="H67" s="96">
        <f>IF(H27=0,0,H27/TrRoad_act!H37*100)</f>
        <v>0</v>
      </c>
      <c r="I67" s="96">
        <f>IF(I27=0,0,I27/TrRoad_act!I37*100)</f>
        <v>0</v>
      </c>
      <c r="J67" s="96">
        <f>IF(J27=0,0,J27/TrRoad_act!J37*100)</f>
        <v>0</v>
      </c>
      <c r="K67" s="96">
        <f>IF(K27=0,0,K27/TrRoad_act!K37*100)</f>
        <v>0</v>
      </c>
      <c r="L67" s="96">
        <f>IF(L27=0,0,L27/TrRoad_act!L37*100)</f>
        <v>7.9177313074970668</v>
      </c>
      <c r="M67" s="96">
        <f>IF(M27=0,0,M27/TrRoad_act!M37*100)</f>
        <v>7.8800986578229804</v>
      </c>
      <c r="N67" s="96">
        <f>IF(N27=0,0,N27/TrRoad_act!N37*100)</f>
        <v>7.340630756929575</v>
      </c>
      <c r="O67" s="96">
        <f>IF(O27=0,0,O27/TrRoad_act!O37*100)</f>
        <v>7.078533741923609</v>
      </c>
      <c r="P67" s="96">
        <f>IF(P27=0,0,P27/TrRoad_act!P37*100)</f>
        <v>6.384398513208728</v>
      </c>
      <c r="Q67" s="96">
        <f>IF(Q27=0,0,Q27/TrRoad_act!Q37*100)</f>
        <v>6.3329890532109054</v>
      </c>
      <c r="R67" s="96">
        <f>IF(R27=0,0,R27/TrRoad_act!R37*100)</f>
        <v>5.4901586120975896</v>
      </c>
      <c r="S67" s="96">
        <f>IF(S27=0,0,S27/TrRoad_act!S37*100)</f>
        <v>6.5758023119553419</v>
      </c>
      <c r="T67" s="96">
        <f>IF(T27=0,0,T27/TrRoad_act!T37*100)</f>
        <v>7.3854803595817922</v>
      </c>
      <c r="U67" s="96">
        <f>IF(U27=0,0,U27/TrRoad_act!U37*100)</f>
        <v>7.4214047359841748</v>
      </c>
      <c r="V67" s="96">
        <f>IF(V27=0,0,V27/TrRoad_act!V37*100)</f>
        <v>7.4840942863455924</v>
      </c>
      <c r="W67" s="96">
        <f>IF(W27=0,0,W27/TrRoad_act!W37*100)</f>
        <v>7.6939282810670457</v>
      </c>
      <c r="X67" s="96">
        <f>IF(X27=0,0,X27/TrRoad_act!X37*100)</f>
        <v>7.7279321344384488</v>
      </c>
      <c r="Y67" s="96">
        <f>IF(Y27=0,0,Y27/TrRoad_act!Y37*100)</f>
        <v>7.5257849784442392</v>
      </c>
      <c r="DA67" s="171" t="s">
        <v>679</v>
      </c>
    </row>
    <row r="68" spans="1:105" ht="11.45" customHeight="1" x14ac:dyDescent="0.25">
      <c r="A68" s="111" t="s">
        <v>114</v>
      </c>
      <c r="B68" s="96">
        <f>IF(B29=0,0,B29/TrRoad_act!B38*100)</f>
        <v>0</v>
      </c>
      <c r="C68" s="96">
        <f>IF(C29=0,0,C29/TrRoad_act!C38*100)</f>
        <v>0</v>
      </c>
      <c r="D68" s="96">
        <f>IF(D29=0,0,D29/TrRoad_act!D38*100)</f>
        <v>0</v>
      </c>
      <c r="E68" s="96">
        <f>IF(E29=0,0,E29/TrRoad_act!E38*100)</f>
        <v>0</v>
      </c>
      <c r="F68" s="96">
        <f>IF(F29=0,0,F29/TrRoad_act!F38*100)</f>
        <v>0</v>
      </c>
      <c r="G68" s="96">
        <f>IF(G29=0,0,G29/TrRoad_act!G38*100)</f>
        <v>0</v>
      </c>
      <c r="H68" s="96">
        <f>IF(H29=0,0,H29/TrRoad_act!H38*100)</f>
        <v>0</v>
      </c>
      <c r="I68" s="96">
        <f>IF(I29=0,0,I29/TrRoad_act!I38*100)</f>
        <v>0</v>
      </c>
      <c r="J68" s="96">
        <f>IF(J29=0,0,J29/TrRoad_act!J38*100)</f>
        <v>0</v>
      </c>
      <c r="K68" s="96">
        <f>IF(K29=0,0,K29/TrRoad_act!K38*100)</f>
        <v>0</v>
      </c>
      <c r="L68" s="96">
        <f>IF(L29=0,0,L29/TrRoad_act!L38*100)</f>
        <v>0</v>
      </c>
      <c r="M68" s="96">
        <f>IF(M29=0,0,M29/TrRoad_act!M38*100)</f>
        <v>2.9224194889286128</v>
      </c>
      <c r="N68" s="96">
        <f>IF(N29=0,0,N29/TrRoad_act!N38*100)</f>
        <v>2.2560481282200855</v>
      </c>
      <c r="O68" s="96">
        <f>IF(O29=0,0,O29/TrRoad_act!O38*100)</f>
        <v>2.4344443782851695</v>
      </c>
      <c r="P68" s="96">
        <f>IF(P29=0,0,P29/TrRoad_act!P38*100)</f>
        <v>3.0501172067782014</v>
      </c>
      <c r="Q68" s="96">
        <f>IF(Q29=0,0,Q29/TrRoad_act!Q38*100)</f>
        <v>2.8842198704604027</v>
      </c>
      <c r="R68" s="96">
        <f>IF(R29=0,0,R29/TrRoad_act!R38*100)</f>
        <v>2.833105328009426</v>
      </c>
      <c r="S68" s="96">
        <f>IF(S29=0,0,S29/TrRoad_act!S38*100)</f>
        <v>2.8797306490089678</v>
      </c>
      <c r="T68" s="96">
        <f>IF(T29=0,0,T29/TrRoad_act!T38*100)</f>
        <v>2.9409181666595838</v>
      </c>
      <c r="U68" s="96">
        <f>IF(U29=0,0,U29/TrRoad_act!U38*100)</f>
        <v>2.9848174984280758</v>
      </c>
      <c r="V68" s="96">
        <f>IF(V29=0,0,V29/TrRoad_act!V38*100)</f>
        <v>3.1016291899447523</v>
      </c>
      <c r="W68" s="96">
        <f>IF(W29=0,0,W29/TrRoad_act!W38*100)</f>
        <v>3.2138058286188151</v>
      </c>
      <c r="X68" s="96">
        <f>IF(X29=0,0,X29/TrRoad_act!X38*100)</f>
        <v>3.0235393700848134</v>
      </c>
      <c r="Y68" s="96">
        <f>IF(Y29=0,0,Y29/TrRoad_act!Y38*100)</f>
        <v>3.032954118794795</v>
      </c>
      <c r="DA68" s="171" t="s">
        <v>680</v>
      </c>
    </row>
    <row r="69" spans="1:105" ht="11.45" customHeight="1" x14ac:dyDescent="0.25">
      <c r="A69" s="111" t="s">
        <v>115</v>
      </c>
      <c r="B69" s="96">
        <f>IF(B32=0,0,B32/TrRoad_act!B39*100)</f>
        <v>0</v>
      </c>
      <c r="C69" s="96">
        <f>IF(C32=0,0,C32/TrRoad_act!C39*100)</f>
        <v>0</v>
      </c>
      <c r="D69" s="96">
        <f>IF(D32=0,0,D32/TrRoad_act!D39*100)</f>
        <v>0</v>
      </c>
      <c r="E69" s="96">
        <f>IF(E32=0,0,E32/TrRoad_act!E39*100)</f>
        <v>0</v>
      </c>
      <c r="F69" s="96">
        <f>IF(F32=0,0,F32/TrRoad_act!F39*100)</f>
        <v>0</v>
      </c>
      <c r="G69" s="96">
        <f>IF(G32=0,0,G32/TrRoad_act!G39*100)</f>
        <v>0</v>
      </c>
      <c r="H69" s="96">
        <f>IF(H32=0,0,H32/TrRoad_act!H39*100)</f>
        <v>0</v>
      </c>
      <c r="I69" s="96">
        <f>IF(I32=0,0,I32/TrRoad_act!I39*100)</f>
        <v>0</v>
      </c>
      <c r="J69" s="96">
        <f>IF(J32=0,0,J32/TrRoad_act!J39*100)</f>
        <v>0</v>
      </c>
      <c r="K69" s="96">
        <f>IF(K32=0,0,K32/TrRoad_act!K39*100)</f>
        <v>1.7390331977198783</v>
      </c>
      <c r="L69" s="96">
        <f>IF(L32=0,0,L32/TrRoad_act!L39*100)</f>
        <v>1.7219147081382822</v>
      </c>
      <c r="M69" s="96">
        <f>IF(M32=0,0,M32/TrRoad_act!M39*100)</f>
        <v>1.7297690559297787</v>
      </c>
      <c r="N69" s="96">
        <f>IF(N32=0,0,N32/TrRoad_act!N39*100)</f>
        <v>1.6368863749928031</v>
      </c>
      <c r="O69" s="96">
        <f>IF(O32=0,0,O32/TrRoad_act!O39*100)</f>
        <v>1.5316123069254792</v>
      </c>
      <c r="P69" s="96">
        <f>IF(P32=0,0,P32/TrRoad_act!P39*100)</f>
        <v>1.5113037088504948</v>
      </c>
      <c r="Q69" s="96">
        <f>IF(Q32=0,0,Q32/TrRoad_act!Q39*100)</f>
        <v>1.579552456474512</v>
      </c>
      <c r="R69" s="96">
        <f>IF(R32=0,0,R32/TrRoad_act!R39*100)</f>
        <v>1.5801430516092685</v>
      </c>
      <c r="S69" s="96">
        <f>IF(S32=0,0,S32/TrRoad_act!S39*100)</f>
        <v>1.5347721666425653</v>
      </c>
      <c r="T69" s="96">
        <f>IF(T32=0,0,T32/TrRoad_act!T39*100)</f>
        <v>1.6554433979046799</v>
      </c>
      <c r="U69" s="96">
        <f>IF(U32=0,0,U32/TrRoad_act!U39*100)</f>
        <v>1.6268803495790585</v>
      </c>
      <c r="V69" s="96">
        <f>IF(V32=0,0,V32/TrRoad_act!V39*100)</f>
        <v>1.6068625966200487</v>
      </c>
      <c r="W69" s="96">
        <f>IF(W32=0,0,W32/TrRoad_act!W39*100)</f>
        <v>1.6192727894105747</v>
      </c>
      <c r="X69" s="96">
        <f>IF(X32=0,0,X32/TrRoad_act!X39*100)</f>
        <v>1.6229560273457762</v>
      </c>
      <c r="Y69" s="96">
        <f>IF(Y32=0,0,Y32/TrRoad_act!Y39*100)</f>
        <v>1.6134156729606501</v>
      </c>
      <c r="DA69" s="171" t="s">
        <v>681</v>
      </c>
    </row>
    <row r="70" spans="1:105" ht="11.45" customHeight="1" x14ac:dyDescent="0.25">
      <c r="A70" s="109" t="s">
        <v>21</v>
      </c>
      <c r="B70" s="130">
        <f>IF(B33=0,0,B33/TrRoad_act!B40*100)</f>
        <v>61.151669102435321</v>
      </c>
      <c r="C70" s="130">
        <f>IF(C33=0,0,C33/TrRoad_act!C40*100)</f>
        <v>59.566736019444974</v>
      </c>
      <c r="D70" s="130">
        <f>IF(D33=0,0,D33/TrRoad_act!D40*100)</f>
        <v>58.95832472029452</v>
      </c>
      <c r="E70" s="130">
        <f>IF(E33=0,0,E33/TrRoad_act!E40*100)</f>
        <v>58.339084972718084</v>
      </c>
      <c r="F70" s="130">
        <f>IF(F33=0,0,F33/TrRoad_act!F40*100)</f>
        <v>57.700252628698955</v>
      </c>
      <c r="G70" s="130">
        <f>IF(G33=0,0,G33/TrRoad_act!G40*100)</f>
        <v>57.044737868517046</v>
      </c>
      <c r="H70" s="130">
        <f>IF(H33=0,0,H33/TrRoad_act!H40*100)</f>
        <v>56.599424262647261</v>
      </c>
      <c r="I70" s="130">
        <f>IF(I33=0,0,I33/TrRoad_act!I40*100)</f>
        <v>56.106065041199585</v>
      </c>
      <c r="J70" s="130">
        <f>IF(J33=0,0,J33/TrRoad_act!J40*100)</f>
        <v>55.772591383118566</v>
      </c>
      <c r="K70" s="130">
        <f>IF(K33=0,0,K33/TrRoad_act!K40*100)</f>
        <v>55.345155594327643</v>
      </c>
      <c r="L70" s="130">
        <f>IF(L33=0,0,L33/TrRoad_act!L40*100)</f>
        <v>55.162640138098539</v>
      </c>
      <c r="M70" s="130">
        <f>IF(M33=0,0,M33/TrRoad_act!M40*100)</f>
        <v>54.94141575865855</v>
      </c>
      <c r="N70" s="130">
        <f>IF(N33=0,0,N33/TrRoad_act!N40*100)</f>
        <v>53.813770431984778</v>
      </c>
      <c r="O70" s="130">
        <f>IF(O33=0,0,O33/TrRoad_act!O40*100)</f>
        <v>50.307012707850227</v>
      </c>
      <c r="P70" s="130">
        <f>IF(P33=0,0,P33/TrRoad_act!P40*100)</f>
        <v>49.995168304076209</v>
      </c>
      <c r="Q70" s="130">
        <f>IF(Q33=0,0,Q33/TrRoad_act!Q40*100)</f>
        <v>49.889169450844051</v>
      </c>
      <c r="R70" s="130">
        <f>IF(R33=0,0,R33/TrRoad_act!R40*100)</f>
        <v>51.898138072679835</v>
      </c>
      <c r="S70" s="130">
        <f>IF(S33=0,0,S33/TrRoad_act!S40*100)</f>
        <v>52.16892134532587</v>
      </c>
      <c r="T70" s="130">
        <f>IF(T33=0,0,T33/TrRoad_act!T40*100)</f>
        <v>50.287648192021337</v>
      </c>
      <c r="U70" s="130">
        <f>IF(U33=0,0,U33/TrRoad_act!U40*100)</f>
        <v>48.931332021262534</v>
      </c>
      <c r="V70" s="130">
        <f>IF(V33=0,0,V33/TrRoad_act!V40*100)</f>
        <v>46.882967101090202</v>
      </c>
      <c r="W70" s="130">
        <f>IF(W33=0,0,W33/TrRoad_act!W40*100)</f>
        <v>45.204711177596039</v>
      </c>
      <c r="X70" s="130">
        <f>IF(X33=0,0,X33/TrRoad_act!X40*100)</f>
        <v>45.045122075171122</v>
      </c>
      <c r="Y70" s="130">
        <f>IF(Y33=0,0,Y33/TrRoad_act!Y40*100)</f>
        <v>45.639911151706407</v>
      </c>
      <c r="DA70" s="176" t="s">
        <v>682</v>
      </c>
    </row>
    <row r="71" spans="1:105" ht="11.45" customHeight="1" x14ac:dyDescent="0.25">
      <c r="A71" s="111" t="s">
        <v>110</v>
      </c>
      <c r="B71" s="97">
        <f>IF(B34=0,0,B34/TrRoad_act!B41*100)</f>
        <v>18.605949667270504</v>
      </c>
      <c r="C71" s="97">
        <f>IF(C34=0,0,C34/TrRoad_act!C41*100)</f>
        <v>17.812765821431988</v>
      </c>
      <c r="D71" s="97">
        <f>IF(D34=0,0,D34/TrRoad_act!D41*100)</f>
        <v>17.332732466763336</v>
      </c>
      <c r="E71" s="97">
        <f>IF(E34=0,0,E34/TrRoad_act!E41*100)</f>
        <v>17.042557064856034</v>
      </c>
      <c r="F71" s="97">
        <f>IF(F34=0,0,F34/TrRoad_act!F41*100)</f>
        <v>17.002494116135175</v>
      </c>
      <c r="G71" s="97">
        <f>IF(G34=0,0,G34/TrRoad_act!G41*100)</f>
        <v>16.9134736847856</v>
      </c>
      <c r="H71" s="97">
        <f>IF(H34=0,0,H34/TrRoad_act!H41*100)</f>
        <v>16.860033443486724</v>
      </c>
      <c r="I71" s="97">
        <f>IF(I34=0,0,I34/TrRoad_act!I41*100)</f>
        <v>16.758910268022639</v>
      </c>
      <c r="J71" s="97">
        <f>IF(J34=0,0,J34/TrRoad_act!J41*100)</f>
        <v>16.758910268022639</v>
      </c>
      <c r="K71" s="97">
        <f>IF(K34=0,0,K34/TrRoad_act!K41*100)</f>
        <v>16.658512389391394</v>
      </c>
      <c r="L71" s="97">
        <f>IF(L34=0,0,L34/TrRoad_act!L41*100)</f>
        <v>16.355127479402555</v>
      </c>
      <c r="M71" s="97">
        <f>IF(M34=0,0,M34/TrRoad_act!M41*100)</f>
        <v>16.061666238943857</v>
      </c>
      <c r="N71" s="97">
        <f>IF(N34=0,0,N34/TrRoad_act!N41*100)</f>
        <v>15.420064726971027</v>
      </c>
      <c r="O71" s="97">
        <f>IF(O34=0,0,O34/TrRoad_act!O41*100)</f>
        <v>15.376013470065795</v>
      </c>
      <c r="P71" s="97">
        <f>IF(P34=0,0,P34/TrRoad_act!P41*100)</f>
        <v>15.346658697790255</v>
      </c>
      <c r="Q71" s="97">
        <f>IF(Q34=0,0,Q34/TrRoad_act!Q41*100)</f>
        <v>14.45807556010276</v>
      </c>
      <c r="R71" s="97">
        <f>IF(R34=0,0,R34/TrRoad_act!R41*100)</f>
        <v>14.224070512906362</v>
      </c>
      <c r="S71" s="97">
        <f>IF(S34=0,0,S34/TrRoad_act!S41*100)</f>
        <v>14.093666036641531</v>
      </c>
      <c r="T71" s="97">
        <f>IF(T34=0,0,T34/TrRoad_act!T41*100)</f>
        <v>13.974979812552188</v>
      </c>
      <c r="U71" s="97">
        <f>IF(U34=0,0,U34/TrRoad_act!U41*100)</f>
        <v>13.103652907195151</v>
      </c>
      <c r="V71" s="97">
        <f>IF(V34=0,0,V34/TrRoad_act!V41*100)</f>
        <v>13.040690929144002</v>
      </c>
      <c r="W71" s="97">
        <f>IF(W34=0,0,W34/TrRoad_act!W41*100)</f>
        <v>12.975061673349506</v>
      </c>
      <c r="X71" s="97">
        <f>IF(X34=0,0,X34/TrRoad_act!X41*100)</f>
        <v>12.86200144608642</v>
      </c>
      <c r="Y71" s="97">
        <f>IF(Y34=0,0,Y34/TrRoad_act!Y41*100)</f>
        <v>12.857605518071244</v>
      </c>
      <c r="DA71" s="175" t="s">
        <v>683</v>
      </c>
    </row>
    <row r="72" spans="1:105" ht="11.45" customHeight="1" x14ac:dyDescent="0.25">
      <c r="A72" s="111" t="s">
        <v>111</v>
      </c>
      <c r="B72" s="97">
        <f>IF(B36=0,0,B36/TrRoad_act!B42*100)</f>
        <v>61.472903747346429</v>
      </c>
      <c r="C72" s="97">
        <f>IF(C36=0,0,C36/TrRoad_act!C42*100)</f>
        <v>59.854809249460615</v>
      </c>
      <c r="D72" s="97">
        <f>IF(D36=0,0,D36/TrRoad_act!D42*100)</f>
        <v>59.276432128887393</v>
      </c>
      <c r="E72" s="97">
        <f>IF(E36=0,0,E36/TrRoad_act!E42*100)</f>
        <v>58.624111784893287</v>
      </c>
      <c r="F72" s="97">
        <f>IF(F36=0,0,F36/TrRoad_act!F42*100)</f>
        <v>58.01252672482368</v>
      </c>
      <c r="G72" s="97">
        <f>IF(G36=0,0,G36/TrRoad_act!G42*100)</f>
        <v>57.381717538752362</v>
      </c>
      <c r="H72" s="97">
        <f>IF(H36=0,0,H36/TrRoad_act!H42*100)</f>
        <v>56.962189693005584</v>
      </c>
      <c r="I72" s="97">
        <f>IF(I36=0,0,I36/TrRoad_act!I42*100)</f>
        <v>56.497196336270349</v>
      </c>
      <c r="J72" s="97">
        <f>IF(J36=0,0,J36/TrRoad_act!J42*100)</f>
        <v>56.182860910554389</v>
      </c>
      <c r="K72" s="97">
        <f>IF(K36=0,0,K36/TrRoad_act!K42*100)</f>
        <v>55.938070668722652</v>
      </c>
      <c r="L72" s="97">
        <f>IF(L36=0,0,L36/TrRoad_act!L42*100)</f>
        <v>55.885418752960362</v>
      </c>
      <c r="M72" s="97">
        <f>IF(M36=0,0,M36/TrRoad_act!M42*100)</f>
        <v>55.806189389175209</v>
      </c>
      <c r="N72" s="97">
        <f>IF(N36=0,0,N36/TrRoad_act!N42*100)</f>
        <v>55.678954703391412</v>
      </c>
      <c r="O72" s="97">
        <f>IF(O36=0,0,O36/TrRoad_act!O42*100)</f>
        <v>55.478885479788531</v>
      </c>
      <c r="P72" s="97">
        <f>IF(P36=0,0,P36/TrRoad_act!P42*100)</f>
        <v>55.472624611116672</v>
      </c>
      <c r="Q72" s="97">
        <f>IF(Q36=0,0,Q36/TrRoad_act!Q42*100)</f>
        <v>55.477530097833984</v>
      </c>
      <c r="R72" s="97">
        <f>IF(R36=0,0,R36/TrRoad_act!R42*100)</f>
        <v>55.548432143283691</v>
      </c>
      <c r="S72" s="97">
        <f>IF(S36=0,0,S36/TrRoad_act!S42*100)</f>
        <v>55.431952963514711</v>
      </c>
      <c r="T72" s="97">
        <f>IF(T36=0,0,T36/TrRoad_act!T42*100)</f>
        <v>55.194988249110011</v>
      </c>
      <c r="U72" s="97">
        <f>IF(U36=0,0,U36/TrRoad_act!U42*100)</f>
        <v>54.718539437052542</v>
      </c>
      <c r="V72" s="97">
        <f>IF(V36=0,0,V36/TrRoad_act!V42*100)</f>
        <v>53.999416645514628</v>
      </c>
      <c r="W72" s="97">
        <f>IF(W36=0,0,W36/TrRoad_act!W42*100)</f>
        <v>52.922638221827931</v>
      </c>
      <c r="X72" s="97">
        <f>IF(X36=0,0,X36/TrRoad_act!X42*100)</f>
        <v>51.863319933356152</v>
      </c>
      <c r="Y72" s="97">
        <f>IF(Y36=0,0,Y36/TrRoad_act!Y42*100)</f>
        <v>50.361835487632312</v>
      </c>
      <c r="DA72" s="175" t="s">
        <v>684</v>
      </c>
    </row>
    <row r="73" spans="1:105" ht="11.45" customHeight="1" x14ac:dyDescent="0.25">
      <c r="A73" s="111" t="s">
        <v>112</v>
      </c>
      <c r="B73" s="97">
        <f>IF(B38=0,0,B38/TrRoad_act!B43*100)</f>
        <v>47.100869164727847</v>
      </c>
      <c r="C73" s="97">
        <f>IF(C38=0,0,C38/TrRoad_act!C43*100)</f>
        <v>47.100869164727847</v>
      </c>
      <c r="D73" s="97">
        <f>IF(D38=0,0,D38/TrRoad_act!D43*100)</f>
        <v>47.10086916472784</v>
      </c>
      <c r="E73" s="97">
        <f>IF(E38=0,0,E38/TrRoad_act!E43*100)</f>
        <v>47.100869164727854</v>
      </c>
      <c r="F73" s="97">
        <f>IF(F38=0,0,F38/TrRoad_act!F43*100)</f>
        <v>47.100869164727854</v>
      </c>
      <c r="G73" s="97">
        <f>IF(G38=0,0,G38/TrRoad_act!G43*100)</f>
        <v>46.276969672755207</v>
      </c>
      <c r="H73" s="97">
        <f>IF(H38=0,0,H38/TrRoad_act!H43*100)</f>
        <v>46.15688406595546</v>
      </c>
      <c r="I73" s="97">
        <f>IF(I38=0,0,I38/TrRoad_act!I43*100)</f>
        <v>46.063229218157744</v>
      </c>
      <c r="J73" s="97">
        <f>IF(J38=0,0,J38/TrRoad_act!J43*100)</f>
        <v>46.055631386264778</v>
      </c>
      <c r="K73" s="97">
        <f>IF(K38=0,0,K38/TrRoad_act!K43*100)</f>
        <v>45.996460811691492</v>
      </c>
      <c r="L73" s="97">
        <f>IF(L38=0,0,L38/TrRoad_act!L43*100)</f>
        <v>45.996460811691492</v>
      </c>
      <c r="M73" s="97">
        <f>IF(M38=0,0,M38/TrRoad_act!M43*100)</f>
        <v>45.95974726222488</v>
      </c>
      <c r="N73" s="97">
        <f>IF(N38=0,0,N38/TrRoad_act!N43*100)</f>
        <v>45.930188983001813</v>
      </c>
      <c r="O73" s="97">
        <f>IF(O38=0,0,O38/TrRoad_act!O43*100)</f>
        <v>45.920508862567125</v>
      </c>
      <c r="P73" s="97">
        <f>IF(P38=0,0,P38/TrRoad_act!P43*100)</f>
        <v>45.899058698627925</v>
      </c>
      <c r="Q73" s="97">
        <f>IF(Q38=0,0,Q38/TrRoad_act!Q43*100)</f>
        <v>45.899058698627925</v>
      </c>
      <c r="R73" s="97">
        <f>IF(R38=0,0,R38/TrRoad_act!R43*100)</f>
        <v>45.923709573095216</v>
      </c>
      <c r="S73" s="97">
        <f>IF(S38=0,0,S38/TrRoad_act!S43*100)</f>
        <v>45.891113513598654</v>
      </c>
      <c r="T73" s="97">
        <f>IF(T38=0,0,T38/TrRoad_act!T43*100)</f>
        <v>45.867779162292962</v>
      </c>
      <c r="U73" s="97">
        <f>IF(U38=0,0,U38/TrRoad_act!U43*100)</f>
        <v>45.867779162292962</v>
      </c>
      <c r="V73" s="97">
        <f>IF(V38=0,0,V38/TrRoad_act!V43*100)</f>
        <v>45.86763058262089</v>
      </c>
      <c r="W73" s="97">
        <f>IF(W38=0,0,W38/TrRoad_act!W43*100)</f>
        <v>45.842488431882508</v>
      </c>
      <c r="X73" s="97">
        <f>IF(X38=0,0,X38/TrRoad_act!X43*100)</f>
        <v>45.803793927206101</v>
      </c>
      <c r="Y73" s="97">
        <f>IF(Y38=0,0,Y38/TrRoad_act!Y43*100)</f>
        <v>45.816182126693249</v>
      </c>
      <c r="DA73" s="175" t="s">
        <v>685</v>
      </c>
    </row>
    <row r="74" spans="1:105" ht="11.45" customHeight="1" x14ac:dyDescent="0.25">
      <c r="A74" s="111" t="s">
        <v>113</v>
      </c>
      <c r="B74" s="97">
        <f>IF(B39=0,0,B39/TrRoad_act!B44*100)</f>
        <v>50.781094530919958</v>
      </c>
      <c r="C74" s="97">
        <f>IF(C39=0,0,C39/TrRoad_act!C44*100)</f>
        <v>54.81857425881114</v>
      </c>
      <c r="D74" s="97">
        <f>IF(D39=0,0,D39/TrRoad_act!D44*100)</f>
        <v>44.423871806591706</v>
      </c>
      <c r="E74" s="97">
        <f>IF(E39=0,0,E39/TrRoad_act!E44*100)</f>
        <v>52.96231541405588</v>
      </c>
      <c r="F74" s="97">
        <f>IF(F39=0,0,F39/TrRoad_act!F44*100)</f>
        <v>39.638240702273244</v>
      </c>
      <c r="G74" s="97">
        <f>IF(G39=0,0,G39/TrRoad_act!G44*100)</f>
        <v>41.937941187851706</v>
      </c>
      <c r="H74" s="97">
        <f>IF(H39=0,0,H39/TrRoad_act!H44*100)</f>
        <v>41.733275805146327</v>
      </c>
      <c r="I74" s="97">
        <f>IF(I39=0,0,I39/TrRoad_act!I44*100)</f>
        <v>39.237470694585184</v>
      </c>
      <c r="J74" s="97">
        <f>IF(J39=0,0,J39/TrRoad_act!J44*100)</f>
        <v>39.861687711358158</v>
      </c>
      <c r="K74" s="97">
        <f>IF(K39=0,0,K39/TrRoad_act!K44*100)</f>
        <v>39.681492489504713</v>
      </c>
      <c r="L74" s="97">
        <f>IF(L39=0,0,L39/TrRoad_act!L44*100)</f>
        <v>41.60150282037192</v>
      </c>
      <c r="M74" s="97">
        <f>IF(M39=0,0,M39/TrRoad_act!M44*100)</f>
        <v>44.527496256282269</v>
      </c>
      <c r="N74" s="97">
        <f>IF(N39=0,0,N39/TrRoad_act!N44*100)</f>
        <v>31.749570037991532</v>
      </c>
      <c r="O74" s="97">
        <f>IF(O39=0,0,O39/TrRoad_act!O44*100)</f>
        <v>18.068374873987473</v>
      </c>
      <c r="P74" s="97">
        <f>IF(P39=0,0,P39/TrRoad_act!P44*100)</f>
        <v>18.552992490000594</v>
      </c>
      <c r="Q74" s="97">
        <f>IF(Q39=0,0,Q39/TrRoad_act!Q44*100)</f>
        <v>22.351264657303986</v>
      </c>
      <c r="R74" s="97">
        <f>IF(R39=0,0,R39/TrRoad_act!R44*100)</f>
        <v>38.235330268822246</v>
      </c>
      <c r="S74" s="97">
        <f>IF(S39=0,0,S39/TrRoad_act!S44*100)</f>
        <v>42.338321548344886</v>
      </c>
      <c r="T74" s="97">
        <f>IF(T39=0,0,T39/TrRoad_act!T44*100)</f>
        <v>35.677779087016567</v>
      </c>
      <c r="U74" s="97">
        <f>IF(U39=0,0,U39/TrRoad_act!U44*100)</f>
        <v>37.543952936697458</v>
      </c>
      <c r="V74" s="97">
        <f>IF(V39=0,0,V39/TrRoad_act!V44*100)</f>
        <v>39.002227348423382</v>
      </c>
      <c r="W74" s="97">
        <f>IF(W39=0,0,W39/TrRoad_act!W44*100)</f>
        <v>39.760617432208186</v>
      </c>
      <c r="X74" s="97">
        <f>IF(X39=0,0,X39/TrRoad_act!X44*100)</f>
        <v>43.00255884413091</v>
      </c>
      <c r="Y74" s="97">
        <f>IF(Y39=0,0,Y39/TrRoad_act!Y44*100)</f>
        <v>51.379122928795297</v>
      </c>
      <c r="DA74" s="175" t="s">
        <v>686</v>
      </c>
    </row>
    <row r="75" spans="1:105" ht="11.45" customHeight="1" x14ac:dyDescent="0.25">
      <c r="A75" s="111" t="s">
        <v>115</v>
      </c>
      <c r="B75" s="97">
        <f>IF(B41=0,0,B41/TrRoad_act!B45*100)</f>
        <v>33.162316690942745</v>
      </c>
      <c r="C75" s="97">
        <f>IF(C41=0,0,C41/TrRoad_act!C45*100)</f>
        <v>33.162316690942745</v>
      </c>
      <c r="D75" s="97">
        <f>IF(D41=0,0,D41/TrRoad_act!D45*100)</f>
        <v>32.142936848348121</v>
      </c>
      <c r="E75" s="97">
        <f>IF(E41=0,0,E41/TrRoad_act!E45*100)</f>
        <v>32.019080571469075</v>
      </c>
      <c r="F75" s="97">
        <f>IF(F41=0,0,F41/TrRoad_act!F45*100)</f>
        <v>30.623946214727106</v>
      </c>
      <c r="G75" s="97">
        <f>IF(G41=0,0,G41/TrRoad_act!G45*100)</f>
        <v>30.438288112545152</v>
      </c>
      <c r="H75" s="97">
        <f>IF(H41=0,0,H41/TrRoad_act!H45*100)</f>
        <v>30.348403551430469</v>
      </c>
      <c r="I75" s="97">
        <f>IF(I41=0,0,I41/TrRoad_act!I45*100)</f>
        <v>30.348403551430469</v>
      </c>
      <c r="J75" s="97">
        <f>IF(J41=0,0,J41/TrRoad_act!J45*100)</f>
        <v>29.94113497003066</v>
      </c>
      <c r="K75" s="97">
        <f>IF(K41=0,0,K41/TrRoad_act!K45*100)</f>
        <v>29.094657075444317</v>
      </c>
      <c r="L75" s="97">
        <f>IF(L41=0,0,L41/TrRoad_act!L45*100)</f>
        <v>28.095388623209633</v>
      </c>
      <c r="M75" s="97">
        <f>IF(M41=0,0,M41/TrRoad_act!M45*100)</f>
        <v>27.965181318909799</v>
      </c>
      <c r="N75" s="97">
        <f>IF(N41=0,0,N41/TrRoad_act!N45*100)</f>
        <v>27.9057978283066</v>
      </c>
      <c r="O75" s="97">
        <f>IF(O41=0,0,O41/TrRoad_act!O45*100)</f>
        <v>27.04488846247618</v>
      </c>
      <c r="P75" s="97">
        <f>IF(P41=0,0,P41/TrRoad_act!P45*100)</f>
        <v>27.097856893896477</v>
      </c>
      <c r="Q75" s="97">
        <f>IF(Q41=0,0,Q41/TrRoad_act!Q45*100)</f>
        <v>27.250393515145689</v>
      </c>
      <c r="R75" s="97">
        <f>IF(R41=0,0,R41/TrRoad_act!R45*100)</f>
        <v>27.912914640390962</v>
      </c>
      <c r="S75" s="97">
        <f>IF(S41=0,0,S41/TrRoad_act!S45*100)</f>
        <v>27.862727539048119</v>
      </c>
      <c r="T75" s="97">
        <f>IF(T41=0,0,T41/TrRoad_act!T45*100)</f>
        <v>27.731793826739974</v>
      </c>
      <c r="U75" s="97">
        <f>IF(U41=0,0,U41/TrRoad_act!U45*100)</f>
        <v>27.342959918401156</v>
      </c>
      <c r="V75" s="97">
        <f>IF(V41=0,0,V41/TrRoad_act!V45*100)</f>
        <v>27.005477844729832</v>
      </c>
      <c r="W75" s="97">
        <f>IF(W41=0,0,W41/TrRoad_act!W45*100)</f>
        <v>26.838877024902054</v>
      </c>
      <c r="X75" s="97">
        <f>IF(X41=0,0,X41/TrRoad_act!X45*100)</f>
        <v>26.704625977501443</v>
      </c>
      <c r="Y75" s="97">
        <f>IF(Y41=0,0,Y41/TrRoad_act!Y45*100)</f>
        <v>26.397101450780951</v>
      </c>
      <c r="DA75" s="175" t="s">
        <v>687</v>
      </c>
    </row>
    <row r="76" spans="1:105" ht="11.45" customHeight="1" x14ac:dyDescent="0.25">
      <c r="A76" s="27" t="s">
        <v>34</v>
      </c>
      <c r="B76" s="32">
        <f>IF(B42=0,0,B42/TrRoad_act!B46*100)</f>
        <v>18.415580491696812</v>
      </c>
      <c r="C76" s="32">
        <f>IF(C42=0,0,C42/TrRoad_act!C46*100)</f>
        <v>17.323084689317252</v>
      </c>
      <c r="D76" s="32">
        <f>IF(D42=0,0,D42/TrRoad_act!D46*100)</f>
        <v>17.141722772470057</v>
      </c>
      <c r="E76" s="32">
        <f>IF(E42=0,0,E42/TrRoad_act!E46*100)</f>
        <v>17.009957628591625</v>
      </c>
      <c r="F76" s="32">
        <f>IF(F42=0,0,F42/TrRoad_act!F46*100)</f>
        <v>16.850162745056156</v>
      </c>
      <c r="G76" s="32">
        <f>IF(G42=0,0,G42/TrRoad_act!G46*100)</f>
        <v>16.724092103498897</v>
      </c>
      <c r="H76" s="32">
        <f>IF(H42=0,0,H42/TrRoad_act!H46*100)</f>
        <v>17.356402425271977</v>
      </c>
      <c r="I76" s="32">
        <f>IF(I42=0,0,I42/TrRoad_act!I46*100)</f>
        <v>17.459093422641807</v>
      </c>
      <c r="J76" s="32">
        <f>IF(J42=0,0,J42/TrRoad_act!J46*100)</f>
        <v>17.392337139536785</v>
      </c>
      <c r="K76" s="32">
        <f>IF(K42=0,0,K42/TrRoad_act!K46*100)</f>
        <v>16.853894917681089</v>
      </c>
      <c r="L76" s="32">
        <f>IF(L42=0,0,L42/TrRoad_act!L46*100)</f>
        <v>17.435609046915275</v>
      </c>
      <c r="M76" s="32">
        <f>IF(M42=0,0,M42/TrRoad_act!M46*100)</f>
        <v>17.571987562960118</v>
      </c>
      <c r="N76" s="32">
        <f>IF(N42=0,0,N42/TrRoad_act!N46*100)</f>
        <v>17.621792820038159</v>
      </c>
      <c r="O76" s="32">
        <f>IF(O42=0,0,O42/TrRoad_act!O46*100)</f>
        <v>16.486254831190266</v>
      </c>
      <c r="P76" s="32">
        <f>IF(P42=0,0,P42/TrRoad_act!P46*100)</f>
        <v>14.422558596432349</v>
      </c>
      <c r="Q76" s="32">
        <f>IF(Q42=0,0,Q42/TrRoad_act!Q46*100)</f>
        <v>14.086967583080066</v>
      </c>
      <c r="R76" s="32">
        <f>IF(R42=0,0,R42/TrRoad_act!R46*100)</f>
        <v>13.572124470219737</v>
      </c>
      <c r="S76" s="32">
        <f>IF(S42=0,0,S42/TrRoad_act!S46*100)</f>
        <v>14.577868883045264</v>
      </c>
      <c r="T76" s="32">
        <f>IF(T42=0,0,T42/TrRoad_act!T46*100)</f>
        <v>15.508477809416707</v>
      </c>
      <c r="U76" s="32">
        <f>IF(U42=0,0,U42/TrRoad_act!U46*100)</f>
        <v>15.740625971074437</v>
      </c>
      <c r="V76" s="32">
        <f>IF(V42=0,0,V42/TrRoad_act!V46*100)</f>
        <v>15.031471731017026</v>
      </c>
      <c r="W76" s="32">
        <f>IF(W42=0,0,W42/TrRoad_act!W46*100)</f>
        <v>13.350442077360189</v>
      </c>
      <c r="X76" s="32">
        <f>IF(X42=0,0,X42/TrRoad_act!X46*100)</f>
        <v>13.116354627475674</v>
      </c>
      <c r="Y76" s="32">
        <f>IF(Y42=0,0,Y42/TrRoad_act!Y46*100)</f>
        <v>13.460342756788576</v>
      </c>
      <c r="DA76" s="173" t="s">
        <v>688</v>
      </c>
    </row>
    <row r="77" spans="1:105" ht="11.45" customHeight="1" x14ac:dyDescent="0.25">
      <c r="A77" s="136" t="s">
        <v>153</v>
      </c>
      <c r="B77" s="141">
        <f>IF(B43=0,0,B43/TrRoad_act!B47*100)</f>
        <v>11.568706692205174</v>
      </c>
      <c r="C77" s="141">
        <f>IF(C43=0,0,C43/TrRoad_act!C47*100)</f>
        <v>10.92101229269114</v>
      </c>
      <c r="D77" s="141">
        <f>IF(D43=0,0,D43/TrRoad_act!D47*100)</f>
        <v>10.753386070281106</v>
      </c>
      <c r="E77" s="141">
        <f>IF(E43=0,0,E43/TrRoad_act!E47*100)</f>
        <v>10.629818028022266</v>
      </c>
      <c r="F77" s="141">
        <f>IF(F43=0,0,F43/TrRoad_act!F47*100)</f>
        <v>10.536886172595102</v>
      </c>
      <c r="G77" s="141">
        <f>IF(G43=0,0,G43/TrRoad_act!G47*100)</f>
        <v>10.429962438794737</v>
      </c>
      <c r="H77" s="141">
        <f>IF(H43=0,0,H43/TrRoad_act!H47*100)</f>
        <v>10.344289917511345</v>
      </c>
      <c r="I77" s="141">
        <f>IF(I43=0,0,I43/TrRoad_act!I47*100)</f>
        <v>10.292151144359771</v>
      </c>
      <c r="J77" s="141">
        <f>IF(J43=0,0,J43/TrRoad_act!J47*100)</f>
        <v>10.247477181402735</v>
      </c>
      <c r="K77" s="141">
        <f>IF(K43=0,0,K43/TrRoad_act!K47*100)</f>
        <v>10.195955330596908</v>
      </c>
      <c r="L77" s="141">
        <f>IF(L43=0,0,L43/TrRoad_act!L47*100)</f>
        <v>10.211606402074789</v>
      </c>
      <c r="M77" s="141">
        <f>IF(M43=0,0,M43/TrRoad_act!M47*100)</f>
        <v>10.188185071842263</v>
      </c>
      <c r="N77" s="141">
        <f>IF(N43=0,0,N43/TrRoad_act!N47*100)</f>
        <v>10.10162131539475</v>
      </c>
      <c r="O77" s="141">
        <f>IF(O43=0,0,O43/TrRoad_act!O47*100)</f>
        <v>10.013366691696818</v>
      </c>
      <c r="P77" s="141">
        <f>IF(P43=0,0,P43/TrRoad_act!P47*100)</f>
        <v>9.9087940756525459</v>
      </c>
      <c r="Q77" s="141">
        <f>IF(Q43=0,0,Q43/TrRoad_act!Q47*100)</f>
        <v>9.7836437366753604</v>
      </c>
      <c r="R77" s="141">
        <f>IF(R43=0,0,R43/TrRoad_act!R47*100)</f>
        <v>9.5885056351425213</v>
      </c>
      <c r="S77" s="141">
        <f>IF(S43=0,0,S43/TrRoad_act!S47*100)</f>
        <v>9.4091001619394454</v>
      </c>
      <c r="T77" s="141">
        <f>IF(T43=0,0,T43/TrRoad_act!T47*100)</f>
        <v>9.2358444557081594</v>
      </c>
      <c r="U77" s="141">
        <f>IF(U43=0,0,U43/TrRoad_act!U47*100)</f>
        <v>9.0827615546119489</v>
      </c>
      <c r="V77" s="141">
        <f>IF(V43=0,0,V43/TrRoad_act!V47*100)</f>
        <v>9.0123113133226926</v>
      </c>
      <c r="W77" s="141">
        <f>IF(W43=0,0,W43/TrRoad_act!W47*100)</f>
        <v>8.9523712858625597</v>
      </c>
      <c r="X77" s="141">
        <f>IF(X43=0,0,X43/TrRoad_act!X47*100)</f>
        <v>8.8449309765841555</v>
      </c>
      <c r="Y77" s="141">
        <f>IF(Y43=0,0,Y43/TrRoad_act!Y47*100)</f>
        <v>8.7221149681084658</v>
      </c>
      <c r="DA77" s="174" t="s">
        <v>689</v>
      </c>
    </row>
    <row r="78" spans="1:105" ht="11.45" customHeight="1" x14ac:dyDescent="0.25">
      <c r="A78" s="111" t="s">
        <v>110</v>
      </c>
      <c r="B78" s="96">
        <f>IF(B44=0,0,B44/TrRoad_act!B48*100)</f>
        <v>12.001492294358341</v>
      </c>
      <c r="C78" s="96">
        <f>IF(C44=0,0,C44/TrRoad_act!C48*100)</f>
        <v>12.001492294358339</v>
      </c>
      <c r="D78" s="96">
        <f>IF(D44=0,0,D44/TrRoad_act!D48*100)</f>
        <v>12.001492294358339</v>
      </c>
      <c r="E78" s="96">
        <f>IF(E44=0,0,E44/TrRoad_act!E48*100)</f>
        <v>12.001492294358339</v>
      </c>
      <c r="F78" s="96">
        <f>IF(F44=0,0,F44/TrRoad_act!F48*100)</f>
        <v>12.001492294358339</v>
      </c>
      <c r="G78" s="96">
        <f>IF(G44=0,0,G44/TrRoad_act!G48*100)</f>
        <v>12.001492294358343</v>
      </c>
      <c r="H78" s="96">
        <f>IF(H44=0,0,H44/TrRoad_act!H48*100)</f>
        <v>12.001492294358339</v>
      </c>
      <c r="I78" s="96">
        <f>IF(I44=0,0,I44/TrRoad_act!I48*100)</f>
        <v>12.001492294358339</v>
      </c>
      <c r="J78" s="96">
        <f>IF(J44=0,0,J44/TrRoad_act!J48*100)</f>
        <v>12.001492294358341</v>
      </c>
      <c r="K78" s="96">
        <f>IF(K44=0,0,K44/TrRoad_act!K48*100)</f>
        <v>11.916582707824121</v>
      </c>
      <c r="L78" s="96">
        <f>IF(L44=0,0,L44/TrRoad_act!L48*100)</f>
        <v>11.706552241963093</v>
      </c>
      <c r="M78" s="96">
        <f>IF(M44=0,0,M44/TrRoad_act!M48*100)</f>
        <v>11.495004509740506</v>
      </c>
      <c r="N78" s="96">
        <f>IF(N44=0,0,N44/TrRoad_act!N48*100)</f>
        <v>11.221059950059136</v>
      </c>
      <c r="O78" s="96">
        <f>IF(O44=0,0,O44/TrRoad_act!O48*100)</f>
        <v>11.055238166505584</v>
      </c>
      <c r="P78" s="96">
        <f>IF(P44=0,0,P44/TrRoad_act!P48*100)</f>
        <v>10.673442439804434</v>
      </c>
      <c r="Q78" s="96">
        <f>IF(Q44=0,0,Q44/TrRoad_act!Q48*100)</f>
        <v>10.314862132111358</v>
      </c>
      <c r="R78" s="96">
        <f>IF(R44=0,0,R44/TrRoad_act!R48*100)</f>
        <v>9.9596332300030124</v>
      </c>
      <c r="S78" s="96">
        <f>IF(S44=0,0,S44/TrRoad_act!S48*100)</f>
        <v>9.6279311531688556</v>
      </c>
      <c r="T78" s="96">
        <f>IF(T44=0,0,T44/TrRoad_act!T48*100)</f>
        <v>9.4465883295104209</v>
      </c>
      <c r="U78" s="96">
        <f>IF(U44=0,0,U44/TrRoad_act!U48*100)</f>
        <v>9.2014719573783843</v>
      </c>
      <c r="V78" s="96">
        <f>IF(V44=0,0,V44/TrRoad_act!V48*100)</f>
        <v>8.9997676611535393</v>
      </c>
      <c r="W78" s="96">
        <f>IF(W44=0,0,W44/TrRoad_act!W48*100)</f>
        <v>8.6941964333761419</v>
      </c>
      <c r="X78" s="96">
        <f>IF(X44=0,0,X44/TrRoad_act!X48*100)</f>
        <v>8.3506332099952445</v>
      </c>
      <c r="Y78" s="96">
        <f>IF(Y44=0,0,Y44/TrRoad_act!Y48*100)</f>
        <v>8.3145356835423687</v>
      </c>
      <c r="DA78" s="171" t="s">
        <v>690</v>
      </c>
    </row>
    <row r="79" spans="1:105" ht="11.45" customHeight="1" x14ac:dyDescent="0.25">
      <c r="A79" s="111" t="s">
        <v>111</v>
      </c>
      <c r="B79" s="96">
        <f>IF(B46=0,0,B46/TrRoad_act!B49*100)</f>
        <v>11.407661256463861</v>
      </c>
      <c r="C79" s="96">
        <f>IF(C46=0,0,C46/TrRoad_act!C49*100)</f>
        <v>10.747319197089187</v>
      </c>
      <c r="D79" s="96">
        <f>IF(D46=0,0,D46/TrRoad_act!D49*100)</f>
        <v>10.589633508119048</v>
      </c>
      <c r="E79" s="96">
        <f>IF(E46=0,0,E46/TrRoad_act!E49*100)</f>
        <v>10.478496424089229</v>
      </c>
      <c r="F79" s="96">
        <f>IF(F46=0,0,F46/TrRoad_act!F49*100)</f>
        <v>10.39717690282003</v>
      </c>
      <c r="G79" s="96">
        <f>IF(G46=0,0,G46/TrRoad_act!G49*100)</f>
        <v>10.30705473694619</v>
      </c>
      <c r="H79" s="96">
        <f>IF(H46=0,0,H46/TrRoad_act!H49*100)</f>
        <v>10.22981722557336</v>
      </c>
      <c r="I79" s="96">
        <f>IF(I46=0,0,I46/TrRoad_act!I49*100)</f>
        <v>10.179666644659576</v>
      </c>
      <c r="J79" s="96">
        <f>IF(J46=0,0,J46/TrRoad_act!J49*100)</f>
        <v>10.136789055852308</v>
      </c>
      <c r="K79" s="96">
        <f>IF(K46=0,0,K46/TrRoad_act!K49*100)</f>
        <v>10.083890436036278</v>
      </c>
      <c r="L79" s="96">
        <f>IF(L46=0,0,L46/TrRoad_act!L49*100)</f>
        <v>10.107418333180838</v>
      </c>
      <c r="M79" s="96">
        <f>IF(M46=0,0,M46/TrRoad_act!M49*100)</f>
        <v>10.091037524120686</v>
      </c>
      <c r="N79" s="96">
        <f>IF(N46=0,0,N46/TrRoad_act!N49*100)</f>
        <v>10.008608671054661</v>
      </c>
      <c r="O79" s="96">
        <f>IF(O46=0,0,O46/TrRoad_act!O49*100)</f>
        <v>9.9223659798592738</v>
      </c>
      <c r="P79" s="96">
        <f>IF(P46=0,0,P46/TrRoad_act!P49*100)</f>
        <v>9.8215174314001956</v>
      </c>
      <c r="Q79" s="96">
        <f>IF(Q46=0,0,Q46/TrRoad_act!Q49*100)</f>
        <v>9.7038969611286081</v>
      </c>
      <c r="R79" s="96">
        <f>IF(R46=0,0,R46/TrRoad_act!R49*100)</f>
        <v>9.5133212485564904</v>
      </c>
      <c r="S79" s="96">
        <f>IF(S46=0,0,S46/TrRoad_act!S49*100)</f>
        <v>9.3394711429262767</v>
      </c>
      <c r="T79" s="96">
        <f>IF(T46=0,0,T46/TrRoad_act!T49*100)</f>
        <v>9.1765351103944113</v>
      </c>
      <c r="U79" s="96">
        <f>IF(U46=0,0,U46/TrRoad_act!U49*100)</f>
        <v>9.0384281767368559</v>
      </c>
      <c r="V79" s="96">
        <f>IF(V46=0,0,V46/TrRoad_act!V49*100)</f>
        <v>8.9762692213372048</v>
      </c>
      <c r="W79" s="96">
        <f>IF(W46=0,0,W46/TrRoad_act!W49*100)</f>
        <v>8.9430520694911078</v>
      </c>
      <c r="X79" s="96">
        <f>IF(X46=0,0,X46/TrRoad_act!X49*100)</f>
        <v>8.8545545341657732</v>
      </c>
      <c r="Y79" s="96">
        <f>IF(Y46=0,0,Y46/TrRoad_act!Y49*100)</f>
        <v>8.7679202805590002</v>
      </c>
      <c r="DA79" s="171" t="s">
        <v>691</v>
      </c>
    </row>
    <row r="80" spans="1:105" ht="11.45" customHeight="1" x14ac:dyDescent="0.25">
      <c r="A80" s="111" t="s">
        <v>112</v>
      </c>
      <c r="B80" s="96">
        <f>IF(B48=0,0,B48/TrRoad_act!B50*100)</f>
        <v>21.77762922774512</v>
      </c>
      <c r="C80" s="96">
        <f>IF(C48=0,0,C48/TrRoad_act!C50*100)</f>
        <v>21.762225308806521</v>
      </c>
      <c r="D80" s="96">
        <f>IF(D48=0,0,D48/TrRoad_act!D50*100)</f>
        <v>21.762160995214273</v>
      </c>
      <c r="E80" s="96">
        <f>IF(E48=0,0,E48/TrRoad_act!E50*100)</f>
        <v>21.761788835515077</v>
      </c>
      <c r="F80" s="96">
        <f>IF(F48=0,0,F48/TrRoad_act!F50*100)</f>
        <v>21.761220180302114</v>
      </c>
      <c r="G80" s="96">
        <f>IF(G48=0,0,G48/TrRoad_act!G50*100)</f>
        <v>21.759330166172582</v>
      </c>
      <c r="H80" s="96">
        <f>IF(H48=0,0,H48/TrRoad_act!H50*100)</f>
        <v>21.758117454468895</v>
      </c>
      <c r="I80" s="96">
        <f>IF(I48=0,0,I48/TrRoad_act!I50*100)</f>
        <v>21.757506242473031</v>
      </c>
      <c r="J80" s="96">
        <f>IF(J48=0,0,J48/TrRoad_act!J50*100)</f>
        <v>21.757486804410679</v>
      </c>
      <c r="K80" s="96">
        <f>IF(K48=0,0,K48/TrRoad_act!K50*100)</f>
        <v>21.753016384403754</v>
      </c>
      <c r="L80" s="96">
        <f>IF(L48=0,0,L48/TrRoad_act!L50*100)</f>
        <v>21.513472868471045</v>
      </c>
      <c r="M80" s="96">
        <f>IF(M48=0,0,M48/TrRoad_act!M50*100)</f>
        <v>21.232442925213064</v>
      </c>
      <c r="N80" s="96">
        <f>IF(N48=0,0,N48/TrRoad_act!N50*100)</f>
        <v>20.914778760145651</v>
      </c>
      <c r="O80" s="96">
        <f>IF(O48=0,0,O48/TrRoad_act!O50*100)</f>
        <v>20.745061403891849</v>
      </c>
      <c r="P80" s="96">
        <f>IF(P48=0,0,P48/TrRoad_act!P50*100)</f>
        <v>20.429279340283479</v>
      </c>
      <c r="Q80" s="96">
        <f>IF(Q48=0,0,Q48/TrRoad_act!Q50*100)</f>
        <v>20.149200431859459</v>
      </c>
      <c r="R80" s="96">
        <f>IF(R48=0,0,R48/TrRoad_act!R50*100)</f>
        <v>19.80667498945758</v>
      </c>
      <c r="S80" s="96">
        <f>IF(S48=0,0,S48/TrRoad_act!S50*100)</f>
        <v>19.447044234858875</v>
      </c>
      <c r="T80" s="96">
        <f>IF(T48=0,0,T48/TrRoad_act!T50*100)</f>
        <v>18.071281695798625</v>
      </c>
      <c r="U80" s="96">
        <f>IF(U48=0,0,U48/TrRoad_act!U50*100)</f>
        <v>15.222390467805949</v>
      </c>
      <c r="V80" s="96">
        <f>IF(V48=0,0,V48/TrRoad_act!V50*100)</f>
        <v>15.01388488178489</v>
      </c>
      <c r="W80" s="96">
        <f>IF(W48=0,0,W48/TrRoad_act!W50*100)</f>
        <v>14.592041269984948</v>
      </c>
      <c r="X80" s="96">
        <f>IF(X48=0,0,X48/TrRoad_act!X50*100)</f>
        <v>14.413379307530041</v>
      </c>
      <c r="Y80" s="96">
        <f>IF(Y48=0,0,Y48/TrRoad_act!Y50*100)</f>
        <v>14.529030749349451</v>
      </c>
      <c r="DA80" s="171" t="s">
        <v>692</v>
      </c>
    </row>
    <row r="81" spans="1:105" ht="11.45" customHeight="1" x14ac:dyDescent="0.25">
      <c r="A81" s="111" t="s">
        <v>113</v>
      </c>
      <c r="B81" s="96">
        <f>IF(B49=0,0,B49/TrRoad_act!B51*100)</f>
        <v>0</v>
      </c>
      <c r="C81" s="96">
        <f>IF(C49=0,0,C49/TrRoad_act!C51*100)</f>
        <v>0</v>
      </c>
      <c r="D81" s="96">
        <f>IF(D49=0,0,D49/TrRoad_act!D51*100)</f>
        <v>0</v>
      </c>
      <c r="E81" s="96">
        <f>IF(E49=0,0,E49/TrRoad_act!E51*100)</f>
        <v>11.116703989664451</v>
      </c>
      <c r="F81" s="96">
        <f>IF(F49=0,0,F49/TrRoad_act!F51*100)</f>
        <v>11.168697841482448</v>
      </c>
      <c r="G81" s="96">
        <f>IF(G49=0,0,G49/TrRoad_act!G51*100)</f>
        <v>11.171300830494147</v>
      </c>
      <c r="H81" s="96">
        <f>IF(H49=0,0,H49/TrRoad_act!H51*100)</f>
        <v>11.171669418227532</v>
      </c>
      <c r="I81" s="96">
        <f>IF(I49=0,0,I49/TrRoad_act!I51*100)</f>
        <v>11.098921142082865</v>
      </c>
      <c r="J81" s="96">
        <f>IF(J49=0,0,J49/TrRoad_act!J51*100)</f>
        <v>11.098921142082869</v>
      </c>
      <c r="K81" s="96">
        <f>IF(K49=0,0,K49/TrRoad_act!K51*100)</f>
        <v>10.723727634934475</v>
      </c>
      <c r="L81" s="96">
        <f>IF(L49=0,0,L49/TrRoad_act!L51*100)</f>
        <v>10.496666943366648</v>
      </c>
      <c r="M81" s="96">
        <f>IF(M49=0,0,M49/TrRoad_act!M51*100)</f>
        <v>10.385235407933914</v>
      </c>
      <c r="N81" s="96">
        <f>IF(N49=0,0,N49/TrRoad_act!N51*100)</f>
        <v>10.096468409621613</v>
      </c>
      <c r="O81" s="96">
        <f>IF(O49=0,0,O49/TrRoad_act!O51*100)</f>
        <v>10.005509547189686</v>
      </c>
      <c r="P81" s="96">
        <f>IF(P49=0,0,P49/TrRoad_act!P51*100)</f>
        <v>9.9147643894171971</v>
      </c>
      <c r="Q81" s="96">
        <f>IF(Q49=0,0,Q49/TrRoad_act!Q51*100)</f>
        <v>9.9428012087971247</v>
      </c>
      <c r="R81" s="96">
        <f>IF(R49=0,0,R49/TrRoad_act!R51*100)</f>
        <v>9.6536204986717031</v>
      </c>
      <c r="S81" s="96">
        <f>IF(S49=0,0,S49/TrRoad_act!S51*100)</f>
        <v>9.7199455774944639</v>
      </c>
      <c r="T81" s="96">
        <f>IF(T49=0,0,T49/TrRoad_act!T51*100)</f>
        <v>9.2861891197470587</v>
      </c>
      <c r="U81" s="96">
        <f>IF(U49=0,0,U49/TrRoad_act!U51*100)</f>
        <v>9.2817819364664871</v>
      </c>
      <c r="V81" s="96">
        <f>IF(V49=0,0,V49/TrRoad_act!V51*100)</f>
        <v>9.217251376491312</v>
      </c>
      <c r="W81" s="96">
        <f>IF(W49=0,0,W49/TrRoad_act!W51*100)</f>
        <v>9.1855521811197427</v>
      </c>
      <c r="X81" s="96">
        <f>IF(X49=0,0,X49/TrRoad_act!X51*100)</f>
        <v>9.1059050248729214</v>
      </c>
      <c r="Y81" s="96">
        <f>IF(Y49=0,0,Y49/TrRoad_act!Y51*100)</f>
        <v>8.9643342156911014</v>
      </c>
      <c r="DA81" s="171" t="s">
        <v>693</v>
      </c>
    </row>
    <row r="82" spans="1:105" ht="11.45" customHeight="1" x14ac:dyDescent="0.25">
      <c r="A82" s="111" t="s">
        <v>115</v>
      </c>
      <c r="B82" s="96">
        <f>IF(B51=0,0,B51/TrRoad_act!B52*100)</f>
        <v>0</v>
      </c>
      <c r="C82" s="96">
        <f>IF(C51=0,0,C51/TrRoad_act!C52*100)</f>
        <v>0</v>
      </c>
      <c r="D82" s="96">
        <f>IF(D51=0,0,D51/TrRoad_act!D52*100)</f>
        <v>0</v>
      </c>
      <c r="E82" s="96">
        <f>IF(E51=0,0,E51/TrRoad_act!E52*100)</f>
        <v>0</v>
      </c>
      <c r="F82" s="96">
        <f>IF(F51=0,0,F51/TrRoad_act!F52*100)</f>
        <v>0</v>
      </c>
      <c r="G82" s="96">
        <f>IF(G51=0,0,G51/TrRoad_act!G52*100)</f>
        <v>0</v>
      </c>
      <c r="H82" s="96">
        <f>IF(H51=0,0,H51/TrRoad_act!H52*100)</f>
        <v>0</v>
      </c>
      <c r="I82" s="96">
        <f>IF(I51=0,0,I51/TrRoad_act!I52*100)</f>
        <v>0</v>
      </c>
      <c r="J82" s="96">
        <f>IF(J51=0,0,J51/TrRoad_act!J52*100)</f>
        <v>0</v>
      </c>
      <c r="K82" s="96">
        <f>IF(K51=0,0,K51/TrRoad_act!K52*100)</f>
        <v>0</v>
      </c>
      <c r="L82" s="96">
        <f>IF(L51=0,0,L51/TrRoad_act!L52*100)</f>
        <v>0</v>
      </c>
      <c r="M82" s="96">
        <f>IF(M51=0,0,M51/TrRoad_act!M52*100)</f>
        <v>1.6388013120689198</v>
      </c>
      <c r="N82" s="96">
        <f>IF(N51=0,0,N51/TrRoad_act!N52*100)</f>
        <v>1.6472914875411706</v>
      </c>
      <c r="O82" s="96">
        <f>IF(O51=0,0,O51/TrRoad_act!O52*100)</f>
        <v>1.6550778118352358</v>
      </c>
      <c r="P82" s="96">
        <f>IF(P51=0,0,P51/TrRoad_act!P52*100)</f>
        <v>1.7227248734651157</v>
      </c>
      <c r="Q82" s="96">
        <f>IF(Q51=0,0,Q51/TrRoad_act!Q52*100)</f>
        <v>1.7520154808171116</v>
      </c>
      <c r="R82" s="96">
        <f>IF(R51=0,0,R51/TrRoad_act!R52*100)</f>
        <v>1.7835263331966378</v>
      </c>
      <c r="S82" s="96">
        <f>IF(S51=0,0,S51/TrRoad_act!S52*100)</f>
        <v>1.7839403820833777</v>
      </c>
      <c r="T82" s="96">
        <f>IF(T51=0,0,T51/TrRoad_act!T52*100)</f>
        <v>1.9232117718468951</v>
      </c>
      <c r="U82" s="96">
        <f>IF(U51=0,0,U51/TrRoad_act!U52*100)</f>
        <v>2.1213675148065292</v>
      </c>
      <c r="V82" s="96">
        <f>IF(V51=0,0,V51/TrRoad_act!V52*100)</f>
        <v>2.3162513311215869</v>
      </c>
      <c r="W82" s="96">
        <f>IF(W51=0,0,W51/TrRoad_act!W52*100)</f>
        <v>2.5435782489360128</v>
      </c>
      <c r="X82" s="96">
        <f>IF(X51=0,0,X51/TrRoad_act!X52*100)</f>
        <v>2.6680849835864633</v>
      </c>
      <c r="Y82" s="96">
        <f>IF(Y51=0,0,Y51/TrRoad_act!Y52*100)</f>
        <v>2.7278622752696142</v>
      </c>
      <c r="DA82" s="171" t="s">
        <v>694</v>
      </c>
    </row>
    <row r="83" spans="1:105" ht="11.45" customHeight="1" x14ac:dyDescent="0.25">
      <c r="A83" s="109" t="s">
        <v>154</v>
      </c>
      <c r="B83" s="130">
        <f>IF(B52=0,0,B52/TrRoad_act!B53*100)</f>
        <v>36.479407478340327</v>
      </c>
      <c r="C83" s="130">
        <f>IF(C52=0,0,C52/TrRoad_act!C53*100)</f>
        <v>35.883351671944773</v>
      </c>
      <c r="D83" s="130">
        <f>IF(D52=0,0,D52/TrRoad_act!D53*100)</f>
        <v>35.527686607606675</v>
      </c>
      <c r="E83" s="130">
        <f>IF(E52=0,0,E52/TrRoad_act!E53*100)</f>
        <v>35.652210667039206</v>
      </c>
      <c r="F83" s="130">
        <f>IF(F52=0,0,F52/TrRoad_act!F53*100)</f>
        <v>36.120049891913034</v>
      </c>
      <c r="G83" s="130">
        <f>IF(G52=0,0,G52/TrRoad_act!G53*100)</f>
        <v>36.277495547911201</v>
      </c>
      <c r="H83" s="130">
        <f>IF(H52=0,0,H52/TrRoad_act!H53*100)</f>
        <v>38.994468768312593</v>
      </c>
      <c r="I83" s="130">
        <f>IF(I52=0,0,I52/TrRoad_act!I53*100)</f>
        <v>40.742038614024331</v>
      </c>
      <c r="J83" s="130">
        <f>IF(J52=0,0,J52/TrRoad_act!J53*100)</f>
        <v>40.936603685406133</v>
      </c>
      <c r="K83" s="130">
        <f>IF(K52=0,0,K52/TrRoad_act!K53*100)</f>
        <v>38.002049346528601</v>
      </c>
      <c r="L83" s="130">
        <f>IF(L52=0,0,L52/TrRoad_act!L53*100)</f>
        <v>43.483564729535729</v>
      </c>
      <c r="M83" s="130">
        <f>IF(M52=0,0,M52/TrRoad_act!M53*100)</f>
        <v>44.187520585777698</v>
      </c>
      <c r="N83" s="130">
        <f>IF(N52=0,0,N52/TrRoad_act!N53*100)</f>
        <v>44.784368910656355</v>
      </c>
      <c r="O83" s="130">
        <f>IF(O52=0,0,O52/TrRoad_act!O53*100)</f>
        <v>38.639095633436362</v>
      </c>
      <c r="P83" s="130">
        <f>IF(P52=0,0,P52/TrRoad_act!P53*100)</f>
        <v>28.957023210775905</v>
      </c>
      <c r="Q83" s="130">
        <f>IF(Q52=0,0,Q52/TrRoad_act!Q53*100)</f>
        <v>28.282790230557715</v>
      </c>
      <c r="R83" s="130">
        <f>IF(R52=0,0,R52/TrRoad_act!R53*100)</f>
        <v>26.520872329326632</v>
      </c>
      <c r="S83" s="130">
        <f>IF(S52=0,0,S52/TrRoad_act!S53*100)</f>
        <v>32.338123850838478</v>
      </c>
      <c r="T83" s="130">
        <f>IF(T52=0,0,T52/TrRoad_act!T53*100)</f>
        <v>36.915846775695101</v>
      </c>
      <c r="U83" s="130">
        <f>IF(U52=0,0,U52/TrRoad_act!U53*100)</f>
        <v>37.834356448303438</v>
      </c>
      <c r="V83" s="130">
        <f>IF(V52=0,0,V52/TrRoad_act!V53*100)</f>
        <v>33.834009335373779</v>
      </c>
      <c r="W83" s="130">
        <f>IF(W52=0,0,W52/TrRoad_act!W53*100)</f>
        <v>27.315229047612057</v>
      </c>
      <c r="X83" s="130">
        <f>IF(X52=0,0,X52/TrRoad_act!X53*100)</f>
        <v>26.926310967278788</v>
      </c>
      <c r="Y83" s="130">
        <f>IF(Y52=0,0,Y52/TrRoad_act!Y53*100)</f>
        <v>29.482784286704312</v>
      </c>
      <c r="DA83" s="176" t="s">
        <v>695</v>
      </c>
    </row>
    <row r="84" spans="1:105" ht="11.45" customHeight="1" x14ac:dyDescent="0.25">
      <c r="A84" s="128" t="s">
        <v>27</v>
      </c>
      <c r="B84" s="97">
        <f>IF(B53=0,0,B53/TrRoad_act!B54*100)</f>
        <v>35.378805258635765</v>
      </c>
      <c r="C84" s="97">
        <f>IF(C53=0,0,C53/TrRoad_act!C54*100)</f>
        <v>34.753736665400012</v>
      </c>
      <c r="D84" s="97">
        <f>IF(D53=0,0,D53/TrRoad_act!D54*100)</f>
        <v>34.421928769265584</v>
      </c>
      <c r="E84" s="97">
        <f>IF(E53=0,0,E53/TrRoad_act!E54*100)</f>
        <v>34.56205845924039</v>
      </c>
      <c r="F84" s="97">
        <f>IF(F53=0,0,F53/TrRoad_act!F54*100)</f>
        <v>34.878650290841165</v>
      </c>
      <c r="G84" s="97">
        <f>IF(G53=0,0,G53/TrRoad_act!G54*100)</f>
        <v>35.000531401802832</v>
      </c>
      <c r="H84" s="97">
        <f>IF(H53=0,0,H53/TrRoad_act!H54*100)</f>
        <v>37.558641103005328</v>
      </c>
      <c r="I84" s="97">
        <f>IF(I53=0,0,I53/TrRoad_act!I54*100)</f>
        <v>39.191240788005238</v>
      </c>
      <c r="J84" s="97">
        <f>IF(J53=0,0,J53/TrRoad_act!J54*100)</f>
        <v>39.338616286754288</v>
      </c>
      <c r="K84" s="97">
        <f>IF(K53=0,0,K53/TrRoad_act!K54*100)</f>
        <v>36.568893362223498</v>
      </c>
      <c r="L84" s="97">
        <f>IF(L53=0,0,L53/TrRoad_act!L54*100)</f>
        <v>41.567097140471205</v>
      </c>
      <c r="M84" s="97">
        <f>IF(M53=0,0,M53/TrRoad_act!M54*100)</f>
        <v>42.325868717992606</v>
      </c>
      <c r="N84" s="97">
        <f>IF(N53=0,0,N53/TrRoad_act!N54*100)</f>
        <v>42.867203983954553</v>
      </c>
      <c r="O84" s="97">
        <f>IF(O53=0,0,O53/TrRoad_act!O54*100)</f>
        <v>36.997528436598081</v>
      </c>
      <c r="P84" s="97">
        <f>IF(P53=0,0,P53/TrRoad_act!P54*100)</f>
        <v>27.696723449422322</v>
      </c>
      <c r="Q84" s="97">
        <f>IF(Q53=0,0,Q53/TrRoad_act!Q54*100)</f>
        <v>27.015781853583682</v>
      </c>
      <c r="R84" s="97">
        <f>IF(R53=0,0,R53/TrRoad_act!R54*100)</f>
        <v>25.276496896308714</v>
      </c>
      <c r="S84" s="97">
        <f>IF(S53=0,0,S53/TrRoad_act!S54*100)</f>
        <v>30.67399681838921</v>
      </c>
      <c r="T84" s="97">
        <f>IF(T53=0,0,T53/TrRoad_act!T54*100)</f>
        <v>34.995391296903321</v>
      </c>
      <c r="U84" s="97">
        <f>IF(U53=0,0,U53/TrRoad_act!U54*100)</f>
        <v>35.752328193687141</v>
      </c>
      <c r="V84" s="97">
        <f>IF(V53=0,0,V53/TrRoad_act!V54*100)</f>
        <v>31.906456380064203</v>
      </c>
      <c r="W84" s="97">
        <f>IF(W53=0,0,W53/TrRoad_act!W54*100)</f>
        <v>25.747498597400604</v>
      </c>
      <c r="X84" s="97">
        <f>IF(X53=0,0,X53/TrRoad_act!X54*100)</f>
        <v>25.371376346993408</v>
      </c>
      <c r="Y84" s="97">
        <f>IF(Y53=0,0,Y53/TrRoad_act!Y54*100)</f>
        <v>27.714507918035142</v>
      </c>
      <c r="DA84" s="175" t="s">
        <v>696</v>
      </c>
    </row>
    <row r="85" spans="1:105" ht="11.45" customHeight="1" x14ac:dyDescent="0.25">
      <c r="A85" s="138" t="s">
        <v>116</v>
      </c>
      <c r="B85" s="98">
        <f>IF(B55=0,0,B55/TrRoad_act!B55*100)</f>
        <v>42.450575238479843</v>
      </c>
      <c r="C85" s="98">
        <f>IF(C55=0,0,C55/TrRoad_act!C55*100)</f>
        <v>41.52079562726346</v>
      </c>
      <c r="D85" s="98">
        <f>IF(D55=0,0,D55/TrRoad_act!D55*100)</f>
        <v>41.022818243929272</v>
      </c>
      <c r="E85" s="98">
        <f>IF(E55=0,0,E55/TrRoad_act!E55*100)</f>
        <v>41.146374925896396</v>
      </c>
      <c r="F85" s="98">
        <f>IF(F55=0,0,F55/TrRoad_act!F55*100)</f>
        <v>41.294162999758989</v>
      </c>
      <c r="G85" s="98">
        <f>IF(G55=0,0,G55/TrRoad_act!G55*100)</f>
        <v>41.383341528436141</v>
      </c>
      <c r="H85" s="98">
        <f>IF(H55=0,0,H55/TrRoad_act!H55*100)</f>
        <v>44.390541787492822</v>
      </c>
      <c r="I85" s="98">
        <f>IF(I55=0,0,I55/TrRoad_act!I55*100)</f>
        <v>46.231800331617393</v>
      </c>
      <c r="J85" s="98">
        <f>IF(J55=0,0,J55/TrRoad_act!J55*100)</f>
        <v>46.499041368089884</v>
      </c>
      <c r="K85" s="98">
        <f>IF(K55=0,0,K55/TrRoad_act!K55*100)</f>
        <v>43.379275686181153</v>
      </c>
      <c r="L85" s="98">
        <f>IF(L55=0,0,L55/TrRoad_act!L55*100)</f>
        <v>49.293132459261187</v>
      </c>
      <c r="M85" s="98">
        <f>IF(M55=0,0,M55/TrRoad_act!M55*100)</f>
        <v>50.073208711721442</v>
      </c>
      <c r="N85" s="98">
        <f>IF(N55=0,0,N55/TrRoad_act!N55*100)</f>
        <v>50.660880451122004</v>
      </c>
      <c r="O85" s="98">
        <f>IF(O55=0,0,O55/TrRoad_act!O55*100)</f>
        <v>43.710041000720921</v>
      </c>
      <c r="P85" s="98">
        <f>IF(P55=0,0,P55/TrRoad_act!P55*100)</f>
        <v>32.817266997680015</v>
      </c>
      <c r="Q85" s="98">
        <f>IF(Q55=0,0,Q55/TrRoad_act!Q55*100)</f>
        <v>32.158128749991427</v>
      </c>
      <c r="R85" s="98">
        <f>IF(R55=0,0,R55/TrRoad_act!R55*100)</f>
        <v>30.205976896425774</v>
      </c>
      <c r="S85" s="98">
        <f>IF(S55=0,0,S55/TrRoad_act!S55*100)</f>
        <v>36.967435186825355</v>
      </c>
      <c r="T85" s="98">
        <f>IF(T55=0,0,T55/TrRoad_act!T55*100)</f>
        <v>42.505809408643145</v>
      </c>
      <c r="U85" s="98">
        <f>IF(U55=0,0,U55/TrRoad_act!U55*100)</f>
        <v>43.742299358242008</v>
      </c>
      <c r="V85" s="98">
        <f>IF(V55=0,0,V55/TrRoad_act!V55*100)</f>
        <v>39.298462233303503</v>
      </c>
      <c r="W85" s="98">
        <f>IF(W55=0,0,W55/TrRoad_act!W55*100)</f>
        <v>31.957202993057017</v>
      </c>
      <c r="X85" s="98">
        <f>IF(X55=0,0,X55/TrRoad_act!X55*100)</f>
        <v>31.51179629122629</v>
      </c>
      <c r="Y85" s="98">
        <f>IF(Y55=0,0,Y55/TrRoad_act!Y55*100)</f>
        <v>34.585316118505986</v>
      </c>
      <c r="DA85" s="178" t="s">
        <v>697</v>
      </c>
    </row>
    <row r="86" spans="1:105" x14ac:dyDescent="0.25">
      <c r="A86" s="106"/>
      <c r="B86" s="106"/>
      <c r="C86" s="106"/>
      <c r="D86" s="106"/>
      <c r="E86" s="106"/>
      <c r="F86" s="106"/>
      <c r="G86" s="106"/>
      <c r="H86" s="106"/>
      <c r="I86" s="106"/>
      <c r="J86" s="106"/>
      <c r="K86" s="106"/>
      <c r="L86" s="106"/>
      <c r="M86" s="106"/>
      <c r="N86" s="106"/>
      <c r="O86" s="106"/>
      <c r="P86" s="106"/>
      <c r="Q86" s="106"/>
      <c r="R86" s="106"/>
      <c r="S86" s="106"/>
      <c r="T86" s="106"/>
      <c r="U86" s="106"/>
      <c r="V86" s="106"/>
      <c r="W86" s="106"/>
      <c r="X86" s="106"/>
      <c r="Y86" s="106"/>
      <c r="DA86" s="171"/>
    </row>
    <row r="87" spans="1:105" ht="11.45" customHeight="1" x14ac:dyDescent="0.25">
      <c r="A87" s="53" t="s">
        <v>74</v>
      </c>
      <c r="B87" s="62"/>
      <c r="C87" s="62"/>
      <c r="D87" s="62"/>
      <c r="E87" s="62"/>
      <c r="F87" s="62"/>
      <c r="G87" s="62"/>
      <c r="H87" s="62"/>
      <c r="I87" s="62"/>
      <c r="J87" s="62"/>
      <c r="K87" s="62"/>
      <c r="L87" s="62"/>
      <c r="M87" s="62"/>
      <c r="N87" s="62"/>
      <c r="O87" s="62"/>
      <c r="P87" s="62"/>
      <c r="Q87" s="62"/>
      <c r="R87" s="62"/>
      <c r="S87" s="62"/>
      <c r="T87" s="62"/>
      <c r="U87" s="62"/>
      <c r="V87" s="62"/>
      <c r="W87" s="62"/>
      <c r="X87" s="62"/>
      <c r="Y87" s="62"/>
      <c r="DA87" s="172"/>
    </row>
    <row r="88" spans="1:105" ht="11.45" customHeight="1" x14ac:dyDescent="0.25">
      <c r="A88" s="27" t="s">
        <v>155</v>
      </c>
      <c r="B88" s="29">
        <f>IF(TrRoad_act!B4=0,0,B18/TrRoad_act!B4*1000)</f>
        <v>42.218881522851703</v>
      </c>
      <c r="C88" s="29">
        <f>IF(TrRoad_act!C4=0,0,C18/TrRoad_act!C4*1000)</f>
        <v>42.339442112575369</v>
      </c>
      <c r="D88" s="29">
        <f>IF(TrRoad_act!D4=0,0,D18/TrRoad_act!D4*1000)</f>
        <v>42.39648161300957</v>
      </c>
      <c r="E88" s="29">
        <f>IF(TrRoad_act!E4=0,0,E18/TrRoad_act!E4*1000)</f>
        <v>41.961197552616476</v>
      </c>
      <c r="F88" s="29">
        <f>IF(TrRoad_act!F4=0,0,F18/TrRoad_act!F4*1000)</f>
        <v>40.681245504304627</v>
      </c>
      <c r="G88" s="29">
        <f>IF(TrRoad_act!G4=0,0,G18/TrRoad_act!G4*1000)</f>
        <v>41.493271285988762</v>
      </c>
      <c r="H88" s="29">
        <f>IF(TrRoad_act!H4=0,0,H18/TrRoad_act!H4*1000)</f>
        <v>42.640266450018636</v>
      </c>
      <c r="I88" s="29">
        <f>IF(TrRoad_act!I4=0,0,I18/TrRoad_act!I4*1000)</f>
        <v>42.69321903056035</v>
      </c>
      <c r="J88" s="29">
        <f>IF(TrRoad_act!J4=0,0,J18/TrRoad_act!J4*1000)</f>
        <v>43.358939206762265</v>
      </c>
      <c r="K88" s="29">
        <f>IF(TrRoad_act!K4=0,0,K18/TrRoad_act!K4*1000)</f>
        <v>43.480728445602871</v>
      </c>
      <c r="L88" s="29">
        <f>IF(TrRoad_act!L4=0,0,L18/TrRoad_act!L4*1000)</f>
        <v>43.692494747349059</v>
      </c>
      <c r="M88" s="29">
        <f>IF(TrRoad_act!M4=0,0,M18/TrRoad_act!M4*1000)</f>
        <v>43.59618306900267</v>
      </c>
      <c r="N88" s="29">
        <f>IF(TrRoad_act!N4=0,0,N18/TrRoad_act!N4*1000)</f>
        <v>43.23547164719681</v>
      </c>
      <c r="O88" s="29">
        <f>IF(TrRoad_act!O4=0,0,O18/TrRoad_act!O4*1000)</f>
        <v>40.412520660828505</v>
      </c>
      <c r="P88" s="29">
        <f>IF(TrRoad_act!P4=0,0,P18/TrRoad_act!P4*1000)</f>
        <v>39.230752251364095</v>
      </c>
      <c r="Q88" s="29">
        <f>IF(TrRoad_act!Q4=0,0,Q18/TrRoad_act!Q4*1000)</f>
        <v>40.064934542434997</v>
      </c>
      <c r="R88" s="29">
        <f>IF(TrRoad_act!R4=0,0,R18/TrRoad_act!R4*1000)</f>
        <v>39.888095568053231</v>
      </c>
      <c r="S88" s="29">
        <f>IF(TrRoad_act!S4=0,0,S18/TrRoad_act!S4*1000)</f>
        <v>41.186899688411692</v>
      </c>
      <c r="T88" s="29">
        <f>IF(TrRoad_act!T4=0,0,T18/TrRoad_act!T4*1000)</f>
        <v>38.616470654472451</v>
      </c>
      <c r="U88" s="29">
        <f>IF(TrRoad_act!U4=0,0,U18/TrRoad_act!U4*1000)</f>
        <v>38.212229515085355</v>
      </c>
      <c r="V88" s="29">
        <f>IF(TrRoad_act!V4=0,0,V18/TrRoad_act!V4*1000)</f>
        <v>42.966739271175818</v>
      </c>
      <c r="W88" s="29">
        <f>IF(TrRoad_act!W4=0,0,W18/TrRoad_act!W4*1000)</f>
        <v>42.342306102229536</v>
      </c>
      <c r="X88" s="29">
        <f>IF(TrRoad_act!X4=0,0,X18/TrRoad_act!X4*1000)</f>
        <v>39.040011472725361</v>
      </c>
      <c r="Y88" s="29">
        <f>IF(TrRoad_act!Y4=0,0,Y18/TrRoad_act!Y4*1000)</f>
        <v>38.524627943916514</v>
      </c>
      <c r="DA88" s="173" t="s">
        <v>416</v>
      </c>
    </row>
    <row r="89" spans="1:105" ht="11.45" customHeight="1" x14ac:dyDescent="0.25">
      <c r="A89" s="136" t="s">
        <v>173</v>
      </c>
      <c r="B89" s="152">
        <f>IF(TrRoad_act!B5=0,0,B19/TrRoad_act!B5*1000)</f>
        <v>37.066341519539584</v>
      </c>
      <c r="C89" s="152">
        <f>IF(TrRoad_act!C5=0,0,C19/TrRoad_act!C5*1000)</f>
        <v>36.923674201835134</v>
      </c>
      <c r="D89" s="152">
        <f>IF(TrRoad_act!D5=0,0,D19/TrRoad_act!D5*1000)</f>
        <v>36.512093284068719</v>
      </c>
      <c r="E89" s="152">
        <f>IF(TrRoad_act!E5=0,0,E19/TrRoad_act!E5*1000)</f>
        <v>36.285469767252792</v>
      </c>
      <c r="F89" s="152">
        <f>IF(TrRoad_act!F5=0,0,F19/TrRoad_act!F5*1000)</f>
        <v>36.019220998867958</v>
      </c>
      <c r="G89" s="152">
        <f>IF(TrRoad_act!G5=0,0,G19/TrRoad_act!G5*1000)</f>
        <v>35.55247084971068</v>
      </c>
      <c r="H89" s="152">
        <f>IF(TrRoad_act!H5=0,0,H19/TrRoad_act!H5*1000)</f>
        <v>34.603869379982513</v>
      </c>
      <c r="I89" s="152">
        <f>IF(TrRoad_act!I5=0,0,I19/TrRoad_act!I5*1000)</f>
        <v>34.057046569713272</v>
      </c>
      <c r="J89" s="152">
        <f>IF(TrRoad_act!J5=0,0,J19/TrRoad_act!J5*1000)</f>
        <v>33.418808328892389</v>
      </c>
      <c r="K89" s="152">
        <f>IF(TrRoad_act!K5=0,0,K19/TrRoad_act!K5*1000)</f>
        <v>32.727762961896481</v>
      </c>
      <c r="L89" s="152">
        <f>IF(TrRoad_act!L5=0,0,L19/TrRoad_act!L5*1000)</f>
        <v>32.168969575086535</v>
      </c>
      <c r="M89" s="152">
        <f>IF(TrRoad_act!M5=0,0,M19/TrRoad_act!M5*1000)</f>
        <v>31.750653722097365</v>
      </c>
      <c r="N89" s="152">
        <f>IF(TrRoad_act!N5=0,0,N19/TrRoad_act!N5*1000)</f>
        <v>31.680363889190197</v>
      </c>
      <c r="O89" s="152">
        <f>IF(TrRoad_act!O5=0,0,O19/TrRoad_act!O5*1000)</f>
        <v>31.278466596698756</v>
      </c>
      <c r="P89" s="152">
        <f>IF(TrRoad_act!P5=0,0,P19/TrRoad_act!P5*1000)</f>
        <v>30.783816773565739</v>
      </c>
      <c r="Q89" s="152">
        <f>IF(TrRoad_act!Q5=0,0,Q19/TrRoad_act!Q5*1000)</f>
        <v>30.389136757402358</v>
      </c>
      <c r="R89" s="152">
        <f>IF(TrRoad_act!R5=0,0,R19/TrRoad_act!R5*1000)</f>
        <v>29.839980015130095</v>
      </c>
      <c r="S89" s="152">
        <f>IF(TrRoad_act!S5=0,0,S19/TrRoad_act!S5*1000)</f>
        <v>29.456216386353905</v>
      </c>
      <c r="T89" s="152">
        <f>IF(TrRoad_act!T5=0,0,T19/TrRoad_act!T5*1000)</f>
        <v>29.175170755451056</v>
      </c>
      <c r="U89" s="152">
        <f>IF(TrRoad_act!U5=0,0,U19/TrRoad_act!U5*1000)</f>
        <v>28.662795320295466</v>
      </c>
      <c r="V89" s="152">
        <f>IF(TrRoad_act!V5=0,0,V19/TrRoad_act!V5*1000)</f>
        <v>28.272231578737884</v>
      </c>
      <c r="W89" s="152">
        <f>IF(TrRoad_act!W5=0,0,W19/TrRoad_act!W5*1000)</f>
        <v>27.905002092045041</v>
      </c>
      <c r="X89" s="152">
        <f>IF(TrRoad_act!X5=0,0,X19/TrRoad_act!X5*1000)</f>
        <v>27.696996878713438</v>
      </c>
      <c r="Y89" s="152">
        <f>IF(TrRoad_act!Y5=0,0,Y19/TrRoad_act!Y5*1000)</f>
        <v>27.556497855008466</v>
      </c>
      <c r="DA89" s="174" t="s">
        <v>417</v>
      </c>
    </row>
    <row r="90" spans="1:105" ht="11.45" customHeight="1" x14ac:dyDescent="0.25">
      <c r="A90" s="109" t="s">
        <v>20</v>
      </c>
      <c r="B90" s="116">
        <f>IF(TrRoad_act!B6=0,0,B21/TrRoad_act!B6*1000)</f>
        <v>41.150050066614519</v>
      </c>
      <c r="C90" s="116">
        <f>IF(TrRoad_act!C6=0,0,C21/TrRoad_act!C6*1000)</f>
        <v>41.384360753624918</v>
      </c>
      <c r="D90" s="116">
        <f>IF(TrRoad_act!D6=0,0,D21/TrRoad_act!D6*1000)</f>
        <v>41.427323875929197</v>
      </c>
      <c r="E90" s="116">
        <f>IF(TrRoad_act!E6=0,0,E21/TrRoad_act!E6*1000)</f>
        <v>41.100858295706566</v>
      </c>
      <c r="F90" s="116">
        <f>IF(TrRoad_act!F6=0,0,F21/TrRoad_act!F6*1000)</f>
        <v>39.858293889856498</v>
      </c>
      <c r="G90" s="116">
        <f>IF(TrRoad_act!G6=0,0,G21/TrRoad_act!G6*1000)</f>
        <v>40.74158227680681</v>
      </c>
      <c r="H90" s="116">
        <f>IF(TrRoad_act!H6=0,0,H21/TrRoad_act!H6*1000)</f>
        <v>42.035479841401234</v>
      </c>
      <c r="I90" s="116">
        <f>IF(TrRoad_act!I6=0,0,I21/TrRoad_act!I6*1000)</f>
        <v>42.168996209012718</v>
      </c>
      <c r="J90" s="116">
        <f>IF(TrRoad_act!J6=0,0,J21/TrRoad_act!J6*1000)</f>
        <v>42.860358641285536</v>
      </c>
      <c r="K90" s="116">
        <f>IF(TrRoad_act!K6=0,0,K21/TrRoad_act!K6*1000)</f>
        <v>42.885404001440499</v>
      </c>
      <c r="L90" s="116">
        <f>IF(TrRoad_act!L6=0,0,L21/TrRoad_act!L6*1000)</f>
        <v>43.01742970328494</v>
      </c>
      <c r="M90" s="116">
        <f>IF(TrRoad_act!M6=0,0,M21/TrRoad_act!M6*1000)</f>
        <v>43.032462871956177</v>
      </c>
      <c r="N90" s="116">
        <f>IF(TrRoad_act!N6=0,0,N21/TrRoad_act!N6*1000)</f>
        <v>42.523250307964396</v>
      </c>
      <c r="O90" s="116">
        <f>IF(TrRoad_act!O6=0,0,O21/TrRoad_act!O6*1000)</f>
        <v>39.826504000230024</v>
      </c>
      <c r="P90" s="116">
        <f>IF(TrRoad_act!P6=0,0,P21/TrRoad_act!P6*1000)</f>
        <v>38.634989881025845</v>
      </c>
      <c r="Q90" s="116">
        <f>IF(TrRoad_act!Q6=0,0,Q21/TrRoad_act!Q6*1000)</f>
        <v>39.660618943439964</v>
      </c>
      <c r="R90" s="116">
        <f>IF(TrRoad_act!R6=0,0,R21/TrRoad_act!R6*1000)</f>
        <v>39.487657753609632</v>
      </c>
      <c r="S90" s="116">
        <f>IF(TrRoad_act!S6=0,0,S21/TrRoad_act!S6*1000)</f>
        <v>40.582458707980003</v>
      </c>
      <c r="T90" s="116">
        <f>IF(TrRoad_act!T6=0,0,T21/TrRoad_act!T6*1000)</f>
        <v>38.255723397485454</v>
      </c>
      <c r="U90" s="116">
        <f>IF(TrRoad_act!U6=0,0,U21/TrRoad_act!U6*1000)</f>
        <v>37.974625797295715</v>
      </c>
      <c r="V90" s="116">
        <f>IF(TrRoad_act!V6=0,0,V21/TrRoad_act!V6*1000)</f>
        <v>42.415801943258792</v>
      </c>
      <c r="W90" s="116">
        <f>IF(TrRoad_act!W6=0,0,W21/TrRoad_act!W6*1000)</f>
        <v>42.117554010359385</v>
      </c>
      <c r="X90" s="116">
        <f>IF(TrRoad_act!X6=0,0,X21/TrRoad_act!X6*1000)</f>
        <v>39.055154113643717</v>
      </c>
      <c r="Y90" s="116">
        <f>IF(TrRoad_act!Y6=0,0,Y21/TrRoad_act!Y6*1000)</f>
        <v>38.575556899816796</v>
      </c>
      <c r="DA90" s="176" t="s">
        <v>418</v>
      </c>
    </row>
    <row r="91" spans="1:105" ht="11.45" customHeight="1" x14ac:dyDescent="0.25">
      <c r="A91" s="111" t="s">
        <v>110</v>
      </c>
      <c r="B91" s="87">
        <f>IF(TrRoad_act!B7=0,0,B22/TrRoad_act!B7*1000)</f>
        <v>40.007604013004112</v>
      </c>
      <c r="C91" s="87">
        <f>IF(TrRoad_act!C7=0,0,C22/TrRoad_act!C7*1000)</f>
        <v>41.470183672646328</v>
      </c>
      <c r="D91" s="87">
        <f>IF(TrRoad_act!D7=0,0,D22/TrRoad_act!D7*1000)</f>
        <v>41.776182399766306</v>
      </c>
      <c r="E91" s="87">
        <f>IF(TrRoad_act!E7=0,0,E22/TrRoad_act!E7*1000)</f>
        <v>41.94579443290877</v>
      </c>
      <c r="F91" s="87">
        <f>IF(TrRoad_act!F7=0,0,F22/TrRoad_act!F7*1000)</f>
        <v>40.37403116868537</v>
      </c>
      <c r="G91" s="87">
        <f>IF(TrRoad_act!G7=0,0,G22/TrRoad_act!G7*1000)</f>
        <v>41.026104289962319</v>
      </c>
      <c r="H91" s="87">
        <f>IF(TrRoad_act!H7=0,0,H22/TrRoad_act!H7*1000)</f>
        <v>42.662115662853857</v>
      </c>
      <c r="I91" s="87">
        <f>IF(TrRoad_act!I7=0,0,I22/TrRoad_act!I7*1000)</f>
        <v>43.081482898731608</v>
      </c>
      <c r="J91" s="87">
        <f>IF(TrRoad_act!J7=0,0,J22/TrRoad_act!J7*1000)</f>
        <v>43.1017691010654</v>
      </c>
      <c r="K91" s="87">
        <f>IF(TrRoad_act!K7=0,0,K22/TrRoad_act!K7*1000)</f>
        <v>42.823156729705779</v>
      </c>
      <c r="L91" s="87">
        <f>IF(TrRoad_act!L7=0,0,L22/TrRoad_act!L7*1000)</f>
        <v>42.938780486914645</v>
      </c>
      <c r="M91" s="87">
        <f>IF(TrRoad_act!M7=0,0,M22/TrRoad_act!M7*1000)</f>
        <v>43.140947612012049</v>
      </c>
      <c r="N91" s="87">
        <f>IF(TrRoad_act!N7=0,0,N22/TrRoad_act!N7*1000)</f>
        <v>42.917416203315909</v>
      </c>
      <c r="O91" s="87">
        <f>IF(TrRoad_act!O7=0,0,O22/TrRoad_act!O7*1000)</f>
        <v>40.278921383266074</v>
      </c>
      <c r="P91" s="87">
        <f>IF(TrRoad_act!P7=0,0,P22/TrRoad_act!P7*1000)</f>
        <v>39.402754750707771</v>
      </c>
      <c r="Q91" s="87">
        <f>IF(TrRoad_act!Q7=0,0,Q22/TrRoad_act!Q7*1000)</f>
        <v>40.855649064272619</v>
      </c>
      <c r="R91" s="87">
        <f>IF(TrRoad_act!R7=0,0,R22/TrRoad_act!R7*1000)</f>
        <v>40.505328141348173</v>
      </c>
      <c r="S91" s="87">
        <f>IF(TrRoad_act!S7=0,0,S22/TrRoad_act!S7*1000)</f>
        <v>41.934880246592058</v>
      </c>
      <c r="T91" s="87">
        <f>IF(TrRoad_act!T7=0,0,T22/TrRoad_act!T7*1000)</f>
        <v>39.789977271899815</v>
      </c>
      <c r="U91" s="87">
        <f>IF(TrRoad_act!U7=0,0,U22/TrRoad_act!U7*1000)</f>
        <v>39.847972530605738</v>
      </c>
      <c r="V91" s="87">
        <f>IF(TrRoad_act!V7=0,0,V22/TrRoad_act!V7*1000)</f>
        <v>44.322817890156401</v>
      </c>
      <c r="W91" s="87">
        <f>IF(TrRoad_act!W7=0,0,W22/TrRoad_act!W7*1000)</f>
        <v>45.548772757129314</v>
      </c>
      <c r="X91" s="87">
        <f>IF(TrRoad_act!X7=0,0,X22/TrRoad_act!X7*1000)</f>
        <v>41.336660909186747</v>
      </c>
      <c r="Y91" s="87">
        <f>IF(TrRoad_act!Y7=0,0,Y22/TrRoad_act!Y7*1000)</f>
        <v>41.92318576651752</v>
      </c>
      <c r="DA91" s="171" t="s">
        <v>698</v>
      </c>
    </row>
    <row r="92" spans="1:105" ht="11.45" customHeight="1" x14ac:dyDescent="0.25">
      <c r="A92" s="111" t="s">
        <v>111</v>
      </c>
      <c r="B92" s="87">
        <f>IF(TrRoad_act!B8=0,0,B24/TrRoad_act!B8*1000)</f>
        <v>42.355543761263384</v>
      </c>
      <c r="C92" s="87">
        <f>IF(TrRoad_act!C8=0,0,C24/TrRoad_act!C8*1000)</f>
        <v>40.364809826498401</v>
      </c>
      <c r="D92" s="87">
        <f>IF(TrRoad_act!D8=0,0,D24/TrRoad_act!D8*1000)</f>
        <v>39.801094436012349</v>
      </c>
      <c r="E92" s="87">
        <f>IF(TrRoad_act!E8=0,0,E24/TrRoad_act!E8*1000)</f>
        <v>39.283236253925431</v>
      </c>
      <c r="F92" s="87">
        <f>IF(TrRoad_act!F8=0,0,F24/TrRoad_act!F8*1000)</f>
        <v>38.456144578080071</v>
      </c>
      <c r="G92" s="87">
        <f>IF(TrRoad_act!G8=0,0,G24/TrRoad_act!G8*1000)</f>
        <v>39.499133256333678</v>
      </c>
      <c r="H92" s="87">
        <f>IF(TrRoad_act!H8=0,0,H24/TrRoad_act!H8*1000)</f>
        <v>39.997783295748029</v>
      </c>
      <c r="I92" s="87">
        <f>IF(TrRoad_act!I8=0,0,I24/TrRoad_act!I8*1000)</f>
        <v>40.397021527656015</v>
      </c>
      <c r="J92" s="87">
        <f>IF(TrRoad_act!J8=0,0,J24/TrRoad_act!J8*1000)</f>
        <v>41.510391389117125</v>
      </c>
      <c r="K92" s="87">
        <f>IF(TrRoad_act!K8=0,0,K24/TrRoad_act!K8*1000)</f>
        <v>41.416221153692042</v>
      </c>
      <c r="L92" s="87">
        <f>IF(TrRoad_act!L8=0,0,L24/TrRoad_act!L8*1000)</f>
        <v>41.451453689082349</v>
      </c>
      <c r="M92" s="87">
        <f>IF(TrRoad_act!M8=0,0,M24/TrRoad_act!M8*1000)</f>
        <v>41.055390514761434</v>
      </c>
      <c r="N92" s="87">
        <f>IF(TrRoad_act!N8=0,0,N24/TrRoad_act!N8*1000)</f>
        <v>39.369849063631321</v>
      </c>
      <c r="O92" s="87">
        <f>IF(TrRoad_act!O8=0,0,O24/TrRoad_act!O8*1000)</f>
        <v>37.017547752990751</v>
      </c>
      <c r="P92" s="87">
        <f>IF(TrRoad_act!P8=0,0,P24/TrRoad_act!P8*1000)</f>
        <v>36.278963311173001</v>
      </c>
      <c r="Q92" s="87">
        <f>IF(TrRoad_act!Q8=0,0,Q24/TrRoad_act!Q8*1000)</f>
        <v>37.013343957560288</v>
      </c>
      <c r="R92" s="87">
        <f>IF(TrRoad_act!R8=0,0,R24/TrRoad_act!R8*1000)</f>
        <v>37.017760145451014</v>
      </c>
      <c r="S92" s="87">
        <f>IF(TrRoad_act!S8=0,0,S24/TrRoad_act!S8*1000)</f>
        <v>37.563842243803244</v>
      </c>
      <c r="T92" s="87">
        <f>IF(TrRoad_act!T8=0,0,T24/TrRoad_act!T8*1000)</f>
        <v>34.858352174916178</v>
      </c>
      <c r="U92" s="87">
        <f>IF(TrRoad_act!U8=0,0,U24/TrRoad_act!U8*1000)</f>
        <v>34.478999913576118</v>
      </c>
      <c r="V92" s="87">
        <f>IF(TrRoad_act!V8=0,0,V24/TrRoad_act!V8*1000)</f>
        <v>38.918839631063271</v>
      </c>
      <c r="W92" s="87">
        <f>IF(TrRoad_act!W8=0,0,W24/TrRoad_act!W8*1000)</f>
        <v>37.496500986927174</v>
      </c>
      <c r="X92" s="87">
        <f>IF(TrRoad_act!X8=0,0,X24/TrRoad_act!X8*1000)</f>
        <v>37.357141724392164</v>
      </c>
      <c r="Y92" s="87">
        <f>IF(TrRoad_act!Y8=0,0,Y24/TrRoad_act!Y8*1000)</f>
        <v>35.472697700816212</v>
      </c>
      <c r="DA92" s="171" t="s">
        <v>699</v>
      </c>
    </row>
    <row r="93" spans="1:105" ht="11.45" customHeight="1" x14ac:dyDescent="0.25">
      <c r="A93" s="111" t="s">
        <v>112</v>
      </c>
      <c r="B93" s="87">
        <f>IF(TrRoad_act!B9=0,0,B26/TrRoad_act!B9*1000)</f>
        <v>46.626785862573783</v>
      </c>
      <c r="C93" s="87">
        <f>IF(TrRoad_act!C9=0,0,C26/TrRoad_act!C9*1000)</f>
        <v>43.925534562754024</v>
      </c>
      <c r="D93" s="87">
        <f>IF(TrRoad_act!D9=0,0,D26/TrRoad_act!D9*1000)</f>
        <v>44.239367388712949</v>
      </c>
      <c r="E93" s="87">
        <f>IF(TrRoad_act!E9=0,0,E26/TrRoad_act!E9*1000)</f>
        <v>40.805441544952672</v>
      </c>
      <c r="F93" s="87">
        <f>IF(TrRoad_act!F9=0,0,F26/TrRoad_act!F9*1000)</f>
        <v>41.083057470852509</v>
      </c>
      <c r="G93" s="87">
        <f>IF(TrRoad_act!G9=0,0,G26/TrRoad_act!G9*1000)</f>
        <v>43.885994053282111</v>
      </c>
      <c r="H93" s="87">
        <f>IF(TrRoad_act!H9=0,0,H26/TrRoad_act!H9*1000)</f>
        <v>46.515934765042914</v>
      </c>
      <c r="I93" s="87">
        <f>IF(TrRoad_act!I9=0,0,I26/TrRoad_act!I9*1000)</f>
        <v>42.373629516291771</v>
      </c>
      <c r="J93" s="87">
        <f>IF(TrRoad_act!J9=0,0,J26/TrRoad_act!J9*1000)</f>
        <v>49.102620887454222</v>
      </c>
      <c r="K93" s="87">
        <f>IF(TrRoad_act!K9=0,0,K26/TrRoad_act!K9*1000)</f>
        <v>55.283340492562679</v>
      </c>
      <c r="L93" s="87">
        <f>IF(TrRoad_act!L9=0,0,L26/TrRoad_act!L9*1000)</f>
        <v>57.703674515014264</v>
      </c>
      <c r="M93" s="87">
        <f>IF(TrRoad_act!M9=0,0,M26/TrRoad_act!M9*1000)</f>
        <v>60.555391332169187</v>
      </c>
      <c r="N93" s="87">
        <f>IF(TrRoad_act!N9=0,0,N26/TrRoad_act!N9*1000)</f>
        <v>71.15426547491181</v>
      </c>
      <c r="O93" s="87">
        <f>IF(TrRoad_act!O9=0,0,O26/TrRoad_act!O9*1000)</f>
        <v>65.633510066960127</v>
      </c>
      <c r="P93" s="87">
        <f>IF(TrRoad_act!P9=0,0,P26/TrRoad_act!P9*1000)</f>
        <v>53.718722926267212</v>
      </c>
      <c r="Q93" s="87">
        <f>IF(TrRoad_act!Q9=0,0,Q26/TrRoad_act!Q9*1000)</f>
        <v>52.237032498275234</v>
      </c>
      <c r="R93" s="87">
        <f>IF(TrRoad_act!R9=0,0,R26/TrRoad_act!R9*1000)</f>
        <v>56.949397536939642</v>
      </c>
      <c r="S93" s="87">
        <f>IF(TrRoad_act!S9=0,0,S26/TrRoad_act!S9*1000)</f>
        <v>55.011231137601754</v>
      </c>
      <c r="T93" s="87">
        <f>IF(TrRoad_act!T9=0,0,T26/TrRoad_act!T9*1000)</f>
        <v>51.403356541299424</v>
      </c>
      <c r="U93" s="87">
        <f>IF(TrRoad_act!U9=0,0,U26/TrRoad_act!U9*1000)</f>
        <v>43.120644336328319</v>
      </c>
      <c r="V93" s="87">
        <f>IF(TrRoad_act!V9=0,0,V26/TrRoad_act!V9*1000)</f>
        <v>51.992268782625722</v>
      </c>
      <c r="W93" s="87">
        <f>IF(TrRoad_act!W9=0,0,W26/TrRoad_act!W9*1000)</f>
        <v>56.459155043718489</v>
      </c>
      <c r="X93" s="87">
        <f>IF(TrRoad_act!X9=0,0,X26/TrRoad_act!X9*1000)</f>
        <v>57.205813107209465</v>
      </c>
      <c r="Y93" s="87">
        <f>IF(TrRoad_act!Y9=0,0,Y26/TrRoad_act!Y9*1000)</f>
        <v>50.4240570809907</v>
      </c>
      <c r="DA93" s="171" t="s">
        <v>700</v>
      </c>
    </row>
    <row r="94" spans="1:105" ht="11.45" customHeight="1" x14ac:dyDescent="0.25">
      <c r="A94" s="111" t="s">
        <v>113</v>
      </c>
      <c r="B94" s="87">
        <f>IF(TrRoad_act!B10=0,0,B27/TrRoad_act!B10*1000)</f>
        <v>0</v>
      </c>
      <c r="C94" s="87">
        <f>IF(TrRoad_act!C10=0,0,C27/TrRoad_act!C10*1000)</f>
        <v>0</v>
      </c>
      <c r="D94" s="87">
        <f>IF(TrRoad_act!D10=0,0,D27/TrRoad_act!D10*1000)</f>
        <v>0</v>
      </c>
      <c r="E94" s="87">
        <f>IF(TrRoad_act!E10=0,0,E27/TrRoad_act!E10*1000)</f>
        <v>0</v>
      </c>
      <c r="F94" s="87">
        <f>IF(TrRoad_act!F10=0,0,F27/TrRoad_act!F10*1000)</f>
        <v>0</v>
      </c>
      <c r="G94" s="87">
        <f>IF(TrRoad_act!G10=0,0,G27/TrRoad_act!G10*1000)</f>
        <v>0</v>
      </c>
      <c r="H94" s="87">
        <f>IF(TrRoad_act!H10=0,0,H27/TrRoad_act!H10*1000)</f>
        <v>0</v>
      </c>
      <c r="I94" s="87">
        <f>IF(TrRoad_act!I10=0,0,I27/TrRoad_act!I10*1000)</f>
        <v>0</v>
      </c>
      <c r="J94" s="87">
        <f>IF(TrRoad_act!J10=0,0,J27/TrRoad_act!J10*1000)</f>
        <v>0</v>
      </c>
      <c r="K94" s="87">
        <f>IF(TrRoad_act!K10=0,0,K27/TrRoad_act!K10*1000)</f>
        <v>0</v>
      </c>
      <c r="L94" s="87">
        <f>IF(TrRoad_act!L10=0,0,L27/TrRoad_act!L10*1000)</f>
        <v>57.079091314855965</v>
      </c>
      <c r="M94" s="87">
        <f>IF(TrRoad_act!M10=0,0,M27/TrRoad_act!M10*1000)</f>
        <v>57.864776394278842</v>
      </c>
      <c r="N94" s="87">
        <f>IF(TrRoad_act!N10=0,0,N27/TrRoad_act!N10*1000)</f>
        <v>53.052115498317761</v>
      </c>
      <c r="O94" s="87">
        <f>IF(TrRoad_act!O10=0,0,O27/TrRoad_act!O10*1000)</f>
        <v>49.312417494851616</v>
      </c>
      <c r="P94" s="87">
        <f>IF(TrRoad_act!P10=0,0,P27/TrRoad_act!P10*1000)</f>
        <v>44.696585563436216</v>
      </c>
      <c r="Q94" s="87">
        <f>IF(TrRoad_act!Q10=0,0,Q27/TrRoad_act!Q10*1000)</f>
        <v>46.516808225702569</v>
      </c>
      <c r="R94" s="87">
        <f>IF(TrRoad_act!R10=0,0,R27/TrRoad_act!R10*1000)</f>
        <v>40.812252492082649</v>
      </c>
      <c r="S94" s="87">
        <f>IF(TrRoad_act!S10=0,0,S27/TrRoad_act!S10*1000)</f>
        <v>50.082432396623275</v>
      </c>
      <c r="T94" s="87">
        <f>IF(TrRoad_act!T10=0,0,T27/TrRoad_act!T10*1000)</f>
        <v>53.230526750401125</v>
      </c>
      <c r="U94" s="87">
        <f>IF(TrRoad_act!U10=0,0,U27/TrRoad_act!U10*1000)</f>
        <v>53.861613554975037</v>
      </c>
      <c r="V94" s="87">
        <f>IF(TrRoad_act!V10=0,0,V27/TrRoad_act!V10*1000)</f>
        <v>62.009808235367814</v>
      </c>
      <c r="W94" s="87">
        <f>IF(TrRoad_act!W10=0,0,W27/TrRoad_act!W10*1000)</f>
        <v>61.438897379659792</v>
      </c>
      <c r="X94" s="87">
        <f>IF(TrRoad_act!X10=0,0,X27/TrRoad_act!X10*1000)</f>
        <v>61.846129708963431</v>
      </c>
      <c r="Y94" s="87">
        <f>IF(TrRoad_act!Y10=0,0,Y27/TrRoad_act!Y10*1000)</f>
        <v>58.124568795161814</v>
      </c>
      <c r="DA94" s="171" t="s">
        <v>701</v>
      </c>
    </row>
    <row r="95" spans="1:105" ht="11.45" customHeight="1" x14ac:dyDescent="0.25">
      <c r="A95" s="111" t="s">
        <v>114</v>
      </c>
      <c r="B95" s="87">
        <f>IF(TrRoad_act!B11=0,0,B29/TrRoad_act!B11*1000)</f>
        <v>0</v>
      </c>
      <c r="C95" s="87">
        <f>IF(TrRoad_act!C11=0,0,C29/TrRoad_act!C11*1000)</f>
        <v>0</v>
      </c>
      <c r="D95" s="87">
        <f>IF(TrRoad_act!D11=0,0,D29/TrRoad_act!D11*1000)</f>
        <v>0</v>
      </c>
      <c r="E95" s="87">
        <f>IF(TrRoad_act!E11=0,0,E29/TrRoad_act!E11*1000)</f>
        <v>0</v>
      </c>
      <c r="F95" s="87">
        <f>IF(TrRoad_act!F11=0,0,F29/TrRoad_act!F11*1000)</f>
        <v>0</v>
      </c>
      <c r="G95" s="87">
        <f>IF(TrRoad_act!G11=0,0,G29/TrRoad_act!G11*1000)</f>
        <v>0</v>
      </c>
      <c r="H95" s="87">
        <f>IF(TrRoad_act!H11=0,0,H29/TrRoad_act!H11*1000)</f>
        <v>0</v>
      </c>
      <c r="I95" s="87">
        <f>IF(TrRoad_act!I11=0,0,I29/TrRoad_act!I11*1000)</f>
        <v>0</v>
      </c>
      <c r="J95" s="87">
        <f>IF(TrRoad_act!J11=0,0,J29/TrRoad_act!J11*1000)</f>
        <v>0</v>
      </c>
      <c r="K95" s="87">
        <f>IF(TrRoad_act!K11=0,0,K29/TrRoad_act!K11*1000)</f>
        <v>0</v>
      </c>
      <c r="L95" s="87">
        <f>IF(TrRoad_act!L11=0,0,L29/TrRoad_act!L11*1000)</f>
        <v>0</v>
      </c>
      <c r="M95" s="87">
        <f>IF(TrRoad_act!M11=0,0,M29/TrRoad_act!M11*1000)</f>
        <v>21.459775771875321</v>
      </c>
      <c r="N95" s="87">
        <f>IF(TrRoad_act!N11=0,0,N29/TrRoad_act!N11*1000)</f>
        <v>16.304883031353903</v>
      </c>
      <c r="O95" s="87">
        <f>IF(TrRoad_act!O11=0,0,O29/TrRoad_act!O11*1000)</f>
        <v>16.959492166999169</v>
      </c>
      <c r="P95" s="87">
        <f>IF(TrRoad_act!P11=0,0,P29/TrRoad_act!P11*1000)</f>
        <v>21.353589446087554</v>
      </c>
      <c r="Q95" s="87">
        <f>IF(TrRoad_act!Q11=0,0,Q29/TrRoad_act!Q11*1000)</f>
        <v>21.185052029569519</v>
      </c>
      <c r="R95" s="87">
        <f>IF(TrRoad_act!R11=0,0,R29/TrRoad_act!R11*1000)</f>
        <v>21.060486254186578</v>
      </c>
      <c r="S95" s="87">
        <f>IF(TrRoad_act!S11=0,0,S29/TrRoad_act!S11*1000)</f>
        <v>21.93251997361066</v>
      </c>
      <c r="T95" s="87">
        <f>IF(TrRoad_act!T11=0,0,T29/TrRoad_act!T11*1000)</f>
        <v>21.196539090109798</v>
      </c>
      <c r="U95" s="87">
        <f>IF(TrRoad_act!U11=0,0,U29/TrRoad_act!U11*1000)</f>
        <v>21.662622151969252</v>
      </c>
      <c r="V95" s="87">
        <f>IF(TrRoad_act!V11=0,0,V29/TrRoad_act!V11*1000)</f>
        <v>25.698691642166203</v>
      </c>
      <c r="W95" s="87">
        <f>IF(TrRoad_act!W11=0,0,W29/TrRoad_act!W11*1000)</f>
        <v>25.663442560096208</v>
      </c>
      <c r="X95" s="87">
        <f>IF(TrRoad_act!X11=0,0,X29/TrRoad_act!X11*1000)</f>
        <v>24.197185587216719</v>
      </c>
      <c r="Y95" s="87">
        <f>IF(TrRoad_act!Y11=0,0,Y29/TrRoad_act!Y11*1000)</f>
        <v>23.424686040777726</v>
      </c>
      <c r="DA95" s="171" t="s">
        <v>702</v>
      </c>
    </row>
    <row r="96" spans="1:105" ht="11.45" customHeight="1" x14ac:dyDescent="0.25">
      <c r="A96" s="111" t="s">
        <v>115</v>
      </c>
      <c r="B96" s="87">
        <f>IF(TrRoad_act!B12=0,0,B32/TrRoad_act!B12*1000)</f>
        <v>0</v>
      </c>
      <c r="C96" s="87">
        <f>IF(TrRoad_act!C12=0,0,C32/TrRoad_act!C12*1000)</f>
        <v>0</v>
      </c>
      <c r="D96" s="87">
        <f>IF(TrRoad_act!D12=0,0,D32/TrRoad_act!D12*1000)</f>
        <v>0</v>
      </c>
      <c r="E96" s="87">
        <f>IF(TrRoad_act!E12=0,0,E32/TrRoad_act!E12*1000)</f>
        <v>0</v>
      </c>
      <c r="F96" s="87">
        <f>IF(TrRoad_act!F12=0,0,F32/TrRoad_act!F12*1000)</f>
        <v>0</v>
      </c>
      <c r="G96" s="87">
        <f>IF(TrRoad_act!G12=0,0,G32/TrRoad_act!G12*1000)</f>
        <v>0</v>
      </c>
      <c r="H96" s="87">
        <f>IF(TrRoad_act!H12=0,0,H32/TrRoad_act!H12*1000)</f>
        <v>0</v>
      </c>
      <c r="I96" s="87">
        <f>IF(TrRoad_act!I12=0,0,I32/TrRoad_act!I12*1000)</f>
        <v>0</v>
      </c>
      <c r="J96" s="87">
        <f>IF(TrRoad_act!J12=0,0,J32/TrRoad_act!J12*1000)</f>
        <v>0</v>
      </c>
      <c r="K96" s="87">
        <f>IF(TrRoad_act!K12=0,0,K32/TrRoad_act!K12*1000)</f>
        <v>13.243780182706214</v>
      </c>
      <c r="L96" s="87">
        <f>IF(TrRoad_act!L12=0,0,L32/TrRoad_act!L12*1000)</f>
        <v>13.223271859244194</v>
      </c>
      <c r="M96" s="87">
        <f>IF(TrRoad_act!M12=0,0,M32/TrRoad_act!M12*1000)</f>
        <v>13.488448963620305</v>
      </c>
      <c r="N96" s="87">
        <f>IF(TrRoad_act!N12=0,0,N32/TrRoad_act!N12*1000)</f>
        <v>12.596632317963211</v>
      </c>
      <c r="O96" s="87">
        <f>IF(TrRoad_act!O12=0,0,O32/TrRoad_act!O12*1000)</f>
        <v>11.430953467605217</v>
      </c>
      <c r="P96" s="87">
        <f>IF(TrRoad_act!P12=0,0,P32/TrRoad_act!P12*1000)</f>
        <v>11.325966242547894</v>
      </c>
      <c r="Q96" s="87">
        <f>IF(TrRoad_act!Q12=0,0,Q32/TrRoad_act!Q12*1000)</f>
        <v>12.319872095057329</v>
      </c>
      <c r="R96" s="87">
        <f>IF(TrRoad_act!R12=0,0,R32/TrRoad_act!R12*1000)</f>
        <v>12.447374210195607</v>
      </c>
      <c r="S96" s="87">
        <f>IF(TrRoad_act!S12=0,0,S32/TrRoad_act!S12*1000)</f>
        <v>12.334379083482677</v>
      </c>
      <c r="T96" s="87">
        <f>IF(TrRoad_act!T12=0,0,T32/TrRoad_act!T12*1000)</f>
        <v>12.710517699269264</v>
      </c>
      <c r="U96" s="87">
        <f>IF(TrRoad_act!U12=0,0,U32/TrRoad_act!U12*1000)</f>
        <v>12.563390866328847</v>
      </c>
      <c r="V96" s="87">
        <f>IF(TrRoad_act!V12=0,0,V32/TrRoad_act!V12*1000)</f>
        <v>13.834264367545027</v>
      </c>
      <c r="W96" s="87">
        <f>IF(TrRoad_act!W12=0,0,W32/TrRoad_act!W12*1000)</f>
        <v>13.528653375139491</v>
      </c>
      <c r="X96" s="87">
        <f>IF(TrRoad_act!X12=0,0,X32/TrRoad_act!X12*1000)</f>
        <v>13.583765714381506</v>
      </c>
      <c r="Y96" s="87">
        <f>IF(TrRoad_act!Y12=0,0,Y32/TrRoad_act!Y12*1000)</f>
        <v>13.116377780030904</v>
      </c>
      <c r="DA96" s="171" t="s">
        <v>703</v>
      </c>
    </row>
    <row r="97" spans="1:105" ht="11.45" customHeight="1" x14ac:dyDescent="0.25">
      <c r="A97" s="109" t="s">
        <v>21</v>
      </c>
      <c r="B97" s="116">
        <f>IF(TrRoad_act!B13=0,0,B33/TrRoad_act!B13*1000)</f>
        <v>78.703136111382307</v>
      </c>
      <c r="C97" s="116">
        <f>IF(TrRoad_act!C13=0,0,C33/TrRoad_act!C13*1000)</f>
        <v>75.410692171428281</v>
      </c>
      <c r="D97" s="116">
        <f>IF(TrRoad_act!D13=0,0,D33/TrRoad_act!D13*1000)</f>
        <v>78.996337458270403</v>
      </c>
      <c r="E97" s="116">
        <f>IF(TrRoad_act!E13=0,0,E33/TrRoad_act!E13*1000)</f>
        <v>73.877748506915623</v>
      </c>
      <c r="F97" s="116">
        <f>IF(TrRoad_act!F13=0,0,F33/TrRoad_act!F13*1000)</f>
        <v>70.752399176762395</v>
      </c>
      <c r="G97" s="116">
        <f>IF(TrRoad_act!G13=0,0,G33/TrRoad_act!G13*1000)</f>
        <v>69.522812685058213</v>
      </c>
      <c r="H97" s="116">
        <f>IF(TrRoad_act!H13=0,0,H33/TrRoad_act!H13*1000)</f>
        <v>67.619430762097394</v>
      </c>
      <c r="I97" s="116">
        <f>IF(TrRoad_act!I13=0,0,I33/TrRoad_act!I13*1000)</f>
        <v>66.052994217950015</v>
      </c>
      <c r="J97" s="116">
        <f>IF(TrRoad_act!J13=0,0,J33/TrRoad_act!J13*1000)</f>
        <v>67.318055299115727</v>
      </c>
      <c r="K97" s="116">
        <f>IF(TrRoad_act!K13=0,0,K33/TrRoad_act!K13*1000)</f>
        <v>72.51668260324297</v>
      </c>
      <c r="L97" s="116">
        <f>IF(TrRoad_act!L13=0,0,L33/TrRoad_act!L13*1000)</f>
        <v>75.940919542075008</v>
      </c>
      <c r="M97" s="116">
        <f>IF(TrRoad_act!M13=0,0,M33/TrRoad_act!M13*1000)</f>
        <v>72.249751332752894</v>
      </c>
      <c r="N97" s="116">
        <f>IF(TrRoad_act!N13=0,0,N33/TrRoad_act!N13*1000)</f>
        <v>78.501019801116541</v>
      </c>
      <c r="O97" s="116">
        <f>IF(TrRoad_act!O13=0,0,O33/TrRoad_act!O13*1000)</f>
        <v>68.662239857750876</v>
      </c>
      <c r="P97" s="116">
        <f>IF(TrRoad_act!P13=0,0,P33/TrRoad_act!P13*1000)</f>
        <v>67.290932800668855</v>
      </c>
      <c r="Q97" s="116">
        <f>IF(TrRoad_act!Q13=0,0,Q33/TrRoad_act!Q13*1000)</f>
        <v>61.600971878710808</v>
      </c>
      <c r="R97" s="116">
        <f>IF(TrRoad_act!R13=0,0,R33/TrRoad_act!R13*1000)</f>
        <v>61.657147299511102</v>
      </c>
      <c r="S97" s="116">
        <f>IF(TrRoad_act!S13=0,0,S33/TrRoad_act!S13*1000)</f>
        <v>71.728909179412625</v>
      </c>
      <c r="T97" s="116">
        <f>IF(TrRoad_act!T13=0,0,T33/TrRoad_act!T13*1000)</f>
        <v>56.350050843213843</v>
      </c>
      <c r="U97" s="116">
        <f>IF(TrRoad_act!U13=0,0,U33/TrRoad_act!U13*1000)</f>
        <v>53.220201735109185</v>
      </c>
      <c r="V97" s="116">
        <f>IF(TrRoad_act!V13=0,0,V33/TrRoad_act!V13*1000)</f>
        <v>93.355353883424527</v>
      </c>
      <c r="W97" s="116">
        <f>IF(TrRoad_act!W13=0,0,W33/TrRoad_act!W13*1000)</f>
        <v>73.201486852323981</v>
      </c>
      <c r="X97" s="116">
        <f>IF(TrRoad_act!X13=0,0,X33/TrRoad_act!X13*1000)</f>
        <v>50.836637770550269</v>
      </c>
      <c r="Y97" s="116">
        <f>IF(TrRoad_act!Y13=0,0,Y33/TrRoad_act!Y13*1000)</f>
        <v>49.227395671133507</v>
      </c>
      <c r="DA97" s="176" t="s">
        <v>419</v>
      </c>
    </row>
    <row r="98" spans="1:105" ht="11.45" customHeight="1" x14ac:dyDescent="0.25">
      <c r="A98" s="111" t="s">
        <v>110</v>
      </c>
      <c r="B98" s="101">
        <f>IF(TrRoad_act!B14=0,0,B34/TrRoad_act!B14*1000)</f>
        <v>29.538678752651734</v>
      </c>
      <c r="C98" s="101">
        <f>IF(TrRoad_act!C14=0,0,C34/TrRoad_act!C14*1000)</f>
        <v>28.257156843884658</v>
      </c>
      <c r="D98" s="101">
        <f>IF(TrRoad_act!D14=0,0,D34/TrRoad_act!D14*1000)</f>
        <v>27.568922153734945</v>
      </c>
      <c r="E98" s="101">
        <f>IF(TrRoad_act!E14=0,0,E34/TrRoad_act!E14*1000)</f>
        <v>27.035716267450297</v>
      </c>
      <c r="F98" s="101">
        <f>IF(TrRoad_act!F14=0,0,F34/TrRoad_act!F14*1000)</f>
        <v>26.929682980577031</v>
      </c>
      <c r="G98" s="101">
        <f>IF(TrRoad_act!G14=0,0,G34/TrRoad_act!G14*1000)</f>
        <v>26.780538142610919</v>
      </c>
      <c r="H98" s="101">
        <f>IF(TrRoad_act!H14=0,0,H34/TrRoad_act!H14*1000)</f>
        <v>26.669106054917236</v>
      </c>
      <c r="I98" s="101">
        <f>IF(TrRoad_act!I14=0,0,I34/TrRoad_act!I14*1000)</f>
        <v>26.489197514598548</v>
      </c>
      <c r="J98" s="101">
        <f>IF(TrRoad_act!J14=0,0,J34/TrRoad_act!J14*1000)</f>
        <v>26.522922447846625</v>
      </c>
      <c r="K98" s="101">
        <f>IF(TrRoad_act!K14=0,0,K34/TrRoad_act!K14*1000)</f>
        <v>26.469221641731057</v>
      </c>
      <c r="L98" s="101">
        <f>IF(TrRoad_act!L14=0,0,L34/TrRoad_act!L14*1000)</f>
        <v>26.045766603287433</v>
      </c>
      <c r="M98" s="101">
        <f>IF(TrRoad_act!M14=0,0,M34/TrRoad_act!M14*1000)</f>
        <v>25.525192942399745</v>
      </c>
      <c r="N98" s="101">
        <f>IF(TrRoad_act!N14=0,0,N34/TrRoad_act!N14*1000)</f>
        <v>24.618296553187577</v>
      </c>
      <c r="O98" s="101">
        <f>IF(TrRoad_act!O14=0,0,O34/TrRoad_act!O14*1000)</f>
        <v>24.477091700443548</v>
      </c>
      <c r="P98" s="101">
        <f>IF(TrRoad_act!P14=0,0,P34/TrRoad_act!P14*1000)</f>
        <v>24.414969705554668</v>
      </c>
      <c r="Q98" s="101">
        <f>IF(TrRoad_act!Q14=0,0,Q34/TrRoad_act!Q14*1000)</f>
        <v>22.907544020839691</v>
      </c>
      <c r="R98" s="101">
        <f>IF(TrRoad_act!R14=0,0,R34/TrRoad_act!R14*1000)</f>
        <v>22.493133484460582</v>
      </c>
      <c r="S98" s="101">
        <f>IF(TrRoad_act!S14=0,0,S34/TrRoad_act!S14*1000)</f>
        <v>22.443096224322105</v>
      </c>
      <c r="T98" s="101">
        <f>IF(TrRoad_act!T14=0,0,T34/TrRoad_act!T14*1000)</f>
        <v>22.03130761974235</v>
      </c>
      <c r="U98" s="101">
        <f>IF(TrRoad_act!U14=0,0,U34/TrRoad_act!U14*1000)</f>
        <v>20.62391567712098</v>
      </c>
      <c r="V98" s="101">
        <f>IF(TrRoad_act!V14=0,0,V34/TrRoad_act!V14*1000)</f>
        <v>26.995672897601001</v>
      </c>
      <c r="W98" s="101">
        <f>IF(TrRoad_act!W14=0,0,W34/TrRoad_act!W14*1000)</f>
        <v>20.801653140597164</v>
      </c>
      <c r="X98" s="101">
        <f>IF(TrRoad_act!X14=0,0,X34/TrRoad_act!X14*1000)</f>
        <v>20.284513951367867</v>
      </c>
      <c r="Y98" s="101">
        <f>IF(TrRoad_act!Y14=0,0,Y34/TrRoad_act!Y14*1000)</f>
        <v>20.227217928612259</v>
      </c>
      <c r="DA98" s="175" t="s">
        <v>704</v>
      </c>
    </row>
    <row r="99" spans="1:105" ht="11.45" customHeight="1" x14ac:dyDescent="0.25">
      <c r="A99" s="111" t="s">
        <v>111</v>
      </c>
      <c r="B99" s="101">
        <f>IF(TrRoad_act!B15=0,0,B36/TrRoad_act!B15*1000)</f>
        <v>79.09778223790866</v>
      </c>
      <c r="C99" s="101">
        <f>IF(TrRoad_act!C15=0,0,C36/TrRoad_act!C15*1000)</f>
        <v>75.75155973372479</v>
      </c>
      <c r="D99" s="101">
        <f>IF(TrRoad_act!D15=0,0,D36/TrRoad_act!D15*1000)</f>
        <v>79.399100458677964</v>
      </c>
      <c r="E99" s="101">
        <f>IF(TrRoad_act!E15=0,0,E36/TrRoad_act!E15*1000)</f>
        <v>74.206363016170471</v>
      </c>
      <c r="F99" s="101">
        <f>IF(TrRoad_act!F15=0,0,F36/TrRoad_act!F15*1000)</f>
        <v>71.102529386319006</v>
      </c>
      <c r="G99" s="101">
        <f>IF(TrRoad_act!G15=0,0,G36/TrRoad_act!G15*1000)</f>
        <v>69.8983146755089</v>
      </c>
      <c r="H99" s="101">
        <f>IF(TrRoad_act!H15=0,0,H36/TrRoad_act!H15*1000)</f>
        <v>68.015000238279413</v>
      </c>
      <c r="I99" s="101">
        <f>IF(TrRoad_act!I15=0,0,I36/TrRoad_act!I15*1000)</f>
        <v>66.47237104943386</v>
      </c>
      <c r="J99" s="101">
        <f>IF(TrRoad_act!J15=0,0,J36/TrRoad_act!J15*1000)</f>
        <v>67.775844996303633</v>
      </c>
      <c r="K99" s="101">
        <f>IF(TrRoad_act!K15=0,0,K36/TrRoad_act!K15*1000)</f>
        <v>73.263896277511634</v>
      </c>
      <c r="L99" s="101">
        <f>IF(TrRoad_act!L15=0,0,L36/TrRoad_act!L15*1000)</f>
        <v>76.910717075985943</v>
      </c>
      <c r="M99" s="101">
        <f>IF(TrRoad_act!M15=0,0,M36/TrRoad_act!M15*1000)</f>
        <v>73.361425775195016</v>
      </c>
      <c r="N99" s="101">
        <f>IF(TrRoad_act!N15=0,0,N36/TrRoad_act!N15*1000)</f>
        <v>81.213224973201676</v>
      </c>
      <c r="O99" s="101">
        <f>IF(TrRoad_act!O15=0,0,O36/TrRoad_act!O15*1000)</f>
        <v>75.709045360279461</v>
      </c>
      <c r="P99" s="101">
        <f>IF(TrRoad_act!P15=0,0,P36/TrRoad_act!P15*1000)</f>
        <v>74.65086959457517</v>
      </c>
      <c r="Q99" s="101">
        <f>IF(TrRoad_act!Q15=0,0,Q36/TrRoad_act!Q15*1000)</f>
        <v>68.473960282348514</v>
      </c>
      <c r="R99" s="101">
        <f>IF(TrRoad_act!R15=0,0,R36/TrRoad_act!R15*1000)</f>
        <v>65.956337217272093</v>
      </c>
      <c r="S99" s="101">
        <f>IF(TrRoad_act!S15=0,0,S36/TrRoad_act!S15*1000)</f>
        <v>76.194578711638016</v>
      </c>
      <c r="T99" s="101">
        <f>IF(TrRoad_act!T15=0,0,T36/TrRoad_act!T15*1000)</f>
        <v>61.815868674218301</v>
      </c>
      <c r="U99" s="101">
        <f>IF(TrRoad_act!U15=0,0,U36/TrRoad_act!U15*1000)</f>
        <v>59.357015791415236</v>
      </c>
      <c r="V99" s="101">
        <f>IF(TrRoad_act!V15=0,0,V36/TrRoad_act!V15*1000)</f>
        <v>107.49024152485431</v>
      </c>
      <c r="W99" s="101">
        <f>IF(TrRoad_act!W15=0,0,W36/TrRoad_act!W15*1000)</f>
        <v>85.7083496144393</v>
      </c>
      <c r="X99" s="101">
        <f>IF(TrRoad_act!X15=0,0,X36/TrRoad_act!X15*1000)</f>
        <v>58.321205387438908</v>
      </c>
      <c r="Y99" s="101">
        <f>IF(TrRoad_act!Y15=0,0,Y36/TrRoad_act!Y15*1000)</f>
        <v>54.096543003084122</v>
      </c>
      <c r="DA99" s="175" t="s">
        <v>705</v>
      </c>
    </row>
    <row r="100" spans="1:105" ht="11.45" customHeight="1" x14ac:dyDescent="0.25">
      <c r="A100" s="111" t="s">
        <v>112</v>
      </c>
      <c r="B100" s="101">
        <f>IF(TrRoad_act!B16=0,0,B38/TrRoad_act!B16*1000)</f>
        <v>60.605145768288033</v>
      </c>
      <c r="C100" s="101">
        <f>IF(TrRoad_act!C16=0,0,C38/TrRoad_act!C16*1000)</f>
        <v>59.610319517882196</v>
      </c>
      <c r="D100" s="101">
        <f>IF(TrRoad_act!D16=0,0,D38/TrRoad_act!D16*1000)</f>
        <v>63.09027902303113</v>
      </c>
      <c r="E100" s="101">
        <f>IF(TrRoad_act!E16=0,0,E38/TrRoad_act!E16*1000)</f>
        <v>59.620249914227465</v>
      </c>
      <c r="F100" s="101">
        <f>IF(TrRoad_act!F16=0,0,F38/TrRoad_act!F16*1000)</f>
        <v>57.72875485654702</v>
      </c>
      <c r="G100" s="101">
        <f>IF(TrRoad_act!G16=0,0,G38/TrRoad_act!G16*1000)</f>
        <v>56.371303041438324</v>
      </c>
      <c r="H100" s="101">
        <f>IF(TrRoad_act!H16=0,0,H38/TrRoad_act!H16*1000)</f>
        <v>55.113058287674633</v>
      </c>
      <c r="I100" s="101">
        <f>IF(TrRoad_act!I16=0,0,I38/TrRoad_act!I16*1000)</f>
        <v>54.19617720674028</v>
      </c>
      <c r="J100" s="101">
        <f>IF(TrRoad_act!J16=0,0,J38/TrRoad_act!J16*1000)</f>
        <v>55.558924616029785</v>
      </c>
      <c r="K100" s="101">
        <f>IF(TrRoad_act!K16=0,0,K38/TrRoad_act!K16*1000)</f>
        <v>60.243049031804325</v>
      </c>
      <c r="L100" s="101">
        <f>IF(TrRoad_act!L16=0,0,L38/TrRoad_act!L16*1000)</f>
        <v>63.301320146183642</v>
      </c>
      <c r="M100" s="101">
        <f>IF(TrRoad_act!M16=0,0,M38/TrRoad_act!M16*1000)</f>
        <v>60.417538347071599</v>
      </c>
      <c r="N100" s="101">
        <f>IF(TrRoad_act!N16=0,0,N38/TrRoad_act!N16*1000)</f>
        <v>66.993692514687112</v>
      </c>
      <c r="O100" s="101">
        <f>IF(TrRoad_act!O16=0,0,O38/TrRoad_act!O16*1000)</f>
        <v>62.665243873901652</v>
      </c>
      <c r="P100" s="101">
        <f>IF(TrRoad_act!P16=0,0,P38/TrRoad_act!P16*1000)</f>
        <v>61.767487466932955</v>
      </c>
      <c r="Q100" s="101">
        <f>IF(TrRoad_act!Q16=0,0,Q38/TrRoad_act!Q16*1000)</f>
        <v>56.651590595049591</v>
      </c>
      <c r="R100" s="101">
        <f>IF(TrRoad_act!R16=0,0,R38/TrRoad_act!R16*1000)</f>
        <v>54.528265839405215</v>
      </c>
      <c r="S100" s="101">
        <f>IF(TrRoad_act!S16=0,0,S38/TrRoad_act!S16*1000)</f>
        <v>63.080116680682416</v>
      </c>
      <c r="T100" s="101">
        <f>IF(TrRoad_act!T16=0,0,T38/TrRoad_act!T16*1000)</f>
        <v>51.36982003289161</v>
      </c>
      <c r="U100" s="101">
        <f>IF(TrRoad_act!U16=0,0,U38/TrRoad_act!U16*1000)</f>
        <v>49.755978870477399</v>
      </c>
      <c r="V100" s="101">
        <f>IF(TrRoad_act!V16=0,0,V38/TrRoad_act!V16*1000)</f>
        <v>91.303258364148334</v>
      </c>
      <c r="W100" s="101">
        <f>IF(TrRoad_act!W16=0,0,W38/TrRoad_act!W16*1000)</f>
        <v>74.242028699452192</v>
      </c>
      <c r="X100" s="101">
        <f>IF(TrRoad_act!X16=0,0,X38/TrRoad_act!X16*1000)</f>
        <v>51.507162992749983</v>
      </c>
      <c r="Y100" s="101">
        <f>IF(TrRoad_act!Y16=0,0,Y38/TrRoad_act!Y16*1000)</f>
        <v>49.213795380084115</v>
      </c>
      <c r="DA100" s="175" t="s">
        <v>706</v>
      </c>
    </row>
    <row r="101" spans="1:105" ht="11.45" customHeight="1" x14ac:dyDescent="0.25">
      <c r="A101" s="111" t="s">
        <v>113</v>
      </c>
      <c r="B101" s="101">
        <f>IF(TrRoad_act!B17=0,0,B39/TrRoad_act!B17*1000)</f>
        <v>65.340527487002717</v>
      </c>
      <c r="C101" s="101">
        <f>IF(TrRoad_act!C17=0,0,C39/TrRoad_act!C17*1000)</f>
        <v>69.377758521908262</v>
      </c>
      <c r="D101" s="101">
        <f>IF(TrRoad_act!D17=0,0,D39/TrRoad_act!D17*1000)</f>
        <v>59.504516949765545</v>
      </c>
      <c r="E101" s="101">
        <f>IF(TrRoad_act!E17=0,0,E39/TrRoad_act!E17*1000)</f>
        <v>67.039664809132361</v>
      </c>
      <c r="F101" s="101">
        <f>IF(TrRoad_act!F17=0,0,F39/TrRoad_act!F17*1000)</f>
        <v>48.582251687192574</v>
      </c>
      <c r="G101" s="101">
        <f>IF(TrRoad_act!G17=0,0,G39/TrRoad_act!G17*1000)</f>
        <v>51.085808088817629</v>
      </c>
      <c r="H101" s="101">
        <f>IF(TrRoad_act!H17=0,0,H39/TrRoad_act!H17*1000)</f>
        <v>49.831103388564927</v>
      </c>
      <c r="I101" s="101">
        <f>IF(TrRoad_act!I17=0,0,I39/TrRoad_act!I17*1000)</f>
        <v>46.165259166627429</v>
      </c>
      <c r="J101" s="101">
        <f>IF(TrRoad_act!J17=0,0,J39/TrRoad_act!J17*1000)</f>
        <v>48.0868991687204</v>
      </c>
      <c r="K101" s="101">
        <f>IF(TrRoad_act!K17=0,0,K39/TrRoad_act!K17*1000)</f>
        <v>51.972131236079278</v>
      </c>
      <c r="L101" s="101">
        <f>IF(TrRoad_act!L17=0,0,L39/TrRoad_act!L17*1000)</f>
        <v>57.252884289857221</v>
      </c>
      <c r="M101" s="101">
        <f>IF(TrRoad_act!M17=0,0,M39/TrRoad_act!M17*1000)</f>
        <v>58.534736869064069</v>
      </c>
      <c r="N101" s="101">
        <f>IF(TrRoad_act!N17=0,0,N39/TrRoad_act!N17*1000)</f>
        <v>46.30986677163272</v>
      </c>
      <c r="O101" s="101">
        <f>IF(TrRoad_act!O17=0,0,O39/TrRoad_act!O17*1000)</f>
        <v>24.656937519402849</v>
      </c>
      <c r="P101" s="101">
        <f>IF(TrRoad_act!P17=0,0,P39/TrRoad_act!P17*1000)</f>
        <v>24.967216400332621</v>
      </c>
      <c r="Q101" s="101">
        <f>IF(TrRoad_act!Q17=0,0,Q39/TrRoad_act!Q17*1000)</f>
        <v>27.587378271987056</v>
      </c>
      <c r="R101" s="101">
        <f>IF(TrRoad_act!R17=0,0,R39/TrRoad_act!R17*1000)</f>
        <v>45.399343231132534</v>
      </c>
      <c r="S101" s="101">
        <f>IF(TrRoad_act!S17=0,0,S39/TrRoad_act!S17*1000)</f>
        <v>58.196588813266679</v>
      </c>
      <c r="T101" s="101">
        <f>IF(TrRoad_act!T17=0,0,T39/TrRoad_act!T17*1000)</f>
        <v>39.957484847663679</v>
      </c>
      <c r="U101" s="101">
        <f>IF(TrRoad_act!U17=0,0,U39/TrRoad_act!U17*1000)</f>
        <v>40.726544060982</v>
      </c>
      <c r="V101" s="101">
        <f>IF(TrRoad_act!V17=0,0,V39/TrRoad_act!V17*1000)</f>
        <v>77.637113474957118</v>
      </c>
      <c r="W101" s="101">
        <f>IF(TrRoad_act!W17=0,0,W39/TrRoad_act!W17*1000)</f>
        <v>64.392422869805344</v>
      </c>
      <c r="X101" s="101">
        <f>IF(TrRoad_act!X17=0,0,X39/TrRoad_act!X17*1000)</f>
        <v>48.357125416511927</v>
      </c>
      <c r="Y101" s="101">
        <f>IF(TrRoad_act!Y17=0,0,Y39/TrRoad_act!Y17*1000)</f>
        <v>55.18926993161088</v>
      </c>
      <c r="DA101" s="175" t="s">
        <v>707</v>
      </c>
    </row>
    <row r="102" spans="1:105" ht="11.45" customHeight="1" x14ac:dyDescent="0.25">
      <c r="A102" s="111" t="s">
        <v>115</v>
      </c>
      <c r="B102" s="101">
        <f>IF(TrRoad_act!B18=0,0,B41/TrRoad_act!B18*1000)</f>
        <v>42.670274937809175</v>
      </c>
      <c r="C102" s="101">
        <f>IF(TrRoad_act!C18=0,0,C41/TrRoad_act!C18*1000)</f>
        <v>41.9698474562474</v>
      </c>
      <c r="D102" s="101">
        <f>IF(TrRoad_act!D18=0,0,D41/TrRoad_act!D18*1000)</f>
        <v>43.054552715145626</v>
      </c>
      <c r="E102" s="101">
        <f>IF(TrRoad_act!E18=0,0,E41/TrRoad_act!E18*1000)</f>
        <v>40.529731606828641</v>
      </c>
      <c r="F102" s="101">
        <f>IF(TrRoad_act!F18=0,0,F41/TrRoad_act!F18*1000)</f>
        <v>37.533963069496082</v>
      </c>
      <c r="G102" s="101">
        <f>IF(TrRoad_act!G18=0,0,G41/TrRoad_act!G18*1000)</f>
        <v>37.077751101431083</v>
      </c>
      <c r="H102" s="101">
        <f>IF(TrRoad_act!H18=0,0,H41/TrRoad_act!H18*1000)</f>
        <v>36.237137053658607</v>
      </c>
      <c r="I102" s="101">
        <f>IF(TrRoad_act!I18=0,0,I41/TrRoad_act!I18*1000)</f>
        <v>35.706733651374968</v>
      </c>
      <c r="J102" s="101">
        <f>IF(TrRoad_act!J18=0,0,J41/TrRoad_act!J18*1000)</f>
        <v>36.119302040757894</v>
      </c>
      <c r="K102" s="101">
        <f>IF(TrRoad_act!K18=0,0,K41/TrRoad_act!K18*1000)</f>
        <v>38.106211256888841</v>
      </c>
      <c r="L102" s="101">
        <f>IF(TrRoad_act!L18=0,0,L41/TrRoad_act!L18*1000)</f>
        <v>38.665479006097399</v>
      </c>
      <c r="M102" s="101">
        <f>IF(TrRoad_act!M18=0,0,M41/TrRoad_act!M18*1000)</f>
        <v>36.762330416615335</v>
      </c>
      <c r="N102" s="101">
        <f>IF(TrRoad_act!N18=0,0,N41/TrRoad_act!N18*1000)</f>
        <v>40.703347416630024</v>
      </c>
      <c r="O102" s="101">
        <f>IF(TrRoad_act!O18=0,0,O41/TrRoad_act!O18*1000)</f>
        <v>36.906701885985917</v>
      </c>
      <c r="P102" s="101">
        <f>IF(TrRoad_act!P18=0,0,P41/TrRoad_act!P18*1000)</f>
        <v>36.466249712535557</v>
      </c>
      <c r="Q102" s="101">
        <f>IF(TrRoad_act!Q18=0,0,Q41/TrRoad_act!Q18*1000)</f>
        <v>33.63420036803884</v>
      </c>
      <c r="R102" s="101">
        <f>IF(TrRoad_act!R18=0,0,R41/TrRoad_act!R18*1000)</f>
        <v>33.142854617205529</v>
      </c>
      <c r="S102" s="101">
        <f>IF(TrRoad_act!S18=0,0,S41/TrRoad_act!S18*1000)</f>
        <v>38.299007577674139</v>
      </c>
      <c r="T102" s="101">
        <f>IF(TrRoad_act!T18=0,0,T41/TrRoad_act!T18*1000)</f>
        <v>31.058343876391671</v>
      </c>
      <c r="U102" s="101">
        <f>IF(TrRoad_act!U18=0,0,U41/TrRoad_act!U18*1000)</f>
        <v>29.660815518068503</v>
      </c>
      <c r="V102" s="101">
        <f>IF(TrRoad_act!V18=0,0,V41/TrRoad_act!V18*1000)</f>
        <v>53.756605466315349</v>
      </c>
      <c r="W102" s="101">
        <f>IF(TrRoad_act!W18=0,0,W41/TrRoad_act!W18*1000)</f>
        <v>43.465630826402801</v>
      </c>
      <c r="X102" s="101">
        <f>IF(TrRoad_act!X18=0,0,X41/TrRoad_act!X18*1000)</f>
        <v>30.029816418036887</v>
      </c>
      <c r="Y102" s="101">
        <f>IF(TrRoad_act!Y18=0,0,Y41/TrRoad_act!Y18*1000)</f>
        <v>28.354644344518125</v>
      </c>
      <c r="DA102" s="175" t="s">
        <v>708</v>
      </c>
    </row>
    <row r="103" spans="1:105" ht="11.45" customHeight="1" x14ac:dyDescent="0.25">
      <c r="A103" s="27" t="s">
        <v>156</v>
      </c>
      <c r="B103" s="29">
        <f>IF(TrRoad_act!B19=0,0,B42/TrRoad_act!B19*1000)</f>
        <v>82.143722609459559</v>
      </c>
      <c r="C103" s="29">
        <f>IF(TrRoad_act!C19=0,0,C42/TrRoad_act!C19*1000)</f>
        <v>81.588301748679243</v>
      </c>
      <c r="D103" s="29">
        <f>IF(TrRoad_act!D19=0,0,D42/TrRoad_act!D19*1000)</f>
        <v>83.776799530898941</v>
      </c>
      <c r="E103" s="29">
        <f>IF(TrRoad_act!E19=0,0,E42/TrRoad_act!E19*1000)</f>
        <v>83.58222790947994</v>
      </c>
      <c r="F103" s="29">
        <f>IF(TrRoad_act!F19=0,0,F42/TrRoad_act!F19*1000)</f>
        <v>79.090350126977128</v>
      </c>
      <c r="G103" s="29">
        <f>IF(TrRoad_act!G19=0,0,G42/TrRoad_act!G19*1000)</f>
        <v>81.724303423027038</v>
      </c>
      <c r="H103" s="29">
        <f>IF(TrRoad_act!H19=0,0,H42/TrRoad_act!H19*1000)</f>
        <v>84.469111544109907</v>
      </c>
      <c r="I103" s="29">
        <f>IF(TrRoad_act!I19=0,0,I42/TrRoad_act!I19*1000)</f>
        <v>85.233954002173135</v>
      </c>
      <c r="J103" s="29">
        <f>IF(TrRoad_act!J19=0,0,J42/TrRoad_act!J19*1000)</f>
        <v>83.944134754509477</v>
      </c>
      <c r="K103" s="29">
        <f>IF(TrRoad_act!K19=0,0,K42/TrRoad_act!K19*1000)</f>
        <v>81.21139343729034</v>
      </c>
      <c r="L103" s="29">
        <f>IF(TrRoad_act!L19=0,0,L42/TrRoad_act!L19*1000)</f>
        <v>82.094568086910996</v>
      </c>
      <c r="M103" s="29">
        <f>IF(TrRoad_act!M19=0,0,M42/TrRoad_act!M19*1000)</f>
        <v>84.320455023215402</v>
      </c>
      <c r="N103" s="29">
        <f>IF(TrRoad_act!N19=0,0,N42/TrRoad_act!N19*1000)</f>
        <v>84.44650408053684</v>
      </c>
      <c r="O103" s="29">
        <f>IF(TrRoad_act!O19=0,0,O42/TrRoad_act!O19*1000)</f>
        <v>72.186135881253165</v>
      </c>
      <c r="P103" s="29">
        <f>IF(TrRoad_act!P19=0,0,P42/TrRoad_act!P19*1000)</f>
        <v>61.144008922656369</v>
      </c>
      <c r="Q103" s="29">
        <f>IF(TrRoad_act!Q19=0,0,Q42/TrRoad_act!Q19*1000)</f>
        <v>61.787958133552593</v>
      </c>
      <c r="R103" s="29">
        <f>IF(TrRoad_act!R19=0,0,R42/TrRoad_act!R19*1000)</f>
        <v>58.000249113738505</v>
      </c>
      <c r="S103" s="29">
        <f>IF(TrRoad_act!S19=0,0,S42/TrRoad_act!S19*1000)</f>
        <v>63.215519627334004</v>
      </c>
      <c r="T103" s="29">
        <f>IF(TrRoad_act!T19=0,0,T42/TrRoad_act!T19*1000)</f>
        <v>66.661510251068478</v>
      </c>
      <c r="U103" s="29">
        <f>IF(TrRoad_act!U19=0,0,U42/TrRoad_act!U19*1000)</f>
        <v>65.789811499060278</v>
      </c>
      <c r="V103" s="29">
        <f>IF(TrRoad_act!V19=0,0,V42/TrRoad_act!V19*1000)</f>
        <v>61.827568114451068</v>
      </c>
      <c r="W103" s="29">
        <f>IF(TrRoad_act!W19=0,0,W42/TrRoad_act!W19*1000)</f>
        <v>55.72110553773598</v>
      </c>
      <c r="X103" s="29">
        <f>IF(TrRoad_act!X19=0,0,X42/TrRoad_act!X19*1000)</f>
        <v>55.350967811401404</v>
      </c>
      <c r="Y103" s="29">
        <f>IF(TrRoad_act!Y19=0,0,Y42/TrRoad_act!Y19*1000)</f>
        <v>59.057789802480471</v>
      </c>
      <c r="DA103" s="173" t="s">
        <v>425</v>
      </c>
    </row>
    <row r="104" spans="1:105" ht="11.45" customHeight="1" x14ac:dyDescent="0.25">
      <c r="A104" s="136" t="s">
        <v>153</v>
      </c>
      <c r="B104" s="152">
        <f>IF(TrRoad_act!B20=0,0,B43/TrRoad_act!B20*1000)</f>
        <v>578.67921112359784</v>
      </c>
      <c r="C104" s="152">
        <f>IF(TrRoad_act!C20=0,0,C43/TrRoad_act!C20*1000)</f>
        <v>545.35103065670035</v>
      </c>
      <c r="D104" s="152">
        <f>IF(TrRoad_act!D20=0,0,D43/TrRoad_act!D20*1000)</f>
        <v>533.89307363159423</v>
      </c>
      <c r="E104" s="152">
        <f>IF(TrRoad_act!E20=0,0,E43/TrRoad_act!E20*1000)</f>
        <v>526.63825920261525</v>
      </c>
      <c r="F104" s="152">
        <f>IF(TrRoad_act!F20=0,0,F43/TrRoad_act!F20*1000)</f>
        <v>522.89892134601007</v>
      </c>
      <c r="G104" s="152">
        <f>IF(TrRoad_act!G20=0,0,G43/TrRoad_act!G20*1000)</f>
        <v>515.54356769339699</v>
      </c>
      <c r="H104" s="152">
        <f>IF(TrRoad_act!H20=0,0,H43/TrRoad_act!H20*1000)</f>
        <v>514.25403896310331</v>
      </c>
      <c r="I104" s="152">
        <f>IF(TrRoad_act!I20=0,0,I43/TrRoad_act!I20*1000)</f>
        <v>514.28089738583321</v>
      </c>
      <c r="J104" s="152">
        <f>IF(TrRoad_act!J20=0,0,J43/TrRoad_act!J20*1000)</f>
        <v>512.01372043813842</v>
      </c>
      <c r="K104" s="152">
        <f>IF(TrRoad_act!K20=0,0,K43/TrRoad_act!K20*1000)</f>
        <v>501.82244196627488</v>
      </c>
      <c r="L104" s="152">
        <f>IF(TrRoad_act!L20=0,0,L43/TrRoad_act!L20*1000)</f>
        <v>503.84314945329589</v>
      </c>
      <c r="M104" s="152">
        <f>IF(TrRoad_act!M20=0,0,M43/TrRoad_act!M20*1000)</f>
        <v>505.79246163309955</v>
      </c>
      <c r="N104" s="152">
        <f>IF(TrRoad_act!N20=0,0,N43/TrRoad_act!N20*1000)</f>
        <v>498.36114882502943</v>
      </c>
      <c r="O104" s="152">
        <f>IF(TrRoad_act!O20=0,0,O43/TrRoad_act!O20*1000)</f>
        <v>495.13527507495411</v>
      </c>
      <c r="P104" s="152">
        <f>IF(TrRoad_act!P20=0,0,P43/TrRoad_act!P20*1000)</f>
        <v>486.33672825533188</v>
      </c>
      <c r="Q104" s="152">
        <f>IF(TrRoad_act!Q20=0,0,Q43/TrRoad_act!Q20*1000)</f>
        <v>482.91215128498527</v>
      </c>
      <c r="R104" s="152">
        <f>IF(TrRoad_act!R20=0,0,R43/TrRoad_act!R20*1000)</f>
        <v>472.90903108659205</v>
      </c>
      <c r="S104" s="152">
        <f>IF(TrRoad_act!S20=0,0,S43/TrRoad_act!S20*1000)</f>
        <v>462.6564283907033</v>
      </c>
      <c r="T104" s="152">
        <f>IF(TrRoad_act!T20=0,0,T43/TrRoad_act!T20*1000)</f>
        <v>452.81754832281399</v>
      </c>
      <c r="U104" s="152">
        <f>IF(TrRoad_act!U20=0,0,U43/TrRoad_act!U20*1000)</f>
        <v>443.39395124625776</v>
      </c>
      <c r="V104" s="152">
        <f>IF(TrRoad_act!V20=0,0,V43/TrRoad_act!V20*1000)</f>
        <v>435.54526699206525</v>
      </c>
      <c r="W104" s="152">
        <f>IF(TrRoad_act!W20=0,0,W43/TrRoad_act!W20*1000)</f>
        <v>433.9034998177035</v>
      </c>
      <c r="X104" s="152">
        <f>IF(TrRoad_act!X20=0,0,X43/TrRoad_act!X20*1000)</f>
        <v>427.13385984566389</v>
      </c>
      <c r="Y104" s="152">
        <f>IF(TrRoad_act!Y20=0,0,Y43/TrRoad_act!Y20*1000)</f>
        <v>419.72554550939952</v>
      </c>
      <c r="DA104" s="174" t="s">
        <v>426</v>
      </c>
    </row>
    <row r="105" spans="1:105" ht="11.45" customHeight="1" x14ac:dyDescent="0.25">
      <c r="A105" s="111" t="s">
        <v>110</v>
      </c>
      <c r="B105" s="87">
        <f>IF(TrRoad_act!B21=0,0,B44/TrRoad_act!B21*1000)</f>
        <v>732.00709836442968</v>
      </c>
      <c r="C105" s="87">
        <f>IF(TrRoad_act!C21=0,0,C44/TrRoad_act!C21*1000)</f>
        <v>730.82644631352127</v>
      </c>
      <c r="D105" s="87">
        <f>IF(TrRoad_act!D21=0,0,D44/TrRoad_act!D21*1000)</f>
        <v>726.04401000967437</v>
      </c>
      <c r="E105" s="87">
        <f>IF(TrRoad_act!E21=0,0,E44/TrRoad_act!E21*1000)</f>
        <v>723.98445017426127</v>
      </c>
      <c r="F105" s="87">
        <f>IF(TrRoad_act!F21=0,0,F44/TrRoad_act!F21*1000)</f>
        <v>726.12464691512002</v>
      </c>
      <c r="G105" s="87">
        <f>IF(TrRoad_act!G21=0,0,G44/TrRoad_act!G21*1000)</f>
        <v>724.56228947037141</v>
      </c>
      <c r="H105" s="87">
        <f>IF(TrRoad_act!H21=0,0,H44/TrRoad_act!H21*1000)</f>
        <v>725.6261678483379</v>
      </c>
      <c r="I105" s="87">
        <f>IF(TrRoad_act!I21=0,0,I44/TrRoad_act!I21*1000)</f>
        <v>732.29474722683585</v>
      </c>
      <c r="J105" s="87">
        <f>IF(TrRoad_act!J21=0,0,J44/TrRoad_act!J21*1000)</f>
        <v>733.97201316831638</v>
      </c>
      <c r="K105" s="87">
        <f>IF(TrRoad_act!K21=0,0,K44/TrRoad_act!K21*1000)</f>
        <v>723.89319703472449</v>
      </c>
      <c r="L105" s="87">
        <f>IF(TrRoad_act!L21=0,0,L44/TrRoad_act!L21*1000)</f>
        <v>712.18603561284147</v>
      </c>
      <c r="M105" s="87">
        <f>IF(TrRoad_act!M21=0,0,M44/TrRoad_act!M21*1000)</f>
        <v>700.62773486800359</v>
      </c>
      <c r="N105" s="87">
        <f>IF(TrRoad_act!N21=0,0,N44/TrRoad_act!N21*1000)</f>
        <v>683.77989417386038</v>
      </c>
      <c r="O105" s="87">
        <f>IF(TrRoad_act!O21=0,0,O44/TrRoad_act!O21*1000)</f>
        <v>675.06542520372909</v>
      </c>
      <c r="P105" s="87">
        <f>IF(TrRoad_act!P21=0,0,P44/TrRoad_act!P21*1000)</f>
        <v>655.77680114702662</v>
      </c>
      <c r="Q105" s="87">
        <f>IF(TrRoad_act!Q21=0,0,Q44/TrRoad_act!Q21*1000)</f>
        <v>636.38147086458082</v>
      </c>
      <c r="R105" s="87">
        <f>IF(TrRoad_act!R21=0,0,R44/TrRoad_act!R21*1000)</f>
        <v>614.10429110936218</v>
      </c>
      <c r="S105" s="87">
        <f>IF(TrRoad_act!S21=0,0,S44/TrRoad_act!S21*1000)</f>
        <v>591.8023037690914</v>
      </c>
      <c r="T105" s="87">
        <f>IF(TrRoad_act!T21=0,0,T44/TrRoad_act!T21*1000)</f>
        <v>578.8135881037374</v>
      </c>
      <c r="U105" s="87">
        <f>IF(TrRoad_act!U21=0,0,U44/TrRoad_act!U21*1000)</f>
        <v>561.049146199745</v>
      </c>
      <c r="V105" s="87">
        <f>IF(TrRoad_act!V21=0,0,V44/TrRoad_act!V21*1000)</f>
        <v>543.12290974386781</v>
      </c>
      <c r="W105" s="87">
        <f>IF(TrRoad_act!W21=0,0,W44/TrRoad_act!W21*1000)</f>
        <v>526.27963013988222</v>
      </c>
      <c r="X105" s="87">
        <f>IF(TrRoad_act!X21=0,0,X44/TrRoad_act!X21*1000)</f>
        <v>503.45734915896224</v>
      </c>
      <c r="Y105" s="87">
        <f>IF(TrRoad_act!Y21=0,0,Y44/TrRoad_act!Y21*1000)</f>
        <v>499.41340607488166</v>
      </c>
      <c r="DA105" s="171" t="s">
        <v>709</v>
      </c>
    </row>
    <row r="106" spans="1:105" ht="11.45" customHeight="1" x14ac:dyDescent="0.25">
      <c r="A106" s="111" t="s">
        <v>111</v>
      </c>
      <c r="B106" s="87">
        <f>IF(TrRoad_act!B22=0,0,B46/TrRoad_act!B22*1000)</f>
        <v>565.03199002734141</v>
      </c>
      <c r="C106" s="87">
        <f>IF(TrRoad_act!C22=0,0,C46/TrRoad_act!C22*1000)</f>
        <v>532.22914075202948</v>
      </c>
      <c r="D106" s="87">
        <f>IF(TrRoad_act!D22=0,0,D46/TrRoad_act!D22*1000)</f>
        <v>522.00364820164123</v>
      </c>
      <c r="E106" s="87">
        <f>IF(TrRoad_act!E22=0,0,E46/TrRoad_act!E22*1000)</f>
        <v>515.91358277362178</v>
      </c>
      <c r="F106" s="87">
        <f>IF(TrRoad_act!F22=0,0,F46/TrRoad_act!F22*1000)</f>
        <v>513.09911409583208</v>
      </c>
      <c r="G106" s="87">
        <f>IF(TrRoad_act!G22=0,0,G46/TrRoad_act!G22*1000)</f>
        <v>506.89876357199836</v>
      </c>
      <c r="H106" s="87">
        <f>IF(TrRoad_act!H22=0,0,H46/TrRoad_act!H22*1000)</f>
        <v>506.29761134924235</v>
      </c>
      <c r="I106" s="87">
        <f>IF(TrRoad_act!I22=0,0,I46/TrRoad_act!I22*1000)</f>
        <v>506.47195794538567</v>
      </c>
      <c r="J106" s="87">
        <f>IF(TrRoad_act!J22=0,0,J46/TrRoad_act!J22*1000)</f>
        <v>504.39594164300149</v>
      </c>
      <c r="K106" s="87">
        <f>IF(TrRoad_act!K22=0,0,K46/TrRoad_act!K22*1000)</f>
        <v>494.17636432009323</v>
      </c>
      <c r="L106" s="87">
        <f>IF(TrRoad_act!L22=0,0,L46/TrRoad_act!L22*1000)</f>
        <v>496.63635341901011</v>
      </c>
      <c r="M106" s="87">
        <f>IF(TrRoad_act!M22=0,0,M46/TrRoad_act!M22*1000)</f>
        <v>499.00279830053</v>
      </c>
      <c r="N106" s="87">
        <f>IF(TrRoad_act!N22=0,0,N46/TrRoad_act!N22*1000)</f>
        <v>491.75072068369712</v>
      </c>
      <c r="O106" s="87">
        <f>IF(TrRoad_act!O22=0,0,O46/TrRoad_act!O22*1000)</f>
        <v>488.6620205652585</v>
      </c>
      <c r="P106" s="87">
        <f>IF(TrRoad_act!P22=0,0,P46/TrRoad_act!P22*1000)</f>
        <v>479.86214210317019</v>
      </c>
      <c r="Q106" s="87">
        <f>IF(TrRoad_act!Q22=0,0,Q46/TrRoad_act!Q22*1000)</f>
        <v>476.86255174717178</v>
      </c>
      <c r="R106" s="87">
        <f>IF(TrRoad_act!R22=0,0,R46/TrRoad_act!R22*1000)</f>
        <v>467.2226544058463</v>
      </c>
      <c r="S106" s="87">
        <f>IF(TrRoad_act!S22=0,0,S46/TrRoad_act!S22*1000)</f>
        <v>457.25546361683979</v>
      </c>
      <c r="T106" s="87">
        <f>IF(TrRoad_act!T22=0,0,T46/TrRoad_act!T22*1000)</f>
        <v>447.85291193258917</v>
      </c>
      <c r="U106" s="87">
        <f>IF(TrRoad_act!U22=0,0,U46/TrRoad_act!U22*1000)</f>
        <v>438.96455495505768</v>
      </c>
      <c r="V106" s="87">
        <f>IF(TrRoad_act!V22=0,0,V46/TrRoad_act!V22*1000)</f>
        <v>431.47500039207159</v>
      </c>
      <c r="W106" s="87">
        <f>IF(TrRoad_act!W22=0,0,W46/TrRoad_act!W22*1000)</f>
        <v>431.18715563440725</v>
      </c>
      <c r="X106" s="87">
        <f>IF(TrRoad_act!X22=0,0,X46/TrRoad_act!X22*1000)</f>
        <v>425.2094785781369</v>
      </c>
      <c r="Y106" s="87">
        <f>IF(TrRoad_act!Y22=0,0,Y46/TrRoad_act!Y22*1000)</f>
        <v>419.48045528843875</v>
      </c>
      <c r="DA106" s="171" t="s">
        <v>710</v>
      </c>
    </row>
    <row r="107" spans="1:105" ht="11.45" customHeight="1" x14ac:dyDescent="0.25">
      <c r="A107" s="111" t="s">
        <v>112</v>
      </c>
      <c r="B107" s="87">
        <f>IF(TrRoad_act!B23=0,0,B48/TrRoad_act!B23*1000)</f>
        <v>1328.2830825756412</v>
      </c>
      <c r="C107" s="87">
        <f>IF(TrRoad_act!C23=0,0,C48/TrRoad_act!C23*1000)</f>
        <v>1325.202682818501</v>
      </c>
      <c r="D107" s="87">
        <f>IF(TrRoad_act!D23=0,0,D48/TrRoad_act!D23*1000)</f>
        <v>1316.5268324897309</v>
      </c>
      <c r="E107" s="87">
        <f>IF(TrRoad_act!E23=0,0,E48/TrRoad_act!E23*1000)</f>
        <v>1312.7698071593115</v>
      </c>
      <c r="F107" s="87">
        <f>IF(TrRoad_act!F23=0,0,F48/TrRoad_act!F23*1000)</f>
        <v>1316.6161284202931</v>
      </c>
      <c r="G107" s="87">
        <f>IF(TrRoad_act!G23=0,0,G48/TrRoad_act!G23*1000)</f>
        <v>1313.6691417912252</v>
      </c>
      <c r="H107" s="87">
        <f>IF(TrRoad_act!H23=0,0,H48/TrRoad_act!H23*1000)</f>
        <v>1315.5246865010311</v>
      </c>
      <c r="I107" s="87">
        <f>IF(TrRoad_act!I23=0,0,I48/TrRoad_act!I23*1000)</f>
        <v>1327.577199846042</v>
      </c>
      <c r="J107" s="87">
        <f>IF(TrRoad_act!J23=0,0,J48/TrRoad_act!J23*1000)</f>
        <v>1330.6167266235109</v>
      </c>
      <c r="K107" s="87">
        <f>IF(TrRoad_act!K23=0,0,K48/TrRoad_act!K23*1000)</f>
        <v>1321.4241835720063</v>
      </c>
      <c r="L107" s="87">
        <f>IF(TrRoad_act!L23=0,0,L48/TrRoad_act!L23*1000)</f>
        <v>1308.8050723883771</v>
      </c>
      <c r="M107" s="87">
        <f>IF(TrRoad_act!M23=0,0,M48/TrRoad_act!M23*1000)</f>
        <v>1294.130713894084</v>
      </c>
      <c r="N107" s="87">
        <f>IF(TrRoad_act!N23=0,0,N48/TrRoad_act!N23*1000)</f>
        <v>1274.4879067513341</v>
      </c>
      <c r="O107" s="87">
        <f>IF(TrRoad_act!O23=0,0,O48/TrRoad_act!O23*1000)</f>
        <v>1266.7545905908137</v>
      </c>
      <c r="P107" s="87">
        <f>IF(TrRoad_act!P23=0,0,P48/TrRoad_act!P23*1000)</f>
        <v>1255.1758751748707</v>
      </c>
      <c r="Q107" s="87">
        <f>IF(TrRoad_act!Q23=0,0,Q48/TrRoad_act!Q23*1000)</f>
        <v>1243.1167419731</v>
      </c>
      <c r="R107" s="87">
        <f>IF(TrRoad_act!R23=0,0,R48/TrRoad_act!R23*1000)</f>
        <v>1221.2662678172439</v>
      </c>
      <c r="S107" s="87">
        <f>IF(TrRoad_act!S23=0,0,S48/TrRoad_act!S23*1000)</f>
        <v>1195.3560320070421</v>
      </c>
      <c r="T107" s="87">
        <f>IF(TrRoad_act!T23=0,0,T48/TrRoad_act!T23*1000)</f>
        <v>1107.2678341769856</v>
      </c>
      <c r="U107" s="87">
        <f>IF(TrRoad_act!U23=0,0,U48/TrRoad_act!U23*1000)</f>
        <v>928.1677121488467</v>
      </c>
      <c r="V107" s="87">
        <f>IF(TrRoad_act!V23=0,0,V48/TrRoad_act!V23*1000)</f>
        <v>906.06615087986529</v>
      </c>
      <c r="W107" s="87">
        <f>IF(TrRoad_act!W23=0,0,W48/TrRoad_act!W23*1000)</f>
        <v>883.28969116372548</v>
      </c>
      <c r="X107" s="87">
        <f>IF(TrRoad_act!X23=0,0,X48/TrRoad_act!X23*1000)</f>
        <v>872.46161380341368</v>
      </c>
      <c r="Y107" s="87">
        <f>IF(TrRoad_act!Y23=0,0,Y48/TrRoad_act!Y23*1000)</f>
        <v>879.6974018189751</v>
      </c>
      <c r="DA107" s="171" t="s">
        <v>711</v>
      </c>
    </row>
    <row r="108" spans="1:105" ht="11.45" customHeight="1" x14ac:dyDescent="0.25">
      <c r="A108" s="111" t="s">
        <v>113</v>
      </c>
      <c r="B108" s="87">
        <f>IF(TrRoad_act!B24=0,0,B49/TrRoad_act!B24*1000)</f>
        <v>0</v>
      </c>
      <c r="C108" s="87">
        <f>IF(TrRoad_act!C24=0,0,C49/TrRoad_act!C24*1000)</f>
        <v>0</v>
      </c>
      <c r="D108" s="87">
        <f>IF(TrRoad_act!D24=0,0,D49/TrRoad_act!D24*1000)</f>
        <v>0</v>
      </c>
      <c r="E108" s="87">
        <f>IF(TrRoad_act!E24=0,0,E49/TrRoad_act!E24*1000)</f>
        <v>698.47503302960843</v>
      </c>
      <c r="F108" s="87">
        <f>IF(TrRoad_act!F24=0,0,F49/TrRoad_act!F24*1000)</f>
        <v>701.00657424809685</v>
      </c>
      <c r="G108" s="87">
        <f>IF(TrRoad_act!G24=0,0,G49/TrRoad_act!G24*1000)</f>
        <v>696.86813940272634</v>
      </c>
      <c r="H108" s="87">
        <f>IF(TrRoad_act!H24=0,0,H49/TrRoad_act!H24*1000)</f>
        <v>695.12820633173669</v>
      </c>
      <c r="I108" s="87">
        <f>IF(TrRoad_act!I24=0,0,I49/TrRoad_act!I24*1000)</f>
        <v>694.16601574734636</v>
      </c>
      <c r="J108" s="87">
        <f>IF(TrRoad_act!J24=0,0,J49/TrRoad_act!J24*1000)</f>
        <v>695.75595070230202</v>
      </c>
      <c r="K108" s="87">
        <f>IF(TrRoad_act!K24=0,0,K49/TrRoad_act!K24*1000)</f>
        <v>665.06365839743285</v>
      </c>
      <c r="L108" s="87">
        <f>IF(TrRoad_act!L24=0,0,L49/TrRoad_act!L24*1000)</f>
        <v>651.48143282203375</v>
      </c>
      <c r="M108" s="87">
        <f>IF(TrRoad_act!M24=0,0,M49/TrRoad_act!M24*1000)</f>
        <v>643.19619702383534</v>
      </c>
      <c r="N108" s="87">
        <f>IF(TrRoad_act!N24=0,0,N49/TrRoad_act!N24*1000)</f>
        <v>622.67817274932338</v>
      </c>
      <c r="O108" s="87">
        <f>IF(TrRoad_act!O24=0,0,O49/TrRoad_act!O24*1000)</f>
        <v>615.87339648284922</v>
      </c>
      <c r="P108" s="87">
        <f>IF(TrRoad_act!P24=0,0,P49/TrRoad_act!P24*1000)</f>
        <v>611.60520206876106</v>
      </c>
      <c r="Q108" s="87">
        <f>IF(TrRoad_act!Q24=0,0,Q49/TrRoad_act!Q24*1000)</f>
        <v>613.42695391637631</v>
      </c>
      <c r="R108" s="87">
        <f>IF(TrRoad_act!R24=0,0,R49/TrRoad_act!R24*1000)</f>
        <v>597.62154270237443</v>
      </c>
      <c r="S108" s="87">
        <f>IF(TrRoad_act!S24=0,0,S49/TrRoad_act!S24*1000)</f>
        <v>602.25717175021873</v>
      </c>
      <c r="T108" s="87">
        <f>IF(TrRoad_act!T24=0,0,T49/TrRoad_act!T24*1000)</f>
        <v>575.85475840901745</v>
      </c>
      <c r="U108" s="87">
        <f>IF(TrRoad_act!U24=0,0,U49/TrRoad_act!U24*1000)</f>
        <v>575.07422558572171</v>
      </c>
      <c r="V108" s="87">
        <f>IF(TrRoad_act!V24=0,0,V49/TrRoad_act!V24*1000)</f>
        <v>567.48506415847089</v>
      </c>
      <c r="W108" s="87">
        <f>IF(TrRoad_act!W24=0,0,W49/TrRoad_act!W24*1000)</f>
        <v>567.25529750703458</v>
      </c>
      <c r="X108" s="87">
        <f>IF(TrRoad_act!X24=0,0,X49/TrRoad_act!X24*1000)</f>
        <v>560.08323350539433</v>
      </c>
      <c r="Y108" s="87">
        <f>IF(TrRoad_act!Y24=0,0,Y49/TrRoad_act!Y24*1000)</f>
        <v>551.52302692881256</v>
      </c>
      <c r="DA108" s="171" t="s">
        <v>712</v>
      </c>
    </row>
    <row r="109" spans="1:105" ht="11.45" customHeight="1" x14ac:dyDescent="0.25">
      <c r="A109" s="111" t="s">
        <v>115</v>
      </c>
      <c r="B109" s="87">
        <f>IF(TrRoad_act!B25=0,0,B51/TrRoad_act!B25*1000)</f>
        <v>0</v>
      </c>
      <c r="C109" s="87">
        <f>IF(TrRoad_act!C25=0,0,C51/TrRoad_act!C25*1000)</f>
        <v>0</v>
      </c>
      <c r="D109" s="87">
        <f>IF(TrRoad_act!D25=0,0,D51/TrRoad_act!D25*1000)</f>
        <v>0</v>
      </c>
      <c r="E109" s="87">
        <f>IF(TrRoad_act!E25=0,0,E51/TrRoad_act!E25*1000)</f>
        <v>0</v>
      </c>
      <c r="F109" s="87">
        <f>IF(TrRoad_act!F25=0,0,F51/TrRoad_act!F25*1000)</f>
        <v>0</v>
      </c>
      <c r="G109" s="87">
        <f>IF(TrRoad_act!G25=0,0,G51/TrRoad_act!G25*1000)</f>
        <v>0</v>
      </c>
      <c r="H109" s="87">
        <f>IF(TrRoad_act!H25=0,0,H51/TrRoad_act!H25*1000)</f>
        <v>0</v>
      </c>
      <c r="I109" s="87">
        <f>IF(TrRoad_act!I25=0,0,I51/TrRoad_act!I25*1000)</f>
        <v>0</v>
      </c>
      <c r="J109" s="87">
        <f>IF(TrRoad_act!J25=0,0,J51/TrRoad_act!J25*1000)</f>
        <v>0</v>
      </c>
      <c r="K109" s="87">
        <f>IF(TrRoad_act!K25=0,0,K51/TrRoad_act!K25*1000)</f>
        <v>0</v>
      </c>
      <c r="L109" s="87">
        <f>IF(TrRoad_act!L25=0,0,L51/TrRoad_act!L25*1000)</f>
        <v>0</v>
      </c>
      <c r="M109" s="87">
        <f>IF(TrRoad_act!M25=0,0,M51/TrRoad_act!M25*1000)</f>
        <v>79.659054297179267</v>
      </c>
      <c r="N109" s="87">
        <f>IF(TrRoad_act!N25=0,0,N51/TrRoad_act!N25*1000)</f>
        <v>80.080251019480897</v>
      </c>
      <c r="O109" s="87">
        <f>IF(TrRoad_act!O25=0,0,O51/TrRoad_act!O25*1000)</f>
        <v>80.458967059050551</v>
      </c>
      <c r="P109" s="87">
        <f>IF(TrRoad_act!P25=0,0,P51/TrRoad_act!P25*1000)</f>
        <v>83.764058909504669</v>
      </c>
      <c r="Q109" s="87">
        <f>IF(TrRoad_act!Q25=0,0,Q51/TrRoad_act!Q25*1000)</f>
        <v>85.196939735123294</v>
      </c>
      <c r="R109" s="87">
        <f>IF(TrRoad_act!R25=0,0,R51/TrRoad_act!R25*1000)</f>
        <v>86.723374828886676</v>
      </c>
      <c r="S109" s="87">
        <f>IF(TrRoad_act!S25=0,0,S51/TrRoad_act!S25*1000)</f>
        <v>86.738922134154137</v>
      </c>
      <c r="T109" s="87">
        <f>IF(TrRoad_act!T25=0,0,T51/TrRoad_act!T25*1000)</f>
        <v>93.505391085355356</v>
      </c>
      <c r="U109" s="87">
        <f>IF(TrRoad_act!U25=0,0,U51/TrRoad_act!U25*1000)</f>
        <v>103.12550006203608</v>
      </c>
      <c r="V109" s="87">
        <f>IF(TrRoad_act!V25=0,0,V51/TrRoad_act!V25*1000)</f>
        <v>111.93391218932004</v>
      </c>
      <c r="W109" s="87">
        <f>IF(TrRoad_act!W25=0,0,W51/TrRoad_act!W25*1000)</f>
        <v>123.63120044204278</v>
      </c>
      <c r="X109" s="87">
        <f>IF(TrRoad_act!X25=0,0,X51/TrRoad_act!X25*1000)</f>
        <v>129.65306444562842</v>
      </c>
      <c r="Y109" s="87">
        <f>IF(TrRoad_act!Y25=0,0,Y51/TrRoad_act!Y25*1000)</f>
        <v>132.5470121949572</v>
      </c>
      <c r="DA109" s="171" t="s">
        <v>713</v>
      </c>
    </row>
    <row r="110" spans="1:105" ht="11.45" customHeight="1" x14ac:dyDescent="0.25">
      <c r="A110" s="109" t="s">
        <v>154</v>
      </c>
      <c r="B110" s="116">
        <f>IF(TrRoad_act!B26=0,0,B52/TrRoad_act!B26*1000)</f>
        <v>47.816223592065938</v>
      </c>
      <c r="C110" s="116">
        <f>IF(TrRoad_act!C26=0,0,C52/TrRoad_act!C26*1000)</f>
        <v>46.6130541923336</v>
      </c>
      <c r="D110" s="116">
        <f>IF(TrRoad_act!D26=0,0,D52/TrRoad_act!D26*1000)</f>
        <v>48.302352982811762</v>
      </c>
      <c r="E110" s="116">
        <f>IF(TrRoad_act!E26=0,0,E52/TrRoad_act!E26*1000)</f>
        <v>48.232146450609129</v>
      </c>
      <c r="F110" s="116">
        <f>IF(TrRoad_act!F26=0,0,F52/TrRoad_act!F26*1000)</f>
        <v>45.047007837306005</v>
      </c>
      <c r="G110" s="116">
        <f>IF(TrRoad_act!G26=0,0,G52/TrRoad_act!G26*1000)</f>
        <v>46.657459926027059</v>
      </c>
      <c r="H110" s="116">
        <f>IF(TrRoad_act!H26=0,0,H52/TrRoad_act!H26*1000)</f>
        <v>50.155835374177343</v>
      </c>
      <c r="I110" s="116">
        <f>IF(TrRoad_act!I26=0,0,I52/TrRoad_act!I26*1000)</f>
        <v>50.594305972790664</v>
      </c>
      <c r="J110" s="116">
        <f>IF(TrRoad_act!J26=0,0,J52/TrRoad_act!J26*1000)</f>
        <v>49.681345316326315</v>
      </c>
      <c r="K110" s="116">
        <f>IF(TrRoad_act!K26=0,0,K52/TrRoad_act!K26*1000)</f>
        <v>47.372760061126804</v>
      </c>
      <c r="L110" s="116">
        <f>IF(TrRoad_act!L26=0,0,L52/TrRoad_act!L26*1000)</f>
        <v>48.04226813078423</v>
      </c>
      <c r="M110" s="116">
        <f>IF(TrRoad_act!M26=0,0,M52/TrRoad_act!M26*1000)</f>
        <v>49.818705873747966</v>
      </c>
      <c r="N110" s="116">
        <f>IF(TrRoad_act!N26=0,0,N52/TrRoad_act!N26*1000)</f>
        <v>50.365723787613085</v>
      </c>
      <c r="O110" s="116">
        <f>IF(TrRoad_act!O26=0,0,O52/TrRoad_act!O26*1000)</f>
        <v>41.070496785607652</v>
      </c>
      <c r="P110" s="116">
        <f>IF(TrRoad_act!P26=0,0,P52/TrRoad_act!P26*1000)</f>
        <v>31.142987146083566</v>
      </c>
      <c r="Q110" s="116">
        <f>IF(TrRoad_act!Q26=0,0,Q52/TrRoad_act!Q26*1000)</f>
        <v>30.969490840770689</v>
      </c>
      <c r="R110" s="116">
        <f>IF(TrRoad_act!R26=0,0,R52/TrRoad_act!R26*1000)</f>
        <v>28.556499714625765</v>
      </c>
      <c r="S110" s="116">
        <f>IF(TrRoad_act!S26=0,0,S52/TrRoad_act!S26*1000)</f>
        <v>33.929267675629468</v>
      </c>
      <c r="T110" s="116">
        <f>IF(TrRoad_act!T26=0,0,T52/TrRoad_act!T26*1000)</f>
        <v>38.574068108044557</v>
      </c>
      <c r="U110" s="116">
        <f>IF(TrRoad_act!U26=0,0,U52/TrRoad_act!U26*1000)</f>
        <v>39.196955370194686</v>
      </c>
      <c r="V110" s="116">
        <f>IF(TrRoad_act!V26=0,0,V52/TrRoad_act!V26*1000)</f>
        <v>36.072943738446007</v>
      </c>
      <c r="W110" s="116">
        <f>IF(TrRoad_act!W26=0,0,W52/TrRoad_act!W26*1000)</f>
        <v>29.219049222018441</v>
      </c>
      <c r="X110" s="116">
        <f>IF(TrRoad_act!X26=0,0,X52/TrRoad_act!X26*1000)</f>
        <v>28.762628207076244</v>
      </c>
      <c r="Y110" s="116">
        <f>IF(TrRoad_act!Y26=0,0,Y52/TrRoad_act!Y26*1000)</f>
        <v>31.757938196479159</v>
      </c>
      <c r="DA110" s="176" t="s">
        <v>427</v>
      </c>
    </row>
    <row r="111" spans="1:105" ht="11.45" customHeight="1" x14ac:dyDescent="0.25">
      <c r="A111" s="128" t="s">
        <v>27</v>
      </c>
      <c r="B111" s="101">
        <f>IF(TrRoad_act!B27=0,0,B53/TrRoad_act!B27*1000)</f>
        <v>55.215930330407211</v>
      </c>
      <c r="C111" s="101">
        <f>IF(TrRoad_act!C27=0,0,C53/TrRoad_act!C27*1000)</f>
        <v>54.419380552228027</v>
      </c>
      <c r="D111" s="101">
        <f>IF(TrRoad_act!D27=0,0,D53/TrRoad_act!D27*1000)</f>
        <v>57.851503104083648</v>
      </c>
      <c r="E111" s="101">
        <f>IF(TrRoad_act!E27=0,0,E53/TrRoad_act!E27*1000)</f>
        <v>57.31527769031181</v>
      </c>
      <c r="F111" s="101">
        <f>IF(TrRoad_act!F27=0,0,F53/TrRoad_act!F27*1000)</f>
        <v>52.968520124637671</v>
      </c>
      <c r="G111" s="101">
        <f>IF(TrRoad_act!G27=0,0,G53/TrRoad_act!G27*1000)</f>
        <v>56.283256264940739</v>
      </c>
      <c r="H111" s="101">
        <f>IF(TrRoad_act!H27=0,0,H53/TrRoad_act!H27*1000)</f>
        <v>61.626742536712293</v>
      </c>
      <c r="I111" s="101">
        <f>IF(TrRoad_act!I27=0,0,I53/TrRoad_act!I27*1000)</f>
        <v>61.81503141952205</v>
      </c>
      <c r="J111" s="101">
        <f>IF(TrRoad_act!J27=0,0,J53/TrRoad_act!J27*1000)</f>
        <v>59.519797143538064</v>
      </c>
      <c r="K111" s="101">
        <f>IF(TrRoad_act!K27=0,0,K53/TrRoad_act!K27*1000)</f>
        <v>56.258938283587923</v>
      </c>
      <c r="L111" s="101">
        <f>IF(TrRoad_act!L27=0,0,L53/TrRoad_act!L27*1000)</f>
        <v>56.480039854585179</v>
      </c>
      <c r="M111" s="101">
        <f>IF(TrRoad_act!M27=0,0,M53/TrRoad_act!M27*1000)</f>
        <v>58.746770464643319</v>
      </c>
      <c r="N111" s="101">
        <f>IF(TrRoad_act!N27=0,0,N53/TrRoad_act!N27*1000)</f>
        <v>59.561436586174182</v>
      </c>
      <c r="O111" s="101">
        <f>IF(TrRoad_act!O27=0,0,O53/TrRoad_act!O27*1000)</f>
        <v>46.906987506693433</v>
      </c>
      <c r="P111" s="101">
        <f>IF(TrRoad_act!P27=0,0,P53/TrRoad_act!P27*1000)</f>
        <v>35.88646243609459</v>
      </c>
      <c r="Q111" s="101">
        <f>IF(TrRoad_act!Q27=0,0,Q53/TrRoad_act!Q27*1000)</f>
        <v>35.83349119342293</v>
      </c>
      <c r="R111" s="101">
        <f>IF(TrRoad_act!R27=0,0,R53/TrRoad_act!R27*1000)</f>
        <v>32.748922064579936</v>
      </c>
      <c r="S111" s="101">
        <f>IF(TrRoad_act!S27=0,0,S53/TrRoad_act!S27*1000)</f>
        <v>38.728672781676508</v>
      </c>
      <c r="T111" s="101">
        <f>IF(TrRoad_act!T27=0,0,T53/TrRoad_act!T27*1000)</f>
        <v>43.755718874798497</v>
      </c>
      <c r="U111" s="101">
        <f>IF(TrRoad_act!U27=0,0,U53/TrRoad_act!U27*1000)</f>
        <v>44.147652618991181</v>
      </c>
      <c r="V111" s="101">
        <f>IF(TrRoad_act!V27=0,0,V53/TrRoad_act!V27*1000)</f>
        <v>40.915531239993186</v>
      </c>
      <c r="W111" s="101">
        <f>IF(TrRoad_act!W27=0,0,W53/TrRoad_act!W27*1000)</f>
        <v>33.171972359640762</v>
      </c>
      <c r="X111" s="101">
        <f>IF(TrRoad_act!X27=0,0,X53/TrRoad_act!X27*1000)</f>
        <v>32.565410669750236</v>
      </c>
      <c r="Y111" s="101">
        <f>IF(TrRoad_act!Y27=0,0,Y53/TrRoad_act!Y27*1000)</f>
        <v>35.967116325434127</v>
      </c>
      <c r="DA111" s="175" t="s">
        <v>714</v>
      </c>
    </row>
    <row r="112" spans="1:105" ht="11.45" customHeight="1" x14ac:dyDescent="0.25">
      <c r="A112" s="138" t="s">
        <v>116</v>
      </c>
      <c r="B112" s="88">
        <f>IF(TrRoad_act!B28=0,0,B55/TrRoad_act!B28*1000)</f>
        <v>29.774369673335194</v>
      </c>
      <c r="C112" s="88">
        <f>IF(TrRoad_act!C28=0,0,C55/TrRoad_act!C28*1000)</f>
        <v>29.147508207346128</v>
      </c>
      <c r="D112" s="88">
        <f>IF(TrRoad_act!D28=0,0,D55/TrRoad_act!D28*1000)</f>
        <v>28.610050972778836</v>
      </c>
      <c r="E112" s="88">
        <f>IF(TrRoad_act!E28=0,0,E55/TrRoad_act!E28*1000)</f>
        <v>28.866237359694718</v>
      </c>
      <c r="F112" s="88">
        <f>IF(TrRoad_act!F28=0,0,F55/TrRoad_act!F28*1000)</f>
        <v>29.510295174877196</v>
      </c>
      <c r="G112" s="88">
        <f>IF(TrRoad_act!G28=0,0,G55/TrRoad_act!G28*1000)</f>
        <v>29.560788711348255</v>
      </c>
      <c r="H112" s="88">
        <f>IF(TrRoad_act!H28=0,0,H55/TrRoad_act!H28*1000)</f>
        <v>31.507571414779218</v>
      </c>
      <c r="I112" s="88">
        <f>IF(TrRoad_act!I28=0,0,I55/TrRoad_act!I28*1000)</f>
        <v>32.753058401260716</v>
      </c>
      <c r="J112" s="88">
        <f>IF(TrRoad_act!J28=0,0,J55/TrRoad_act!J28*1000)</f>
        <v>33.415410933601926</v>
      </c>
      <c r="K112" s="88">
        <f>IF(TrRoad_act!K28=0,0,K55/TrRoad_act!K28*1000)</f>
        <v>31.590374729672043</v>
      </c>
      <c r="L112" s="88">
        <f>IF(TrRoad_act!L28=0,0,L55/TrRoad_act!L28*1000)</f>
        <v>34.765621547818995</v>
      </c>
      <c r="M112" s="88">
        <f>IF(TrRoad_act!M28=0,0,M55/TrRoad_act!M28*1000)</f>
        <v>35.429482146635607</v>
      </c>
      <c r="N112" s="88">
        <f>IF(TrRoad_act!N28=0,0,N55/TrRoad_act!N28*1000)</f>
        <v>35.96432466341426</v>
      </c>
      <c r="O112" s="88">
        <f>IF(TrRoad_act!O28=0,0,O55/TrRoad_act!O28*1000)</f>
        <v>30.988674763516201</v>
      </c>
      <c r="P112" s="88">
        <f>IF(TrRoad_act!P28=0,0,P55/TrRoad_act!P28*1000)</f>
        <v>23.211752654430533</v>
      </c>
      <c r="Q112" s="88">
        <f>IF(TrRoad_act!Q28=0,0,Q55/TrRoad_act!Q28*1000)</f>
        <v>22.960979214557021</v>
      </c>
      <c r="R112" s="88">
        <f>IF(TrRoad_act!R28=0,0,R55/TrRoad_act!R28*1000)</f>
        <v>21.679011206078638</v>
      </c>
      <c r="S112" s="88">
        <f>IF(TrRoad_act!S28=0,0,S55/TrRoad_act!S28*1000)</f>
        <v>26.38262534425488</v>
      </c>
      <c r="T112" s="88">
        <f>IF(TrRoad_act!T28=0,0,T55/TrRoad_act!T28*1000)</f>
        <v>30.046970553062479</v>
      </c>
      <c r="U112" s="88">
        <f>IF(TrRoad_act!U28=0,0,U55/TrRoad_act!U28*1000)</f>
        <v>31.106657816844336</v>
      </c>
      <c r="V112" s="88">
        <f>IF(TrRoad_act!V28=0,0,V55/TrRoad_act!V28*1000)</f>
        <v>28.349960034679867</v>
      </c>
      <c r="W112" s="88">
        <f>IF(TrRoad_act!W28=0,0,W55/TrRoad_act!W28*1000)</f>
        <v>22.751326598204873</v>
      </c>
      <c r="X112" s="88">
        <f>IF(TrRoad_act!X28=0,0,X55/TrRoad_act!X28*1000)</f>
        <v>22.518988385013891</v>
      </c>
      <c r="Y112" s="88">
        <f>IF(TrRoad_act!Y28=0,0,Y55/TrRoad_act!Y28*1000)</f>
        <v>24.994259578979182</v>
      </c>
      <c r="DA112" s="178" t="s">
        <v>715</v>
      </c>
    </row>
    <row r="113" spans="1:105" x14ac:dyDescent="0.25">
      <c r="A113" s="106"/>
      <c r="B113" s="106"/>
      <c r="C113" s="106"/>
      <c r="D113" s="106"/>
      <c r="E113" s="106"/>
      <c r="F113" s="106"/>
      <c r="G113" s="106"/>
      <c r="H113" s="106"/>
      <c r="I113" s="106"/>
      <c r="J113" s="106"/>
      <c r="K113" s="106"/>
      <c r="L113" s="106"/>
      <c r="M113" s="106"/>
      <c r="N113" s="106"/>
      <c r="O113" s="106"/>
      <c r="P113" s="106"/>
      <c r="Q113" s="106"/>
      <c r="R113" s="106"/>
      <c r="S113" s="106"/>
      <c r="T113" s="106"/>
      <c r="U113" s="106"/>
      <c r="V113" s="106"/>
      <c r="W113" s="106"/>
      <c r="X113" s="106"/>
      <c r="Y113" s="106"/>
      <c r="DA113" s="171"/>
    </row>
    <row r="114" spans="1:105" ht="11.45" customHeight="1" x14ac:dyDescent="0.25">
      <c r="A114" s="53" t="s">
        <v>96</v>
      </c>
      <c r="B114" s="62"/>
      <c r="C114" s="62"/>
      <c r="D114" s="62"/>
      <c r="E114" s="62"/>
      <c r="F114" s="62"/>
      <c r="G114" s="62"/>
      <c r="H114" s="62"/>
      <c r="I114" s="62"/>
      <c r="J114" s="62"/>
      <c r="K114" s="62"/>
      <c r="L114" s="62"/>
      <c r="M114" s="62"/>
      <c r="N114" s="62"/>
      <c r="O114" s="62"/>
      <c r="P114" s="62"/>
      <c r="Q114" s="62"/>
      <c r="R114" s="62"/>
      <c r="S114" s="62"/>
      <c r="T114" s="62"/>
      <c r="U114" s="62"/>
      <c r="V114" s="62"/>
      <c r="W114" s="62"/>
      <c r="X114" s="62"/>
      <c r="Y114" s="62"/>
      <c r="DA114" s="172"/>
    </row>
    <row r="115" spans="1:105" ht="11.45" customHeight="1" x14ac:dyDescent="0.25">
      <c r="A115" s="27" t="s">
        <v>33</v>
      </c>
      <c r="B115" s="29"/>
      <c r="C115" s="29"/>
      <c r="D115" s="29"/>
      <c r="E115" s="29"/>
      <c r="F115" s="29"/>
      <c r="G115" s="29"/>
      <c r="H115" s="29"/>
      <c r="I115" s="29"/>
      <c r="J115" s="29"/>
      <c r="K115" s="29"/>
      <c r="L115" s="29"/>
      <c r="M115" s="29"/>
      <c r="N115" s="29"/>
      <c r="O115" s="29"/>
      <c r="P115" s="29"/>
      <c r="Q115" s="29"/>
      <c r="R115" s="29"/>
      <c r="S115" s="29"/>
      <c r="T115" s="29"/>
      <c r="U115" s="29"/>
      <c r="V115" s="29"/>
      <c r="W115" s="29"/>
      <c r="X115" s="29"/>
      <c r="Y115" s="29"/>
      <c r="DA115" s="173"/>
    </row>
    <row r="116" spans="1:105" ht="11.45" customHeight="1" x14ac:dyDescent="0.25">
      <c r="A116" s="136" t="s">
        <v>173</v>
      </c>
      <c r="B116" s="152">
        <f>IF(B19=0,0,1000000*B19/TrRoad_act!B59)</f>
        <v>130.7588131492395</v>
      </c>
      <c r="C116" s="152">
        <f>IF(C19=0,0,1000000*C19/TrRoad_act!C59)</f>
        <v>136.22213097710383</v>
      </c>
      <c r="D116" s="152">
        <f>IF(D19=0,0,1000000*D19/TrRoad_act!D59)</f>
        <v>134.36262136805516</v>
      </c>
      <c r="E116" s="152">
        <f>IF(E19=0,0,1000000*E19/TrRoad_act!E59)</f>
        <v>132.92216494008824</v>
      </c>
      <c r="F116" s="152">
        <f>IF(F19=0,0,1000000*F19/TrRoad_act!F59)</f>
        <v>123.30321345586692</v>
      </c>
      <c r="G116" s="152">
        <f>IF(G19=0,0,1000000*G19/TrRoad_act!G59)</f>
        <v>118.24562886213486</v>
      </c>
      <c r="H116" s="152">
        <f>IF(H19=0,0,1000000*H19/TrRoad_act!H59)</f>
        <v>107.37991464465236</v>
      </c>
      <c r="I116" s="152">
        <f>IF(I19=0,0,1000000*I19/TrRoad_act!I59)</f>
        <v>108.94625000954368</v>
      </c>
      <c r="J116" s="152">
        <f>IF(J19=0,0,1000000*J19/TrRoad_act!J59)</f>
        <v>108.32068202558462</v>
      </c>
      <c r="K116" s="152">
        <f>IF(K19=0,0,1000000*K19/TrRoad_act!K59)</f>
        <v>103.77580484175456</v>
      </c>
      <c r="L116" s="152">
        <f>IF(L19=0,0,1000000*L19/TrRoad_act!L59)</f>
        <v>98.852281436502906</v>
      </c>
      <c r="M116" s="152">
        <f>IF(M19=0,0,1000000*M19/TrRoad_act!M59)</f>
        <v>97.504000817204812</v>
      </c>
      <c r="N116" s="152">
        <f>IF(N19=0,0,1000000*N19/TrRoad_act!N59)</f>
        <v>92.460329709300055</v>
      </c>
      <c r="O116" s="152">
        <f>IF(O19=0,0,1000000*O19/TrRoad_act!O59)</f>
        <v>89.81123003809617</v>
      </c>
      <c r="P116" s="152">
        <f>IF(P19=0,0,1000000*P19/TrRoad_act!P59)</f>
        <v>84.521493181123134</v>
      </c>
      <c r="Q116" s="152">
        <f>IF(Q19=0,0,1000000*Q19/TrRoad_act!Q59)</f>
        <v>84.937839547305728</v>
      </c>
      <c r="R116" s="152">
        <f>IF(R19=0,0,1000000*R19/TrRoad_act!R59)</f>
        <v>84.042221392386637</v>
      </c>
      <c r="S116" s="152">
        <f>IF(S19=0,0,1000000*S19/TrRoad_act!S59)</f>
        <v>76.704397212605258</v>
      </c>
      <c r="T116" s="152">
        <f>IF(T19=0,0,1000000*T19/TrRoad_act!T59)</f>
        <v>71.392138679203228</v>
      </c>
      <c r="U116" s="152">
        <f>IF(U19=0,0,1000000*U19/TrRoad_act!U59)</f>
        <v>73.206712357442726</v>
      </c>
      <c r="V116" s="152">
        <f>IF(V19=0,0,1000000*V19/TrRoad_act!V59)</f>
        <v>62.770597894909166</v>
      </c>
      <c r="W116" s="152">
        <f>IF(W19=0,0,1000000*W19/TrRoad_act!W59)</f>
        <v>66.439252550835477</v>
      </c>
      <c r="X116" s="152">
        <f>IF(X19=0,0,1000000*X19/TrRoad_act!X59)</f>
        <v>65.645347280667124</v>
      </c>
      <c r="Y116" s="152">
        <f>IF(Y19=0,0,1000000*Y19/TrRoad_act!Y59)</f>
        <v>70.221869299389809</v>
      </c>
      <c r="DA116" s="174" t="s">
        <v>716</v>
      </c>
    </row>
    <row r="117" spans="1:105" ht="11.45" customHeight="1" x14ac:dyDescent="0.25">
      <c r="A117" s="109" t="s">
        <v>20</v>
      </c>
      <c r="B117" s="116">
        <f>IF(B21=0,0,1000000*B21/TrRoad_act!B60)</f>
        <v>915.35896981369376</v>
      </c>
      <c r="C117" s="116">
        <f>IF(C21=0,0,1000000*C21/TrRoad_act!C60)</f>
        <v>896.15990767961171</v>
      </c>
      <c r="D117" s="116">
        <f>IF(D21=0,0,1000000*D21/TrRoad_act!D60)</f>
        <v>890.20721752825057</v>
      </c>
      <c r="E117" s="116">
        <f>IF(E21=0,0,1000000*E21/TrRoad_act!E60)</f>
        <v>875.98567822664882</v>
      </c>
      <c r="F117" s="116">
        <f>IF(F21=0,0,1000000*F21/TrRoad_act!F60)</f>
        <v>874.60031259757284</v>
      </c>
      <c r="G117" s="116">
        <f>IF(G21=0,0,1000000*G21/TrRoad_act!G60)</f>
        <v>867.0437622892839</v>
      </c>
      <c r="H117" s="116">
        <f>IF(H21=0,0,1000000*H21/TrRoad_act!H60)</f>
        <v>877.18471537024527</v>
      </c>
      <c r="I117" s="116">
        <f>IF(I21=0,0,1000000*I21/TrRoad_act!I60)</f>
        <v>867.85507022110539</v>
      </c>
      <c r="J117" s="116">
        <f>IF(J21=0,0,1000000*J21/TrRoad_act!J60)</f>
        <v>852.34786228512121</v>
      </c>
      <c r="K117" s="116">
        <f>IF(K21=0,0,1000000*K21/TrRoad_act!K60)</f>
        <v>831.85617356368255</v>
      </c>
      <c r="L117" s="116">
        <f>IF(L21=0,0,1000000*L21/TrRoad_act!L60)</f>
        <v>813.80557463209698</v>
      </c>
      <c r="M117" s="116">
        <f>IF(M21=0,0,1000000*M21/TrRoad_act!M60)</f>
        <v>803.29001151573016</v>
      </c>
      <c r="N117" s="116">
        <f>IF(N21=0,0,1000000*N21/TrRoad_act!N60)</f>
        <v>755.91242789182593</v>
      </c>
      <c r="O117" s="116">
        <f>IF(O21=0,0,1000000*O21/TrRoad_act!O60)</f>
        <v>731.56351651267528</v>
      </c>
      <c r="P117" s="116">
        <f>IF(P21=0,0,1000000*P21/TrRoad_act!P60)</f>
        <v>706.0856131158132</v>
      </c>
      <c r="Q117" s="116">
        <f>IF(Q21=0,0,1000000*Q21/TrRoad_act!Q60)</f>
        <v>682.97114265958226</v>
      </c>
      <c r="R117" s="116">
        <f>IF(R21=0,0,1000000*R21/TrRoad_act!R60)</f>
        <v>676.13541719236525</v>
      </c>
      <c r="S117" s="116">
        <f>IF(S21=0,0,1000000*S21/TrRoad_act!S60)</f>
        <v>672.23492147091713</v>
      </c>
      <c r="T117" s="116">
        <f>IF(T21=0,0,1000000*T21/TrRoad_act!T60)</f>
        <v>668.33249213715067</v>
      </c>
      <c r="U117" s="116">
        <f>IF(U21=0,0,1000000*U21/TrRoad_act!U60)</f>
        <v>652.49326423984155</v>
      </c>
      <c r="V117" s="116">
        <f>IF(V21=0,0,1000000*V21/TrRoad_act!V60)</f>
        <v>513.69181758683578</v>
      </c>
      <c r="W117" s="116">
        <f>IF(W21=0,0,1000000*W21/TrRoad_act!W60)</f>
        <v>552.48907212501183</v>
      </c>
      <c r="X117" s="116">
        <f>IF(X21=0,0,1000000*X21/TrRoad_act!X60)</f>
        <v>550.10300500752658</v>
      </c>
      <c r="Y117" s="116">
        <f>IF(Y21=0,0,1000000*Y21/TrRoad_act!Y60)</f>
        <v>579.01243434193987</v>
      </c>
      <c r="DA117" s="176" t="s">
        <v>717</v>
      </c>
    </row>
    <row r="118" spans="1:105" ht="11.45" customHeight="1" x14ac:dyDescent="0.25">
      <c r="A118" s="111" t="s">
        <v>110</v>
      </c>
      <c r="B118" s="87">
        <f>IF(B22=0,0,1000000*B22/TrRoad_act!B61)</f>
        <v>745.74341249521535</v>
      </c>
      <c r="C118" s="87">
        <f>IF(C22=0,0,1000000*C22/TrRoad_act!C61)</f>
        <v>745.04214565484676</v>
      </c>
      <c r="D118" s="87">
        <f>IF(D22=0,0,1000000*D22/TrRoad_act!D61)</f>
        <v>735.86932496116151</v>
      </c>
      <c r="E118" s="87">
        <f>IF(E22=0,0,1000000*E22/TrRoad_act!E61)</f>
        <v>725.1867542639028</v>
      </c>
      <c r="F118" s="87">
        <f>IF(F22=0,0,1000000*F22/TrRoad_act!F61)</f>
        <v>714.61952751750107</v>
      </c>
      <c r="G118" s="87">
        <f>IF(G22=0,0,1000000*G22/TrRoad_act!G61)</f>
        <v>700.01359659844593</v>
      </c>
      <c r="H118" s="87">
        <f>IF(H22=0,0,1000000*H22/TrRoad_act!H61)</f>
        <v>705.76182452934461</v>
      </c>
      <c r="I118" s="87">
        <f>IF(I22=0,0,1000000*I22/TrRoad_act!I61)</f>
        <v>701.90618242247444</v>
      </c>
      <c r="J118" s="87">
        <f>IF(J22=0,0,1000000*J22/TrRoad_act!J61)</f>
        <v>681.3096978202409</v>
      </c>
      <c r="K118" s="87">
        <f>IF(K22=0,0,1000000*K22/TrRoad_act!K61)</f>
        <v>666.74047698004961</v>
      </c>
      <c r="L118" s="87">
        <f>IF(L22=0,0,1000000*L22/TrRoad_act!L61)</f>
        <v>655.48318724156468</v>
      </c>
      <c r="M118" s="87">
        <f>IF(M22=0,0,1000000*M22/TrRoad_act!M61)</f>
        <v>654.90299668795308</v>
      </c>
      <c r="N118" s="87">
        <f>IF(N22=0,0,1000000*N22/TrRoad_act!N61)</f>
        <v>611.07925476984553</v>
      </c>
      <c r="O118" s="87">
        <f>IF(O22=0,0,1000000*O22/TrRoad_act!O61)</f>
        <v>591.54464012297342</v>
      </c>
      <c r="P118" s="87">
        <f>IF(P22=0,0,1000000*P22/TrRoad_act!P61)</f>
        <v>572.35567939342468</v>
      </c>
      <c r="Q118" s="87">
        <f>IF(Q22=0,0,1000000*Q22/TrRoad_act!Q61)</f>
        <v>560.74545372392686</v>
      </c>
      <c r="R118" s="87">
        <f>IF(R22=0,0,1000000*R22/TrRoad_act!R61)</f>
        <v>564.13304753932766</v>
      </c>
      <c r="S118" s="87">
        <f>IF(S22=0,0,1000000*S22/TrRoad_act!S61)</f>
        <v>572.88508118407094</v>
      </c>
      <c r="T118" s="87">
        <f>IF(T22=0,0,1000000*T22/TrRoad_act!T61)</f>
        <v>580.89610514752837</v>
      </c>
      <c r="U118" s="87">
        <f>IF(U22=0,0,1000000*U22/TrRoad_act!U61)</f>
        <v>583.09890165773561</v>
      </c>
      <c r="V118" s="87">
        <f>IF(V22=0,0,1000000*V22/TrRoad_act!V61)</f>
        <v>481.44934692197012</v>
      </c>
      <c r="W118" s="87">
        <f>IF(W22=0,0,1000000*W22/TrRoad_act!W61)</f>
        <v>486.95629283113124</v>
      </c>
      <c r="X118" s="87">
        <f>IF(X22=0,0,1000000*X22/TrRoad_act!X61)</f>
        <v>496.32161384060993</v>
      </c>
      <c r="Y118" s="87">
        <f>IF(Y22=0,0,1000000*Y22/TrRoad_act!Y61)</f>
        <v>548.60127645917191</v>
      </c>
      <c r="DA118" s="171" t="s">
        <v>718</v>
      </c>
    </row>
    <row r="119" spans="1:105" ht="11.45" customHeight="1" x14ac:dyDescent="0.25">
      <c r="A119" s="111" t="s">
        <v>111</v>
      </c>
      <c r="B119" s="87">
        <f>IF(B24=0,0,1000000*B24/TrRoad_act!B62)</f>
        <v>1806.6766258388282</v>
      </c>
      <c r="C119" s="87">
        <f>IF(C24=0,0,1000000*C24/TrRoad_act!C62)</f>
        <v>1691.3451581330137</v>
      </c>
      <c r="D119" s="87">
        <f>IF(D24=0,0,1000000*D24/TrRoad_act!D62)</f>
        <v>1687.2162269871551</v>
      </c>
      <c r="E119" s="87">
        <f>IF(E24=0,0,1000000*E24/TrRoad_act!E62)</f>
        <v>1669.5232963539308</v>
      </c>
      <c r="F119" s="87">
        <f>IF(F24=0,0,1000000*F24/TrRoad_act!F62)</f>
        <v>1672.5550472388059</v>
      </c>
      <c r="G119" s="87">
        <f>IF(G24=0,0,1000000*G24/TrRoad_act!G62)</f>
        <v>1668.7126617568492</v>
      </c>
      <c r="H119" s="87">
        <f>IF(H24=0,0,1000000*H24/TrRoad_act!H62)</f>
        <v>1662.2206772208117</v>
      </c>
      <c r="I119" s="87">
        <f>IF(I24=0,0,1000000*I24/TrRoad_act!I62)</f>
        <v>1633.1797925170658</v>
      </c>
      <c r="J119" s="87">
        <f>IF(J24=0,0,1000000*J24/TrRoad_act!J62)</f>
        <v>1614.7449176637604</v>
      </c>
      <c r="K119" s="87">
        <f>IF(K24=0,0,1000000*K24/TrRoad_act!K62)</f>
        <v>1545.8382232043803</v>
      </c>
      <c r="L119" s="87">
        <f>IF(L24=0,0,1000000*L24/TrRoad_act!L62)</f>
        <v>1503.2991728644774</v>
      </c>
      <c r="M119" s="87">
        <f>IF(M24=0,0,1000000*M24/TrRoad_act!M62)</f>
        <v>1445.7582287990426</v>
      </c>
      <c r="N119" s="87">
        <f>IF(N24=0,0,1000000*N24/TrRoad_act!N62)</f>
        <v>1354.3926855762313</v>
      </c>
      <c r="O119" s="87">
        <f>IF(O24=0,0,1000000*O24/TrRoad_act!O62)</f>
        <v>1334.2171756631726</v>
      </c>
      <c r="P119" s="87">
        <f>IF(P24=0,0,1000000*P24/TrRoad_act!P62)</f>
        <v>1323.9346792841077</v>
      </c>
      <c r="Q119" s="87">
        <f>IF(Q24=0,0,1000000*Q24/TrRoad_act!Q62)</f>
        <v>1262.3623814366717</v>
      </c>
      <c r="R119" s="87">
        <f>IF(R24=0,0,1000000*R24/TrRoad_act!R62)</f>
        <v>1222.3018434476671</v>
      </c>
      <c r="S119" s="87">
        <f>IF(S24=0,0,1000000*S24/TrRoad_act!S62)</f>
        <v>1180.6785799489808</v>
      </c>
      <c r="T119" s="87">
        <f>IF(T24=0,0,1000000*T24/TrRoad_act!T62)</f>
        <v>1144.1045108180201</v>
      </c>
      <c r="U119" s="87">
        <f>IF(U24=0,0,1000000*U24/TrRoad_act!U62)</f>
        <v>1097.2954873618014</v>
      </c>
      <c r="V119" s="87">
        <f>IF(V24=0,0,1000000*V24/TrRoad_act!V62)</f>
        <v>770.11272134812884</v>
      </c>
      <c r="W119" s="87">
        <f>IF(W24=0,0,1000000*W24/TrRoad_act!W62)</f>
        <v>1100.6192859987864</v>
      </c>
      <c r="X119" s="87">
        <f>IF(X24=0,0,1000000*X24/TrRoad_act!X62)</f>
        <v>1101.8608393254983</v>
      </c>
      <c r="Y119" s="87">
        <f>IF(Y24=0,0,1000000*Y24/TrRoad_act!Y62)</f>
        <v>1087.1267712337342</v>
      </c>
      <c r="DA119" s="171" t="s">
        <v>719</v>
      </c>
    </row>
    <row r="120" spans="1:105" ht="11.45" customHeight="1" x14ac:dyDescent="0.25">
      <c r="A120" s="111" t="s">
        <v>112</v>
      </c>
      <c r="B120" s="87">
        <f>IF(B26=0,0,1000000*B26/TrRoad_act!B63)</f>
        <v>1176.3171503196788</v>
      </c>
      <c r="C120" s="87">
        <f>IF(C26=0,0,1000000*C26/TrRoad_act!C63)</f>
        <v>1067.5923337056863</v>
      </c>
      <c r="D120" s="87">
        <f>IF(D26=0,0,1000000*D26/TrRoad_act!D63)</f>
        <v>1056.0950447832818</v>
      </c>
      <c r="E120" s="87">
        <f>IF(E26=0,0,1000000*E26/TrRoad_act!E63)</f>
        <v>955.99583557771973</v>
      </c>
      <c r="F120" s="87">
        <f>IF(F26=0,0,1000000*F26/TrRoad_act!F63)</f>
        <v>1001.1907553728165</v>
      </c>
      <c r="G120" s="87">
        <f>IF(G26=0,0,1000000*G26/TrRoad_act!G63)</f>
        <v>1019.6226748801512</v>
      </c>
      <c r="H120" s="87">
        <f>IF(H26=0,0,1000000*H26/TrRoad_act!H63)</f>
        <v>1049.3062129268126</v>
      </c>
      <c r="I120" s="87">
        <f>IF(I26=0,0,1000000*I26/TrRoad_act!I63)</f>
        <v>934.30974849932761</v>
      </c>
      <c r="J120" s="87">
        <f>IF(J26=0,0,1000000*J26/TrRoad_act!J63)</f>
        <v>1026.5661551705082</v>
      </c>
      <c r="K120" s="87">
        <f>IF(K26=0,0,1000000*K26/TrRoad_act!K63)</f>
        <v>1119.3685677109102</v>
      </c>
      <c r="L120" s="87">
        <f>IF(L26=0,0,1000000*L26/TrRoad_act!L63)</f>
        <v>1141.120648580898</v>
      </c>
      <c r="M120" s="87">
        <f>IF(M26=0,0,1000000*M26/TrRoad_act!M63)</f>
        <v>1152.5431052262263</v>
      </c>
      <c r="N120" s="87">
        <f>IF(N26=0,0,1000000*N26/TrRoad_act!N63)</f>
        <v>1342.9411191780825</v>
      </c>
      <c r="O120" s="87">
        <f>IF(O26=0,0,1000000*O26/TrRoad_act!O63)</f>
        <v>1263.9227767098098</v>
      </c>
      <c r="P120" s="87">
        <f>IF(P26=0,0,1000000*P26/TrRoad_act!P63)</f>
        <v>1019.3807815325453</v>
      </c>
      <c r="Q120" s="87">
        <f>IF(Q26=0,0,1000000*Q26/TrRoad_act!Q63)</f>
        <v>961.20621438462649</v>
      </c>
      <c r="R120" s="87">
        <f>IF(R26=0,0,1000000*R26/TrRoad_act!R63)</f>
        <v>1053.6234474521184</v>
      </c>
      <c r="S120" s="87">
        <f>IF(S26=0,0,1000000*S26/TrRoad_act!S63)</f>
        <v>995.75220755551209</v>
      </c>
      <c r="T120" s="87">
        <f>IF(T26=0,0,1000000*T26/TrRoad_act!T63)</f>
        <v>987.12649924517928</v>
      </c>
      <c r="U120" s="87">
        <f>IF(U26=0,0,1000000*U26/TrRoad_act!U63)</f>
        <v>813.8012230679285</v>
      </c>
      <c r="V120" s="87">
        <f>IF(V26=0,0,1000000*V26/TrRoad_act!V63)</f>
        <v>697.88699733661076</v>
      </c>
      <c r="W120" s="87">
        <f>IF(W26=0,0,1000000*W26/TrRoad_act!W63)</f>
        <v>828.42919304603674</v>
      </c>
      <c r="X120" s="87">
        <f>IF(X26=0,0,1000000*X26/TrRoad_act!X63)</f>
        <v>913.80712419959298</v>
      </c>
      <c r="Y120" s="87">
        <f>IF(Y26=0,0,1000000*Y26/TrRoad_act!Y63)</f>
        <v>865.79812348866051</v>
      </c>
      <c r="DA120" s="171" t="s">
        <v>720</v>
      </c>
    </row>
    <row r="121" spans="1:105" ht="11.45" customHeight="1" x14ac:dyDescent="0.25">
      <c r="A121" s="111" t="s">
        <v>113</v>
      </c>
      <c r="B121" s="87">
        <f>IF(B27=0,0,1000000*B27/TrRoad_act!B64)</f>
        <v>0</v>
      </c>
      <c r="C121" s="87">
        <f>IF(C27=0,0,1000000*C27/TrRoad_act!C64)</f>
        <v>0</v>
      </c>
      <c r="D121" s="87">
        <f>IF(D27=0,0,1000000*D27/TrRoad_act!D64)</f>
        <v>0</v>
      </c>
      <c r="E121" s="87">
        <f>IF(E27=0,0,1000000*E27/TrRoad_act!E64)</f>
        <v>0</v>
      </c>
      <c r="F121" s="87">
        <f>IF(F27=0,0,1000000*F27/TrRoad_act!F64)</f>
        <v>0</v>
      </c>
      <c r="G121" s="87">
        <f>IF(G27=0,0,1000000*G27/TrRoad_act!G64)</f>
        <v>0</v>
      </c>
      <c r="H121" s="87">
        <f>IF(H27=0,0,1000000*H27/TrRoad_act!H64)</f>
        <v>0</v>
      </c>
      <c r="I121" s="87">
        <f>IF(I27=0,0,1000000*I27/TrRoad_act!I64)</f>
        <v>0</v>
      </c>
      <c r="J121" s="87">
        <f>IF(J27=0,0,1000000*J27/TrRoad_act!J64)</f>
        <v>0</v>
      </c>
      <c r="K121" s="87">
        <f>IF(K27=0,0,1000000*K27/TrRoad_act!K64)</f>
        <v>0</v>
      </c>
      <c r="L121" s="87">
        <f>IF(L27=0,0,1000000*L27/TrRoad_act!L64)</f>
        <v>1519.4031610512925</v>
      </c>
      <c r="M121" s="87">
        <f>IF(M27=0,0,1000000*M27/TrRoad_act!M64)</f>
        <v>1482.4720758570543</v>
      </c>
      <c r="N121" s="87">
        <f>IF(N27=0,0,1000000*N27/TrRoad_act!N64)</f>
        <v>1347.8036206474869</v>
      </c>
      <c r="O121" s="87">
        <f>IF(O27=0,0,1000000*O27/TrRoad_act!O64)</f>
        <v>1278.2596608139161</v>
      </c>
      <c r="P121" s="87">
        <f>IF(P27=0,0,1000000*P27/TrRoad_act!P64)</f>
        <v>1141.7026011998591</v>
      </c>
      <c r="Q121" s="87">
        <f>IF(Q27=0,0,1000000*Q27/TrRoad_act!Q64)</f>
        <v>1129.3529264238462</v>
      </c>
      <c r="R121" s="87">
        <f>IF(R27=0,0,1000000*R27/TrRoad_act!R64)</f>
        <v>996.2505150414662</v>
      </c>
      <c r="S121" s="87">
        <f>IF(S27=0,0,1000000*S27/TrRoad_act!S64)</f>
        <v>1196.0987270492919</v>
      </c>
      <c r="T121" s="87">
        <f>IF(T27=0,0,1000000*T27/TrRoad_act!T64)</f>
        <v>1348.7262096840432</v>
      </c>
      <c r="U121" s="87">
        <f>IF(U27=0,0,1000000*U27/TrRoad_act!U64)</f>
        <v>1355.656457720178</v>
      </c>
      <c r="V121" s="87">
        <f>IF(V27=0,0,1000000*V27/TrRoad_act!V64)</f>
        <v>1110.0535169287673</v>
      </c>
      <c r="W121" s="87">
        <f>IF(W27=0,0,1000000*W27/TrRoad_act!W64)</f>
        <v>1178.4616258397341</v>
      </c>
      <c r="X121" s="87">
        <f>IF(X27=0,0,1000000*X27/TrRoad_act!X64)</f>
        <v>1291.4509482424728</v>
      </c>
      <c r="Y121" s="87">
        <f>IF(Y27=0,0,1000000*Y27/TrRoad_act!Y64)</f>
        <v>1304.6367574915064</v>
      </c>
      <c r="DA121" s="171" t="s">
        <v>721</v>
      </c>
    </row>
    <row r="122" spans="1:105" ht="11.45" customHeight="1" x14ac:dyDescent="0.25">
      <c r="A122" s="111" t="s">
        <v>114</v>
      </c>
      <c r="B122" s="87">
        <f>IF(B29=0,0,1000000*B29/TrRoad_act!B65)</f>
        <v>0</v>
      </c>
      <c r="C122" s="87">
        <f>IF(C29=0,0,1000000*C29/TrRoad_act!C65)</f>
        <v>0</v>
      </c>
      <c r="D122" s="87">
        <f>IF(D29=0,0,1000000*D29/TrRoad_act!D65)</f>
        <v>0</v>
      </c>
      <c r="E122" s="87">
        <f>IF(E29=0,0,1000000*E29/TrRoad_act!E65)</f>
        <v>0</v>
      </c>
      <c r="F122" s="87">
        <f>IF(F29=0,0,1000000*F29/TrRoad_act!F65)</f>
        <v>0</v>
      </c>
      <c r="G122" s="87">
        <f>IF(G29=0,0,1000000*G29/TrRoad_act!G65)</f>
        <v>0</v>
      </c>
      <c r="H122" s="87">
        <f>IF(H29=0,0,1000000*H29/TrRoad_act!H65)</f>
        <v>0</v>
      </c>
      <c r="I122" s="87">
        <f>IF(I29=0,0,1000000*I29/TrRoad_act!I65)</f>
        <v>0</v>
      </c>
      <c r="J122" s="87">
        <f>IF(J29=0,0,1000000*J29/TrRoad_act!J65)</f>
        <v>0</v>
      </c>
      <c r="K122" s="87">
        <f>IF(K29=0,0,1000000*K29/TrRoad_act!K65)</f>
        <v>0</v>
      </c>
      <c r="L122" s="87">
        <f>IF(L29=0,0,1000000*L29/TrRoad_act!L65)</f>
        <v>0</v>
      </c>
      <c r="M122" s="87">
        <f>IF(M29=0,0,1000000*M29/TrRoad_act!M65)</f>
        <v>323.45510267542323</v>
      </c>
      <c r="N122" s="87">
        <f>IF(N29=0,0,1000000*N29/TrRoad_act!N65)</f>
        <v>245.27854209718859</v>
      </c>
      <c r="O122" s="87">
        <f>IF(O29=0,0,1000000*O29/TrRoad_act!O65)</f>
        <v>260.08994627409868</v>
      </c>
      <c r="P122" s="87">
        <f>IF(P29=0,0,1000000*P29/TrRoad_act!P65)</f>
        <v>316.50020975059914</v>
      </c>
      <c r="Q122" s="87">
        <f>IF(Q29=0,0,1000000*Q29/TrRoad_act!Q65)</f>
        <v>306.75654985290078</v>
      </c>
      <c r="R122" s="87">
        <f>IF(R29=0,0,1000000*R29/TrRoad_act!R65)</f>
        <v>288.39860512501662</v>
      </c>
      <c r="S122" s="87">
        <f>IF(S29=0,0,1000000*S29/TrRoad_act!S65)</f>
        <v>276.38797695343254</v>
      </c>
      <c r="T122" s="87">
        <f>IF(T29=0,0,1000000*T29/TrRoad_act!T65)</f>
        <v>284.19413636258491</v>
      </c>
      <c r="U122" s="87">
        <f>IF(U29=0,0,1000000*U29/TrRoad_act!U65)</f>
        <v>294.21430785777085</v>
      </c>
      <c r="V122" s="87">
        <f>IF(V29=0,0,1000000*V29/TrRoad_act!V65)</f>
        <v>256.07321943288866</v>
      </c>
      <c r="W122" s="87">
        <f>IF(W29=0,0,1000000*W29/TrRoad_act!W65)</f>
        <v>275.55770209490061</v>
      </c>
      <c r="X122" s="87">
        <f>IF(X29=0,0,1000000*X29/TrRoad_act!X65)</f>
        <v>271.73897812040519</v>
      </c>
      <c r="Y122" s="87">
        <f>IF(Y29=0,0,1000000*Y29/TrRoad_act!Y65)</f>
        <v>293.96340170163188</v>
      </c>
      <c r="DA122" s="171" t="s">
        <v>722</v>
      </c>
    </row>
    <row r="123" spans="1:105" ht="11.45" customHeight="1" x14ac:dyDescent="0.25">
      <c r="A123" s="111" t="s">
        <v>115</v>
      </c>
      <c r="B123" s="87">
        <f>IF(B32=0,0,1000000*B32/TrRoad_act!B66)</f>
        <v>0</v>
      </c>
      <c r="C123" s="87">
        <f>IF(C32=0,0,1000000*C32/TrRoad_act!C66)</f>
        <v>0</v>
      </c>
      <c r="D123" s="87">
        <f>IF(D32=0,0,1000000*D32/TrRoad_act!D66)</f>
        <v>0</v>
      </c>
      <c r="E123" s="87">
        <f>IF(E32=0,0,1000000*E32/TrRoad_act!E66)</f>
        <v>0</v>
      </c>
      <c r="F123" s="87">
        <f>IF(F32=0,0,1000000*F32/TrRoad_act!F66)</f>
        <v>0</v>
      </c>
      <c r="G123" s="87">
        <f>IF(G32=0,0,1000000*G32/TrRoad_act!G66)</f>
        <v>0</v>
      </c>
      <c r="H123" s="87">
        <f>IF(H32=0,0,1000000*H32/TrRoad_act!H66)</f>
        <v>0</v>
      </c>
      <c r="I123" s="87">
        <f>IF(I32=0,0,1000000*I32/TrRoad_act!I66)</f>
        <v>0</v>
      </c>
      <c r="J123" s="87">
        <f>IF(J32=0,0,1000000*J32/TrRoad_act!J66)</f>
        <v>0</v>
      </c>
      <c r="K123" s="87">
        <f>IF(K32=0,0,1000000*K32/TrRoad_act!K66)</f>
        <v>282.45205718280118</v>
      </c>
      <c r="L123" s="87">
        <f>IF(L32=0,0,1000000*L32/TrRoad_act!L66)</f>
        <v>279.79962621991933</v>
      </c>
      <c r="M123" s="87">
        <f>IF(M32=0,0,1000000*M32/TrRoad_act!M66)</f>
        <v>281.25680331542543</v>
      </c>
      <c r="N123" s="87">
        <f>IF(N32=0,0,1000000*N32/TrRoad_act!N66)</f>
        <v>266.77229163534446</v>
      </c>
      <c r="O123" s="87">
        <f>IF(O32=0,0,1000000*O32/TrRoad_act!O66)</f>
        <v>249.89226311184427</v>
      </c>
      <c r="P123" s="87">
        <f>IF(P32=0,0,1000000*P32/TrRoad_act!P66)</f>
        <v>246.85054300345689</v>
      </c>
      <c r="Q123" s="87">
        <f>IF(Q32=0,0,1000000*Q32/TrRoad_act!Q66)</f>
        <v>258.34098809722417</v>
      </c>
      <c r="R123" s="87">
        <f>IF(R32=0,0,1000000*R32/TrRoad_act!R66)</f>
        <v>257.87183848117883</v>
      </c>
      <c r="S123" s="87">
        <f>IF(S32=0,0,1000000*S32/TrRoad_act!S66)</f>
        <v>249.73146654521642</v>
      </c>
      <c r="T123" s="87">
        <f>IF(T32=0,0,1000000*T32/TrRoad_act!T66)</f>
        <v>268.59637012307832</v>
      </c>
      <c r="U123" s="87">
        <f>IF(U32=0,0,1000000*U32/TrRoad_act!U66)</f>
        <v>263.15853024346313</v>
      </c>
      <c r="V123" s="87">
        <f>IF(V32=0,0,1000000*V32/TrRoad_act!V66)</f>
        <v>212.34796655444055</v>
      </c>
      <c r="W123" s="87">
        <f>IF(W32=0,0,1000000*W32/TrRoad_act!W66)</f>
        <v>258.30426541102997</v>
      </c>
      <c r="X123" s="87">
        <f>IF(X32=0,0,1000000*X32/TrRoad_act!X66)</f>
        <v>259.22733181871195</v>
      </c>
      <c r="Y123" s="87">
        <f>IF(Y32=0,0,1000000*Y32/TrRoad_act!Y66)</f>
        <v>257.38698287894937</v>
      </c>
      <c r="DA123" s="171" t="s">
        <v>723</v>
      </c>
    </row>
    <row r="124" spans="1:105" ht="11.45" customHeight="1" x14ac:dyDescent="0.25">
      <c r="A124" s="109" t="s">
        <v>21</v>
      </c>
      <c r="B124" s="116">
        <f>IF(B33=0,0,1000000*B33/TrRoad_act!B67)</f>
        <v>32428.539322017772</v>
      </c>
      <c r="C124" s="116">
        <f>IF(C33=0,0,1000000*C33/TrRoad_act!C67)</f>
        <v>30991.0496574032</v>
      </c>
      <c r="D124" s="116">
        <f>IF(D33=0,0,1000000*D33/TrRoad_act!D67)</f>
        <v>30769.153875130072</v>
      </c>
      <c r="E124" s="116">
        <f>IF(E33=0,0,1000000*E33/TrRoad_act!E67)</f>
        <v>29856.367067833668</v>
      </c>
      <c r="F124" s="116">
        <f>IF(F33=0,0,1000000*F33/TrRoad_act!F67)</f>
        <v>29315.035515269683</v>
      </c>
      <c r="G124" s="116">
        <f>IF(G33=0,0,1000000*G33/TrRoad_act!G67)</f>
        <v>29558.666233141412</v>
      </c>
      <c r="H124" s="116">
        <f>IF(H33=0,0,1000000*H33/TrRoad_act!H67)</f>
        <v>29894.687845056356</v>
      </c>
      <c r="I124" s="116">
        <f>IF(I33=0,0,1000000*I33/TrRoad_act!I67)</f>
        <v>30218.121337542339</v>
      </c>
      <c r="J124" s="116">
        <f>IF(J33=0,0,1000000*J33/TrRoad_act!J67)</f>
        <v>30642.693093043283</v>
      </c>
      <c r="K124" s="116">
        <f>IF(K33=0,0,1000000*K33/TrRoad_act!K67)</f>
        <v>31061.787035118879</v>
      </c>
      <c r="L124" s="116">
        <f>IF(L33=0,0,1000000*L33/TrRoad_act!L67)</f>
        <v>31632.747723913773</v>
      </c>
      <c r="M124" s="116">
        <f>IF(M33=0,0,1000000*M33/TrRoad_act!M67)</f>
        <v>32098.805465401681</v>
      </c>
      <c r="N124" s="116">
        <f>IF(N33=0,0,1000000*N33/TrRoad_act!N67)</f>
        <v>32039.716979645076</v>
      </c>
      <c r="O124" s="116">
        <f>IF(O33=0,0,1000000*O33/TrRoad_act!O67)</f>
        <v>30488.819534248112</v>
      </c>
      <c r="P124" s="116">
        <f>IF(P33=0,0,1000000*P33/TrRoad_act!P67)</f>
        <v>30836.076480823242</v>
      </c>
      <c r="Q124" s="116">
        <f>IF(Q33=0,0,1000000*Q33/TrRoad_act!Q67)</f>
        <v>31346.430320786661</v>
      </c>
      <c r="R124" s="116">
        <f>IF(R33=0,0,1000000*R33/TrRoad_act!R67)</f>
        <v>32591.435130117708</v>
      </c>
      <c r="S124" s="116">
        <f>IF(S33=0,0,1000000*S33/TrRoad_act!S67)</f>
        <v>33727.616630301294</v>
      </c>
      <c r="T124" s="116">
        <f>IF(T33=0,0,1000000*T33/TrRoad_act!T67)</f>
        <v>31093.7344580483</v>
      </c>
      <c r="U124" s="116">
        <f>IF(U33=0,0,1000000*U33/TrRoad_act!U67)</f>
        <v>27153.649088464099</v>
      </c>
      <c r="V124" s="116">
        <f>IF(V33=0,0,1000000*V33/TrRoad_act!V67)</f>
        <v>21584.996221229481</v>
      </c>
      <c r="W124" s="116">
        <f>IF(W33=0,0,1000000*W33/TrRoad_act!W67)</f>
        <v>21158.519509089692</v>
      </c>
      <c r="X124" s="116">
        <f>IF(X33=0,0,1000000*X33/TrRoad_act!X67)</f>
        <v>20344.342890548938</v>
      </c>
      <c r="Y124" s="116">
        <f>IF(Y33=0,0,1000000*Y33/TrRoad_act!Y67)</f>
        <v>20375.353257390871</v>
      </c>
      <c r="DA124" s="176" t="s">
        <v>724</v>
      </c>
    </row>
    <row r="125" spans="1:105" ht="11.45" customHeight="1" x14ac:dyDescent="0.25">
      <c r="A125" s="111" t="s">
        <v>110</v>
      </c>
      <c r="B125" s="101">
        <f>IF(B34=0,0,1000000*B34/TrRoad_act!B68)</f>
        <v>9895.610979283214</v>
      </c>
      <c r="C125" s="101">
        <f>IF(C34=0,0,1000000*C34/TrRoad_act!C68)</f>
        <v>9103.7650274524076</v>
      </c>
      <c r="D125" s="101">
        <f>IF(D34=0,0,1000000*D34/TrRoad_act!D68)</f>
        <v>8712.8728581395735</v>
      </c>
      <c r="E125" s="101">
        <f>IF(E34=0,0,1000000*E34/TrRoad_act!E68)</f>
        <v>8228.3205855733722</v>
      </c>
      <c r="F125" s="101">
        <f>IF(F34=0,0,1000000*F34/TrRoad_act!F68)</f>
        <v>7986.6754812505687</v>
      </c>
      <c r="G125" s="101">
        <f>IF(G34=0,0,1000000*G34/TrRoad_act!G68)</f>
        <v>7951.8907897427925</v>
      </c>
      <c r="H125" s="101">
        <f>IF(H34=0,0,1000000*H34/TrRoad_act!H68)</f>
        <v>7929.1066198700491</v>
      </c>
      <c r="I125" s="101">
        <f>IF(I34=0,0,1000000*I34/TrRoad_act!I68)</f>
        <v>7886.9820474020826</v>
      </c>
      <c r="J125" s="101">
        <f>IF(J34=0,0,1000000*J34/TrRoad_act!J68)</f>
        <v>7898.4665450425327</v>
      </c>
      <c r="K125" s="101">
        <f>IF(K34=0,0,1000000*K34/TrRoad_act!K68)</f>
        <v>7871.1067952610319</v>
      </c>
      <c r="L125" s="101">
        <f>IF(L34=0,0,1000000*L34/TrRoad_act!L68)</f>
        <v>7749.3567046487642</v>
      </c>
      <c r="M125" s="101">
        <f>IF(M34=0,0,1000000*M34/TrRoad_act!M68)</f>
        <v>7608.5894651371182</v>
      </c>
      <c r="N125" s="101">
        <f>IF(N34=0,0,1000000*N34/TrRoad_act!N68)</f>
        <v>7304.9309613452842</v>
      </c>
      <c r="O125" s="101">
        <f>IF(O34=0,0,1000000*O34/TrRoad_act!O68)</f>
        <v>7275.7232422249917</v>
      </c>
      <c r="P125" s="101">
        <f>IF(P34=0,0,1000000*P34/TrRoad_act!P68)</f>
        <v>7251.80356962919</v>
      </c>
      <c r="Q125" s="101">
        <f>IF(Q34=0,0,1000000*Q34/TrRoad_act!Q68)</f>
        <v>6829.6082059085011</v>
      </c>
      <c r="R125" s="101">
        <f>IF(R34=0,0,1000000*R34/TrRoad_act!R68)</f>
        <v>6849.640101210317</v>
      </c>
      <c r="S125" s="101">
        <f>IF(S34=0,0,1000000*S34/TrRoad_act!S68)</f>
        <v>7137.0903884174131</v>
      </c>
      <c r="T125" s="101">
        <f>IF(T34=0,0,1000000*T34/TrRoad_act!T68)</f>
        <v>6888.3980377625139</v>
      </c>
      <c r="U125" s="101">
        <f>IF(U34=0,0,1000000*U34/TrRoad_act!U68)</f>
        <v>5880.8578350835623</v>
      </c>
      <c r="V125" s="101">
        <f>IF(V34=0,0,1000000*V34/TrRoad_act!V68)</f>
        <v>5023.376277198412</v>
      </c>
      <c r="W125" s="101">
        <f>IF(W34=0,0,1000000*W34/TrRoad_act!W68)</f>
        <v>5055.504624578005</v>
      </c>
      <c r="X125" s="101">
        <f>IF(X34=0,0,1000000*X34/TrRoad_act!X68)</f>
        <v>4923.6009224897734</v>
      </c>
      <c r="Y125" s="101">
        <f>IF(Y34=0,0,1000000*Y34/TrRoad_act!Y68)</f>
        <v>4959.6067235816226</v>
      </c>
      <c r="DA125" s="175" t="s">
        <v>725</v>
      </c>
    </row>
    <row r="126" spans="1:105" ht="11.45" customHeight="1" x14ac:dyDescent="0.25">
      <c r="A126" s="111" t="s">
        <v>111</v>
      </c>
      <c r="B126" s="101">
        <f>IF(B36=0,0,1000000*B36/TrRoad_act!B69)</f>
        <v>32842.894584691749</v>
      </c>
      <c r="C126" s="101">
        <f>IF(C36=0,0,1000000*C36/TrRoad_act!C69)</f>
        <v>31360.49681062996</v>
      </c>
      <c r="D126" s="101">
        <f>IF(D36=0,0,1000000*D36/TrRoad_act!D69)</f>
        <v>31127.872722189193</v>
      </c>
      <c r="E126" s="101">
        <f>IF(E36=0,0,1000000*E36/TrRoad_act!E69)</f>
        <v>30175.122698578933</v>
      </c>
      <c r="F126" s="101">
        <f>IF(F36=0,0,1000000*F36/TrRoad_act!F69)</f>
        <v>29620.55850136685</v>
      </c>
      <c r="G126" s="101">
        <f>IF(G36=0,0,1000000*G36/TrRoad_act!G69)</f>
        <v>29929.062565878347</v>
      </c>
      <c r="H126" s="101">
        <f>IF(H36=0,0,1000000*H36/TrRoad_act!H69)</f>
        <v>30269.7984215953</v>
      </c>
      <c r="I126" s="101">
        <f>IF(I36=0,0,1000000*I36/TrRoad_act!I69)</f>
        <v>30609.59046624762</v>
      </c>
      <c r="J126" s="101">
        <f>IF(J36=0,0,1000000*J36/TrRoad_act!J69)</f>
        <v>31063.270742656972</v>
      </c>
      <c r="K126" s="101">
        <f>IF(K36=0,0,1000000*K36/TrRoad_act!K69)</f>
        <v>31614.230296341128</v>
      </c>
      <c r="L126" s="101">
        <f>IF(L36=0,0,1000000*L36/TrRoad_act!L69)</f>
        <v>32288.892132412049</v>
      </c>
      <c r="M126" s="101">
        <f>IF(M36=0,0,1000000*M36/TrRoad_act!M69)</f>
        <v>32895.116502282573</v>
      </c>
      <c r="N126" s="101">
        <f>IF(N36=0,0,1000000*N36/TrRoad_act!N69)</f>
        <v>33515.687762048874</v>
      </c>
      <c r="O126" s="101">
        <f>IF(O36=0,0,1000000*O36/TrRoad_act!O69)</f>
        <v>34273.537956397653</v>
      </c>
      <c r="P126" s="101">
        <f>IF(P36=0,0,1000000*P36/TrRoad_act!P69)</f>
        <v>34992.061616258223</v>
      </c>
      <c r="Q126" s="101">
        <f>IF(Q36=0,0,1000000*Q36/TrRoad_act!Q69)</f>
        <v>35685.445420314732</v>
      </c>
      <c r="R126" s="101">
        <f>IF(R36=0,0,1000000*R36/TrRoad_act!R69)</f>
        <v>35771.572901978325</v>
      </c>
      <c r="S126" s="101">
        <f>IF(S36=0,0,1000000*S36/TrRoad_act!S69)</f>
        <v>36767.230306311765</v>
      </c>
      <c r="T126" s="101">
        <f>IF(T36=0,0,1000000*T36/TrRoad_act!T69)</f>
        <v>35167.37946448935</v>
      </c>
      <c r="U126" s="101">
        <f>IF(U36=0,0,1000000*U36/TrRoad_act!U69)</f>
        <v>31218.139243548234</v>
      </c>
      <c r="V126" s="101">
        <f>IF(V36=0,0,1000000*V36/TrRoad_act!V69)</f>
        <v>25255.141280828193</v>
      </c>
      <c r="W126" s="101">
        <f>IF(W36=0,0,1000000*W36/TrRoad_act!W69)</f>
        <v>24978.301902461117</v>
      </c>
      <c r="X126" s="101">
        <f>IF(X36=0,0,1000000*X36/TrRoad_act!X69)</f>
        <v>23469.439008958903</v>
      </c>
      <c r="Y126" s="101">
        <f>IF(Y36=0,0,1000000*Y36/TrRoad_act!Y69)</f>
        <v>22204.231865563725</v>
      </c>
      <c r="DA126" s="175" t="s">
        <v>726</v>
      </c>
    </row>
    <row r="127" spans="1:105" ht="11.45" customHeight="1" x14ac:dyDescent="0.25">
      <c r="A127" s="111" t="s">
        <v>112</v>
      </c>
      <c r="B127" s="101">
        <f>IF(B38=0,0,1000000*B38/TrRoad_act!B70)</f>
        <v>13808.832353600939</v>
      </c>
      <c r="C127" s="101">
        <f>IF(C38=0,0,1000000*C38/TrRoad_act!C70)</f>
        <v>13534.930755662808</v>
      </c>
      <c r="D127" s="101">
        <f>IF(D38=0,0,1000000*D38/TrRoad_act!D70)</f>
        <v>13578.783738250642</v>
      </c>
      <c r="E127" s="101">
        <f>IF(E38=0,0,1000000*E38/TrRoad_act!E70)</f>
        <v>13302.802626737392</v>
      </c>
      <c r="F127" s="101">
        <f>IF(F38=0,0,1000000*F38/TrRoad_act!F70)</f>
        <v>13122.575793475246</v>
      </c>
      <c r="G127" s="101">
        <f>IF(G38=0,0,1000000*G38/TrRoad_act!G70)</f>
        <v>12968.011898784895</v>
      </c>
      <c r="H127" s="101">
        <f>IF(H38=0,0,1000000*H38/TrRoad_act!H70)</f>
        <v>13001.915265904201</v>
      </c>
      <c r="I127" s="101">
        <f>IF(I38=0,0,1000000*I38/TrRoad_act!I70)</f>
        <v>13048.440485828609</v>
      </c>
      <c r="J127" s="101">
        <f>IF(J38=0,0,1000000*J38/TrRoad_act!J70)</f>
        <v>13129.646377040304</v>
      </c>
      <c r="K127" s="101">
        <f>IF(K38=0,0,1000000*K38/TrRoad_act!K70)</f>
        <v>13210.869910791809</v>
      </c>
      <c r="L127" s="101">
        <f>IF(L38=0,0,1000000*L38/TrRoad_act!L70)</f>
        <v>13313.053436961371</v>
      </c>
      <c r="M127" s="101">
        <f>IF(M38=0,0,1000000*M38/TrRoad_act!M70)</f>
        <v>13364.935167511881</v>
      </c>
      <c r="N127" s="101">
        <f>IF(N38=0,0,1000000*N38/TrRoad_act!N70)</f>
        <v>13422.640263961342</v>
      </c>
      <c r="O127" s="101">
        <f>IF(O38=0,0,1000000*O38/TrRoad_act!O70)</f>
        <v>13470.479057147475</v>
      </c>
      <c r="P127" s="101">
        <f>IF(P38=0,0,1000000*P38/TrRoad_act!P70)</f>
        <v>13511.825712900014</v>
      </c>
      <c r="Q127" s="101">
        <f>IF(Q38=0,0,1000000*Q38/TrRoad_act!Q70)</f>
        <v>13987.209475157213</v>
      </c>
      <c r="R127" s="101">
        <f>IF(R38=0,0,1000000*R38/TrRoad_act!R70)</f>
        <v>14196.741956374915</v>
      </c>
      <c r="S127" s="101">
        <f>IF(S38=0,0,1000000*S38/TrRoad_act!S70)</f>
        <v>14845.661612171665</v>
      </c>
      <c r="T127" s="101">
        <f>IF(T38=0,0,1000000*T38/TrRoad_act!T70)</f>
        <v>14371.906041476326</v>
      </c>
      <c r="U127" s="101">
        <f>IF(U38=0,0,1000000*U38/TrRoad_act!U70)</f>
        <v>13021.514370390774</v>
      </c>
      <c r="V127" s="101">
        <f>IF(V38=0,0,1000000*V38/TrRoad_act!V70)</f>
        <v>11121.740729261193</v>
      </c>
      <c r="W127" s="101">
        <f>IF(W38=0,0,1000000*W38/TrRoad_act!W70)</f>
        <v>11188.206872270817</v>
      </c>
      <c r="X127" s="101">
        <f>IF(X38=0,0,1000000*X38/TrRoad_act!X70)</f>
        <v>10605.936531498155</v>
      </c>
      <c r="Y127" s="101">
        <f>IF(Y38=0,0,1000000*Y38/TrRoad_act!Y70)</f>
        <v>10637.637614774832</v>
      </c>
      <c r="DA127" s="175" t="s">
        <v>727</v>
      </c>
    </row>
    <row r="128" spans="1:105" ht="11.45" customHeight="1" x14ac:dyDescent="0.25">
      <c r="A128" s="111" t="s">
        <v>113</v>
      </c>
      <c r="B128" s="101">
        <f>IF(B39=0,0,1000000*B39/TrRoad_act!B71)</f>
        <v>25078.819145887068</v>
      </c>
      <c r="C128" s="101">
        <f>IF(C39=0,0,1000000*C39/TrRoad_act!C71)</f>
        <v>26273.048629024554</v>
      </c>
      <c r="D128" s="101">
        <f>IF(D39=0,0,1000000*D39/TrRoad_act!D71)</f>
        <v>21496.130696474633</v>
      </c>
      <c r="E128" s="101">
        <f>IF(E39=0,0,1000000*E39/TrRoad_act!E71)</f>
        <v>24858.318733080021</v>
      </c>
      <c r="F128" s="101">
        <f>IF(F39=0,0,1000000*F39/TrRoad_act!F71)</f>
        <v>18279.946289012372</v>
      </c>
      <c r="G128" s="101">
        <f>IF(G39=0,0,1000000*G39/TrRoad_act!G71)</f>
        <v>19549.274231552077</v>
      </c>
      <c r="H128" s="101">
        <f>IF(H39=0,0,1000000*H39/TrRoad_act!H71)</f>
        <v>19652.284246883875</v>
      </c>
      <c r="I128" s="101">
        <f>IF(I39=0,0,1000000*I39/TrRoad_act!I71)</f>
        <v>19050.035695305083</v>
      </c>
      <c r="J128" s="101">
        <f>IF(J39=0,0,1000000*J39/TrRoad_act!J71)</f>
        <v>19968.589066599008</v>
      </c>
      <c r="K128" s="101">
        <f>IF(K39=0,0,1000000*K39/TrRoad_act!K71)</f>
        <v>20532.75637808349</v>
      </c>
      <c r="L128" s="101">
        <f>IF(L39=0,0,1000000*L39/TrRoad_act!L71)</f>
        <v>22240.542790465945</v>
      </c>
      <c r="M128" s="101">
        <f>IF(M39=0,0,1000000*M39/TrRoad_act!M71)</f>
        <v>24520.620269612613</v>
      </c>
      <c r="N128" s="101">
        <f>IF(N39=0,0,1000000*N39/TrRoad_act!N71)</f>
        <v>17657.783465611879</v>
      </c>
      <c r="O128" s="101">
        <f>IF(O39=0,0,1000000*O39/TrRoad_act!O71)</f>
        <v>10136.749864363188</v>
      </c>
      <c r="P128" s="101">
        <f>IF(P39=0,0,1000000*P39/TrRoad_act!P71)</f>
        <v>10497.168807278644</v>
      </c>
      <c r="Q128" s="101">
        <f>IF(Q39=0,0,1000000*Q39/TrRoad_act!Q71)</f>
        <v>13025.019844868635</v>
      </c>
      <c r="R128" s="101">
        <f>IF(R39=0,0,1000000*R39/TrRoad_act!R71)</f>
        <v>22491.628263541716</v>
      </c>
      <c r="S128" s="101">
        <f>IF(S39=0,0,1000000*S39/TrRoad_act!S71)</f>
        <v>25933.686362085238</v>
      </c>
      <c r="T128" s="101">
        <f>IF(T39=0,0,1000000*T39/TrRoad_act!T71)</f>
        <v>20645.874194638516</v>
      </c>
      <c r="U128" s="101">
        <f>IF(U39=0,0,1000000*U39/TrRoad_act!U71)</f>
        <v>19587.450781063999</v>
      </c>
      <c r="V128" s="101">
        <f>IF(V39=0,0,1000000*V39/TrRoad_act!V71)</f>
        <v>17172.104999809748</v>
      </c>
      <c r="W128" s="101">
        <f>IF(W39=0,0,1000000*W39/TrRoad_act!W71)</f>
        <v>17186.294179042696</v>
      </c>
      <c r="X128" s="101">
        <f>IF(X39=0,0,1000000*X39/TrRoad_act!X71)</f>
        <v>17724.649354529844</v>
      </c>
      <c r="Y128" s="101">
        <f>IF(Y39=0,0,1000000*Y39/TrRoad_act!Y71)</f>
        <v>21130.223685377499</v>
      </c>
      <c r="DA128" s="175" t="s">
        <v>728</v>
      </c>
    </row>
    <row r="129" spans="1:105" ht="11.45" customHeight="1" x14ac:dyDescent="0.25">
      <c r="A129" s="111" t="s">
        <v>115</v>
      </c>
      <c r="B129" s="101">
        <f>IF(B41=0,0,1000000*B41/TrRoad_act!B72)</f>
        <v>18141.233076029035</v>
      </c>
      <c r="C129" s="101">
        <f>IF(C41=0,0,1000000*C41/TrRoad_act!C72)</f>
        <v>18158.548594283893</v>
      </c>
      <c r="D129" s="101">
        <f>IF(D41=0,0,1000000*D41/TrRoad_act!D72)</f>
        <v>17603.082406005655</v>
      </c>
      <c r="E129" s="101">
        <f>IF(E41=0,0,1000000*E41/TrRoad_act!E72)</f>
        <v>17552.406875060191</v>
      </c>
      <c r="F129" s="101">
        <f>IF(F41=0,0,1000000*F41/TrRoad_act!F72)</f>
        <v>16793.731517818273</v>
      </c>
      <c r="G129" s="101">
        <f>IF(G41=0,0,1000000*G41/TrRoad_act!G72)</f>
        <v>16708.370721928022</v>
      </c>
      <c r="H129" s="101">
        <f>IF(H41=0,0,1000000*H41/TrRoad_act!H72)</f>
        <v>16674.981770911927</v>
      </c>
      <c r="I129" s="101">
        <f>IF(I41=0,0,1000000*I41/TrRoad_act!I72)</f>
        <v>16691.261062178415</v>
      </c>
      <c r="J129" s="101">
        <f>IF(J41=0,0,1000000*J41/TrRoad_act!J72)</f>
        <v>16483.945971565136</v>
      </c>
      <c r="K129" s="101">
        <f>IF(K41=0,0,1000000*K41/TrRoad_act!K72)</f>
        <v>16034.971855998889</v>
      </c>
      <c r="L129" s="101">
        <f>IF(L41=0,0,1000000*L41/TrRoad_act!L72)</f>
        <v>15500.912168585848</v>
      </c>
      <c r="M129" s="101">
        <f>IF(M41=0,0,1000000*M41/TrRoad_act!M72)</f>
        <v>15443.46359839951</v>
      </c>
      <c r="N129" s="101">
        <f>IF(N41=0,0,1000000*N41/TrRoad_act!N72)</f>
        <v>15425.236238938292</v>
      </c>
      <c r="O129" s="101">
        <f>IF(O41=0,0,1000000*O41/TrRoad_act!O72)</f>
        <v>14962.646537431108</v>
      </c>
      <c r="P129" s="101">
        <f>IF(P41=0,0,1000000*P41/TrRoad_act!P72)</f>
        <v>15005.107697832273</v>
      </c>
      <c r="Q129" s="101">
        <f>IF(Q41=0,0,1000000*Q41/TrRoad_act!Q72)</f>
        <v>15103.56562965957</v>
      </c>
      <c r="R129" s="101">
        <f>IF(R41=0,0,1000000*R41/TrRoad_act!R72)</f>
        <v>15470.358962811733</v>
      </c>
      <c r="S129" s="101">
        <f>IF(S41=0,0,1000000*S41/TrRoad_act!S72)</f>
        <v>15420.119066117135</v>
      </c>
      <c r="T129" s="101">
        <f>IF(T41=0,0,1000000*T41/TrRoad_act!T72)</f>
        <v>15313.481914586006</v>
      </c>
      <c r="U129" s="101">
        <f>IF(U41=0,0,1000000*U41/TrRoad_act!U72)</f>
        <v>15017.339297024899</v>
      </c>
      <c r="V129" s="101">
        <f>IF(V41=0,0,1000000*V41/TrRoad_act!V72)</f>
        <v>13111.766811965492</v>
      </c>
      <c r="W129" s="101">
        <f>IF(W41=0,0,1000000*W41/TrRoad_act!W72)</f>
        <v>14614.00518757331</v>
      </c>
      <c r="X129" s="101">
        <f>IF(X41=0,0,1000000*X41/TrRoad_act!X72)</f>
        <v>14516.49282593534</v>
      </c>
      <c r="Y129" s="101">
        <f>IF(Y41=0,0,1000000*Y41/TrRoad_act!Y72)</f>
        <v>14341.007686397495</v>
      </c>
      <c r="DA129" s="175" t="s">
        <v>729</v>
      </c>
    </row>
    <row r="130" spans="1:105" ht="11.45" customHeight="1" x14ac:dyDescent="0.25">
      <c r="A130" s="27" t="s">
        <v>34</v>
      </c>
      <c r="B130" s="29"/>
      <c r="C130" s="29"/>
      <c r="D130" s="29"/>
      <c r="E130" s="29"/>
      <c r="F130" s="29"/>
      <c r="G130" s="29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DA130" s="173"/>
    </row>
    <row r="131" spans="1:105" ht="11.45" customHeight="1" x14ac:dyDescent="0.25">
      <c r="A131" s="136" t="s">
        <v>153</v>
      </c>
      <c r="B131" s="152">
        <f>IF(B43=0,0,1000000*B43/TrRoad_act!B74)</f>
        <v>2555.755153731217</v>
      </c>
      <c r="C131" s="152">
        <f>IF(C43=0,0,1000000*C43/TrRoad_act!C74)</f>
        <v>2440.9053127201023</v>
      </c>
      <c r="D131" s="152">
        <f>IF(D43=0,0,1000000*D43/TrRoad_act!D74)</f>
        <v>2370.1579091735634</v>
      </c>
      <c r="E131" s="152">
        <f>IF(E43=0,0,1000000*E43/TrRoad_act!E74)</f>
        <v>2347.6887641515073</v>
      </c>
      <c r="F131" s="152">
        <f>IF(F43=0,0,1000000*F43/TrRoad_act!F74)</f>
        <v>2371.2708165229224</v>
      </c>
      <c r="G131" s="152">
        <f>IF(G43=0,0,1000000*G43/TrRoad_act!G74)</f>
        <v>2320.2844705679254</v>
      </c>
      <c r="H131" s="152">
        <f>IF(H43=0,0,1000000*H43/TrRoad_act!H74)</f>
        <v>2382.776861530921</v>
      </c>
      <c r="I131" s="152">
        <f>IF(I43=0,0,1000000*I43/TrRoad_act!I74)</f>
        <v>2443.5629918146756</v>
      </c>
      <c r="J131" s="152">
        <f>IF(J43=0,0,1000000*J43/TrRoad_act!J74)</f>
        <v>2441.3869761963247</v>
      </c>
      <c r="K131" s="152">
        <f>IF(K43=0,0,1000000*K43/TrRoad_act!K74)</f>
        <v>2256.9527939687973</v>
      </c>
      <c r="L131" s="152">
        <f>IF(L43=0,0,1000000*L43/TrRoad_act!L74)</f>
        <v>2292.9864646322621</v>
      </c>
      <c r="M131" s="152">
        <f>IF(M43=0,0,1000000*M43/TrRoad_act!M74)</f>
        <v>2362.4193050371805</v>
      </c>
      <c r="N131" s="152">
        <f>IF(N43=0,0,1000000*N43/TrRoad_act!N74)</f>
        <v>2270.6754797514536</v>
      </c>
      <c r="O131" s="152">
        <f>IF(O43=0,0,1000000*O43/TrRoad_act!O74)</f>
        <v>2278.8402185302466</v>
      </c>
      <c r="P131" s="152">
        <f>IF(P43=0,0,1000000*P43/TrRoad_act!P74)</f>
        <v>2170.3088938045889</v>
      </c>
      <c r="Q131" s="152">
        <f>IF(Q43=0,0,1000000*Q43/TrRoad_act!Q74)</f>
        <v>2205.9738246480792</v>
      </c>
      <c r="R131" s="152">
        <f>IF(R43=0,0,1000000*R43/TrRoad_act!R74)</f>
        <v>2157.377246011778</v>
      </c>
      <c r="S131" s="152">
        <f>IF(S43=0,0,1000000*S43/TrRoad_act!S74)</f>
        <v>2083.3005554419497</v>
      </c>
      <c r="T131" s="152">
        <f>IF(T43=0,0,1000000*T43/TrRoad_act!T74)</f>
        <v>2010.9896420175601</v>
      </c>
      <c r="U131" s="152">
        <f>IF(U43=0,0,1000000*U43/TrRoad_act!U74)</f>
        <v>1921.9575130932114</v>
      </c>
      <c r="V131" s="152">
        <f>IF(V43=0,0,1000000*V43/TrRoad_act!V74)</f>
        <v>1807.8168900242983</v>
      </c>
      <c r="W131" s="152">
        <f>IF(W43=0,0,1000000*W43/TrRoad_act!W74)</f>
        <v>1822.8974523925617</v>
      </c>
      <c r="X131" s="152">
        <f>IF(X43=0,0,1000000*X43/TrRoad_act!X74)</f>
        <v>1759.4700915141163</v>
      </c>
      <c r="Y131" s="152">
        <f>IF(Y43=0,0,1000000*Y43/TrRoad_act!Y74)</f>
        <v>1696.3687356445027</v>
      </c>
      <c r="DA131" s="174" t="s">
        <v>730</v>
      </c>
    </row>
    <row r="132" spans="1:105" ht="11.45" customHeight="1" x14ac:dyDescent="0.25">
      <c r="A132" s="111" t="s">
        <v>110</v>
      </c>
      <c r="B132" s="87">
        <f>IF(B44=0,0,1000000*B44/TrRoad_act!B75)</f>
        <v>1003.4796159965734</v>
      </c>
      <c r="C132" s="87">
        <f>IF(C44=0,0,1000000*C44/TrRoad_act!C75)</f>
        <v>995.41313251611928</v>
      </c>
      <c r="D132" s="87">
        <f>IF(D44=0,0,1000000*D44/TrRoad_act!D75)</f>
        <v>963.26731951196336</v>
      </c>
      <c r="E132" s="87">
        <f>IF(E44=0,0,1000000*E44/TrRoad_act!E75)</f>
        <v>949.68217114693459</v>
      </c>
      <c r="F132" s="87">
        <f>IF(F44=0,0,1000000*F44/TrRoad_act!F75)</f>
        <v>963.80235699096761</v>
      </c>
      <c r="G132" s="87">
        <f>IF(G44=0,0,1000000*G44/TrRoad_act!G75)</f>
        <v>953.47811147810125</v>
      </c>
      <c r="H132" s="87">
        <f>IF(H44=0,0,1000000*H44/TrRoad_act!H75)</f>
        <v>960.49868093613406</v>
      </c>
      <c r="I132" s="87">
        <f>IF(I44=0,0,1000000*I44/TrRoad_act!I75)</f>
        <v>1005.4527984623846</v>
      </c>
      <c r="J132" s="87">
        <f>IF(J44=0,0,1000000*J44/TrRoad_act!J75)</f>
        <v>1017.0202352992587</v>
      </c>
      <c r="K132" s="87">
        <f>IF(K44=0,0,1000000*K44/TrRoad_act!K75)</f>
        <v>976.4244481848076</v>
      </c>
      <c r="L132" s="87">
        <f>IF(L44=0,0,1000000*L44/TrRoad_act!L75)</f>
        <v>966.32748919188839</v>
      </c>
      <c r="M132" s="87">
        <f>IF(M44=0,0,1000000*M44/TrRoad_act!M75)</f>
        <v>957.79626029150199</v>
      </c>
      <c r="N132" s="87">
        <f>IF(N44=0,0,1000000*N44/TrRoad_act!N75)</f>
        <v>933.94047623532185</v>
      </c>
      <c r="O132" s="87">
        <f>IF(O44=0,0,1000000*O44/TrRoad_act!O75)</f>
        <v>929.67255217545471</v>
      </c>
      <c r="P132" s="87">
        <f>IF(P44=0,0,1000000*P44/TrRoad_act!P75)</f>
        <v>925.62545709203505</v>
      </c>
      <c r="Q132" s="87">
        <f>IF(Q44=0,0,1000000*Q44/TrRoad_act!Q75)</f>
        <v>913.28645149707143</v>
      </c>
      <c r="R132" s="87">
        <f>IF(R44=0,0,1000000*R44/TrRoad_act!R75)</f>
        <v>879.24594318804145</v>
      </c>
      <c r="S132" s="87">
        <f>IF(S44=0,0,1000000*S44/TrRoad_act!S75)</f>
        <v>836.80534957318446</v>
      </c>
      <c r="T132" s="87">
        <f>IF(T44=0,0,1000000*T44/TrRoad_act!T75)</f>
        <v>808.10301262688779</v>
      </c>
      <c r="U132" s="87">
        <f>IF(U44=0,0,1000000*U44/TrRoad_act!U75)</f>
        <v>768.15417694757343</v>
      </c>
      <c r="V132" s="87">
        <f>IF(V44=0,0,1000000*V44/TrRoad_act!V75)</f>
        <v>713.57317539593294</v>
      </c>
      <c r="W132" s="87">
        <f>IF(W44=0,0,1000000*W44/TrRoad_act!W75)</f>
        <v>699.9034044923219</v>
      </c>
      <c r="X132" s="87">
        <f>IF(X44=0,0,1000000*X44/TrRoad_act!X75)</f>
        <v>658.88388507171726</v>
      </c>
      <c r="Y132" s="87">
        <f>IF(Y44=0,0,1000000*Y44/TrRoad_act!Y75)</f>
        <v>643.9054041374601</v>
      </c>
      <c r="DA132" s="171" t="s">
        <v>731</v>
      </c>
    </row>
    <row r="133" spans="1:105" ht="11.45" customHeight="1" x14ac:dyDescent="0.25">
      <c r="A133" s="111" t="s">
        <v>111</v>
      </c>
      <c r="B133" s="87">
        <f>IF(B46=0,0,1000000*B46/TrRoad_act!B76)</f>
        <v>2765.3674386002435</v>
      </c>
      <c r="C133" s="87">
        <f>IF(C46=0,0,1000000*C46/TrRoad_act!C76)</f>
        <v>2602.955745781253</v>
      </c>
      <c r="D133" s="87">
        <f>IF(D46=0,0,1000000*D46/TrRoad_act!D76)</f>
        <v>2506.2136946185019</v>
      </c>
      <c r="E133" s="87">
        <f>IF(E46=0,0,1000000*E46/TrRoad_act!E76)</f>
        <v>2465.2618758298399</v>
      </c>
      <c r="F133" s="87">
        <f>IF(F46=0,0,1000000*F46/TrRoad_act!F76)</f>
        <v>2474.6781204219751</v>
      </c>
      <c r="G133" s="87">
        <f>IF(G46=0,0,1000000*G46/TrRoad_act!G76)</f>
        <v>2411.2484285677242</v>
      </c>
      <c r="H133" s="87">
        <f>IF(H46=0,0,1000000*H46/TrRoad_act!H76)</f>
        <v>2470.1994621756098</v>
      </c>
      <c r="I133" s="87">
        <f>IF(I46=0,0,1000000*I46/TrRoad_act!I76)</f>
        <v>2523.5791208184005</v>
      </c>
      <c r="J133" s="87">
        <f>IF(J46=0,0,1000000*J46/TrRoad_act!J76)</f>
        <v>2514.3770831932097</v>
      </c>
      <c r="K133" s="87">
        <f>IF(K46=0,0,1000000*K46/TrRoad_act!K76)</f>
        <v>2317.7762282805588</v>
      </c>
      <c r="L133" s="87">
        <f>IF(L46=0,0,1000000*L46/TrRoad_act!L76)</f>
        <v>2353.9958675511111</v>
      </c>
      <c r="M133" s="87">
        <f>IF(M46=0,0,1000000*M46/TrRoad_act!M76)</f>
        <v>2426.3069859717284</v>
      </c>
      <c r="N133" s="87">
        <f>IF(N46=0,0,1000000*N46/TrRoad_act!N76)</f>
        <v>2330.2596611950571</v>
      </c>
      <c r="O133" s="87">
        <f>IF(O46=0,0,1000000*O46/TrRoad_act!O76)</f>
        <v>2337.5240793641997</v>
      </c>
      <c r="P133" s="87">
        <f>IF(P46=0,0,1000000*P46/TrRoad_act!P76)</f>
        <v>2223.5259515155931</v>
      </c>
      <c r="Q133" s="87">
        <f>IF(Q46=0,0,1000000*Q46/TrRoad_act!Q76)</f>
        <v>2261.2861057782675</v>
      </c>
      <c r="R133" s="87">
        <f>IF(R46=0,0,1000000*R46/TrRoad_act!R76)</f>
        <v>2210.3698113457954</v>
      </c>
      <c r="S133" s="87">
        <f>IF(S46=0,0,1000000*S46/TrRoad_act!S76)</f>
        <v>2136.3849351059316</v>
      </c>
      <c r="T133" s="87">
        <f>IF(T46=0,0,1000000*T46/TrRoad_act!T76)</f>
        <v>2066.0280670844936</v>
      </c>
      <c r="U133" s="87">
        <f>IF(U46=0,0,1000000*U46/TrRoad_act!U76)</f>
        <v>1985.8651356018147</v>
      </c>
      <c r="V133" s="87">
        <f>IF(V46=0,0,1000000*V46/TrRoad_act!V76)</f>
        <v>1873.1339615791117</v>
      </c>
      <c r="W133" s="87">
        <f>IF(W46=0,0,1000000*W46/TrRoad_act!W76)</f>
        <v>1894.7860017896739</v>
      </c>
      <c r="X133" s="87">
        <f>IF(X46=0,0,1000000*X46/TrRoad_act!X76)</f>
        <v>1838.7468635368718</v>
      </c>
      <c r="Y133" s="87">
        <f>IF(Y46=0,0,1000000*Y46/TrRoad_act!Y76)</f>
        <v>1787.0899457099538</v>
      </c>
      <c r="DA133" s="171" t="s">
        <v>732</v>
      </c>
    </row>
    <row r="134" spans="1:105" ht="11.45" customHeight="1" x14ac:dyDescent="0.25">
      <c r="A134" s="111" t="s">
        <v>112</v>
      </c>
      <c r="B134" s="87">
        <f>IF(B48=0,0,1000000*B48/TrRoad_act!B77)</f>
        <v>1906.9758425786181</v>
      </c>
      <c r="C134" s="87">
        <f>IF(C48=0,0,1000000*C48/TrRoad_act!C77)</f>
        <v>1890.3085794399285</v>
      </c>
      <c r="D134" s="87">
        <f>IF(D48=0,0,1000000*D48/TrRoad_act!D77)</f>
        <v>1829.257659647933</v>
      </c>
      <c r="E134" s="87">
        <f>IF(E48=0,0,1000000*E48/TrRoad_act!E77)</f>
        <v>1803.4284379104415</v>
      </c>
      <c r="F134" s="87">
        <f>IF(F48=0,0,1000000*F48/TrRoad_act!F77)</f>
        <v>1830.1945772342001</v>
      </c>
      <c r="G134" s="87">
        <f>IF(G48=0,0,1000000*G48/TrRoad_act!G77)</f>
        <v>1810.4322890126848</v>
      </c>
      <c r="H134" s="87">
        <f>IF(H48=0,0,1000000*H48/TrRoad_act!H77)</f>
        <v>1823.6610673753316</v>
      </c>
      <c r="I134" s="87">
        <f>IF(I48=0,0,1000000*I48/TrRoad_act!I77)</f>
        <v>1908.9600556798491</v>
      </c>
      <c r="J134" s="87">
        <f>IF(J48=0,0,1000000*J48/TrRoad_act!J77)</f>
        <v>1930.9203509995234</v>
      </c>
      <c r="K134" s="87">
        <f>IF(K48=0,0,1000000*K48/TrRoad_act!K77)</f>
        <v>1866.6706024021973</v>
      </c>
      <c r="L134" s="87">
        <f>IF(L48=0,0,1000000*L48/TrRoad_act!L77)</f>
        <v>1859.8038283831709</v>
      </c>
      <c r="M134" s="87">
        <f>IF(M48=0,0,1000000*M48/TrRoad_act!M77)</f>
        <v>1852.7859297979867</v>
      </c>
      <c r="N134" s="87">
        <f>IF(N48=0,0,1000000*N48/TrRoad_act!N77)</f>
        <v>1823.055447196765</v>
      </c>
      <c r="O134" s="87">
        <f>IF(O48=0,0,1000000*O48/TrRoad_act!O77)</f>
        <v>1826.9973527757872</v>
      </c>
      <c r="P134" s="87">
        <f>IF(P48=0,0,1000000*P48/TrRoad_act!P77)</f>
        <v>1855.4322989301099</v>
      </c>
      <c r="Q134" s="87">
        <f>IF(Q48=0,0,1000000*Q48/TrRoad_act!Q77)</f>
        <v>1868.3691684569706</v>
      </c>
      <c r="R134" s="87">
        <f>IF(R48=0,0,1000000*R48/TrRoad_act!R77)</f>
        <v>1831.2173334253996</v>
      </c>
      <c r="S134" s="87">
        <f>IF(S48=0,0,1000000*S48/TrRoad_act!S77)</f>
        <v>1770.1348869736039</v>
      </c>
      <c r="T134" s="87">
        <f>IF(T48=0,0,1000000*T48/TrRoad_act!T77)</f>
        <v>1618.9818479342048</v>
      </c>
      <c r="U134" s="87">
        <f>IF(U48=0,0,1000000*U48/TrRoad_act!U77)</f>
        <v>1330.8687727107815</v>
      </c>
      <c r="V134" s="87">
        <f>IF(V48=0,0,1000000*V48/TrRoad_act!V77)</f>
        <v>1246.6989311922803</v>
      </c>
      <c r="W134" s="87">
        <f>IF(W48=0,0,1000000*W48/TrRoad_act!W77)</f>
        <v>1230.2290972452759</v>
      </c>
      <c r="X134" s="87">
        <f>IF(X48=0,0,1000000*X48/TrRoad_act!X77)</f>
        <v>1215.0740897629421</v>
      </c>
      <c r="Y134" s="87">
        <f>IF(Y48=0,0,1000000*Y48/TrRoad_act!Y77)</f>
        <v>1226.4627359916651</v>
      </c>
      <c r="DA134" s="171" t="s">
        <v>733</v>
      </c>
    </row>
    <row r="135" spans="1:105" ht="11.45" customHeight="1" x14ac:dyDescent="0.25">
      <c r="A135" s="111" t="s">
        <v>113</v>
      </c>
      <c r="B135" s="87">
        <f>IF(B49=0,0,1000000*B49/TrRoad_act!B78)</f>
        <v>0</v>
      </c>
      <c r="C135" s="87">
        <f>IF(C49=0,0,1000000*C49/TrRoad_act!C78)</f>
        <v>0</v>
      </c>
      <c r="D135" s="87">
        <f>IF(D49=0,0,1000000*D49/TrRoad_act!D78)</f>
        <v>0</v>
      </c>
      <c r="E135" s="87">
        <f>IF(E49=0,0,1000000*E49/TrRoad_act!E78)</f>
        <v>1662.740091459352</v>
      </c>
      <c r="F135" s="87">
        <f>IF(F49=0,0,1000000*F49/TrRoad_act!F78)</f>
        <v>1661.7832934556275</v>
      </c>
      <c r="G135" s="87">
        <f>IF(G49=0,0,1000000*G49/TrRoad_act!G78)</f>
        <v>1611.8037366845206</v>
      </c>
      <c r="H135" s="87">
        <f>IF(H49=0,0,1000000*H49/TrRoad_act!H78)</f>
        <v>1591.5722310783324</v>
      </c>
      <c r="I135" s="87">
        <f>IF(I49=0,0,1000000*I49/TrRoad_act!I78)</f>
        <v>1622.4367619475363</v>
      </c>
      <c r="J135" s="87">
        <f>IF(J49=0,0,1000000*J49/TrRoad_act!J78)</f>
        <v>1641.102416659872</v>
      </c>
      <c r="K135" s="87">
        <f>IF(K49=0,0,1000000*K49/TrRoad_act!K78)</f>
        <v>1502.8204117653875</v>
      </c>
      <c r="L135" s="87">
        <f>IF(L49=0,0,1000000*L49/TrRoad_act!L78)</f>
        <v>1476.653657445846</v>
      </c>
      <c r="M135" s="87">
        <f>IF(M49=0,0,1000000*M49/TrRoad_act!M78)</f>
        <v>1445.5265031714055</v>
      </c>
      <c r="N135" s="87">
        <f>IF(N49=0,0,1000000*N49/TrRoad_act!N78)</f>
        <v>1375.98705770587</v>
      </c>
      <c r="O135" s="87">
        <f>IF(O49=0,0,1000000*O49/TrRoad_act!O78)</f>
        <v>1350.4374725003008</v>
      </c>
      <c r="P135" s="87">
        <f>IF(P49=0,0,1000000*P49/TrRoad_act!P78)</f>
        <v>1352.6964833767845</v>
      </c>
      <c r="Q135" s="87">
        <f>IF(Q49=0,0,1000000*Q49/TrRoad_act!Q78)</f>
        <v>1357.5422332198593</v>
      </c>
      <c r="R135" s="87">
        <f>IF(R49=0,0,1000000*R49/TrRoad_act!R78)</f>
        <v>1340.7395920654133</v>
      </c>
      <c r="S135" s="87">
        <f>IF(S49=0,0,1000000*S49/TrRoad_act!S78)</f>
        <v>1355.9031480480473</v>
      </c>
      <c r="T135" s="87">
        <f>IF(T49=0,0,1000000*T49/TrRoad_act!T78)</f>
        <v>1300.7349310525558</v>
      </c>
      <c r="U135" s="87">
        <f>IF(U49=0,0,1000000*U49/TrRoad_act!U78)</f>
        <v>1294.3990122368084</v>
      </c>
      <c r="V135" s="87">
        <f>IF(V49=0,0,1000000*V49/TrRoad_act!V78)</f>
        <v>1245.4908785390221</v>
      </c>
      <c r="W135" s="87">
        <f>IF(W49=0,0,1000000*W49/TrRoad_act!W78)</f>
        <v>1260.218433671479</v>
      </c>
      <c r="X135" s="87">
        <f>IF(X49=0,0,1000000*X49/TrRoad_act!X78)</f>
        <v>1224.4596977297072</v>
      </c>
      <c r="Y135" s="87">
        <f>IF(Y49=0,0,1000000*Y49/TrRoad_act!Y78)</f>
        <v>1207.0359052245478</v>
      </c>
      <c r="DA135" s="171" t="s">
        <v>734</v>
      </c>
    </row>
    <row r="136" spans="1:105" ht="11.45" customHeight="1" x14ac:dyDescent="0.25">
      <c r="A136" s="111" t="s">
        <v>115</v>
      </c>
      <c r="B136" s="87">
        <f>IF(B51=0,0,1000000*B51/TrRoad_act!B79)</f>
        <v>0</v>
      </c>
      <c r="C136" s="87">
        <f>IF(C51=0,0,1000000*C51/TrRoad_act!C79)</f>
        <v>0</v>
      </c>
      <c r="D136" s="87">
        <f>IF(D51=0,0,1000000*D51/TrRoad_act!D79)</f>
        <v>0</v>
      </c>
      <c r="E136" s="87">
        <f>IF(E51=0,0,1000000*E51/TrRoad_act!E79)</f>
        <v>0</v>
      </c>
      <c r="F136" s="87">
        <f>IF(F51=0,0,1000000*F51/TrRoad_act!F79)</f>
        <v>0</v>
      </c>
      <c r="G136" s="87">
        <f>IF(G51=0,0,1000000*G51/TrRoad_act!G79)</f>
        <v>0</v>
      </c>
      <c r="H136" s="87">
        <f>IF(H51=0,0,1000000*H51/TrRoad_act!H79)</f>
        <v>0</v>
      </c>
      <c r="I136" s="87">
        <f>IF(I51=0,0,1000000*I51/TrRoad_act!I79)</f>
        <v>0</v>
      </c>
      <c r="J136" s="87">
        <f>IF(J51=0,0,1000000*J51/TrRoad_act!J79)</f>
        <v>0</v>
      </c>
      <c r="K136" s="87">
        <f>IF(K51=0,0,1000000*K51/TrRoad_act!K79)</f>
        <v>0</v>
      </c>
      <c r="L136" s="87">
        <f>IF(L51=0,0,1000000*L51/TrRoad_act!L79)</f>
        <v>0</v>
      </c>
      <c r="M136" s="87">
        <f>IF(M51=0,0,1000000*M51/TrRoad_act!M79)</f>
        <v>218.73109432938588</v>
      </c>
      <c r="N136" s="87">
        <f>IF(N51=0,0,1000000*N51/TrRoad_act!N79)</f>
        <v>219.98107445570361</v>
      </c>
      <c r="O136" s="87">
        <f>IF(O51=0,0,1000000*O51/TrRoad_act!O79)</f>
        <v>221.02357761368808</v>
      </c>
      <c r="P136" s="87">
        <f>IF(P51=0,0,1000000*P51/TrRoad_act!P79)</f>
        <v>230.28459003876085</v>
      </c>
      <c r="Q136" s="87">
        <f>IF(Q51=0,0,1000000*Q51/TrRoad_act!Q79)</f>
        <v>234.31938873685061</v>
      </c>
      <c r="R136" s="87">
        <f>IF(R51=0,0,1000000*R51/TrRoad_act!R79)</f>
        <v>238.45297934706255</v>
      </c>
      <c r="S136" s="87">
        <f>IF(S51=0,0,1000000*S51/TrRoad_act!S79)</f>
        <v>238.44529974619823</v>
      </c>
      <c r="T136" s="87">
        <f>IF(T51=0,0,1000000*T51/TrRoad_act!T79)</f>
        <v>256.98917320482195</v>
      </c>
      <c r="U136" s="87">
        <f>IF(U51=0,0,1000000*U51/TrRoad_act!U79)</f>
        <v>283.27398219451436</v>
      </c>
      <c r="V136" s="87">
        <f>IF(V51=0,0,1000000*V51/TrRoad_act!V79)</f>
        <v>300.26567884647011</v>
      </c>
      <c r="W136" s="87">
        <f>IF(W51=0,0,1000000*W51/TrRoad_act!W79)</f>
        <v>339.39077036306423</v>
      </c>
      <c r="X136" s="87">
        <f>IF(X51=0,0,1000000*X51/TrRoad_act!X79)</f>
        <v>355.59471925158482</v>
      </c>
      <c r="Y136" s="87">
        <f>IF(Y51=0,0,1000000*Y51/TrRoad_act!Y79)</f>
        <v>363.41258270434423</v>
      </c>
      <c r="DA136" s="171" t="s">
        <v>735</v>
      </c>
    </row>
    <row r="137" spans="1:105" ht="11.45" customHeight="1" x14ac:dyDescent="0.25">
      <c r="A137" s="109" t="s">
        <v>154</v>
      </c>
      <c r="B137" s="116">
        <f>IF(B52=0,0,1000000*B52/TrRoad_act!B80)</f>
        <v>18711.63454860932</v>
      </c>
      <c r="C137" s="116">
        <f>IF(C52=0,0,1000000*C52/TrRoad_act!C80)</f>
        <v>17802.900147702316</v>
      </c>
      <c r="D137" s="116">
        <f>IF(D52=0,0,1000000*D52/TrRoad_act!D80)</f>
        <v>18417.629871737146</v>
      </c>
      <c r="E137" s="116">
        <f>IF(E52=0,0,1000000*E52/TrRoad_act!E80)</f>
        <v>19398.639877334612</v>
      </c>
      <c r="F137" s="116">
        <f>IF(F52=0,0,1000000*F52/TrRoad_act!F80)</f>
        <v>22840.447881345604</v>
      </c>
      <c r="G137" s="116">
        <f>IF(G52=0,0,1000000*G52/TrRoad_act!G80)</f>
        <v>22470.840256457472</v>
      </c>
      <c r="H137" s="116">
        <f>IF(H52=0,0,1000000*H52/TrRoad_act!H80)</f>
        <v>24533.557957667217</v>
      </c>
      <c r="I137" s="116">
        <f>IF(I52=0,0,1000000*I52/TrRoad_act!I80)</f>
        <v>22756.967682132901</v>
      </c>
      <c r="J137" s="116">
        <f>IF(J52=0,0,1000000*J52/TrRoad_act!J80)</f>
        <v>22987.868342379534</v>
      </c>
      <c r="K137" s="116">
        <f>IF(K52=0,0,1000000*K52/TrRoad_act!K80)</f>
        <v>20044.838361741524</v>
      </c>
      <c r="L137" s="116">
        <f>IF(L52=0,0,1000000*L52/TrRoad_act!L80)</f>
        <v>20353.192338073888</v>
      </c>
      <c r="M137" s="116">
        <f>IF(M52=0,0,1000000*M52/TrRoad_act!M80)</f>
        <v>21503.279932389883</v>
      </c>
      <c r="N137" s="116">
        <f>IF(N52=0,0,1000000*N52/TrRoad_act!N80)</f>
        <v>20622.622474163451</v>
      </c>
      <c r="O137" s="116">
        <f>IF(O52=0,0,1000000*O52/TrRoad_act!O80)</f>
        <v>18658.268774640015</v>
      </c>
      <c r="P137" s="116">
        <f>IF(P52=0,0,1000000*P52/TrRoad_act!P80)</f>
        <v>14524.936695111739</v>
      </c>
      <c r="Q137" s="116">
        <f>IF(Q52=0,0,1000000*Q52/TrRoad_act!Q80)</f>
        <v>14333.302187191115</v>
      </c>
      <c r="R137" s="116">
        <f>IF(R52=0,0,1000000*R52/TrRoad_act!R80)</f>
        <v>13402.667869794206</v>
      </c>
      <c r="S137" s="116">
        <f>IF(S52=0,0,1000000*S52/TrRoad_act!S80)</f>
        <v>15519.285782319203</v>
      </c>
      <c r="T137" s="116">
        <f>IF(T52=0,0,1000000*T52/TrRoad_act!T80)</f>
        <v>17605.950754038</v>
      </c>
      <c r="U137" s="116">
        <f>IF(U52=0,0,1000000*U52/TrRoad_act!U80)</f>
        <v>17839.587847395902</v>
      </c>
      <c r="V137" s="116">
        <f>IF(V52=0,0,1000000*V52/TrRoad_act!V80)</f>
        <v>16346.763718174179</v>
      </c>
      <c r="W137" s="116">
        <f>IF(W52=0,0,1000000*W52/TrRoad_act!W80)</f>
        <v>13472.397035619608</v>
      </c>
      <c r="X137" s="116">
        <f>IF(X52=0,0,1000000*X52/TrRoad_act!X80)</f>
        <v>12215.611011279796</v>
      </c>
      <c r="Y137" s="116">
        <f>IF(Y52=0,0,1000000*Y52/TrRoad_act!Y80)</f>
        <v>12524.332811948152</v>
      </c>
      <c r="DA137" s="176" t="s">
        <v>736</v>
      </c>
    </row>
    <row r="138" spans="1:105" ht="11.45" customHeight="1" x14ac:dyDescent="0.25">
      <c r="A138" s="128" t="s">
        <v>27</v>
      </c>
      <c r="B138" s="101">
        <f>IF(B53=0,0,1000000*B53/TrRoad_act!B81)</f>
        <v>16911.021499548922</v>
      </c>
      <c r="C138" s="101">
        <f>IF(C53=0,0,1000000*C53/TrRoad_act!C81)</f>
        <v>15914.888750151105</v>
      </c>
      <c r="D138" s="101">
        <f>IF(D53=0,0,1000000*D53/TrRoad_act!D81)</f>
        <v>16545.562698904952</v>
      </c>
      <c r="E138" s="101">
        <f>IF(E53=0,0,1000000*E53/TrRoad_act!E81)</f>
        <v>17552.085915933414</v>
      </c>
      <c r="F138" s="101">
        <f>IF(F53=0,0,1000000*F53/TrRoad_act!F81)</f>
        <v>20778.907632262821</v>
      </c>
      <c r="G138" s="101">
        <f>IF(G53=0,0,1000000*G53/TrRoad_act!G81)</f>
        <v>20302.466193039589</v>
      </c>
      <c r="H138" s="101">
        <f>IF(H53=0,0,1000000*H53/TrRoad_act!H81)</f>
        <v>22102.261821178468</v>
      </c>
      <c r="I138" s="101">
        <f>IF(I53=0,0,1000000*I53/TrRoad_act!I81)</f>
        <v>19957.662284199461</v>
      </c>
      <c r="J138" s="101">
        <f>IF(J53=0,0,1000000*J53/TrRoad_act!J81)</f>
        <v>20128.145065793749</v>
      </c>
      <c r="K138" s="101">
        <f>IF(K53=0,0,1000000*K53/TrRoad_act!K81)</f>
        <v>17517.401770560948</v>
      </c>
      <c r="L138" s="101">
        <f>IF(L53=0,0,1000000*L53/TrRoad_act!L81)</f>
        <v>16944.575573178812</v>
      </c>
      <c r="M138" s="101">
        <f>IF(M53=0,0,1000000*M53/TrRoad_act!M81)</f>
        <v>18144.091971771013</v>
      </c>
      <c r="N138" s="101">
        <f>IF(N53=0,0,1000000*N53/TrRoad_act!N81)</f>
        <v>17172.552125477443</v>
      </c>
      <c r="O138" s="101">
        <f>IF(O53=0,0,1000000*O53/TrRoad_act!O81)</f>
        <v>15674.161635012688</v>
      </c>
      <c r="P138" s="101">
        <f>IF(P53=0,0,1000000*P53/TrRoad_act!P81)</f>
        <v>12253.033737919577</v>
      </c>
      <c r="Q138" s="101">
        <f>IF(Q53=0,0,1000000*Q53/TrRoad_act!Q81)</f>
        <v>12094.503495770941</v>
      </c>
      <c r="R138" s="101">
        <f>IF(R53=0,0,1000000*R53/TrRoad_act!R81)</f>
        <v>11235.469972547433</v>
      </c>
      <c r="S138" s="101">
        <f>IF(S53=0,0,1000000*S53/TrRoad_act!S81)</f>
        <v>12728.392368693942</v>
      </c>
      <c r="T138" s="101">
        <f>IF(T53=0,0,1000000*T53/TrRoad_act!T81)</f>
        <v>14503.057745498265</v>
      </c>
      <c r="U138" s="101">
        <f>IF(U53=0,0,1000000*U53/TrRoad_act!U81)</f>
        <v>14571.29342818258</v>
      </c>
      <c r="V138" s="101">
        <f>IF(V53=0,0,1000000*V53/TrRoad_act!V81)</f>
        <v>13378.694069467187</v>
      </c>
      <c r="W138" s="101">
        <f>IF(W53=0,0,1000000*W53/TrRoad_act!W81)</f>
        <v>11122.435747823271</v>
      </c>
      <c r="X138" s="101">
        <f>IF(X53=0,0,1000000*X53/TrRoad_act!X81)</f>
        <v>9938.7613803726108</v>
      </c>
      <c r="Y138" s="101">
        <f>IF(Y53=0,0,1000000*Y53/TrRoad_act!Y81)</f>
        <v>10033.742297685196</v>
      </c>
      <c r="DA138" s="175" t="s">
        <v>737</v>
      </c>
    </row>
    <row r="139" spans="1:105" ht="11.45" customHeight="1" x14ac:dyDescent="0.25">
      <c r="A139" s="138" t="s">
        <v>116</v>
      </c>
      <c r="B139" s="88">
        <f>IF(B55=0,0,1000000*B55/TrRoad_act!B82)</f>
        <v>36083.59428577769</v>
      </c>
      <c r="C139" s="88">
        <f>IF(C55=0,0,1000000*C55/TrRoad_act!C82)</f>
        <v>35291.795727325974</v>
      </c>
      <c r="D139" s="88">
        <f>IF(D55=0,0,1000000*D55/TrRoad_act!D82)</f>
        <v>34869.364895322258</v>
      </c>
      <c r="E139" s="88">
        <f>IF(E55=0,0,1000000*E55/TrRoad_act!E82)</f>
        <v>34975.48714340687</v>
      </c>
      <c r="F139" s="88">
        <f>IF(F55=0,0,1000000*F55/TrRoad_act!F82)</f>
        <v>35099.867153334802</v>
      </c>
      <c r="G139" s="88">
        <f>IF(G55=0,0,1000000*G55/TrRoad_act!G82)</f>
        <v>35175.533819342563</v>
      </c>
      <c r="H139" s="88">
        <f>IF(H55=0,0,1000000*H55/TrRoad_act!H82)</f>
        <v>37731.215871840614</v>
      </c>
      <c r="I139" s="88">
        <f>IF(I55=0,0,1000000*I55/TrRoad_act!I82)</f>
        <v>39297.669095946156</v>
      </c>
      <c r="J139" s="88">
        <f>IF(J55=0,0,1000000*J55/TrRoad_act!J82)</f>
        <v>39524.924034913638</v>
      </c>
      <c r="K139" s="88">
        <f>IF(K55=0,0,1000000*K55/TrRoad_act!K82)</f>
        <v>36871.343184761688</v>
      </c>
      <c r="L139" s="88">
        <f>IF(L55=0,0,1000000*L55/TrRoad_act!L82)</f>
        <v>41898.385097638406</v>
      </c>
      <c r="M139" s="88">
        <f>IF(M55=0,0,1000000*M55/TrRoad_act!M82)</f>
        <v>42560.882505417052</v>
      </c>
      <c r="N139" s="88">
        <f>IF(N55=0,0,1000000*N55/TrRoad_act!N82)</f>
        <v>43060.817698846404</v>
      </c>
      <c r="O139" s="88">
        <f>IF(O55=0,0,1000000*O55/TrRoad_act!O82)</f>
        <v>37152.806605445221</v>
      </c>
      <c r="P139" s="88">
        <f>IF(P55=0,0,1000000*P55/TrRoad_act!P82)</f>
        <v>27895.349575448559</v>
      </c>
      <c r="Q139" s="88">
        <f>IF(Q55=0,0,1000000*Q55/TrRoad_act!Q82)</f>
        <v>27335.167875427225</v>
      </c>
      <c r="R139" s="88">
        <f>IF(R55=0,0,1000000*R55/TrRoad_act!R82)</f>
        <v>25675.707276824673</v>
      </c>
      <c r="S139" s="88">
        <f>IF(S55=0,0,1000000*S55/TrRoad_act!S82)</f>
        <v>31422.9807742216</v>
      </c>
      <c r="T139" s="88">
        <f>IF(T55=0,0,1000000*T55/TrRoad_act!T82)</f>
        <v>36130.567556737762</v>
      </c>
      <c r="U139" s="88">
        <f>IF(U55=0,0,1000000*U55/TrRoad_act!U82)</f>
        <v>37181.774702623268</v>
      </c>
      <c r="V139" s="88">
        <f>IF(V55=0,0,1000000*V55/TrRoad_act!V82)</f>
        <v>33403.483112002665</v>
      </c>
      <c r="W139" s="88">
        <f>IF(W55=0,0,1000000*W55/TrRoad_act!W82)</f>
        <v>27163.861045349575</v>
      </c>
      <c r="X139" s="88">
        <f>IF(X55=0,0,1000000*X55/TrRoad_act!X82)</f>
        <v>26784.73811381089</v>
      </c>
      <c r="Y139" s="88">
        <f>IF(Y55=0,0,1000000*Y55/TrRoad_act!Y82)</f>
        <v>29397.881053269572</v>
      </c>
      <c r="DA139" s="178" t="s">
        <v>738</v>
      </c>
    </row>
    <row r="140" spans="1:105" x14ac:dyDescent="0.25">
      <c r="A140" s="106"/>
      <c r="B140" s="106"/>
      <c r="C140" s="106"/>
      <c r="D140" s="106"/>
      <c r="E140" s="106"/>
      <c r="F140" s="106"/>
      <c r="G140" s="106"/>
      <c r="H140" s="106"/>
      <c r="I140" s="106"/>
      <c r="J140" s="106"/>
      <c r="K140" s="106"/>
      <c r="L140" s="106"/>
      <c r="M140" s="106"/>
      <c r="N140" s="106"/>
      <c r="O140" s="106"/>
      <c r="P140" s="106"/>
      <c r="Q140" s="106"/>
      <c r="R140" s="106"/>
      <c r="S140" s="106"/>
      <c r="T140" s="106"/>
      <c r="U140" s="106"/>
      <c r="V140" s="106"/>
      <c r="W140" s="106"/>
      <c r="X140" s="106"/>
      <c r="Y140" s="106"/>
      <c r="DA140" s="171"/>
    </row>
    <row r="141" spans="1:105" ht="11.45" customHeight="1" x14ac:dyDescent="0.25">
      <c r="A141" s="53" t="s">
        <v>40</v>
      </c>
      <c r="B141" s="76">
        <f t="shared" ref="B141:K141" si="38">IF(B17=0,0,B17/B$17)</f>
        <v>1</v>
      </c>
      <c r="C141" s="76">
        <f t="shared" si="38"/>
        <v>1</v>
      </c>
      <c r="D141" s="76">
        <f t="shared" si="38"/>
        <v>1</v>
      </c>
      <c r="E141" s="76">
        <f t="shared" si="38"/>
        <v>1</v>
      </c>
      <c r="F141" s="76">
        <f t="shared" si="38"/>
        <v>1</v>
      </c>
      <c r="G141" s="76">
        <f t="shared" si="38"/>
        <v>1</v>
      </c>
      <c r="H141" s="76">
        <f t="shared" si="38"/>
        <v>1</v>
      </c>
      <c r="I141" s="76">
        <f t="shared" si="38"/>
        <v>1</v>
      </c>
      <c r="J141" s="76">
        <f t="shared" si="38"/>
        <v>1</v>
      </c>
      <c r="K141" s="76">
        <f t="shared" si="38"/>
        <v>1</v>
      </c>
      <c r="L141" s="76">
        <f t="shared" ref="L141" si="39">IF(L17=0,0,L17/L$17)</f>
        <v>1</v>
      </c>
      <c r="M141" s="76">
        <f t="shared" ref="M141:V141" si="40">IF(M17=0,0,M17/M$17)</f>
        <v>1</v>
      </c>
      <c r="N141" s="76">
        <f t="shared" si="40"/>
        <v>1</v>
      </c>
      <c r="O141" s="76">
        <f t="shared" si="40"/>
        <v>1</v>
      </c>
      <c r="P141" s="76">
        <f t="shared" si="40"/>
        <v>1</v>
      </c>
      <c r="Q141" s="76">
        <f t="shared" si="40"/>
        <v>1</v>
      </c>
      <c r="R141" s="76">
        <f t="shared" si="40"/>
        <v>1</v>
      </c>
      <c r="S141" s="76">
        <f t="shared" si="40"/>
        <v>1</v>
      </c>
      <c r="T141" s="76">
        <f t="shared" si="40"/>
        <v>1</v>
      </c>
      <c r="U141" s="76">
        <f t="shared" si="40"/>
        <v>1</v>
      </c>
      <c r="V141" s="76">
        <f t="shared" si="40"/>
        <v>1</v>
      </c>
      <c r="W141" s="76">
        <f t="shared" ref="W141:Y141" si="41">IF(W17=0,0,W17/W$17)</f>
        <v>1</v>
      </c>
      <c r="X141" s="76">
        <f t="shared" si="41"/>
        <v>1</v>
      </c>
      <c r="Y141" s="76">
        <f t="shared" si="41"/>
        <v>1</v>
      </c>
      <c r="DA141" s="183"/>
    </row>
    <row r="142" spans="1:105" ht="11.45" customHeight="1" x14ac:dyDescent="0.25">
      <c r="A142" s="27" t="s">
        <v>33</v>
      </c>
      <c r="B142" s="46">
        <f t="shared" ref="B142:K142" si="42">IF(B18=0,0,B18/B$17)</f>
        <v>0.61717991403782535</v>
      </c>
      <c r="C142" s="46">
        <f t="shared" si="42"/>
        <v>0.61713883830874561</v>
      </c>
      <c r="D142" s="46">
        <f t="shared" si="42"/>
        <v>0.6139271743991922</v>
      </c>
      <c r="E142" s="46">
        <f t="shared" si="42"/>
        <v>0.60592925103349415</v>
      </c>
      <c r="F142" s="46">
        <f t="shared" si="42"/>
        <v>0.59844642208968701</v>
      </c>
      <c r="G142" s="46">
        <f t="shared" si="42"/>
        <v>0.59761041604628218</v>
      </c>
      <c r="H142" s="46">
        <f t="shared" si="42"/>
        <v>0.59413611244446851</v>
      </c>
      <c r="I142" s="46">
        <f t="shared" si="42"/>
        <v>0.59455112624299322</v>
      </c>
      <c r="J142" s="46">
        <f t="shared" si="42"/>
        <v>0.59352747956764984</v>
      </c>
      <c r="K142" s="46">
        <f t="shared" si="42"/>
        <v>0.61238243669423509</v>
      </c>
      <c r="L142" s="46">
        <f t="shared" ref="L142" si="43">IF(L18=0,0,L18/L$17)</f>
        <v>0.6069125116257662</v>
      </c>
      <c r="M142" s="46">
        <f t="shared" ref="M142:V142" si="44">IF(M18=0,0,M18/M$17)</f>
        <v>0.60065307573980076</v>
      </c>
      <c r="N142" s="46">
        <f t="shared" si="44"/>
        <v>0.60026570638999932</v>
      </c>
      <c r="O142" s="46">
        <f t="shared" si="44"/>
        <v>0.61328143405342017</v>
      </c>
      <c r="P142" s="46">
        <f t="shared" si="44"/>
        <v>0.64225214012999177</v>
      </c>
      <c r="Q142" s="46">
        <f t="shared" si="44"/>
        <v>0.63583448738557502</v>
      </c>
      <c r="R142" s="46">
        <f t="shared" si="44"/>
        <v>0.63877771282009232</v>
      </c>
      <c r="S142" s="46">
        <f t="shared" si="44"/>
        <v>0.62380126612747677</v>
      </c>
      <c r="T142" s="46">
        <f t="shared" si="44"/>
        <v>0.60687058840748109</v>
      </c>
      <c r="U142" s="46">
        <f t="shared" si="44"/>
        <v>0.60019320365780182</v>
      </c>
      <c r="V142" s="46">
        <f t="shared" si="44"/>
        <v>0.56130702232160645</v>
      </c>
      <c r="W142" s="46">
        <f t="shared" ref="W142:Y142" si="45">IF(W18=0,0,W18/W$17)</f>
        <v>0.59960996138942413</v>
      </c>
      <c r="X142" s="46">
        <f t="shared" si="45"/>
        <v>0.60798811961370602</v>
      </c>
      <c r="Y142" s="46">
        <f t="shared" si="45"/>
        <v>0.62101154655405011</v>
      </c>
      <c r="DA142" s="211"/>
    </row>
    <row r="143" spans="1:105" ht="11.45" customHeight="1" x14ac:dyDescent="0.25">
      <c r="A143" s="153" t="s">
        <v>173</v>
      </c>
      <c r="B143" s="154">
        <f t="shared" ref="B143:K143" si="46">IF(B19=0,0,B19/B$17)</f>
        <v>1.2442425855112701E-2</v>
      </c>
      <c r="C143" s="154">
        <f t="shared" si="46"/>
        <v>1.2785824948071265E-2</v>
      </c>
      <c r="D143" s="154">
        <f t="shared" si="46"/>
        <v>1.2806399148899384E-2</v>
      </c>
      <c r="E143" s="154">
        <f t="shared" si="46"/>
        <v>1.2623396614981538E-2</v>
      </c>
      <c r="F143" s="154">
        <f t="shared" si="46"/>
        <v>1.1788606030207777E-2</v>
      </c>
      <c r="G143" s="154">
        <f t="shared" si="46"/>
        <v>1.2051375730848949E-2</v>
      </c>
      <c r="H143" s="154">
        <f t="shared" si="46"/>
        <v>1.2208537776142536E-2</v>
      </c>
      <c r="I143" s="154">
        <f t="shared" si="46"/>
        <v>1.3158522984607318E-2</v>
      </c>
      <c r="J143" s="154">
        <f t="shared" si="46"/>
        <v>1.3986647613233009E-2</v>
      </c>
      <c r="K143" s="154">
        <f t="shared" si="46"/>
        <v>1.4779859003365124E-2</v>
      </c>
      <c r="L143" s="154">
        <f t="shared" ref="L143" si="47">IF(L19=0,0,L19/L$17)</f>
        <v>1.4823941959632797E-2</v>
      </c>
      <c r="M143" s="154">
        <f t="shared" ref="M143:V143" si="48">IF(M19=0,0,M19/M$17)</f>
        <v>1.4841769684874022E-2</v>
      </c>
      <c r="N143" s="154">
        <f t="shared" si="48"/>
        <v>1.4951807150657479E-2</v>
      </c>
      <c r="O143" s="154">
        <f t="shared" si="48"/>
        <v>1.5431635772983704E-2</v>
      </c>
      <c r="P143" s="154">
        <f t="shared" si="48"/>
        <v>1.5926924642869471E-2</v>
      </c>
      <c r="Q143" s="154">
        <f t="shared" si="48"/>
        <v>1.6268481081357086E-2</v>
      </c>
      <c r="R143" s="154">
        <f t="shared" si="48"/>
        <v>1.6355573517458321E-2</v>
      </c>
      <c r="S143" s="154">
        <f t="shared" si="48"/>
        <v>1.4684042747199495E-2</v>
      </c>
      <c r="T143" s="154">
        <f t="shared" si="48"/>
        <v>1.3496156297001587E-2</v>
      </c>
      <c r="U143" s="154">
        <f t="shared" si="48"/>
        <v>1.4049328536058264E-2</v>
      </c>
      <c r="V143" s="154">
        <f t="shared" si="48"/>
        <v>1.4583960775529601E-2</v>
      </c>
      <c r="W143" s="154">
        <f t="shared" ref="W143:Y143" si="49">IF(W19=0,0,W19/W$17)</f>
        <v>1.4408341470123162E-2</v>
      </c>
      <c r="X143" s="154">
        <f t="shared" si="49"/>
        <v>1.456345696227841E-2</v>
      </c>
      <c r="Y143" s="154">
        <f t="shared" si="49"/>
        <v>1.4746476746538614E-2</v>
      </c>
      <c r="DA143" s="212"/>
    </row>
    <row r="144" spans="1:105" ht="11.45" customHeight="1" x14ac:dyDescent="0.25">
      <c r="A144" s="155" t="s">
        <v>20</v>
      </c>
      <c r="B144" s="156">
        <f t="shared" ref="B144:K144" si="50">IF(B21=0,0,B21/B$17)</f>
        <v>0.5691183650508489</v>
      </c>
      <c r="C144" s="156">
        <f t="shared" si="50"/>
        <v>0.5700768314562773</v>
      </c>
      <c r="D144" s="156">
        <f t="shared" si="50"/>
        <v>0.56798646332407121</v>
      </c>
      <c r="E144" s="156">
        <f t="shared" si="50"/>
        <v>0.56152791126591806</v>
      </c>
      <c r="F144" s="156">
        <f t="shared" si="50"/>
        <v>0.55605532763740095</v>
      </c>
      <c r="G144" s="156">
        <f t="shared" si="50"/>
        <v>0.55515862415737904</v>
      </c>
      <c r="H144" s="156">
        <f t="shared" si="50"/>
        <v>0.5527250321096665</v>
      </c>
      <c r="I144" s="156">
        <f t="shared" si="50"/>
        <v>0.55253497741137358</v>
      </c>
      <c r="J144" s="156">
        <f t="shared" si="50"/>
        <v>0.54987941050529832</v>
      </c>
      <c r="K144" s="156">
        <f t="shared" si="50"/>
        <v>0.5658568179680854</v>
      </c>
      <c r="L144" s="156">
        <f t="shared" ref="L144" si="51">IF(L21=0,0,L21/L$17)</f>
        <v>0.55892871047024439</v>
      </c>
      <c r="M144" s="156">
        <f t="shared" ref="M144:V144" si="52">IF(M21=0,0,M21/M$17)</f>
        <v>0.55356445925345221</v>
      </c>
      <c r="N144" s="156">
        <f t="shared" si="52"/>
        <v>0.55257268228704226</v>
      </c>
      <c r="O144" s="156">
        <f t="shared" si="52"/>
        <v>0.56663196075996269</v>
      </c>
      <c r="P144" s="156">
        <f t="shared" si="52"/>
        <v>0.59388351140419027</v>
      </c>
      <c r="Q144" s="156">
        <f t="shared" si="52"/>
        <v>0.58761512395867499</v>
      </c>
      <c r="R144" s="156">
        <f t="shared" si="52"/>
        <v>0.58988051121959428</v>
      </c>
      <c r="S144" s="156">
        <f t="shared" si="52"/>
        <v>0.57526120714220497</v>
      </c>
      <c r="T144" s="156">
        <f t="shared" si="52"/>
        <v>0.56263739814791414</v>
      </c>
      <c r="U144" s="156">
        <f t="shared" si="52"/>
        <v>0.55718270477874454</v>
      </c>
      <c r="V144" s="156">
        <f t="shared" si="52"/>
        <v>0.52016193424585266</v>
      </c>
      <c r="W144" s="156">
        <f t="shared" ref="W144:Y144" si="53">IF(W21=0,0,W21/W$17)</f>
        <v>0.56042468208951213</v>
      </c>
      <c r="X144" s="156">
        <f t="shared" si="53"/>
        <v>0.56867210722401196</v>
      </c>
      <c r="Y144" s="156">
        <f t="shared" si="53"/>
        <v>0.58280762637374484</v>
      </c>
      <c r="DA144" s="213"/>
    </row>
    <row r="145" spans="1:105" ht="11.45" customHeight="1" x14ac:dyDescent="0.25">
      <c r="A145" s="157" t="s">
        <v>110</v>
      </c>
      <c r="B145" s="103">
        <f t="shared" ref="B145:K145" si="54">IF(B22=0,0,B22/B$17)</f>
        <v>0.36903451233965107</v>
      </c>
      <c r="C145" s="103">
        <f t="shared" si="54"/>
        <v>0.37533418460000384</v>
      </c>
      <c r="D145" s="103">
        <f t="shared" si="54"/>
        <v>0.37154855720807517</v>
      </c>
      <c r="E145" s="103">
        <f t="shared" si="54"/>
        <v>0.36759339993349766</v>
      </c>
      <c r="F145" s="103">
        <f t="shared" si="54"/>
        <v>0.35875647455314608</v>
      </c>
      <c r="G145" s="103">
        <f t="shared" si="54"/>
        <v>0.35357700287707411</v>
      </c>
      <c r="H145" s="103">
        <f t="shared" si="54"/>
        <v>0.34978292199976202</v>
      </c>
      <c r="I145" s="103">
        <f t="shared" si="54"/>
        <v>0.35088761993656348</v>
      </c>
      <c r="J145" s="103">
        <f t="shared" si="54"/>
        <v>0.34678450613758777</v>
      </c>
      <c r="K145" s="103">
        <f t="shared" si="54"/>
        <v>0.35962944528936064</v>
      </c>
      <c r="L145" s="103">
        <f t="shared" ref="L145" si="55">IF(L22=0,0,L22/L$17)</f>
        <v>0.35922934822613606</v>
      </c>
      <c r="M145" s="103">
        <f t="shared" ref="M145:V145" si="56">IF(M22=0,0,M22/M$17)</f>
        <v>0.36133456527826768</v>
      </c>
      <c r="N145" s="103">
        <f t="shared" si="56"/>
        <v>0.35893804839887011</v>
      </c>
      <c r="O145" s="103">
        <f t="shared" si="56"/>
        <v>0.3682574438627978</v>
      </c>
      <c r="P145" s="103">
        <f t="shared" si="56"/>
        <v>0.38742216873954988</v>
      </c>
      <c r="Q145" s="103">
        <f t="shared" si="56"/>
        <v>0.38685241037982188</v>
      </c>
      <c r="R145" s="103">
        <f t="shared" si="56"/>
        <v>0.39685749517184526</v>
      </c>
      <c r="S145" s="103">
        <f t="shared" si="56"/>
        <v>0.39742548721885296</v>
      </c>
      <c r="T145" s="103">
        <f t="shared" si="56"/>
        <v>0.39910197343310089</v>
      </c>
      <c r="U145" s="103">
        <f t="shared" si="56"/>
        <v>0.40864544973775541</v>
      </c>
      <c r="V145" s="103">
        <f t="shared" si="56"/>
        <v>0.40323497456211199</v>
      </c>
      <c r="W145" s="103">
        <f t="shared" ref="W145:Y145" si="57">IF(W22=0,0,W22/W$17)</f>
        <v>0.40949543777378722</v>
      </c>
      <c r="X145" s="103">
        <f t="shared" si="57"/>
        <v>0.42473504882859331</v>
      </c>
      <c r="Y145" s="103">
        <f t="shared" si="57"/>
        <v>0.45333352917549857</v>
      </c>
      <c r="DA145" s="191"/>
    </row>
    <row r="146" spans="1:105" ht="11.45" customHeight="1" x14ac:dyDescent="0.25">
      <c r="A146" s="157" t="s">
        <v>111</v>
      </c>
      <c r="B146" s="103">
        <f t="shared" ref="B146:K146" si="58">IF(B24=0,0,B24/B$17)</f>
        <v>0.14566221008637859</v>
      </c>
      <c r="C146" s="103">
        <f t="shared" si="58"/>
        <v>0.1449036527735246</v>
      </c>
      <c r="D146" s="103">
        <f t="shared" si="58"/>
        <v>0.14928779517606089</v>
      </c>
      <c r="E146" s="103">
        <f t="shared" si="58"/>
        <v>0.15374346058835001</v>
      </c>
      <c r="F146" s="103">
        <f t="shared" si="58"/>
        <v>0.15790170511446044</v>
      </c>
      <c r="G146" s="103">
        <f t="shared" si="58"/>
        <v>0.16386594821486283</v>
      </c>
      <c r="H146" s="103">
        <f t="shared" si="58"/>
        <v>0.16762371629763217</v>
      </c>
      <c r="I146" s="103">
        <f t="shared" si="58"/>
        <v>0.17262714729365608</v>
      </c>
      <c r="J146" s="103">
        <f t="shared" si="58"/>
        <v>0.17388961175071257</v>
      </c>
      <c r="K146" s="103">
        <f t="shared" si="58"/>
        <v>0.17604226326095732</v>
      </c>
      <c r="L146" s="103">
        <f t="shared" ref="L146" si="59">IF(L24=0,0,L24/L$17)</f>
        <v>0.17161789229574687</v>
      </c>
      <c r="M146" s="103">
        <f t="shared" ref="M146:V146" si="60">IF(M24=0,0,M24/M$17)</f>
        <v>0.16732909945081761</v>
      </c>
      <c r="N146" s="103">
        <f t="shared" si="60"/>
        <v>0.16731091317491739</v>
      </c>
      <c r="O146" s="103">
        <f t="shared" si="60"/>
        <v>0.17181382716291974</v>
      </c>
      <c r="P146" s="103">
        <f t="shared" si="60"/>
        <v>0.18372022141099836</v>
      </c>
      <c r="Q146" s="103">
        <f t="shared" si="60"/>
        <v>0.17954642226764944</v>
      </c>
      <c r="R146" s="103">
        <f t="shared" si="60"/>
        <v>0.17335192902161964</v>
      </c>
      <c r="S146" s="103">
        <f t="shared" si="60"/>
        <v>0.16058532081717486</v>
      </c>
      <c r="T146" s="103">
        <f t="shared" si="60"/>
        <v>0.14654821539077323</v>
      </c>
      <c r="U146" s="103">
        <f t="shared" si="60"/>
        <v>0.13114569841829837</v>
      </c>
      <c r="V146" s="103">
        <f t="shared" si="60"/>
        <v>9.8320048543856786E-2</v>
      </c>
      <c r="W146" s="103">
        <f t="shared" ref="W146:Y146" si="61">IF(W24=0,0,W24/W$17)</f>
        <v>0.12785266085573802</v>
      </c>
      <c r="X146" s="103">
        <f t="shared" si="61"/>
        <v>0.11593554363743237</v>
      </c>
      <c r="Y146" s="103">
        <f t="shared" si="61"/>
        <v>9.7906670220944167E-2</v>
      </c>
      <c r="DA146" s="191"/>
    </row>
    <row r="147" spans="1:105" ht="11.45" customHeight="1" x14ac:dyDescent="0.25">
      <c r="A147" s="157" t="s">
        <v>112</v>
      </c>
      <c r="B147" s="103">
        <f t="shared" ref="B147:K147" si="62">IF(B26=0,0,B26/B$17)</f>
        <v>5.4421642624819265E-2</v>
      </c>
      <c r="C147" s="103">
        <f t="shared" si="62"/>
        <v>4.9838994082748861E-2</v>
      </c>
      <c r="D147" s="103">
        <f t="shared" si="62"/>
        <v>4.7150110939935139E-2</v>
      </c>
      <c r="E147" s="103">
        <f t="shared" si="62"/>
        <v>4.0191050744070408E-2</v>
      </c>
      <c r="F147" s="103">
        <f t="shared" si="62"/>
        <v>3.939714796979446E-2</v>
      </c>
      <c r="G147" s="103">
        <f t="shared" si="62"/>
        <v>3.7715673065442004E-2</v>
      </c>
      <c r="H147" s="103">
        <f t="shared" si="62"/>
        <v>3.5318393812272274E-2</v>
      </c>
      <c r="I147" s="103">
        <f t="shared" si="62"/>
        <v>2.9020210181154017E-2</v>
      </c>
      <c r="J147" s="103">
        <f t="shared" si="62"/>
        <v>2.920529261699787E-2</v>
      </c>
      <c r="K147" s="103">
        <f t="shared" si="62"/>
        <v>3.0184396145243635E-2</v>
      </c>
      <c r="L147" s="103">
        <f t="shared" ref="L147" si="63">IF(L26=0,0,L26/L$17)</f>
        <v>2.8060135065216912E-2</v>
      </c>
      <c r="M147" s="103">
        <f t="shared" ref="M147:V147" si="64">IF(M26=0,0,M26/M$17)</f>
        <v>2.4790209466716961E-2</v>
      </c>
      <c r="N147" s="103">
        <f t="shared" si="64"/>
        <v>2.5464571326347208E-2</v>
      </c>
      <c r="O147" s="103">
        <f t="shared" si="64"/>
        <v>2.5022351751809904E-2</v>
      </c>
      <c r="P147" s="103">
        <f t="shared" si="64"/>
        <v>2.0144126834075918E-2</v>
      </c>
      <c r="Q147" s="103">
        <f t="shared" si="64"/>
        <v>1.7174717841672071E-2</v>
      </c>
      <c r="R147" s="103">
        <f t="shared" si="64"/>
        <v>1.6045913222474457E-2</v>
      </c>
      <c r="S147" s="103">
        <f t="shared" si="64"/>
        <v>1.353372258530362E-2</v>
      </c>
      <c r="T147" s="103">
        <f t="shared" si="64"/>
        <v>1.1760909124872749E-2</v>
      </c>
      <c r="U147" s="103">
        <f t="shared" si="64"/>
        <v>1.0575396048589385E-2</v>
      </c>
      <c r="V147" s="103">
        <f t="shared" si="64"/>
        <v>1.0063032737220789E-2</v>
      </c>
      <c r="W147" s="103">
        <f t="shared" ref="W147:Y147" si="65">IF(W26=0,0,W26/W$17)</f>
        <v>1.0338053399651331E-2</v>
      </c>
      <c r="X147" s="103">
        <f t="shared" si="65"/>
        <v>1.1117684913368979E-2</v>
      </c>
      <c r="Y147" s="103">
        <f t="shared" si="65"/>
        <v>9.9250590008246372E-3</v>
      </c>
      <c r="DA147" s="191"/>
    </row>
    <row r="148" spans="1:105" ht="11.45" customHeight="1" x14ac:dyDescent="0.25">
      <c r="A148" s="157" t="s">
        <v>113</v>
      </c>
      <c r="B148" s="103">
        <f t="shared" ref="B148:K148" si="66">IF(B27=0,0,B27/B$17)</f>
        <v>0</v>
      </c>
      <c r="C148" s="103">
        <f t="shared" si="66"/>
        <v>0</v>
      </c>
      <c r="D148" s="103">
        <f t="shared" si="66"/>
        <v>0</v>
      </c>
      <c r="E148" s="103">
        <f t="shared" si="66"/>
        <v>0</v>
      </c>
      <c r="F148" s="103">
        <f t="shared" si="66"/>
        <v>0</v>
      </c>
      <c r="G148" s="103">
        <f t="shared" si="66"/>
        <v>0</v>
      </c>
      <c r="H148" s="103">
        <f t="shared" si="66"/>
        <v>0</v>
      </c>
      <c r="I148" s="103">
        <f t="shared" si="66"/>
        <v>0</v>
      </c>
      <c r="J148" s="103">
        <f t="shared" si="66"/>
        <v>0</v>
      </c>
      <c r="K148" s="103">
        <f t="shared" si="66"/>
        <v>0</v>
      </c>
      <c r="L148" s="103">
        <f t="shared" ref="L148" si="67">IF(L27=0,0,L27/L$17)</f>
        <v>1.9166718382705457E-5</v>
      </c>
      <c r="M148" s="103">
        <f t="shared" ref="M148:V148" si="68">IF(M27=0,0,M27/M$17)</f>
        <v>8.8880479532440804E-5</v>
      </c>
      <c r="N148" s="103">
        <f t="shared" si="68"/>
        <v>7.0833975725789376E-4</v>
      </c>
      <c r="O148" s="103">
        <f t="shared" si="68"/>
        <v>8.1276176725046255E-4</v>
      </c>
      <c r="P148" s="103">
        <f t="shared" si="68"/>
        <v>1.1787548217285536E-3</v>
      </c>
      <c r="Q148" s="103">
        <f t="shared" si="68"/>
        <v>1.2379717362525496E-3</v>
      </c>
      <c r="R148" s="103">
        <f t="shared" si="68"/>
        <v>3.327386895293259E-4</v>
      </c>
      <c r="S148" s="103">
        <f t="shared" si="68"/>
        <v>4.4459093255374573E-4</v>
      </c>
      <c r="T148" s="103">
        <f t="shared" si="68"/>
        <v>1.3772295119450573E-3</v>
      </c>
      <c r="U148" s="103">
        <f t="shared" si="68"/>
        <v>1.3791452470735084E-3</v>
      </c>
      <c r="V148" s="103">
        <f t="shared" si="68"/>
        <v>1.277062672109636E-3</v>
      </c>
      <c r="W148" s="103">
        <f t="shared" ref="W148:Y148" si="69">IF(W27=0,0,W27/W$17)</f>
        <v>1.147220623211806E-3</v>
      </c>
      <c r="X148" s="103">
        <f t="shared" si="69"/>
        <v>1.1285686457479448E-3</v>
      </c>
      <c r="Y148" s="103">
        <f t="shared" si="69"/>
        <v>3.9711103661002671E-4</v>
      </c>
      <c r="DA148" s="191"/>
    </row>
    <row r="149" spans="1:105" ht="11.45" customHeight="1" x14ac:dyDescent="0.25">
      <c r="A149" s="157" t="s">
        <v>114</v>
      </c>
      <c r="B149" s="103">
        <f t="shared" ref="B149:K149" si="70">IF(B29=0,0,B29/B$17)</f>
        <v>0</v>
      </c>
      <c r="C149" s="103">
        <f t="shared" si="70"/>
        <v>0</v>
      </c>
      <c r="D149" s="103">
        <f t="shared" si="70"/>
        <v>0</v>
      </c>
      <c r="E149" s="103">
        <f t="shared" si="70"/>
        <v>0</v>
      </c>
      <c r="F149" s="103">
        <f t="shared" si="70"/>
        <v>0</v>
      </c>
      <c r="G149" s="103">
        <f t="shared" si="70"/>
        <v>0</v>
      </c>
      <c r="H149" s="103">
        <f t="shared" si="70"/>
        <v>0</v>
      </c>
      <c r="I149" s="103">
        <f t="shared" si="70"/>
        <v>0</v>
      </c>
      <c r="J149" s="103">
        <f t="shared" si="70"/>
        <v>0</v>
      </c>
      <c r="K149" s="103">
        <f t="shared" si="70"/>
        <v>0</v>
      </c>
      <c r="L149" s="103">
        <f t="shared" ref="L149" si="71">IF(L29=0,0,L29/L$17)</f>
        <v>0</v>
      </c>
      <c r="M149" s="103">
        <f t="shared" ref="M149:V149" si="72">IF(M29=0,0,M29/M$17)</f>
        <v>4.3222518513976933E-7</v>
      </c>
      <c r="N149" s="103">
        <f t="shared" si="72"/>
        <v>9.8698970572269821E-5</v>
      </c>
      <c r="O149" s="103">
        <f t="shared" si="72"/>
        <v>6.2383076417541925E-4</v>
      </c>
      <c r="P149" s="103">
        <f t="shared" si="72"/>
        <v>1.2395982181200836E-3</v>
      </c>
      <c r="Q149" s="103">
        <f t="shared" si="72"/>
        <v>2.546562469670876E-3</v>
      </c>
      <c r="R149" s="103">
        <f t="shared" si="72"/>
        <v>2.9421821989504588E-3</v>
      </c>
      <c r="S149" s="103">
        <f t="shared" si="72"/>
        <v>2.7412682338350996E-3</v>
      </c>
      <c r="T149" s="103">
        <f t="shared" si="72"/>
        <v>2.6840609553648457E-3</v>
      </c>
      <c r="U149" s="103">
        <f t="shared" si="72"/>
        <v>2.6881596227863644E-3</v>
      </c>
      <c r="V149" s="103">
        <f t="shared" si="72"/>
        <v>2.9961776318944348E-3</v>
      </c>
      <c r="W149" s="103">
        <f t="shared" ref="W149:Y149" si="73">IF(W29=0,0,W29/W$17)</f>
        <v>4.3592008930468445E-3</v>
      </c>
      <c r="X149" s="103">
        <f t="shared" si="73"/>
        <v>5.8893093865166135E-3</v>
      </c>
      <c r="Y149" s="103">
        <f t="shared" si="73"/>
        <v>8.6047227170255175E-3</v>
      </c>
      <c r="DA149" s="191"/>
    </row>
    <row r="150" spans="1:105" ht="11.45" customHeight="1" x14ac:dyDescent="0.25">
      <c r="A150" s="157" t="s">
        <v>115</v>
      </c>
      <c r="B150" s="103">
        <f t="shared" ref="B150:K150" si="74">IF(B32=0,0,B32/B$17)</f>
        <v>0</v>
      </c>
      <c r="C150" s="103">
        <f t="shared" si="74"/>
        <v>0</v>
      </c>
      <c r="D150" s="103">
        <f t="shared" si="74"/>
        <v>0</v>
      </c>
      <c r="E150" s="103">
        <f t="shared" si="74"/>
        <v>0</v>
      </c>
      <c r="F150" s="103">
        <f t="shared" si="74"/>
        <v>0</v>
      </c>
      <c r="G150" s="103">
        <f t="shared" si="74"/>
        <v>0</v>
      </c>
      <c r="H150" s="103">
        <f t="shared" si="74"/>
        <v>0</v>
      </c>
      <c r="I150" s="103">
        <f t="shared" si="74"/>
        <v>0</v>
      </c>
      <c r="J150" s="103">
        <f t="shared" si="74"/>
        <v>0</v>
      </c>
      <c r="K150" s="103">
        <f t="shared" si="74"/>
        <v>7.1327252378497802E-7</v>
      </c>
      <c r="L150" s="103">
        <f t="shared" ref="L150" si="75">IF(L32=0,0,L32/L$17)</f>
        <v>2.1681647617872327E-6</v>
      </c>
      <c r="M150" s="103">
        <f t="shared" ref="M150:V150" si="76">IF(M32=0,0,M32/M$17)</f>
        <v>2.1272352932350732E-5</v>
      </c>
      <c r="N150" s="103">
        <f t="shared" si="76"/>
        <v>5.2110659077367451E-5</v>
      </c>
      <c r="O150" s="103">
        <f t="shared" si="76"/>
        <v>1.0174545100926734E-4</v>
      </c>
      <c r="P150" s="103">
        <f t="shared" si="76"/>
        <v>1.7864137971745724E-4</v>
      </c>
      <c r="Q150" s="103">
        <f t="shared" si="76"/>
        <v>2.5703926360810185E-4</v>
      </c>
      <c r="R150" s="103">
        <f t="shared" si="76"/>
        <v>3.5025291517510725E-4</v>
      </c>
      <c r="S150" s="103">
        <f t="shared" si="76"/>
        <v>5.3081735448473686E-4</v>
      </c>
      <c r="T150" s="103">
        <f t="shared" si="76"/>
        <v>1.1650097318573961E-3</v>
      </c>
      <c r="U150" s="103">
        <f t="shared" si="76"/>
        <v>2.7488557042415359E-3</v>
      </c>
      <c r="V150" s="103">
        <f t="shared" si="76"/>
        <v>4.2706380986590959E-3</v>
      </c>
      <c r="W150" s="103">
        <f t="shared" ref="W150:Y150" si="77">IF(W32=0,0,W32/W$17)</f>
        <v>7.2321085440769086E-3</v>
      </c>
      <c r="X150" s="103">
        <f t="shared" si="77"/>
        <v>9.8659518123528269E-3</v>
      </c>
      <c r="Y150" s="103">
        <f t="shared" si="77"/>
        <v>1.2640534222841889E-2</v>
      </c>
      <c r="DA150" s="191"/>
    </row>
    <row r="151" spans="1:105" ht="11.45" customHeight="1" x14ac:dyDescent="0.25">
      <c r="A151" s="155" t="s">
        <v>21</v>
      </c>
      <c r="B151" s="156">
        <f t="shared" ref="B151:K151" si="78">IF(B33=0,0,B33/B$17)</f>
        <v>3.561912313186371E-2</v>
      </c>
      <c r="C151" s="156">
        <f t="shared" si="78"/>
        <v>3.4276181904397039E-2</v>
      </c>
      <c r="D151" s="156">
        <f t="shared" si="78"/>
        <v>3.3134311926221481E-2</v>
      </c>
      <c r="E151" s="156">
        <f t="shared" si="78"/>
        <v>3.1777943152594502E-2</v>
      </c>
      <c r="F151" s="156">
        <f t="shared" si="78"/>
        <v>3.0602488422078373E-2</v>
      </c>
      <c r="G151" s="156">
        <f t="shared" si="78"/>
        <v>3.040041615805417E-2</v>
      </c>
      <c r="H151" s="156">
        <f t="shared" si="78"/>
        <v>2.9202542558659443E-2</v>
      </c>
      <c r="I151" s="156">
        <f t="shared" si="78"/>
        <v>2.8857625847012316E-2</v>
      </c>
      <c r="J151" s="156">
        <f t="shared" si="78"/>
        <v>2.9661421449118576E-2</v>
      </c>
      <c r="K151" s="156">
        <f t="shared" si="78"/>
        <v>3.1745759722784553E-2</v>
      </c>
      <c r="L151" s="156">
        <f t="shared" ref="L151" si="79">IF(L33=0,0,L33/L$17)</f>
        <v>3.3159859195889055E-2</v>
      </c>
      <c r="M151" s="156">
        <f t="shared" ref="M151:V151" si="80">IF(M33=0,0,M33/M$17)</f>
        <v>3.224684680147457E-2</v>
      </c>
      <c r="N151" s="156">
        <f t="shared" si="80"/>
        <v>3.2741216952299632E-2</v>
      </c>
      <c r="O151" s="156">
        <f t="shared" si="80"/>
        <v>3.1217837520473714E-2</v>
      </c>
      <c r="P151" s="156">
        <f t="shared" si="80"/>
        <v>3.2441704082932073E-2</v>
      </c>
      <c r="Q151" s="156">
        <f t="shared" si="80"/>
        <v>3.1950882345542941E-2</v>
      </c>
      <c r="R151" s="156">
        <f t="shared" si="80"/>
        <v>3.2541628083039641E-2</v>
      </c>
      <c r="S151" s="156">
        <f t="shared" si="80"/>
        <v>3.3856016238072301E-2</v>
      </c>
      <c r="T151" s="156">
        <f t="shared" si="80"/>
        <v>3.0737033962565372E-2</v>
      </c>
      <c r="U151" s="156">
        <f t="shared" si="80"/>
        <v>2.8961170342999078E-2</v>
      </c>
      <c r="V151" s="156">
        <f t="shared" si="80"/>
        <v>2.6561127300224197E-2</v>
      </c>
      <c r="W151" s="156">
        <f t="shared" ref="W151:Y151" si="81">IF(W33=0,0,W33/W$17)</f>
        <v>2.4776937829788799E-2</v>
      </c>
      <c r="X151" s="156">
        <f t="shared" si="81"/>
        <v>2.4752555427415682E-2</v>
      </c>
      <c r="Y151" s="156">
        <f t="shared" si="81"/>
        <v>2.3457443433766666E-2</v>
      </c>
      <c r="DA151" s="213"/>
    </row>
    <row r="152" spans="1:105" ht="11.45" customHeight="1" x14ac:dyDescent="0.25">
      <c r="A152" s="157" t="s">
        <v>110</v>
      </c>
      <c r="B152" s="103">
        <f t="shared" ref="B152:K152" si="82">IF(B34=0,0,B34/B$17)</f>
        <v>1.3579252627060875E-5</v>
      </c>
      <c r="C152" s="103">
        <f t="shared" si="82"/>
        <v>1.5941435691138321E-5</v>
      </c>
      <c r="D152" s="103">
        <f t="shared" si="82"/>
        <v>1.8225099284274916E-5</v>
      </c>
      <c r="E152" s="103">
        <f t="shared" si="82"/>
        <v>2.0005747954838241E-5</v>
      </c>
      <c r="F152" s="103">
        <f t="shared" si="82"/>
        <v>1.837410300832386E-5</v>
      </c>
      <c r="G152" s="103">
        <f t="shared" si="82"/>
        <v>1.9661218922618857E-5</v>
      </c>
      <c r="H152" s="103">
        <f t="shared" si="82"/>
        <v>1.972484948508296E-5</v>
      </c>
      <c r="I152" s="103">
        <f t="shared" si="82"/>
        <v>2.0835104747361998E-5</v>
      </c>
      <c r="J152" s="103">
        <f t="shared" si="82"/>
        <v>2.0680372666537273E-5</v>
      </c>
      <c r="K152" s="103">
        <f t="shared" si="82"/>
        <v>2.2006461684386487E-5</v>
      </c>
      <c r="L152" s="103">
        <f t="shared" ref="L152" si="83">IF(L34=0,0,L34/L$17)</f>
        <v>2.3740576977045053E-5</v>
      </c>
      <c r="M152" s="103">
        <f t="shared" ref="M152:V152" si="84">IF(M34=0,0,M34/M$17)</f>
        <v>1.8978722954037446E-5</v>
      </c>
      <c r="N152" s="103">
        <f t="shared" si="84"/>
        <v>1.1551319305754627E-5</v>
      </c>
      <c r="O152" s="103">
        <f t="shared" si="84"/>
        <v>1.0679032422984984E-5</v>
      </c>
      <c r="P152" s="103">
        <f t="shared" si="84"/>
        <v>1.076513273760312E-5</v>
      </c>
      <c r="Q152" s="103">
        <f t="shared" si="84"/>
        <v>1.6683335987583329E-5</v>
      </c>
      <c r="R152" s="103">
        <f t="shared" si="84"/>
        <v>2.034819091195812E-5</v>
      </c>
      <c r="S152" s="103">
        <f t="shared" si="84"/>
        <v>1.8235239740355271E-5</v>
      </c>
      <c r="T152" s="103">
        <f t="shared" si="84"/>
        <v>1.5797422281399848E-5</v>
      </c>
      <c r="U152" s="103">
        <f t="shared" si="84"/>
        <v>6.6104530983522372E-5</v>
      </c>
      <c r="V152" s="103">
        <f t="shared" si="84"/>
        <v>6.3828898969404762E-5</v>
      </c>
      <c r="W152" s="103">
        <f t="shared" ref="W152:Y152" si="85">IF(W34=0,0,W34/W$17)</f>
        <v>7.3194864372873655E-5</v>
      </c>
      <c r="X152" s="103">
        <f t="shared" si="85"/>
        <v>8.8472535625278766E-5</v>
      </c>
      <c r="Y152" s="103">
        <f t="shared" si="85"/>
        <v>8.5886861880501373E-5</v>
      </c>
      <c r="DA152" s="191"/>
    </row>
    <row r="153" spans="1:105" ht="11.45" customHeight="1" x14ac:dyDescent="0.25">
      <c r="A153" s="157" t="s">
        <v>111</v>
      </c>
      <c r="B153" s="103">
        <f t="shared" ref="B153:K153" si="86">IF(B36=0,0,B36/B$17)</f>
        <v>3.5250133333709743E-2</v>
      </c>
      <c r="C153" s="103">
        <f t="shared" si="86"/>
        <v>3.3925136828620056E-2</v>
      </c>
      <c r="D153" s="103">
        <f t="shared" si="86"/>
        <v>3.2795498924223968E-2</v>
      </c>
      <c r="E153" s="103">
        <f t="shared" si="86"/>
        <v>3.1471032243572138E-2</v>
      </c>
      <c r="F153" s="103">
        <f t="shared" si="86"/>
        <v>3.0324480002213019E-2</v>
      </c>
      <c r="G153" s="103">
        <f t="shared" si="86"/>
        <v>3.0076987680755226E-2</v>
      </c>
      <c r="H153" s="103">
        <f t="shared" si="86"/>
        <v>2.8864368945484036E-2</v>
      </c>
      <c r="I153" s="103">
        <f t="shared" si="86"/>
        <v>2.8509106387710322E-2</v>
      </c>
      <c r="J153" s="103">
        <f t="shared" si="86"/>
        <v>2.9244364183190288E-2</v>
      </c>
      <c r="K153" s="103">
        <f t="shared" si="86"/>
        <v>3.1064371292784356E-2</v>
      </c>
      <c r="L153" s="103">
        <f t="shared" ref="L153" si="87">IF(L36=0,0,L36/L$17)</f>
        <v>3.2227157412479245E-2</v>
      </c>
      <c r="M153" s="103">
        <f t="shared" ref="M153:V153" si="88">IF(M36=0,0,M36/M$17)</f>
        <v>3.0737625676549571E-2</v>
      </c>
      <c r="N153" s="103">
        <f t="shared" si="88"/>
        <v>3.1216118720284191E-2</v>
      </c>
      <c r="O153" s="103">
        <f t="shared" si="88"/>
        <v>2.9495737306831988E-2</v>
      </c>
      <c r="P153" s="103">
        <f t="shared" si="88"/>
        <v>3.0476813024387019E-2</v>
      </c>
      <c r="Q153" s="103">
        <f t="shared" si="88"/>
        <v>2.9384626564479124E-2</v>
      </c>
      <c r="R153" s="103">
        <f t="shared" si="88"/>
        <v>2.7822828293526922E-2</v>
      </c>
      <c r="S153" s="103">
        <f t="shared" si="88"/>
        <v>2.8140707874348733E-2</v>
      </c>
      <c r="T153" s="103">
        <f t="shared" si="88"/>
        <v>2.5738084631562241E-2</v>
      </c>
      <c r="U153" s="103">
        <f t="shared" si="88"/>
        <v>2.3175683908894195E-2</v>
      </c>
      <c r="V153" s="103">
        <f t="shared" si="88"/>
        <v>1.9421887368297711E-2</v>
      </c>
      <c r="W153" s="103">
        <f t="shared" ref="W153:Y153" si="89">IF(W36=0,0,W36/W$17)</f>
        <v>1.6939776220738088E-2</v>
      </c>
      <c r="X153" s="103">
        <f t="shared" si="89"/>
        <v>1.6428191218001979E-2</v>
      </c>
      <c r="Y153" s="103">
        <f t="shared" si="89"/>
        <v>1.443663160307552E-2</v>
      </c>
      <c r="DA153" s="191"/>
    </row>
    <row r="154" spans="1:105" ht="11.45" customHeight="1" x14ac:dyDescent="0.25">
      <c r="A154" s="157" t="s">
        <v>112</v>
      </c>
      <c r="B154" s="103">
        <f t="shared" ref="B154:K154" si="90">IF(B38=0,0,B38/B$17)</f>
        <v>2.5175326973365925E-4</v>
      </c>
      <c r="C154" s="103">
        <f t="shared" si="90"/>
        <v>2.3437426718083909E-4</v>
      </c>
      <c r="D154" s="103">
        <f t="shared" si="90"/>
        <v>2.0011443413507461E-4</v>
      </c>
      <c r="E154" s="103">
        <f t="shared" si="90"/>
        <v>1.7913311606264091E-4</v>
      </c>
      <c r="F154" s="103">
        <f t="shared" si="90"/>
        <v>1.509486393493085E-4</v>
      </c>
      <c r="G154" s="103">
        <f t="shared" si="90"/>
        <v>1.8406930241422761E-4</v>
      </c>
      <c r="H154" s="103">
        <f t="shared" si="90"/>
        <v>1.4670417087259298E-4</v>
      </c>
      <c r="I154" s="103">
        <f t="shared" si="90"/>
        <v>1.298376462319555E-4</v>
      </c>
      <c r="J154" s="103">
        <f t="shared" si="90"/>
        <v>1.2834098700452331E-4</v>
      </c>
      <c r="K154" s="103">
        <f t="shared" si="90"/>
        <v>1.2510464541288984E-4</v>
      </c>
      <c r="L154" s="103">
        <f t="shared" ref="L154" si="91">IF(L38=0,0,L38/L$17)</f>
        <v>1.2595449610470447E-4</v>
      </c>
      <c r="M154" s="103">
        <f t="shared" ref="M154:V154" si="92">IF(M38=0,0,M38/M$17)</f>
        <v>1.2025220078812784E-4</v>
      </c>
      <c r="N154" s="103">
        <f t="shared" si="92"/>
        <v>1.2235749535004919E-4</v>
      </c>
      <c r="O154" s="103">
        <f t="shared" si="92"/>
        <v>1.2785545159870953E-4</v>
      </c>
      <c r="P154" s="103">
        <f t="shared" si="92"/>
        <v>1.3610778352644151E-4</v>
      </c>
      <c r="Q154" s="103">
        <f t="shared" si="92"/>
        <v>1.4112824933598111E-4</v>
      </c>
      <c r="R154" s="103">
        <f t="shared" si="92"/>
        <v>1.4158477708546931E-4</v>
      </c>
      <c r="S154" s="103">
        <f t="shared" si="92"/>
        <v>1.3806742373768523E-4</v>
      </c>
      <c r="T154" s="103">
        <f t="shared" si="92"/>
        <v>1.2753944799851456E-4</v>
      </c>
      <c r="U154" s="103">
        <f t="shared" si="92"/>
        <v>1.152825581791407E-4</v>
      </c>
      <c r="V154" s="103">
        <f t="shared" si="92"/>
        <v>1.114978165148733E-4</v>
      </c>
      <c r="W154" s="103">
        <f t="shared" ref="W154:Y154" si="93">IF(W38=0,0,W38/W$17)</f>
        <v>1.0799044413360584E-4</v>
      </c>
      <c r="X154" s="103">
        <f t="shared" si="93"/>
        <v>9.9592807344019225E-5</v>
      </c>
      <c r="Y154" s="103">
        <f t="shared" si="93"/>
        <v>9.3288300033153018E-5</v>
      </c>
      <c r="DA154" s="191"/>
    </row>
    <row r="155" spans="1:105" ht="11.45" customHeight="1" x14ac:dyDescent="0.25">
      <c r="A155" s="157" t="s">
        <v>113</v>
      </c>
      <c r="B155" s="103">
        <f t="shared" ref="B155:K155" si="94">IF(B39=0,0,B39/B$17)</f>
        <v>1.4749033174548404E-5</v>
      </c>
      <c r="C155" s="103">
        <f t="shared" si="94"/>
        <v>2.3003126391485409E-5</v>
      </c>
      <c r="D155" s="103">
        <f t="shared" si="94"/>
        <v>3.6789056031825992E-5</v>
      </c>
      <c r="E155" s="103">
        <f t="shared" si="94"/>
        <v>3.719306558241038E-5</v>
      </c>
      <c r="F155" s="103">
        <f t="shared" si="94"/>
        <v>2.5232848152359019E-5</v>
      </c>
      <c r="G155" s="103">
        <f t="shared" si="94"/>
        <v>3.4014219322400075E-5</v>
      </c>
      <c r="H155" s="103">
        <f t="shared" si="94"/>
        <v>8.7300041523243144E-5</v>
      </c>
      <c r="I155" s="103">
        <f t="shared" si="94"/>
        <v>1.1406917162216519E-4</v>
      </c>
      <c r="J155" s="103">
        <f t="shared" si="94"/>
        <v>2.004193009458746E-4</v>
      </c>
      <c r="K155" s="103">
        <f t="shared" si="94"/>
        <v>4.5184533393337502E-4</v>
      </c>
      <c r="L155" s="103">
        <f t="shared" ref="L155" si="95">IF(L39=0,0,L39/L$17)</f>
        <v>6.5730347216395109E-4</v>
      </c>
      <c r="M155" s="103">
        <f t="shared" ref="M155:V155" si="96">IF(M39=0,0,M39/M$17)</f>
        <v>1.2516729794579255E-3</v>
      </c>
      <c r="N155" s="103">
        <f t="shared" si="96"/>
        <v>1.2663598031202367E-3</v>
      </c>
      <c r="O155" s="103">
        <f t="shared" si="96"/>
        <v>1.4620448276510981E-3</v>
      </c>
      <c r="P155" s="103">
        <f t="shared" si="96"/>
        <v>1.6907339633014697E-3</v>
      </c>
      <c r="Q155" s="103">
        <f t="shared" si="96"/>
        <v>2.2576562548725218E-3</v>
      </c>
      <c r="R155" s="103">
        <f t="shared" si="96"/>
        <v>4.3024580339467572E-3</v>
      </c>
      <c r="S155" s="103">
        <f t="shared" si="96"/>
        <v>5.0941051985324915E-3</v>
      </c>
      <c r="T155" s="103">
        <f t="shared" si="96"/>
        <v>4.2448475217708214E-3</v>
      </c>
      <c r="U155" s="103">
        <f t="shared" si="96"/>
        <v>4.4463706447503788E-3</v>
      </c>
      <c r="V155" s="103">
        <f t="shared" si="96"/>
        <v>5.1205807622752052E-3</v>
      </c>
      <c r="W155" s="103">
        <f t="shared" ref="W155:Y155" si="97">IF(W39=0,0,W39/W$17)</f>
        <v>5.3873124054772438E-3</v>
      </c>
      <c r="X155" s="103">
        <f t="shared" si="97"/>
        <v>5.7062062335047374E-3</v>
      </c>
      <c r="Y155" s="103">
        <f t="shared" si="97"/>
        <v>6.3167740765993474E-3</v>
      </c>
      <c r="DA155" s="191"/>
    </row>
    <row r="156" spans="1:105" ht="11.45" customHeight="1" x14ac:dyDescent="0.25">
      <c r="A156" s="157" t="s">
        <v>115</v>
      </c>
      <c r="B156" s="103">
        <f t="shared" ref="B156:K156" si="98">IF(B41=0,0,B41/B$17)</f>
        <v>8.890824261870129E-5</v>
      </c>
      <c r="C156" s="103">
        <f t="shared" si="98"/>
        <v>7.7726246513517032E-5</v>
      </c>
      <c r="D156" s="103">
        <f t="shared" si="98"/>
        <v>8.3684412546341917E-5</v>
      </c>
      <c r="E156" s="103">
        <f t="shared" si="98"/>
        <v>7.0578979422475754E-5</v>
      </c>
      <c r="F156" s="103">
        <f t="shared" si="98"/>
        <v>8.3452829355362367E-5</v>
      </c>
      <c r="G156" s="103">
        <f t="shared" si="98"/>
        <v>8.5683736639692197E-5</v>
      </c>
      <c r="H156" s="103">
        <f t="shared" si="98"/>
        <v>8.4444551294492092E-5</v>
      </c>
      <c r="I156" s="103">
        <f t="shared" si="98"/>
        <v>8.3777536700510919E-5</v>
      </c>
      <c r="J156" s="103">
        <f t="shared" si="98"/>
        <v>6.7616605311346807E-5</v>
      </c>
      <c r="K156" s="103">
        <f t="shared" si="98"/>
        <v>8.2431988969546783E-5</v>
      </c>
      <c r="L156" s="103">
        <f t="shared" ref="L156" si="99">IF(L41=0,0,L41/L$17)</f>
        <v>1.2570323816410919E-4</v>
      </c>
      <c r="M156" s="103">
        <f t="shared" ref="M156:V156" si="100">IF(M41=0,0,M41/M$17)</f>
        <v>1.1831722172490643E-4</v>
      </c>
      <c r="N156" s="103">
        <f t="shared" si="100"/>
        <v>1.2482961423939629E-4</v>
      </c>
      <c r="O156" s="103">
        <f t="shared" si="100"/>
        <v>1.2152090196892639E-4</v>
      </c>
      <c r="P156" s="103">
        <f t="shared" si="100"/>
        <v>1.2728417897953507E-4</v>
      </c>
      <c r="Q156" s="103">
        <f t="shared" si="100"/>
        <v>1.5078794086772419E-4</v>
      </c>
      <c r="R156" s="103">
        <f t="shared" si="100"/>
        <v>2.5440878756852902E-4</v>
      </c>
      <c r="S156" s="103">
        <f t="shared" si="100"/>
        <v>4.6490050171303518E-4</v>
      </c>
      <c r="T156" s="103">
        <f t="shared" si="100"/>
        <v>6.1076493895239486E-4</v>
      </c>
      <c r="U156" s="103">
        <f t="shared" si="100"/>
        <v>1.157728700191839E-3</v>
      </c>
      <c r="V156" s="103">
        <f t="shared" si="100"/>
        <v>1.8433324541670003E-3</v>
      </c>
      <c r="W156" s="103">
        <f t="shared" ref="W156:Y156" si="101">IF(W41=0,0,W41/W$17)</f>
        <v>2.2686638950669908E-3</v>
      </c>
      <c r="X156" s="103">
        <f t="shared" si="101"/>
        <v>2.4300926329396664E-3</v>
      </c>
      <c r="Y156" s="103">
        <f t="shared" si="101"/>
        <v>2.5248625921781426E-3</v>
      </c>
      <c r="DA156" s="191"/>
    </row>
    <row r="157" spans="1:105" ht="11.45" customHeight="1" x14ac:dyDescent="0.25">
      <c r="A157" s="27" t="s">
        <v>34</v>
      </c>
      <c r="B157" s="46">
        <f t="shared" ref="B157:K157" si="102">IF(B42=0,0,B42/B$17)</f>
        <v>0.38282008596217459</v>
      </c>
      <c r="C157" s="46">
        <f t="shared" si="102"/>
        <v>0.3828611616912545</v>
      </c>
      <c r="D157" s="46">
        <f t="shared" si="102"/>
        <v>0.38607282560080775</v>
      </c>
      <c r="E157" s="46">
        <f t="shared" si="102"/>
        <v>0.39407074896650579</v>
      </c>
      <c r="F157" s="46">
        <f t="shared" si="102"/>
        <v>0.40155357791031288</v>
      </c>
      <c r="G157" s="46">
        <f t="shared" si="102"/>
        <v>0.40238958395371777</v>
      </c>
      <c r="H157" s="46">
        <f t="shared" si="102"/>
        <v>0.40586388755553154</v>
      </c>
      <c r="I157" s="46">
        <f t="shared" si="102"/>
        <v>0.40544887375700667</v>
      </c>
      <c r="J157" s="46">
        <f t="shared" si="102"/>
        <v>0.4064725204323501</v>
      </c>
      <c r="K157" s="46">
        <f t="shared" si="102"/>
        <v>0.38761756330576486</v>
      </c>
      <c r="L157" s="46">
        <f t="shared" ref="L157" si="103">IF(L42=0,0,L42/L$17)</f>
        <v>0.39308748837423385</v>
      </c>
      <c r="M157" s="46">
        <f t="shared" ref="M157:V157" si="104">IF(M42=0,0,M42/M$17)</f>
        <v>0.39934692426019924</v>
      </c>
      <c r="N157" s="46">
        <f t="shared" si="104"/>
        <v>0.39973429361000062</v>
      </c>
      <c r="O157" s="46">
        <f t="shared" si="104"/>
        <v>0.38671856594657988</v>
      </c>
      <c r="P157" s="46">
        <f t="shared" si="104"/>
        <v>0.35774785987000818</v>
      </c>
      <c r="Q157" s="46">
        <f t="shared" si="104"/>
        <v>0.36416551261442509</v>
      </c>
      <c r="R157" s="46">
        <f t="shared" si="104"/>
        <v>0.36122228717990773</v>
      </c>
      <c r="S157" s="46">
        <f t="shared" si="104"/>
        <v>0.37619873387252328</v>
      </c>
      <c r="T157" s="46">
        <f t="shared" si="104"/>
        <v>0.39312941159251891</v>
      </c>
      <c r="U157" s="46">
        <f t="shared" si="104"/>
        <v>0.39980679634219818</v>
      </c>
      <c r="V157" s="46">
        <f t="shared" si="104"/>
        <v>0.43869297767839344</v>
      </c>
      <c r="W157" s="46">
        <f t="shared" ref="W157:Y157" si="105">IF(W42=0,0,W42/W$17)</f>
        <v>0.40039003861057593</v>
      </c>
      <c r="X157" s="46">
        <f t="shared" si="105"/>
        <v>0.39201188038629387</v>
      </c>
      <c r="Y157" s="46">
        <f t="shared" si="105"/>
        <v>0.37898845344594984</v>
      </c>
      <c r="DA157" s="211"/>
    </row>
    <row r="158" spans="1:105" ht="11.45" customHeight="1" x14ac:dyDescent="0.25">
      <c r="A158" s="153" t="s">
        <v>153</v>
      </c>
      <c r="B158" s="154">
        <f t="shared" ref="B158:K158" si="106">IF(B43=0,0,B43/B$17)</f>
        <v>0.17438853663000481</v>
      </c>
      <c r="C158" s="154">
        <f t="shared" si="106"/>
        <v>0.17946423656740071</v>
      </c>
      <c r="D158" s="154">
        <f t="shared" si="106"/>
        <v>0.17974011078644622</v>
      </c>
      <c r="E158" s="154">
        <f t="shared" si="106"/>
        <v>0.18347054937187135</v>
      </c>
      <c r="F158" s="154">
        <f t="shared" si="106"/>
        <v>0.18913704944725063</v>
      </c>
      <c r="G158" s="154">
        <f t="shared" si="106"/>
        <v>0.18984107518112542</v>
      </c>
      <c r="H158" s="154">
        <f t="shared" si="106"/>
        <v>0.18268904028780511</v>
      </c>
      <c r="I158" s="154">
        <f t="shared" si="106"/>
        <v>0.18275648169265254</v>
      </c>
      <c r="J158" s="154">
        <f t="shared" si="106"/>
        <v>0.18373455565948693</v>
      </c>
      <c r="K158" s="154">
        <f t="shared" si="106"/>
        <v>0.17834608309721769</v>
      </c>
      <c r="L158" s="154">
        <f t="shared" ref="L158" si="107">IF(L43=0,0,L43/L$17)</f>
        <v>0.18023596090032526</v>
      </c>
      <c r="M158" s="154">
        <f t="shared" ref="M158:V158" si="108">IF(M43=0,0,M43/M$17)</f>
        <v>0.18125542795391861</v>
      </c>
      <c r="N158" s="154">
        <f t="shared" si="108"/>
        <v>0.17946090848822996</v>
      </c>
      <c r="O158" s="154">
        <f t="shared" si="108"/>
        <v>0.18177159011599192</v>
      </c>
      <c r="P158" s="154">
        <f t="shared" si="108"/>
        <v>0.18754261511090367</v>
      </c>
      <c r="Q158" s="154">
        <f t="shared" si="108"/>
        <v>0.1940844774554413</v>
      </c>
      <c r="R158" s="154">
        <f t="shared" si="108"/>
        <v>0.19515862120915797</v>
      </c>
      <c r="S158" s="154">
        <f t="shared" si="108"/>
        <v>0.18807670811967131</v>
      </c>
      <c r="T158" s="154">
        <f t="shared" si="108"/>
        <v>0.18106735010375241</v>
      </c>
      <c r="U158" s="154">
        <f t="shared" si="108"/>
        <v>0.17727732798737511</v>
      </c>
      <c r="V158" s="154">
        <f t="shared" si="108"/>
        <v>0.19924174719515472</v>
      </c>
      <c r="W158" s="154">
        <f t="shared" ref="W158:Y158" si="109">IF(W43=0,0,W43/W$17)</f>
        <v>0.20418307856074847</v>
      </c>
      <c r="X158" s="154">
        <f t="shared" si="109"/>
        <v>0.20190229674628768</v>
      </c>
      <c r="Y158" s="154">
        <f t="shared" si="109"/>
        <v>0.1895304575283091</v>
      </c>
      <c r="DA158" s="212"/>
    </row>
    <row r="159" spans="1:105" ht="11.45" customHeight="1" x14ac:dyDescent="0.25">
      <c r="A159" s="157" t="s">
        <v>110</v>
      </c>
      <c r="B159" s="103">
        <f t="shared" ref="B159:K159" si="110">IF(B44=0,0,B44/B$17)</f>
        <v>7.0261714472932418E-3</v>
      </c>
      <c r="C159" s="103">
        <f t="shared" si="110"/>
        <v>6.3681350575094369E-3</v>
      </c>
      <c r="D159" s="103">
        <f t="shared" si="110"/>
        <v>5.5008836774633162E-3</v>
      </c>
      <c r="E159" s="103">
        <f t="shared" si="110"/>
        <v>4.869569104610112E-3</v>
      </c>
      <c r="F159" s="103">
        <f t="shared" si="110"/>
        <v>4.4270982393318026E-3</v>
      </c>
      <c r="G159" s="103">
        <f t="shared" si="110"/>
        <v>4.1789652903794477E-3</v>
      </c>
      <c r="H159" s="103">
        <f t="shared" si="110"/>
        <v>3.6215403107427145E-3</v>
      </c>
      <c r="I159" s="103">
        <f t="shared" si="110"/>
        <v>3.3425409492371765E-3</v>
      </c>
      <c r="J159" s="103">
        <f t="shared" si="110"/>
        <v>3.1318556031517644E-3</v>
      </c>
      <c r="K159" s="103">
        <f t="shared" si="110"/>
        <v>2.9624249264198835E-3</v>
      </c>
      <c r="L159" s="103">
        <f t="shared" ref="L159" si="111">IF(L44=0,0,L44/L$17)</f>
        <v>2.7660556201054192E-3</v>
      </c>
      <c r="M159" s="103">
        <f t="shared" ref="M159:V159" si="112">IF(M44=0,0,M44/M$17)</f>
        <v>2.5639406262067295E-3</v>
      </c>
      <c r="N159" s="103">
        <f t="shared" si="112"/>
        <v>2.4830094044354968E-3</v>
      </c>
      <c r="O159" s="103">
        <f t="shared" si="112"/>
        <v>2.3366354562863729E-3</v>
      </c>
      <c r="P159" s="103">
        <f t="shared" si="112"/>
        <v>2.4902062268656764E-3</v>
      </c>
      <c r="Q159" s="103">
        <f t="shared" si="112"/>
        <v>2.4699770076234144E-3</v>
      </c>
      <c r="R159" s="103">
        <f t="shared" si="112"/>
        <v>2.4381820534438814E-3</v>
      </c>
      <c r="S159" s="103">
        <f t="shared" si="112"/>
        <v>2.3109588341643571E-3</v>
      </c>
      <c r="T159" s="103">
        <f t="shared" si="112"/>
        <v>2.1184293660607566E-3</v>
      </c>
      <c r="U159" s="103">
        <f t="shared" si="112"/>
        <v>2.1415174523070984E-3</v>
      </c>
      <c r="V159" s="103">
        <f t="shared" si="112"/>
        <v>2.5060489398397441E-3</v>
      </c>
      <c r="W159" s="103">
        <f t="shared" ref="W159:Y159" si="113">IF(W44=0,0,W44/W$17)</f>
        <v>2.656874965933035E-3</v>
      </c>
      <c r="X159" s="103">
        <f t="shared" si="113"/>
        <v>2.6889485536726824E-3</v>
      </c>
      <c r="Y159" s="103">
        <f t="shared" si="113"/>
        <v>2.701825379254673E-3</v>
      </c>
      <c r="DA159" s="191"/>
    </row>
    <row r="160" spans="1:105" ht="11.45" customHeight="1" x14ac:dyDescent="0.25">
      <c r="A160" s="157" t="s">
        <v>111</v>
      </c>
      <c r="B160" s="103">
        <f t="shared" ref="B160:K160" si="114">IF(B46=0,0,B46/B$17)</f>
        <v>0.16299428563708282</v>
      </c>
      <c r="C160" s="103">
        <f t="shared" si="114"/>
        <v>0.16877165983968984</v>
      </c>
      <c r="D160" s="103">
        <f t="shared" si="114"/>
        <v>0.17016835059845525</v>
      </c>
      <c r="E160" s="103">
        <f t="shared" si="114"/>
        <v>0.17474386340697035</v>
      </c>
      <c r="F160" s="103">
        <f t="shared" si="114"/>
        <v>0.18100968449491103</v>
      </c>
      <c r="G160" s="103">
        <f t="shared" si="114"/>
        <v>0.18250454919929404</v>
      </c>
      <c r="H160" s="103">
        <f t="shared" si="114"/>
        <v>0.17623469697683869</v>
      </c>
      <c r="I160" s="103">
        <f t="shared" si="114"/>
        <v>0.1765536070587114</v>
      </c>
      <c r="J160" s="103">
        <f t="shared" si="114"/>
        <v>0.17773798872034965</v>
      </c>
      <c r="K160" s="103">
        <f t="shared" si="114"/>
        <v>0.17247726836204808</v>
      </c>
      <c r="L160" s="103">
        <f t="shared" ref="L160" si="115">IF(L46=0,0,L46/L$17)</f>
        <v>0.17456683190535843</v>
      </c>
      <c r="M160" s="103">
        <f t="shared" ref="M160:V160" si="116">IF(M46=0,0,M46/M$17)</f>
        <v>0.17580284017594017</v>
      </c>
      <c r="N160" s="103">
        <f t="shared" si="116"/>
        <v>0.17400987898963527</v>
      </c>
      <c r="O160" s="103">
        <f t="shared" si="116"/>
        <v>0.1762919215679635</v>
      </c>
      <c r="P160" s="103">
        <f t="shared" si="116"/>
        <v>0.18159127824152838</v>
      </c>
      <c r="Q160" s="103">
        <f t="shared" si="116"/>
        <v>0.18811671493757667</v>
      </c>
      <c r="R160" s="103">
        <f t="shared" si="116"/>
        <v>0.1894009888404872</v>
      </c>
      <c r="S160" s="103">
        <f t="shared" si="116"/>
        <v>0.18245957920882203</v>
      </c>
      <c r="T160" s="103">
        <f t="shared" si="116"/>
        <v>0.17549963105221111</v>
      </c>
      <c r="U160" s="103">
        <f t="shared" si="116"/>
        <v>0.17147590137709229</v>
      </c>
      <c r="V160" s="103">
        <f t="shared" si="116"/>
        <v>0.19247462834785312</v>
      </c>
      <c r="W160" s="103">
        <f t="shared" ref="W160:Y160" si="117">IF(W46=0,0,W46/W$17)</f>
        <v>0.19759623927204664</v>
      </c>
      <c r="X160" s="103">
        <f t="shared" si="117"/>
        <v>0.19488054918539227</v>
      </c>
      <c r="Y160" s="103">
        <f t="shared" si="117"/>
        <v>0.18236026806677946</v>
      </c>
      <c r="DA160" s="191"/>
    </row>
    <row r="161" spans="1:105" ht="11.45" customHeight="1" x14ac:dyDescent="0.25">
      <c r="A161" s="157" t="s">
        <v>112</v>
      </c>
      <c r="B161" s="103">
        <f t="shared" ref="B161:K161" si="118">IF(B48=0,0,B48/B$17)</f>
        <v>4.3680795456287431E-3</v>
      </c>
      <c r="C161" s="103">
        <f t="shared" si="118"/>
        <v>4.324441670201456E-3</v>
      </c>
      <c r="D161" s="103">
        <f t="shared" si="118"/>
        <v>4.0708765105276472E-3</v>
      </c>
      <c r="E161" s="103">
        <f t="shared" si="118"/>
        <v>3.8440559364953482E-3</v>
      </c>
      <c r="F161" s="103">
        <f t="shared" si="118"/>
        <v>3.6641767454811615E-3</v>
      </c>
      <c r="G161" s="103">
        <f t="shared" si="118"/>
        <v>3.1246457346651387E-3</v>
      </c>
      <c r="H161" s="103">
        <f t="shared" si="118"/>
        <v>2.8016944019302295E-3</v>
      </c>
      <c r="I161" s="103">
        <f t="shared" si="118"/>
        <v>2.7889002777768401E-3</v>
      </c>
      <c r="J161" s="103">
        <f t="shared" si="118"/>
        <v>2.7930969929419657E-3</v>
      </c>
      <c r="K161" s="103">
        <f t="shared" si="118"/>
        <v>2.7921316079612627E-3</v>
      </c>
      <c r="L161" s="103">
        <f t="shared" ref="L161" si="119">IF(L48=0,0,L48/L$17)</f>
        <v>2.744740058875342E-3</v>
      </c>
      <c r="M161" s="103">
        <f t="shared" ref="M161:V161" si="120">IF(M48=0,0,M48/M$17)</f>
        <v>2.6892495504210983E-3</v>
      </c>
      <c r="N161" s="103">
        <f t="shared" si="120"/>
        <v>2.7291689802797898E-3</v>
      </c>
      <c r="O161" s="103">
        <f t="shared" si="120"/>
        <v>2.8414211056647411E-3</v>
      </c>
      <c r="P161" s="103">
        <f t="shared" si="120"/>
        <v>3.0701119149838169E-3</v>
      </c>
      <c r="Q161" s="103">
        <f t="shared" si="120"/>
        <v>3.0694186342188931E-3</v>
      </c>
      <c r="R161" s="103">
        <f t="shared" si="120"/>
        <v>3.0541646870782127E-3</v>
      </c>
      <c r="S161" s="103">
        <f t="shared" si="120"/>
        <v>2.9498781108733361E-3</v>
      </c>
      <c r="T161" s="103">
        <f t="shared" si="120"/>
        <v>2.8377641812849701E-3</v>
      </c>
      <c r="U161" s="103">
        <f t="shared" si="120"/>
        <v>2.9830899954814663E-3</v>
      </c>
      <c r="V161" s="103">
        <f t="shared" si="120"/>
        <v>3.4094532491267234E-3</v>
      </c>
      <c r="W161" s="103">
        <f t="shared" ref="W161:Y161" si="121">IF(W48=0,0,W48/W$17)</f>
        <v>2.9800445475414864E-3</v>
      </c>
      <c r="X161" s="103">
        <f t="shared" si="121"/>
        <v>3.2044906043750122E-3</v>
      </c>
      <c r="Y161" s="103">
        <f t="shared" si="121"/>
        <v>3.1466379972271319E-3</v>
      </c>
      <c r="DA161" s="191"/>
    </row>
    <row r="162" spans="1:105" ht="11.45" customHeight="1" x14ac:dyDescent="0.25">
      <c r="A162" s="157" t="s">
        <v>113</v>
      </c>
      <c r="B162" s="103">
        <f t="shared" ref="B162:K162" si="122">IF(B49=0,0,B49/B$17)</f>
        <v>0</v>
      </c>
      <c r="C162" s="103">
        <f t="shared" si="122"/>
        <v>0</v>
      </c>
      <c r="D162" s="103">
        <f t="shared" si="122"/>
        <v>0</v>
      </c>
      <c r="E162" s="103">
        <f t="shared" si="122"/>
        <v>1.3060923795531496E-5</v>
      </c>
      <c r="F162" s="103">
        <f t="shared" si="122"/>
        <v>3.6089967526651048E-5</v>
      </c>
      <c r="G162" s="103">
        <f t="shared" si="122"/>
        <v>3.2914956786789449E-5</v>
      </c>
      <c r="H162" s="103">
        <f t="shared" si="122"/>
        <v>3.1108598293483699E-5</v>
      </c>
      <c r="I162" s="103">
        <f t="shared" si="122"/>
        <v>7.143340692714105E-5</v>
      </c>
      <c r="J162" s="103">
        <f t="shared" si="122"/>
        <v>7.1614343043550701E-5</v>
      </c>
      <c r="K162" s="103">
        <f t="shared" si="122"/>
        <v>1.1425820078847487E-4</v>
      </c>
      <c r="L162" s="103">
        <f t="shared" ref="L162" si="123">IF(L49=0,0,L49/L$17)</f>
        <v>1.5833331598607837E-4</v>
      </c>
      <c r="M162" s="103">
        <f t="shared" ref="M162:V162" si="124">IF(M49=0,0,M49/M$17)</f>
        <v>1.9908583064089943E-4</v>
      </c>
      <c r="N162" s="103">
        <f t="shared" si="124"/>
        <v>2.3076855333747123E-4</v>
      </c>
      <c r="O162" s="103">
        <f t="shared" si="124"/>
        <v>2.8714329655522153E-4</v>
      </c>
      <c r="P162" s="103">
        <f t="shared" si="124"/>
        <v>3.6030087577763599E-4</v>
      </c>
      <c r="Q162" s="103">
        <f t="shared" si="124"/>
        <v>3.9203227870183061E-4</v>
      </c>
      <c r="R162" s="103">
        <f t="shared" si="124"/>
        <v>2.261734266291605E-4</v>
      </c>
      <c r="S162" s="103">
        <f t="shared" si="124"/>
        <v>3.0375224093442835E-4</v>
      </c>
      <c r="T162" s="103">
        <f t="shared" si="124"/>
        <v>5.3175651205156715E-4</v>
      </c>
      <c r="U162" s="103">
        <f t="shared" si="124"/>
        <v>5.5443967754211486E-4</v>
      </c>
      <c r="V162" s="103">
        <f t="shared" si="124"/>
        <v>6.4377096406930605E-4</v>
      </c>
      <c r="W162" s="103">
        <f t="shared" ref="W162:Y162" si="125">IF(W49=0,0,W49/W$17)</f>
        <v>5.9979311435891106E-4</v>
      </c>
      <c r="X162" s="103">
        <f t="shared" si="125"/>
        <v>5.6382933387105966E-4</v>
      </c>
      <c r="Y162" s="103">
        <f t="shared" si="125"/>
        <v>3.7155657855633385E-4</v>
      </c>
      <c r="DA162" s="191"/>
    </row>
    <row r="163" spans="1:105" ht="11.45" customHeight="1" x14ac:dyDescent="0.25">
      <c r="A163" s="157" t="s">
        <v>115</v>
      </c>
      <c r="B163" s="103">
        <f t="shared" ref="B163:K163" si="126">IF(B51=0,0,B51/B$17)</f>
        <v>0</v>
      </c>
      <c r="C163" s="103">
        <f t="shared" si="126"/>
        <v>0</v>
      </c>
      <c r="D163" s="103">
        <f t="shared" si="126"/>
        <v>0</v>
      </c>
      <c r="E163" s="103">
        <f t="shared" si="126"/>
        <v>0</v>
      </c>
      <c r="F163" s="103">
        <f t="shared" si="126"/>
        <v>0</v>
      </c>
      <c r="G163" s="103">
        <f t="shared" si="126"/>
        <v>0</v>
      </c>
      <c r="H163" s="103">
        <f t="shared" si="126"/>
        <v>0</v>
      </c>
      <c r="I163" s="103">
        <f t="shared" si="126"/>
        <v>0</v>
      </c>
      <c r="J163" s="103">
        <f t="shared" si="126"/>
        <v>0</v>
      </c>
      <c r="K163" s="103">
        <f t="shared" si="126"/>
        <v>0</v>
      </c>
      <c r="L163" s="103">
        <f t="shared" ref="L163" si="127">IF(L51=0,0,L51/L$17)</f>
        <v>0</v>
      </c>
      <c r="M163" s="103">
        <f t="shared" ref="M163:V163" si="128">IF(M51=0,0,M51/M$17)</f>
        <v>3.117707097246185E-7</v>
      </c>
      <c r="N163" s="103">
        <f t="shared" si="128"/>
        <v>8.0825605419159469E-6</v>
      </c>
      <c r="O163" s="103">
        <f t="shared" si="128"/>
        <v>1.4468689522102695E-5</v>
      </c>
      <c r="P163" s="103">
        <f t="shared" si="128"/>
        <v>3.071785174818166E-5</v>
      </c>
      <c r="Q163" s="103">
        <f t="shared" si="128"/>
        <v>3.6334597320501276E-5</v>
      </c>
      <c r="R163" s="103">
        <f t="shared" si="128"/>
        <v>3.911220151952754E-5</v>
      </c>
      <c r="S163" s="103">
        <f t="shared" si="128"/>
        <v>5.2539724877180544E-5</v>
      </c>
      <c r="T163" s="103">
        <f t="shared" si="128"/>
        <v>7.9768992144020734E-5</v>
      </c>
      <c r="U163" s="103">
        <f t="shared" si="128"/>
        <v>1.2237948495212432E-4</v>
      </c>
      <c r="V163" s="103">
        <f t="shared" si="128"/>
        <v>2.0784569426584532E-4</v>
      </c>
      <c r="W163" s="103">
        <f t="shared" ref="W163:Y163" si="129">IF(W51=0,0,W51/W$17)</f>
        <v>3.5012666086838728E-4</v>
      </c>
      <c r="X163" s="103">
        <f t="shared" si="129"/>
        <v>5.6447906897665425E-4</v>
      </c>
      <c r="Y163" s="103">
        <f t="shared" si="129"/>
        <v>9.5016950649152846E-4</v>
      </c>
      <c r="DA163" s="191"/>
    </row>
    <row r="164" spans="1:105" ht="11.45" customHeight="1" x14ac:dyDescent="0.25">
      <c r="A164" s="155" t="s">
        <v>154</v>
      </c>
      <c r="B164" s="156">
        <f t="shared" ref="B164:K164" si="130">IF(B52=0,0,B52/B$17)</f>
        <v>0.20843154933216973</v>
      </c>
      <c r="C164" s="156">
        <f t="shared" si="130"/>
        <v>0.20339692512385374</v>
      </c>
      <c r="D164" s="156">
        <f t="shared" si="130"/>
        <v>0.20633271481436155</v>
      </c>
      <c r="E164" s="156">
        <f t="shared" si="130"/>
        <v>0.21060019959463441</v>
      </c>
      <c r="F164" s="156">
        <f t="shared" si="130"/>
        <v>0.21241652846306225</v>
      </c>
      <c r="G164" s="156">
        <f t="shared" si="130"/>
        <v>0.21254850877259238</v>
      </c>
      <c r="H164" s="156">
        <f t="shared" si="130"/>
        <v>0.22317484726772649</v>
      </c>
      <c r="I164" s="156">
        <f t="shared" si="130"/>
        <v>0.22269239206435412</v>
      </c>
      <c r="J164" s="156">
        <f t="shared" si="130"/>
        <v>0.22273796477286315</v>
      </c>
      <c r="K164" s="156">
        <f t="shared" si="130"/>
        <v>0.20927148020854719</v>
      </c>
      <c r="L164" s="156">
        <f t="shared" ref="L164" si="131">IF(L52=0,0,L52/L$17)</f>
        <v>0.21285152747390856</v>
      </c>
      <c r="M164" s="156">
        <f t="shared" ref="M164:V164" si="132">IF(M52=0,0,M52/M$17)</f>
        <v>0.21809149630628061</v>
      </c>
      <c r="N164" s="156">
        <f t="shared" si="132"/>
        <v>0.22027338512177061</v>
      </c>
      <c r="O164" s="156">
        <f t="shared" si="132"/>
        <v>0.20494697583058796</v>
      </c>
      <c r="P164" s="156">
        <f t="shared" si="132"/>
        <v>0.17020524475910448</v>
      </c>
      <c r="Q164" s="156">
        <f t="shared" si="132"/>
        <v>0.17008103515898376</v>
      </c>
      <c r="R164" s="156">
        <f t="shared" si="132"/>
        <v>0.16606366597074976</v>
      </c>
      <c r="S164" s="156">
        <f t="shared" si="132"/>
        <v>0.18812202575285197</v>
      </c>
      <c r="T164" s="156">
        <f t="shared" si="132"/>
        <v>0.21206206148876647</v>
      </c>
      <c r="U164" s="156">
        <f t="shared" si="132"/>
        <v>0.22252946835482307</v>
      </c>
      <c r="V164" s="156">
        <f t="shared" si="132"/>
        <v>0.23945123048323871</v>
      </c>
      <c r="W164" s="156">
        <f t="shared" ref="W164:Y164" si="133">IF(W52=0,0,W52/W$17)</f>
        <v>0.19620696004982749</v>
      </c>
      <c r="X164" s="156">
        <f t="shared" si="133"/>
        <v>0.19010958364000621</v>
      </c>
      <c r="Y164" s="156">
        <f t="shared" si="133"/>
        <v>0.18945799591764076</v>
      </c>
      <c r="DA164" s="213"/>
    </row>
    <row r="165" spans="1:105" ht="11.45" customHeight="1" x14ac:dyDescent="0.25">
      <c r="A165" s="162" t="s">
        <v>27</v>
      </c>
      <c r="B165" s="104">
        <f t="shared" ref="B165:K165" si="134">IF(B53=0,0,B53/B$17)</f>
        <v>0.17068289112732318</v>
      </c>
      <c r="C165" s="104">
        <f t="shared" si="134"/>
        <v>0.16411004503218302</v>
      </c>
      <c r="D165" s="104">
        <f t="shared" si="134"/>
        <v>0.16642248563584505</v>
      </c>
      <c r="E165" s="104">
        <f t="shared" si="134"/>
        <v>0.17035812742465167</v>
      </c>
      <c r="F165" s="104">
        <f t="shared" si="134"/>
        <v>0.16542615843442957</v>
      </c>
      <c r="G165" s="104">
        <f t="shared" si="134"/>
        <v>0.16404053901021901</v>
      </c>
      <c r="H165" s="104">
        <f t="shared" si="134"/>
        <v>0.16978072443197803</v>
      </c>
      <c r="I165" s="104">
        <f t="shared" si="134"/>
        <v>0.16703133653715402</v>
      </c>
      <c r="J165" s="104">
        <f t="shared" si="134"/>
        <v>0.16627535041336597</v>
      </c>
      <c r="K165" s="104">
        <f t="shared" si="134"/>
        <v>0.15900166450077724</v>
      </c>
      <c r="L165" s="104">
        <f t="shared" ref="L165" si="135">IF(L53=0,0,L53/L$17)</f>
        <v>0.15299895261292062</v>
      </c>
      <c r="M165" s="104">
        <f t="shared" ref="M165:V165" si="136">IF(M53=0,0,M53/M$17)</f>
        <v>0.15870463459687462</v>
      </c>
      <c r="N165" s="104">
        <f t="shared" si="136"/>
        <v>0.15897833527136535</v>
      </c>
      <c r="O165" s="104">
        <f t="shared" si="136"/>
        <v>0.14824876837306519</v>
      </c>
      <c r="P165" s="104">
        <f t="shared" si="136"/>
        <v>0.12272868685406382</v>
      </c>
      <c r="Q165" s="104">
        <f t="shared" si="136"/>
        <v>0.12243327130944276</v>
      </c>
      <c r="R165" s="104">
        <f t="shared" si="136"/>
        <v>0.11831843246934561</v>
      </c>
      <c r="S165" s="104">
        <f t="shared" si="136"/>
        <v>0.13125734061903796</v>
      </c>
      <c r="T165" s="104">
        <f t="shared" si="136"/>
        <v>0.1496255595883576</v>
      </c>
      <c r="U165" s="104">
        <f t="shared" si="136"/>
        <v>0.15548789551446487</v>
      </c>
      <c r="V165" s="104">
        <f t="shared" si="136"/>
        <v>0.16692699139339789</v>
      </c>
      <c r="W165" s="104">
        <f t="shared" ref="W165:Y165" si="137">IF(W53=0,0,W53/W$17)</f>
        <v>0.13825357730041171</v>
      </c>
      <c r="X165" s="104">
        <f t="shared" si="137"/>
        <v>0.13376990396375604</v>
      </c>
      <c r="Y165" s="104">
        <f t="shared" si="137"/>
        <v>0.13226030304406444</v>
      </c>
      <c r="DA165" s="195"/>
    </row>
    <row r="166" spans="1:105" ht="11.45" customHeight="1" x14ac:dyDescent="0.25">
      <c r="A166" s="158" t="s">
        <v>116</v>
      </c>
      <c r="B166" s="105">
        <f t="shared" ref="B166:K166" si="138">IF(B55=0,0,B55/B$17)</f>
        <v>3.7748658204846561E-2</v>
      </c>
      <c r="C166" s="105">
        <f t="shared" si="138"/>
        <v>3.9286880091670723E-2</v>
      </c>
      <c r="D166" s="105">
        <f t="shared" si="138"/>
        <v>3.9910229178516513E-2</v>
      </c>
      <c r="E166" s="105">
        <f t="shared" si="138"/>
        <v>4.0242072169982747E-2</v>
      </c>
      <c r="F166" s="105">
        <f t="shared" si="138"/>
        <v>4.6990370028632697E-2</v>
      </c>
      <c r="G166" s="105">
        <f t="shared" si="138"/>
        <v>4.8507969762373371E-2</v>
      </c>
      <c r="H166" s="105">
        <f t="shared" si="138"/>
        <v>5.339412283574848E-2</v>
      </c>
      <c r="I166" s="105">
        <f t="shared" si="138"/>
        <v>5.5661055527200146E-2</v>
      </c>
      <c r="J166" s="105">
        <f t="shared" si="138"/>
        <v>5.6462614359497197E-2</v>
      </c>
      <c r="K166" s="105">
        <f t="shared" si="138"/>
        <v>5.0269815707769935E-2</v>
      </c>
      <c r="L166" s="105">
        <f t="shared" ref="L166" si="139">IF(L55=0,0,L55/L$17)</f>
        <v>5.9852574860987974E-2</v>
      </c>
      <c r="M166" s="105">
        <f t="shared" ref="M166:V166" si="140">IF(M55=0,0,M55/M$17)</f>
        <v>5.9386861709405991E-2</v>
      </c>
      <c r="N166" s="105">
        <f t="shared" si="140"/>
        <v>6.1295049850405244E-2</v>
      </c>
      <c r="O166" s="105">
        <f t="shared" si="140"/>
        <v>5.6698207457522742E-2</v>
      </c>
      <c r="P166" s="105">
        <f t="shared" si="140"/>
        <v>4.747655790504067E-2</v>
      </c>
      <c r="Q166" s="105">
        <f t="shared" si="140"/>
        <v>4.764776384954101E-2</v>
      </c>
      <c r="R166" s="105">
        <f t="shared" si="140"/>
        <v>4.7745233501404159E-2</v>
      </c>
      <c r="S166" s="105">
        <f t="shared" si="140"/>
        <v>5.6864685133814021E-2</v>
      </c>
      <c r="T166" s="105">
        <f t="shared" si="140"/>
        <v>6.2436501900408899E-2</v>
      </c>
      <c r="U166" s="105">
        <f t="shared" si="140"/>
        <v>6.7041572840358221E-2</v>
      </c>
      <c r="V166" s="105">
        <f t="shared" si="140"/>
        <v>7.252423908984082E-2</v>
      </c>
      <c r="W166" s="105">
        <f t="shared" ref="W166:Y166" si="141">IF(W55=0,0,W55/W$17)</f>
        <v>5.7953382749415763E-2</v>
      </c>
      <c r="X166" s="105">
        <f t="shared" si="141"/>
        <v>5.6339679676250184E-2</v>
      </c>
      <c r="Y166" s="105">
        <f t="shared" si="141"/>
        <v>5.7197692873576331E-2</v>
      </c>
      <c r="DA166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>
    <pageSetUpPr fitToPage="1"/>
  </sheetPr>
  <dimension ref="A1:DA160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739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 t="shared" ref="B4:K4" si="0">B5+B9+B10+B15</f>
        <v>30574.648252329396</v>
      </c>
      <c r="C4" s="146">
        <f t="shared" si="0"/>
        <v>30815.729542765985</v>
      </c>
      <c r="D4" s="146">
        <f t="shared" si="0"/>
        <v>31553.648919291565</v>
      </c>
      <c r="E4" s="146">
        <f t="shared" si="0"/>
        <v>32128.343786472553</v>
      </c>
      <c r="F4" s="146">
        <f t="shared" si="0"/>
        <v>32674.723769124488</v>
      </c>
      <c r="G4" s="146">
        <f t="shared" si="0"/>
        <v>32857.117654925962</v>
      </c>
      <c r="H4" s="146">
        <f t="shared" si="0"/>
        <v>33767.326992991497</v>
      </c>
      <c r="I4" s="146">
        <f t="shared" si="0"/>
        <v>33214.505256736149</v>
      </c>
      <c r="J4" s="146">
        <f t="shared" si="0"/>
        <v>33665.519936006407</v>
      </c>
      <c r="K4" s="146">
        <f t="shared" si="0"/>
        <v>32250.792109483726</v>
      </c>
      <c r="L4" s="146">
        <f t="shared" ref="L4" si="1">L5+L9+L10+L15</f>
        <v>32738.788648532558</v>
      </c>
      <c r="M4" s="146">
        <f t="shared" ref="M4:V4" si="2">M5+M9+M10+M15</f>
        <v>32843.460680694385</v>
      </c>
      <c r="N4" s="146">
        <f t="shared" si="2"/>
        <v>31431.329532526433</v>
      </c>
      <c r="O4" s="146">
        <f t="shared" si="2"/>
        <v>29842.833149421149</v>
      </c>
      <c r="P4" s="146">
        <f t="shared" si="2"/>
        <v>27283.985860877314</v>
      </c>
      <c r="Q4" s="146">
        <f t="shared" si="2"/>
        <v>27396.697967067837</v>
      </c>
      <c r="R4" s="146">
        <f t="shared" si="2"/>
        <v>27571.082078783496</v>
      </c>
      <c r="S4" s="146">
        <f t="shared" si="2"/>
        <v>28440.915408848134</v>
      </c>
      <c r="T4" s="146">
        <f t="shared" si="2"/>
        <v>28579.328010574227</v>
      </c>
      <c r="U4" s="146">
        <f t="shared" si="2"/>
        <v>28214.26630809647</v>
      </c>
      <c r="V4" s="146">
        <f t="shared" si="2"/>
        <v>24022.836784985619</v>
      </c>
      <c r="W4" s="146">
        <f t="shared" ref="W4:Y4" si="3">W5+W9+W10+W15</f>
        <v>24047.767479051581</v>
      </c>
      <c r="X4" s="146">
        <f t="shared" si="3"/>
        <v>23812.833404786437</v>
      </c>
      <c r="Y4" s="146">
        <f t="shared" si="3"/>
        <v>24772.384883347331</v>
      </c>
      <c r="DA4" s="206" t="s">
        <v>740</v>
      </c>
    </row>
    <row r="5" spans="1:105" ht="11.45" customHeight="1" x14ac:dyDescent="0.25">
      <c r="A5" s="92" t="s">
        <v>46</v>
      </c>
      <c r="B5" s="101">
        <f t="shared" ref="B5:K5" si="4">SUM(B6:B8)</f>
        <v>30574.2949668</v>
      </c>
      <c r="C5" s="101">
        <f t="shared" si="4"/>
        <v>30815.174346119999</v>
      </c>
      <c r="D5" s="101">
        <f t="shared" si="4"/>
        <v>31552.74037404</v>
      </c>
      <c r="E5" s="101">
        <f t="shared" si="4"/>
        <v>32127.081824879999</v>
      </c>
      <c r="F5" s="101">
        <f t="shared" si="4"/>
        <v>32673.15906084</v>
      </c>
      <c r="G5" s="101">
        <f t="shared" si="4"/>
        <v>32855.401554479999</v>
      </c>
      <c r="H5" s="101">
        <f t="shared" si="4"/>
        <v>33764.197667040004</v>
      </c>
      <c r="I5" s="101">
        <f t="shared" si="4"/>
        <v>33209.558845560001</v>
      </c>
      <c r="J5" s="101">
        <f t="shared" si="4"/>
        <v>33658.201035720005</v>
      </c>
      <c r="K5" s="101">
        <f t="shared" si="4"/>
        <v>32236.053223319999</v>
      </c>
      <c r="L5" s="101">
        <f t="shared" ref="L5" si="5">SUM(L6:L8)</f>
        <v>32717.032381079996</v>
      </c>
      <c r="M5" s="101">
        <f t="shared" ref="M5:V5" si="6">SUM(M6:M8)</f>
        <v>32802.883658999999</v>
      </c>
      <c r="N5" s="101">
        <f t="shared" si="6"/>
        <v>31375.677964319999</v>
      </c>
      <c r="O5" s="101">
        <f t="shared" si="6"/>
        <v>29781.408693599999</v>
      </c>
      <c r="P5" s="101">
        <f t="shared" si="6"/>
        <v>27212.568672959998</v>
      </c>
      <c r="Q5" s="101">
        <f t="shared" si="6"/>
        <v>27310.92106176</v>
      </c>
      <c r="R5" s="101">
        <f t="shared" si="6"/>
        <v>27463.705113960001</v>
      </c>
      <c r="S5" s="101">
        <f t="shared" si="6"/>
        <v>28306.997539199998</v>
      </c>
      <c r="T5" s="101">
        <f t="shared" si="6"/>
        <v>28434.788959319998</v>
      </c>
      <c r="U5" s="101">
        <f t="shared" si="6"/>
        <v>28064.181857039999</v>
      </c>
      <c r="V5" s="101">
        <f t="shared" si="6"/>
        <v>23881.721935680005</v>
      </c>
      <c r="W5" s="101">
        <f t="shared" ref="W5:Y5" si="7">SUM(W6:W8)</f>
        <v>23902.856711279997</v>
      </c>
      <c r="X5" s="101">
        <f t="shared" si="7"/>
        <v>23664.245873759999</v>
      </c>
      <c r="Y5" s="101">
        <f t="shared" si="7"/>
        <v>24624.138642120004</v>
      </c>
      <c r="DA5" s="175"/>
    </row>
    <row r="6" spans="1:105" ht="11.45" customHeight="1" x14ac:dyDescent="0.25">
      <c r="A6" s="128" t="s">
        <v>52</v>
      </c>
      <c r="B6" s="101">
        <v>1591.3421208000002</v>
      </c>
      <c r="C6" s="101">
        <v>1477.2673663200001</v>
      </c>
      <c r="D6" s="101">
        <v>1428.7857433199999</v>
      </c>
      <c r="E6" s="101">
        <v>1249.1180845199999</v>
      </c>
      <c r="F6" s="101">
        <v>1240.5623302800002</v>
      </c>
      <c r="G6" s="101">
        <v>1183.5249530400001</v>
      </c>
      <c r="H6" s="101">
        <v>1137.8950966800001</v>
      </c>
      <c r="I6" s="101">
        <v>958.22743788000014</v>
      </c>
      <c r="J6" s="101">
        <v>972.48695256000008</v>
      </c>
      <c r="K6" s="101">
        <v>969.63495876000036</v>
      </c>
      <c r="L6" s="101">
        <v>906.89382108000007</v>
      </c>
      <c r="M6" s="101">
        <v>818.48610216000031</v>
      </c>
      <c r="N6" s="101">
        <v>804.22658748000003</v>
      </c>
      <c r="O6" s="101">
        <v>755.74496448000002</v>
      </c>
      <c r="P6" s="101">
        <v>581.78106611999999</v>
      </c>
      <c r="Q6" s="101">
        <v>507.07086803999999</v>
      </c>
      <c r="R6" s="101">
        <v>479.13086952000015</v>
      </c>
      <c r="S6" s="101">
        <v>429.67086839999996</v>
      </c>
      <c r="T6" s="101">
        <v>390.17773943999993</v>
      </c>
      <c r="U6" s="101">
        <v>363.15137844000014</v>
      </c>
      <c r="V6" s="101">
        <v>307.85313815999996</v>
      </c>
      <c r="W6" s="101">
        <v>308.68499808000007</v>
      </c>
      <c r="X6" s="101">
        <v>328.65190776000003</v>
      </c>
      <c r="Y6" s="101">
        <v>313.31202012000011</v>
      </c>
      <c r="DA6" s="175" t="s">
        <v>741</v>
      </c>
    </row>
    <row r="7" spans="1:105" ht="11.45" customHeight="1" x14ac:dyDescent="0.25">
      <c r="A7" s="128" t="s">
        <v>53</v>
      </c>
      <c r="B7" s="101">
        <v>11500.58442456</v>
      </c>
      <c r="C7" s="101">
        <v>11766.114470879998</v>
      </c>
      <c r="D7" s="101">
        <v>11897.451720000001</v>
      </c>
      <c r="E7" s="101">
        <v>11948.844599999999</v>
      </c>
      <c r="F7" s="101">
        <v>11823.217449120002</v>
      </c>
      <c r="G7" s="101">
        <v>11717.576639999999</v>
      </c>
      <c r="H7" s="101">
        <v>11886.34986</v>
      </c>
      <c r="I7" s="101">
        <v>11849.911809120002</v>
      </c>
      <c r="J7" s="101">
        <v>11785.601603160001</v>
      </c>
      <c r="K7" s="101">
        <v>11739.586264560001</v>
      </c>
      <c r="L7" s="101">
        <v>11745.518399999999</v>
      </c>
      <c r="M7" s="101">
        <v>11903.771796839999</v>
      </c>
      <c r="N7" s="101">
        <v>11380.73697684</v>
      </c>
      <c r="O7" s="101">
        <v>11092.989489120002</v>
      </c>
      <c r="P7" s="101">
        <v>10753.232406839999</v>
      </c>
      <c r="Q7" s="101">
        <v>10707.54912612</v>
      </c>
      <c r="R7" s="101">
        <v>11063.159165520001</v>
      </c>
      <c r="S7" s="101">
        <v>11436.35754492</v>
      </c>
      <c r="T7" s="101">
        <v>11618.20825704</v>
      </c>
      <c r="U7" s="101">
        <v>11862.310466159999</v>
      </c>
      <c r="V7" s="101">
        <v>9849.2353898400015</v>
      </c>
      <c r="W7" s="101">
        <v>10157.3998218</v>
      </c>
      <c r="X7" s="101">
        <v>10409.6141226</v>
      </c>
      <c r="Y7" s="101">
        <v>11668.038394320001</v>
      </c>
      <c r="DA7" s="175" t="s">
        <v>742</v>
      </c>
    </row>
    <row r="8" spans="1:105" ht="11.45" customHeight="1" x14ac:dyDescent="0.25">
      <c r="A8" s="128" t="s">
        <v>54</v>
      </c>
      <c r="B8" s="101">
        <v>17482.368421440002</v>
      </c>
      <c r="C8" s="101">
        <v>17571.79250892</v>
      </c>
      <c r="D8" s="101">
        <v>18226.502910719999</v>
      </c>
      <c r="E8" s="101">
        <v>18929.119140360002</v>
      </c>
      <c r="F8" s="101">
        <v>19609.37928144</v>
      </c>
      <c r="G8" s="101">
        <v>19954.29996144</v>
      </c>
      <c r="H8" s="101">
        <v>20739.952710360001</v>
      </c>
      <c r="I8" s="101">
        <v>20401.419598559998</v>
      </c>
      <c r="J8" s="101">
        <v>20900.11248</v>
      </c>
      <c r="K8" s="101">
        <v>19526.831999999999</v>
      </c>
      <c r="L8" s="101">
        <v>20064.620159999999</v>
      </c>
      <c r="M8" s="101">
        <v>20080.625759999999</v>
      </c>
      <c r="N8" s="101">
        <v>19190.714400000001</v>
      </c>
      <c r="O8" s="101">
        <v>17932.674239999997</v>
      </c>
      <c r="P8" s="101">
        <v>15877.555200000001</v>
      </c>
      <c r="Q8" s="101">
        <v>16096.301067599999</v>
      </c>
      <c r="R8" s="101">
        <v>15921.415078919999</v>
      </c>
      <c r="S8" s="101">
        <v>16440.969125879998</v>
      </c>
      <c r="T8" s="101">
        <v>16426.402962839999</v>
      </c>
      <c r="U8" s="101">
        <v>15838.720012440001</v>
      </c>
      <c r="V8" s="101">
        <v>13724.633407680001</v>
      </c>
      <c r="W8" s="101">
        <v>13436.771891399998</v>
      </c>
      <c r="X8" s="101">
        <v>12925.979843399999</v>
      </c>
      <c r="Y8" s="101">
        <v>12642.788227680003</v>
      </c>
      <c r="DA8" s="175" t="s">
        <v>743</v>
      </c>
    </row>
    <row r="9" spans="1:105" ht="11.45" customHeight="1" x14ac:dyDescent="0.25">
      <c r="A9" s="92" t="s">
        <v>55</v>
      </c>
      <c r="B9" s="101">
        <v>0.35328552939576108</v>
      </c>
      <c r="C9" s="101">
        <v>0.55519664598788188</v>
      </c>
      <c r="D9" s="101">
        <v>0.90854525156428634</v>
      </c>
      <c r="E9" s="101">
        <v>1.2619615925555221</v>
      </c>
      <c r="F9" s="101">
        <v>1.5647082844885478</v>
      </c>
      <c r="G9" s="101">
        <v>1.7161004459595535</v>
      </c>
      <c r="H9" s="101">
        <v>3.1293259514957805</v>
      </c>
      <c r="I9" s="101">
        <v>4.9464111761484961</v>
      </c>
      <c r="J9" s="101">
        <v>7.3189002864053183</v>
      </c>
      <c r="K9" s="101">
        <v>14.738886163725226</v>
      </c>
      <c r="L9" s="101">
        <v>21.756267452562518</v>
      </c>
      <c r="M9" s="101">
        <v>40.577021694386993</v>
      </c>
      <c r="N9" s="101">
        <v>55.65156820643417</v>
      </c>
      <c r="O9" s="101">
        <v>61.424455821149891</v>
      </c>
      <c r="P9" s="101">
        <v>71.417187917315701</v>
      </c>
      <c r="Q9" s="101">
        <v>85.776905307837083</v>
      </c>
      <c r="R9" s="101">
        <v>107.37696482349725</v>
      </c>
      <c r="S9" s="101">
        <v>133.91786964813559</v>
      </c>
      <c r="T9" s="101">
        <v>144.53905125422926</v>
      </c>
      <c r="U9" s="101">
        <v>150.08445105647246</v>
      </c>
      <c r="V9" s="101">
        <v>141.11484930561494</v>
      </c>
      <c r="W9" s="101">
        <v>144.91076777158372</v>
      </c>
      <c r="X9" s="101">
        <v>148.58753102643993</v>
      </c>
      <c r="Y9" s="101">
        <v>148.24624122732726</v>
      </c>
      <c r="DA9" s="175" t="s">
        <v>744</v>
      </c>
    </row>
    <row r="10" spans="1:105" ht="11.45" customHeight="1" x14ac:dyDescent="0.25">
      <c r="A10" s="92" t="s">
        <v>56</v>
      </c>
      <c r="B10" s="101">
        <f t="shared" ref="B10:K10" si="8">SUM(B11:B14)</f>
        <v>0</v>
      </c>
      <c r="C10" s="101">
        <f t="shared" si="8"/>
        <v>0</v>
      </c>
      <c r="D10" s="101">
        <f t="shared" si="8"/>
        <v>0</v>
      </c>
      <c r="E10" s="101">
        <f t="shared" si="8"/>
        <v>0</v>
      </c>
      <c r="F10" s="101">
        <f t="shared" si="8"/>
        <v>0</v>
      </c>
      <c r="G10" s="101">
        <f t="shared" si="8"/>
        <v>0</v>
      </c>
      <c r="H10" s="101">
        <f t="shared" si="8"/>
        <v>0</v>
      </c>
      <c r="I10" s="101">
        <f t="shared" si="8"/>
        <v>0</v>
      </c>
      <c r="J10" s="101">
        <f t="shared" si="8"/>
        <v>0</v>
      </c>
      <c r="K10" s="101">
        <f t="shared" si="8"/>
        <v>0</v>
      </c>
      <c r="L10" s="101">
        <f t="shared" ref="L10" si="9">SUM(L11:L14)</f>
        <v>0</v>
      </c>
      <c r="M10" s="101">
        <f t="shared" ref="M10:V10" si="10">SUM(M11:M14)</f>
        <v>0</v>
      </c>
      <c r="N10" s="101">
        <f t="shared" si="10"/>
        <v>0</v>
      </c>
      <c r="O10" s="101">
        <f t="shared" si="10"/>
        <v>0</v>
      </c>
      <c r="P10" s="101">
        <f t="shared" si="10"/>
        <v>0</v>
      </c>
      <c r="Q10" s="101">
        <f t="shared" si="10"/>
        <v>0</v>
      </c>
      <c r="R10" s="101">
        <f t="shared" si="10"/>
        <v>0</v>
      </c>
      <c r="S10" s="101">
        <f t="shared" si="10"/>
        <v>0</v>
      </c>
      <c r="T10" s="101">
        <f t="shared" si="10"/>
        <v>0</v>
      </c>
      <c r="U10" s="101">
        <f t="shared" si="10"/>
        <v>0</v>
      </c>
      <c r="V10" s="101">
        <f t="shared" si="10"/>
        <v>0</v>
      </c>
      <c r="W10" s="101">
        <f t="shared" ref="W10:Y10" si="11">SUM(W11:W14)</f>
        <v>0</v>
      </c>
      <c r="X10" s="101">
        <f t="shared" si="11"/>
        <v>0</v>
      </c>
      <c r="Y10" s="101">
        <f t="shared" si="11"/>
        <v>0</v>
      </c>
      <c r="DA10" s="175"/>
    </row>
    <row r="11" spans="1:105" ht="11.45" customHeight="1" x14ac:dyDescent="0.25">
      <c r="A11" s="128" t="s">
        <v>57</v>
      </c>
      <c r="B11" s="101">
        <v>0</v>
      </c>
      <c r="C11" s="101">
        <v>0</v>
      </c>
      <c r="D11" s="101">
        <v>0</v>
      </c>
      <c r="E11" s="101">
        <v>0</v>
      </c>
      <c r="F11" s="101">
        <v>0</v>
      </c>
      <c r="G11" s="101">
        <v>0</v>
      </c>
      <c r="H11" s="101">
        <v>0</v>
      </c>
      <c r="I11" s="101">
        <v>0</v>
      </c>
      <c r="J11" s="101">
        <v>0</v>
      </c>
      <c r="K11" s="101">
        <v>0</v>
      </c>
      <c r="L11" s="101">
        <v>0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0</v>
      </c>
      <c r="DA11" s="175" t="s">
        <v>745</v>
      </c>
    </row>
    <row r="12" spans="1:105" ht="11.45" customHeight="1" x14ac:dyDescent="0.25">
      <c r="A12" s="128" t="s">
        <v>58</v>
      </c>
      <c r="B12" s="101">
        <v>0</v>
      </c>
      <c r="C12" s="101">
        <v>0</v>
      </c>
      <c r="D12" s="101">
        <v>0</v>
      </c>
      <c r="E12" s="101">
        <v>0</v>
      </c>
      <c r="F12" s="101">
        <v>0</v>
      </c>
      <c r="G12" s="101">
        <v>0</v>
      </c>
      <c r="H12" s="101">
        <v>0</v>
      </c>
      <c r="I12" s="101">
        <v>0</v>
      </c>
      <c r="J12" s="101">
        <v>0</v>
      </c>
      <c r="K12" s="101">
        <v>0</v>
      </c>
      <c r="L12" s="101">
        <v>0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0</v>
      </c>
      <c r="DA12" s="175" t="s">
        <v>746</v>
      </c>
    </row>
    <row r="13" spans="1:105" ht="11.45" customHeight="1" x14ac:dyDescent="0.25">
      <c r="A13" s="128" t="s">
        <v>59</v>
      </c>
      <c r="B13" s="101">
        <v>0</v>
      </c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0</v>
      </c>
      <c r="L13" s="101">
        <v>0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0</v>
      </c>
      <c r="DA13" s="175" t="s">
        <v>747</v>
      </c>
    </row>
    <row r="14" spans="1:105" ht="11.45" customHeight="1" x14ac:dyDescent="0.25">
      <c r="A14" s="128" t="s">
        <v>60</v>
      </c>
      <c r="B14" s="101">
        <v>0</v>
      </c>
      <c r="C14" s="101">
        <v>0</v>
      </c>
      <c r="D14" s="101">
        <v>0</v>
      </c>
      <c r="E14" s="101">
        <v>0</v>
      </c>
      <c r="F14" s="101">
        <v>0</v>
      </c>
      <c r="G14" s="101">
        <v>0</v>
      </c>
      <c r="H14" s="101">
        <v>0</v>
      </c>
      <c r="I14" s="101">
        <v>0</v>
      </c>
      <c r="J14" s="101">
        <v>0</v>
      </c>
      <c r="K14" s="101">
        <v>0</v>
      </c>
      <c r="L14" s="10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0</v>
      </c>
      <c r="Y14" s="101">
        <v>0</v>
      </c>
      <c r="DA14" s="175" t="s">
        <v>748</v>
      </c>
    </row>
    <row r="15" spans="1:105" ht="11.45" customHeight="1" x14ac:dyDescent="0.25">
      <c r="A15" s="85" t="s">
        <v>91</v>
      </c>
      <c r="B15" s="88">
        <v>0</v>
      </c>
      <c r="C15" s="88">
        <v>0</v>
      </c>
      <c r="D15" s="88">
        <v>0</v>
      </c>
      <c r="E15" s="88">
        <v>0</v>
      </c>
      <c r="F15" s="88">
        <v>0</v>
      </c>
      <c r="G15" s="88">
        <v>0</v>
      </c>
      <c r="H15" s="88">
        <v>0</v>
      </c>
      <c r="I15" s="88">
        <v>0</v>
      </c>
      <c r="J15" s="88">
        <v>0</v>
      </c>
      <c r="K15" s="88">
        <v>0</v>
      </c>
      <c r="L15" s="88">
        <v>0</v>
      </c>
      <c r="M15" s="88">
        <v>0</v>
      </c>
      <c r="N15" s="88">
        <v>0</v>
      </c>
      <c r="O15" s="88">
        <v>0</v>
      </c>
      <c r="P15" s="88">
        <v>0</v>
      </c>
      <c r="Q15" s="88">
        <v>0</v>
      </c>
      <c r="R15" s="88">
        <v>0</v>
      </c>
      <c r="S15" s="88">
        <v>0</v>
      </c>
      <c r="T15" s="88">
        <v>0</v>
      </c>
      <c r="U15" s="88">
        <v>0</v>
      </c>
      <c r="V15" s="88">
        <v>0</v>
      </c>
      <c r="W15" s="88">
        <v>0</v>
      </c>
      <c r="X15" s="88">
        <v>0</v>
      </c>
      <c r="Y15" s="88">
        <v>0</v>
      </c>
      <c r="DA15" s="178" t="s">
        <v>749</v>
      </c>
    </row>
    <row r="16" spans="1:105" ht="11.45" customHeight="1" x14ac:dyDescent="0.25">
      <c r="A16" s="33"/>
      <c r="B16" s="33"/>
      <c r="C16" s="33"/>
      <c r="D16" s="33"/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DA16" s="208"/>
    </row>
    <row r="17" spans="1:105" ht="11.45" customHeight="1" x14ac:dyDescent="0.25">
      <c r="A17" s="53" t="s">
        <v>47</v>
      </c>
      <c r="B17" s="79">
        <f t="shared" ref="B17:K17" si="12">SUM(B18,B33)</f>
        <v>30574.6482523294</v>
      </c>
      <c r="C17" s="79">
        <f t="shared" si="12"/>
        <v>30815.729542765988</v>
      </c>
      <c r="D17" s="79">
        <f t="shared" si="12"/>
        <v>31553.648919291565</v>
      </c>
      <c r="E17" s="79">
        <f t="shared" si="12"/>
        <v>32128.343786472553</v>
      </c>
      <c r="F17" s="79">
        <f t="shared" si="12"/>
        <v>32674.723769124492</v>
      </c>
      <c r="G17" s="79">
        <f t="shared" si="12"/>
        <v>32857.117654925962</v>
      </c>
      <c r="H17" s="79">
        <f t="shared" si="12"/>
        <v>33767.326992991497</v>
      </c>
      <c r="I17" s="79">
        <f t="shared" si="12"/>
        <v>33214.505256736149</v>
      </c>
      <c r="J17" s="79">
        <f t="shared" si="12"/>
        <v>33665.5199360064</v>
      </c>
      <c r="K17" s="79">
        <f t="shared" si="12"/>
        <v>32250.792109483722</v>
      </c>
      <c r="L17" s="79">
        <f t="shared" ref="L17" si="13">SUM(L18,L33)</f>
        <v>32738.788648532558</v>
      </c>
      <c r="M17" s="79">
        <f t="shared" ref="M17:V17" si="14">SUM(M18,M33)</f>
        <v>32843.460680694385</v>
      </c>
      <c r="N17" s="79">
        <f t="shared" si="14"/>
        <v>31431.329532526433</v>
      </c>
      <c r="O17" s="79">
        <f t="shared" si="14"/>
        <v>29842.833149421149</v>
      </c>
      <c r="P17" s="79">
        <f t="shared" si="14"/>
        <v>27283.985860877317</v>
      </c>
      <c r="Q17" s="79">
        <f t="shared" si="14"/>
        <v>27396.697967067841</v>
      </c>
      <c r="R17" s="79">
        <f t="shared" si="14"/>
        <v>27571.082078783496</v>
      </c>
      <c r="S17" s="79">
        <f t="shared" si="14"/>
        <v>28440.91540884813</v>
      </c>
      <c r="T17" s="79">
        <f t="shared" si="14"/>
        <v>28579.328010574227</v>
      </c>
      <c r="U17" s="79">
        <f t="shared" si="14"/>
        <v>28214.266308096474</v>
      </c>
      <c r="V17" s="79">
        <f t="shared" si="14"/>
        <v>24022.836784985615</v>
      </c>
      <c r="W17" s="79">
        <f t="shared" ref="W17:Y17" si="15">SUM(W18,W33)</f>
        <v>24047.767479051581</v>
      </c>
      <c r="X17" s="79">
        <f t="shared" si="15"/>
        <v>23812.833404786441</v>
      </c>
      <c r="Y17" s="79">
        <f t="shared" si="15"/>
        <v>24772.384883347331</v>
      </c>
      <c r="DA17" s="172" t="s">
        <v>750</v>
      </c>
    </row>
    <row r="18" spans="1:105" ht="11.45" customHeight="1" x14ac:dyDescent="0.25">
      <c r="A18" s="27" t="s">
        <v>33</v>
      </c>
      <c r="B18" s="32">
        <f t="shared" ref="B18:K18" si="16">SUM(B19,B20,B27)</f>
        <v>18492.722658715033</v>
      </c>
      <c r="C18" s="32">
        <f t="shared" si="16"/>
        <v>18639.577077119207</v>
      </c>
      <c r="D18" s="32">
        <f t="shared" si="16"/>
        <v>18987.510717787936</v>
      </c>
      <c r="E18" s="32">
        <f t="shared" si="16"/>
        <v>19083.969527231038</v>
      </c>
      <c r="F18" s="32">
        <f t="shared" si="16"/>
        <v>19165.358818138167</v>
      </c>
      <c r="G18" s="32">
        <f t="shared" si="16"/>
        <v>19249.919287596611</v>
      </c>
      <c r="H18" s="32">
        <f t="shared" si="16"/>
        <v>19664.189463835861</v>
      </c>
      <c r="I18" s="32">
        <f t="shared" si="16"/>
        <v>19454.45727340092</v>
      </c>
      <c r="J18" s="32">
        <f t="shared" si="16"/>
        <v>19611.062016877346</v>
      </c>
      <c r="K18" s="32">
        <f t="shared" si="16"/>
        <v>19414.836491645699</v>
      </c>
      <c r="L18" s="32">
        <f t="shared" ref="L18" si="17">SUM(L19,L20,L27)</f>
        <v>19420.868160627833</v>
      </c>
      <c r="M18" s="32">
        <f t="shared" ref="M18:V18" si="18">SUM(M19,M20,M27)</f>
        <v>19316.116877049437</v>
      </c>
      <c r="N18" s="32">
        <f t="shared" si="18"/>
        <v>18509.013839183779</v>
      </c>
      <c r="O18" s="32">
        <f t="shared" si="18"/>
        <v>17956.410646074924</v>
      </c>
      <c r="P18" s="32">
        <f t="shared" si="18"/>
        <v>17264.881120148915</v>
      </c>
      <c r="Q18" s="32">
        <f t="shared" si="18"/>
        <v>17080.323546876174</v>
      </c>
      <c r="R18" s="32">
        <f t="shared" si="18"/>
        <v>17258.136987324615</v>
      </c>
      <c r="S18" s="32">
        <f t="shared" si="18"/>
        <v>17400.842025789891</v>
      </c>
      <c r="T18" s="32">
        <f t="shared" si="18"/>
        <v>17061.146148474898</v>
      </c>
      <c r="U18" s="32">
        <f t="shared" si="18"/>
        <v>16681.368193475955</v>
      </c>
      <c r="V18" s="32">
        <f t="shared" si="18"/>
        <v>13089.453088425953</v>
      </c>
      <c r="W18" s="32">
        <f t="shared" ref="W18:Y18" si="19">SUM(W19,W20,W27)</f>
        <v>14079.652073645335</v>
      </c>
      <c r="X18" s="32">
        <f t="shared" si="19"/>
        <v>14046.688392773911</v>
      </c>
      <c r="Y18" s="32">
        <f t="shared" si="19"/>
        <v>14914.159508204471</v>
      </c>
      <c r="DA18" s="173" t="s">
        <v>403</v>
      </c>
    </row>
    <row r="19" spans="1:105" ht="11.45" customHeight="1" x14ac:dyDescent="0.25">
      <c r="A19" s="136" t="s">
        <v>173</v>
      </c>
      <c r="B19" s="141">
        <v>368.31151166286406</v>
      </c>
      <c r="C19" s="141">
        <v>381.33820476551364</v>
      </c>
      <c r="D19" s="141">
        <v>390.80187477671961</v>
      </c>
      <c r="E19" s="141">
        <v>391.67101787444346</v>
      </c>
      <c r="F19" s="141">
        <v>371.68737033429346</v>
      </c>
      <c r="G19" s="141">
        <v>381.83506555692946</v>
      </c>
      <c r="H19" s="141">
        <v>396.88720781654541</v>
      </c>
      <c r="I19" s="141">
        <v>424.39656256271144</v>
      </c>
      <c r="J19" s="141">
        <v>452.95500454277419</v>
      </c>
      <c r="K19" s="141">
        <v>459.7570477290044</v>
      </c>
      <c r="L19" s="141">
        <v>462.03549790086419</v>
      </c>
      <c r="M19" s="141">
        <v>466.45173321735501</v>
      </c>
      <c r="N19" s="141">
        <v>452.03920283328682</v>
      </c>
      <c r="O19" s="141">
        <v>443.07697735468128</v>
      </c>
      <c r="P19" s="141">
        <v>421.22910750263662</v>
      </c>
      <c r="Q19" s="141">
        <v>427.94870087294197</v>
      </c>
      <c r="R19" s="141">
        <v>433.5698094581856</v>
      </c>
      <c r="S19" s="141">
        <v>403.67432066251678</v>
      </c>
      <c r="T19" s="141">
        <v>376.66785444441564</v>
      </c>
      <c r="U19" s="141">
        <v>390.79097830095611</v>
      </c>
      <c r="V19" s="141">
        <v>340.29047026427287</v>
      </c>
      <c r="W19" s="141">
        <v>341.09171683021333</v>
      </c>
      <c r="X19" s="141">
        <v>340.64996385381454</v>
      </c>
      <c r="Y19" s="141">
        <v>362.23917921804849</v>
      </c>
      <c r="DA19" s="174" t="s">
        <v>404</v>
      </c>
    </row>
    <row r="20" spans="1:105" ht="11.45" customHeight="1" x14ac:dyDescent="0.25">
      <c r="A20" s="109" t="s">
        <v>20</v>
      </c>
      <c r="B20" s="130">
        <f t="shared" ref="B20:K20" si="20">SUM(B21:B26)</f>
        <v>17001.148475436556</v>
      </c>
      <c r="C20" s="130">
        <f t="shared" si="20"/>
        <v>17168.940828251656</v>
      </c>
      <c r="D20" s="130">
        <f t="shared" si="20"/>
        <v>17519.57278185957</v>
      </c>
      <c r="E20" s="130">
        <f t="shared" si="20"/>
        <v>17641.585250847107</v>
      </c>
      <c r="F20" s="130">
        <f t="shared" si="20"/>
        <v>17765.778690313819</v>
      </c>
      <c r="G20" s="130">
        <f t="shared" si="20"/>
        <v>17842.315677803716</v>
      </c>
      <c r="H20" s="130">
        <f t="shared" si="20"/>
        <v>18255.379908165134</v>
      </c>
      <c r="I20" s="130">
        <f t="shared" si="20"/>
        <v>18053.691825809798</v>
      </c>
      <c r="J20" s="130">
        <f t="shared" si="20"/>
        <v>18135.568338116187</v>
      </c>
      <c r="K20" s="130">
        <f t="shared" si="20"/>
        <v>17908.851149725804</v>
      </c>
      <c r="L20" s="130">
        <f t="shared" ref="L20" si="21">SUM(L21:L26)</f>
        <v>17843.635535951697</v>
      </c>
      <c r="M20" s="130">
        <f t="shared" ref="M20:V20" si="22">SUM(M21:M26)</f>
        <v>17769.826715630166</v>
      </c>
      <c r="N20" s="130">
        <f t="shared" si="22"/>
        <v>17010.653752091428</v>
      </c>
      <c r="O20" s="130">
        <f t="shared" si="22"/>
        <v>16566.55000382342</v>
      </c>
      <c r="P20" s="130">
        <f t="shared" si="22"/>
        <v>15947.638658216041</v>
      </c>
      <c r="Q20" s="130">
        <f t="shared" si="22"/>
        <v>15764.615689639344</v>
      </c>
      <c r="R20" s="130">
        <f t="shared" si="22"/>
        <v>15929.66112246004</v>
      </c>
      <c r="S20" s="130">
        <f t="shared" si="22"/>
        <v>16049.130451820094</v>
      </c>
      <c r="T20" s="130">
        <f t="shared" si="22"/>
        <v>15825.780033966228</v>
      </c>
      <c r="U20" s="130">
        <f t="shared" si="22"/>
        <v>15511.636308747384</v>
      </c>
      <c r="V20" s="130">
        <f t="shared" si="22"/>
        <v>12157.582074209251</v>
      </c>
      <c r="W20" s="130">
        <f t="shared" ref="W20:Y20" si="23">SUM(W21:W26)</f>
        <v>13202.308898808376</v>
      </c>
      <c r="X20" s="130">
        <f t="shared" si="23"/>
        <v>13176.645645466804</v>
      </c>
      <c r="Y20" s="130">
        <f t="shared" si="23"/>
        <v>14038.44663079032</v>
      </c>
      <c r="DA20" s="176" t="s">
        <v>405</v>
      </c>
    </row>
    <row r="21" spans="1:105" ht="11.45" customHeight="1" x14ac:dyDescent="0.25">
      <c r="A21" s="111" t="s">
        <v>110</v>
      </c>
      <c r="B21" s="96">
        <v>10923.887405745254</v>
      </c>
      <c r="C21" s="96">
        <v>11194.370697534408</v>
      </c>
      <c r="D21" s="96">
        <v>11338.227946766759</v>
      </c>
      <c r="E21" s="96">
        <v>11405.462848644795</v>
      </c>
      <c r="F21" s="96">
        <v>11311.367117992531</v>
      </c>
      <c r="G21" s="96">
        <v>11202.712544045768</v>
      </c>
      <c r="H21" s="96">
        <v>11371.088806858048</v>
      </c>
      <c r="I21" s="96">
        <v>11317.03762809004</v>
      </c>
      <c r="J21" s="96">
        <v>11230.552302204338</v>
      </c>
      <c r="K21" s="96">
        <v>11186.992514949592</v>
      </c>
      <c r="L21" s="96">
        <v>11196.529993185233</v>
      </c>
      <c r="M21" s="96">
        <v>11356.134600118481</v>
      </c>
      <c r="N21" s="96">
        <v>10851.803238889832</v>
      </c>
      <c r="O21" s="96">
        <v>10573.49962864899</v>
      </c>
      <c r="P21" s="96">
        <v>10246.390814560593</v>
      </c>
      <c r="Q21" s="96">
        <v>10176.302607704842</v>
      </c>
      <c r="R21" s="96">
        <v>10520.293182017929</v>
      </c>
      <c r="S21" s="96">
        <v>10925.4969036124</v>
      </c>
      <c r="T21" s="96">
        <v>11138.644272441965</v>
      </c>
      <c r="U21" s="96">
        <v>11366.732201570132</v>
      </c>
      <c r="V21" s="96">
        <v>9408.7622171186431</v>
      </c>
      <c r="W21" s="96">
        <v>9694.0721591051333</v>
      </c>
      <c r="X21" s="96">
        <v>9934.8650121785886</v>
      </c>
      <c r="Y21" s="96">
        <v>11135.891531453401</v>
      </c>
      <c r="DA21" s="171" t="s">
        <v>751</v>
      </c>
    </row>
    <row r="22" spans="1:105" ht="11.45" customHeight="1" x14ac:dyDescent="0.25">
      <c r="A22" s="111" t="s">
        <v>111</v>
      </c>
      <c r="B22" s="96">
        <v>4610.4370862740407</v>
      </c>
      <c r="C22" s="96">
        <v>4621.1053588557743</v>
      </c>
      <c r="D22" s="96">
        <v>4871.2327636299015</v>
      </c>
      <c r="E22" s="96">
        <v>5100.6653966946087</v>
      </c>
      <c r="F22" s="96">
        <v>5323.3760146522709</v>
      </c>
      <c r="G22" s="96">
        <v>5551.53229935333</v>
      </c>
      <c r="H22" s="96">
        <v>5834.0691036757344</v>
      </c>
      <c r="I22" s="96">
        <v>5865.9942887877132</v>
      </c>
      <c r="J22" s="96">
        <v>6020.9619946821231</v>
      </c>
      <c r="K22" s="96">
        <v>5837.6772941390373</v>
      </c>
      <c r="L22" s="96">
        <v>5823.8811478090329</v>
      </c>
      <c r="M22" s="96">
        <v>5676.1723747392962</v>
      </c>
      <c r="N22" s="96">
        <v>5416.2621202301943</v>
      </c>
      <c r="O22" s="96">
        <v>5288.9700928209522</v>
      </c>
      <c r="P22" s="96">
        <v>5153.8183049708987</v>
      </c>
      <c r="Q22" s="96">
        <v>5095.9028599673002</v>
      </c>
      <c r="R22" s="96">
        <v>4958.3409951899557</v>
      </c>
      <c r="S22" s="96">
        <v>4720.4403136427891</v>
      </c>
      <c r="T22" s="96">
        <v>4299.8458000573701</v>
      </c>
      <c r="U22" s="96">
        <v>3788.2156766617322</v>
      </c>
      <c r="V22" s="96">
        <v>2454.9493999735851</v>
      </c>
      <c r="W22" s="96">
        <v>3189.641585503829</v>
      </c>
      <c r="X22" s="96">
        <v>2896.6256827436719</v>
      </c>
      <c r="Y22" s="96">
        <v>2556.6120590630403</v>
      </c>
      <c r="DA22" s="171" t="s">
        <v>752</v>
      </c>
    </row>
    <row r="23" spans="1:105" ht="11.45" customHeight="1" x14ac:dyDescent="0.25">
      <c r="A23" s="111" t="s">
        <v>112</v>
      </c>
      <c r="B23" s="96">
        <v>1466.8239834172596</v>
      </c>
      <c r="C23" s="96">
        <v>1353.4647718614715</v>
      </c>
      <c r="D23" s="96">
        <v>1310.1120714629069</v>
      </c>
      <c r="E23" s="96">
        <v>1135.4570055077065</v>
      </c>
      <c r="F23" s="96">
        <v>1131.0355576690165</v>
      </c>
      <c r="G23" s="96">
        <v>1088.0708344046163</v>
      </c>
      <c r="H23" s="96">
        <v>1050.2219976313545</v>
      </c>
      <c r="I23" s="96">
        <v>870.65990893204332</v>
      </c>
      <c r="J23" s="96">
        <v>884.05404122972539</v>
      </c>
      <c r="K23" s="96">
        <v>884.18134063717503</v>
      </c>
      <c r="L23" s="96">
        <v>822.72488070280917</v>
      </c>
      <c r="M23" s="96">
        <v>735.16863121974745</v>
      </c>
      <c r="N23" s="96">
        <v>723.23825982828032</v>
      </c>
      <c r="O23" s="96">
        <v>675.5775736614753</v>
      </c>
      <c r="P23" s="96">
        <v>501.8971161404512</v>
      </c>
      <c r="Q23" s="96">
        <v>427.21049746984721</v>
      </c>
      <c r="R23" s="96">
        <v>399.55447092757976</v>
      </c>
      <c r="S23" s="96">
        <v>349.84733746097453</v>
      </c>
      <c r="T23" s="96">
        <v>311.61066410689949</v>
      </c>
      <c r="U23" s="96">
        <v>280.86402251696899</v>
      </c>
      <c r="V23" s="96">
        <v>228.05800216777675</v>
      </c>
      <c r="W23" s="96">
        <v>237.68665160017139</v>
      </c>
      <c r="X23" s="96">
        <v>253.35647295741643</v>
      </c>
      <c r="Y23" s="96">
        <v>236.20537470793138</v>
      </c>
      <c r="DA23" s="171" t="s">
        <v>753</v>
      </c>
    </row>
    <row r="24" spans="1:105" ht="11.45" customHeight="1" x14ac:dyDescent="0.25">
      <c r="A24" s="111" t="s">
        <v>113</v>
      </c>
      <c r="B24" s="96">
        <v>0</v>
      </c>
      <c r="C24" s="96">
        <v>0</v>
      </c>
      <c r="D24" s="96">
        <v>0</v>
      </c>
      <c r="E24" s="96">
        <v>0</v>
      </c>
      <c r="F24" s="96">
        <v>0</v>
      </c>
      <c r="G24" s="96">
        <v>0</v>
      </c>
      <c r="H24" s="96">
        <v>0</v>
      </c>
      <c r="I24" s="96">
        <v>0</v>
      </c>
      <c r="J24" s="96">
        <v>0</v>
      </c>
      <c r="K24" s="96">
        <v>0</v>
      </c>
      <c r="L24" s="96">
        <v>0.49951425462266535</v>
      </c>
      <c r="M24" s="96">
        <v>2.3424351213192969</v>
      </c>
      <c r="N24" s="96">
        <v>17.873855472775151</v>
      </c>
      <c r="O24" s="96">
        <v>19.486504959395656</v>
      </c>
      <c r="P24" s="96">
        <v>26.064655427368827</v>
      </c>
      <c r="Q24" s="96">
        <v>27.314471179098607</v>
      </c>
      <c r="R24" s="96">
        <v>7.3494651626627361</v>
      </c>
      <c r="S24" s="96">
        <v>10.190705464785058</v>
      </c>
      <c r="T24" s="96">
        <v>32.347876414820796</v>
      </c>
      <c r="U24" s="96">
        <v>32.443526460912288</v>
      </c>
      <c r="V24" s="96">
        <v>25.593225498578892</v>
      </c>
      <c r="W24" s="96">
        <v>23.302077586544669</v>
      </c>
      <c r="X24" s="96">
        <v>22.665251963077999</v>
      </c>
      <c r="Y24" s="96">
        <v>8.3086166097082668</v>
      </c>
      <c r="DA24" s="171" t="s">
        <v>754</v>
      </c>
    </row>
    <row r="25" spans="1:105" ht="11.45" customHeight="1" x14ac:dyDescent="0.25">
      <c r="A25" s="111" t="s">
        <v>114</v>
      </c>
      <c r="B25" s="96">
        <v>0</v>
      </c>
      <c r="C25" s="96">
        <v>0</v>
      </c>
      <c r="D25" s="96">
        <v>0</v>
      </c>
      <c r="E25" s="96">
        <v>0</v>
      </c>
      <c r="F25" s="96">
        <v>0</v>
      </c>
      <c r="G25" s="96">
        <v>0</v>
      </c>
      <c r="H25" s="96">
        <v>0</v>
      </c>
      <c r="I25" s="96">
        <v>0</v>
      </c>
      <c r="J25" s="96">
        <v>0</v>
      </c>
      <c r="K25" s="96">
        <v>0</v>
      </c>
      <c r="L25" s="96">
        <v>0</v>
      </c>
      <c r="M25" s="96">
        <v>8.6744313239163363E-3</v>
      </c>
      <c r="N25" s="96">
        <v>1.4762776703464868</v>
      </c>
      <c r="O25" s="96">
        <v>9.0162037326073161</v>
      </c>
      <c r="P25" s="96">
        <v>19.467767116730055</v>
      </c>
      <c r="Q25" s="96">
        <v>37.885253318255359</v>
      </c>
      <c r="R25" s="96">
        <v>44.123009161912357</v>
      </c>
      <c r="S25" s="96">
        <v>43.155191639145457</v>
      </c>
      <c r="T25" s="96">
        <v>43.331420945173512</v>
      </c>
      <c r="U25" s="96">
        <v>43.380881537637222</v>
      </c>
      <c r="V25" s="96">
        <v>40.219229450670205</v>
      </c>
      <c r="W25" s="96">
        <v>57.606425012698963</v>
      </c>
      <c r="X25" s="96">
        <v>69.133225624047583</v>
      </c>
      <c r="Y25" s="96">
        <v>101.42904895623887</v>
      </c>
      <c r="DA25" s="171" t="s">
        <v>755</v>
      </c>
    </row>
    <row r="26" spans="1:105" ht="11.45" customHeight="1" x14ac:dyDescent="0.25">
      <c r="A26" s="111" t="s">
        <v>115</v>
      </c>
      <c r="B26" s="96">
        <v>0</v>
      </c>
      <c r="C26" s="96">
        <v>0</v>
      </c>
      <c r="D26" s="96">
        <v>0</v>
      </c>
      <c r="E26" s="96">
        <v>0</v>
      </c>
      <c r="F26" s="96">
        <v>0</v>
      </c>
      <c r="G26" s="96">
        <v>0</v>
      </c>
      <c r="H26" s="96">
        <v>0</v>
      </c>
      <c r="I26" s="9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</v>
      </c>
      <c r="V26" s="96">
        <v>0</v>
      </c>
      <c r="W26" s="96">
        <v>0</v>
      </c>
      <c r="X26" s="96">
        <v>0</v>
      </c>
      <c r="Y26" s="96">
        <v>0</v>
      </c>
      <c r="DA26" s="171" t="s">
        <v>756</v>
      </c>
    </row>
    <row r="27" spans="1:105" ht="11.45" customHeight="1" x14ac:dyDescent="0.25">
      <c r="A27" s="109" t="s">
        <v>21</v>
      </c>
      <c r="B27" s="130">
        <f t="shared" ref="B27:K27" si="24">SUM(B28:B32)</f>
        <v>1123.2626716156119</v>
      </c>
      <c r="C27" s="130">
        <f t="shared" si="24"/>
        <v>1089.2980441020368</v>
      </c>
      <c r="D27" s="130">
        <f t="shared" si="24"/>
        <v>1077.1360611516452</v>
      </c>
      <c r="E27" s="130">
        <f t="shared" si="24"/>
        <v>1050.7132585094894</v>
      </c>
      <c r="F27" s="130">
        <f t="shared" si="24"/>
        <v>1027.892757490054</v>
      </c>
      <c r="G27" s="130">
        <f t="shared" si="24"/>
        <v>1025.7685442359648</v>
      </c>
      <c r="H27" s="130">
        <f t="shared" si="24"/>
        <v>1011.9223478541821</v>
      </c>
      <c r="I27" s="130">
        <f t="shared" si="24"/>
        <v>976.36888502841327</v>
      </c>
      <c r="J27" s="130">
        <f t="shared" si="24"/>
        <v>1022.5386742183841</v>
      </c>
      <c r="K27" s="130">
        <f t="shared" si="24"/>
        <v>1046.2282941908936</v>
      </c>
      <c r="L27" s="130">
        <f t="shared" ref="L27" si="25">SUM(L28:L32)</f>
        <v>1115.1971267752745</v>
      </c>
      <c r="M27" s="130">
        <f t="shared" ref="M27:V27" si="26">SUM(M28:M32)</f>
        <v>1079.8384282019142</v>
      </c>
      <c r="N27" s="130">
        <f t="shared" si="26"/>
        <v>1046.3208842590632</v>
      </c>
      <c r="O27" s="130">
        <f t="shared" si="26"/>
        <v>946.78366489682116</v>
      </c>
      <c r="P27" s="130">
        <f t="shared" si="26"/>
        <v>896.01335443023595</v>
      </c>
      <c r="Q27" s="130">
        <f t="shared" si="26"/>
        <v>887.759156363888</v>
      </c>
      <c r="R27" s="130">
        <f t="shared" si="26"/>
        <v>894.90605540638944</v>
      </c>
      <c r="S27" s="130">
        <f t="shared" si="26"/>
        <v>948.03725330728128</v>
      </c>
      <c r="T27" s="130">
        <f t="shared" si="26"/>
        <v>858.69826006425558</v>
      </c>
      <c r="U27" s="130">
        <f t="shared" si="26"/>
        <v>778.94090642761478</v>
      </c>
      <c r="V27" s="130">
        <f t="shared" si="26"/>
        <v>591.58054395242903</v>
      </c>
      <c r="W27" s="130">
        <f t="shared" ref="W27:Y27" si="27">SUM(W28:W32)</f>
        <v>536.25145800674591</v>
      </c>
      <c r="X27" s="130">
        <f t="shared" si="27"/>
        <v>529.3927834532924</v>
      </c>
      <c r="Y27" s="130">
        <f t="shared" si="27"/>
        <v>513.47369819610276</v>
      </c>
      <c r="DA27" s="176" t="s">
        <v>406</v>
      </c>
    </row>
    <row r="28" spans="1:105" ht="11.45" customHeight="1" x14ac:dyDescent="0.25">
      <c r="A28" s="111" t="s">
        <v>110</v>
      </c>
      <c r="B28" s="97">
        <v>0.40196301915430682</v>
      </c>
      <c r="C28" s="97">
        <v>0.4754545359828814</v>
      </c>
      <c r="D28" s="97">
        <v>0.55615968903316637</v>
      </c>
      <c r="E28" s="97">
        <v>0.62072609328551309</v>
      </c>
      <c r="F28" s="97">
        <v>0.57932396857739055</v>
      </c>
      <c r="G28" s="97">
        <v>0.62294488064380238</v>
      </c>
      <c r="H28" s="97">
        <v>0.64123489481553131</v>
      </c>
      <c r="I28" s="97">
        <v>0.67198627427699398</v>
      </c>
      <c r="J28" s="97">
        <v>0.66973005641860239</v>
      </c>
      <c r="K28" s="97">
        <v>0.68455496447370523</v>
      </c>
      <c r="L28" s="97">
        <v>0.73995090738432145</v>
      </c>
      <c r="M28" s="97">
        <v>0.59646918151444872</v>
      </c>
      <c r="N28" s="97">
        <v>0.34923197697988401</v>
      </c>
      <c r="O28" s="97">
        <v>0.30661904393392536</v>
      </c>
      <c r="P28" s="97">
        <v>0.28471204308975778</v>
      </c>
      <c r="Q28" s="97">
        <v>0.43886161998828188</v>
      </c>
      <c r="R28" s="97">
        <v>0.5394100822633503</v>
      </c>
      <c r="S28" s="97">
        <v>0.50129914091335182</v>
      </c>
      <c r="T28" s="97">
        <v>0.44089450548296261</v>
      </c>
      <c r="U28" s="97">
        <v>1.8387394292100736</v>
      </c>
      <c r="V28" s="97">
        <v>1.4893324509754624</v>
      </c>
      <c r="W28" s="97">
        <v>1.7327575143792511</v>
      </c>
      <c r="X28" s="97">
        <v>2.0694376438828366</v>
      </c>
      <c r="Y28" s="97">
        <v>2.1097640397737325</v>
      </c>
      <c r="DA28" s="175" t="s">
        <v>757</v>
      </c>
    </row>
    <row r="29" spans="1:105" ht="11.45" customHeight="1" x14ac:dyDescent="0.25">
      <c r="A29" s="111" t="s">
        <v>111</v>
      </c>
      <c r="B29" s="97">
        <v>1115.7219289853263</v>
      </c>
      <c r="C29" s="97">
        <v>1081.9025510949393</v>
      </c>
      <c r="D29" s="97">
        <v>1070.11098041112</v>
      </c>
      <c r="E29" s="97">
        <v>1044.097775272872</v>
      </c>
      <c r="F29" s="97">
        <v>1022.3360753676864</v>
      </c>
      <c r="G29" s="97">
        <v>1018.9631854326899</v>
      </c>
      <c r="H29" s="97">
        <v>1004.6115596371877</v>
      </c>
      <c r="I29" s="97">
        <v>968.75988435508259</v>
      </c>
      <c r="J29" s="97">
        <v>1012.5918594726536</v>
      </c>
      <c r="K29" s="97">
        <v>1030.1149939419704</v>
      </c>
      <c r="L29" s="97">
        <v>1093.6338396381959</v>
      </c>
      <c r="M29" s="97">
        <v>1042.6881056727962</v>
      </c>
      <c r="N29" s="97">
        <v>1010.541859803984</v>
      </c>
      <c r="O29" s="97">
        <v>907.97158213355613</v>
      </c>
      <c r="P29" s="97">
        <v>854.95192437678077</v>
      </c>
      <c r="Q29" s="97">
        <v>833.99713933470309</v>
      </c>
      <c r="R29" s="97">
        <v>795.80925870585736</v>
      </c>
      <c r="S29" s="97">
        <v>827.20220770212359</v>
      </c>
      <c r="T29" s="97">
        <v>755.17668235973554</v>
      </c>
      <c r="U29" s="97">
        <v>669.44238476662315</v>
      </c>
      <c r="V29" s="97">
        <v>484.9443368601361</v>
      </c>
      <c r="W29" s="97">
        <v>422.61001312879711</v>
      </c>
      <c r="X29" s="97">
        <v>410.45497446327823</v>
      </c>
      <c r="Y29" s="97">
        <v>376.98010120640305</v>
      </c>
      <c r="DA29" s="175" t="s">
        <v>758</v>
      </c>
    </row>
    <row r="30" spans="1:105" ht="11.45" customHeight="1" x14ac:dyDescent="0.25">
      <c r="A30" s="111" t="s">
        <v>112</v>
      </c>
      <c r="B30" s="97">
        <v>6.7854940817356901</v>
      </c>
      <c r="C30" s="97">
        <v>6.3648418251265371</v>
      </c>
      <c r="D30" s="97">
        <v>5.5603757999278791</v>
      </c>
      <c r="E30" s="97">
        <v>5.0607771577546776</v>
      </c>
      <c r="F30" s="97">
        <v>4.3335187261961359</v>
      </c>
      <c r="G30" s="97">
        <v>5.3102708552651174</v>
      </c>
      <c r="H30" s="97">
        <v>4.3623712962034515</v>
      </c>
      <c r="I30" s="97">
        <v>3.8953692112704719</v>
      </c>
      <c r="J30" s="97">
        <v>3.8849248903168005</v>
      </c>
      <c r="K30" s="97">
        <v>3.6646482032915464</v>
      </c>
      <c r="L30" s="97">
        <v>3.6929935490645289</v>
      </c>
      <c r="M30" s="97">
        <v>3.5661516282572183</v>
      </c>
      <c r="N30" s="97">
        <v>3.4751663744818493</v>
      </c>
      <c r="O30" s="97">
        <v>3.4519647324596763</v>
      </c>
      <c r="P30" s="97">
        <v>3.3911672915319748</v>
      </c>
      <c r="Q30" s="97">
        <v>3.5104780271606115</v>
      </c>
      <c r="R30" s="97">
        <v>3.5255600547900858</v>
      </c>
      <c r="S30" s="97">
        <v>3.5690491127088295</v>
      </c>
      <c r="T30" s="97">
        <v>3.3792159831074713</v>
      </c>
      <c r="U30" s="97">
        <v>3.0617031142355042</v>
      </c>
      <c r="V30" s="97">
        <v>2.5268693786913037</v>
      </c>
      <c r="W30" s="97">
        <v>2.4828549513777749</v>
      </c>
      <c r="X30" s="97">
        <v>2.2695806363666788</v>
      </c>
      <c r="Y30" s="97">
        <v>2.2201578714409673</v>
      </c>
      <c r="DA30" s="175" t="s">
        <v>759</v>
      </c>
    </row>
    <row r="31" spans="1:105" ht="11.45" customHeight="1" x14ac:dyDescent="0.25">
      <c r="A31" s="111" t="s">
        <v>113</v>
      </c>
      <c r="B31" s="97">
        <v>0.35328552939576108</v>
      </c>
      <c r="C31" s="97">
        <v>0.55519664598788188</v>
      </c>
      <c r="D31" s="97">
        <v>0.90854525156428634</v>
      </c>
      <c r="E31" s="97">
        <v>0.93397998557707396</v>
      </c>
      <c r="F31" s="97">
        <v>0.64383942759418744</v>
      </c>
      <c r="G31" s="97">
        <v>0.87214306736583669</v>
      </c>
      <c r="H31" s="97">
        <v>2.3071820259753726</v>
      </c>
      <c r="I31" s="97">
        <v>3.0416451877832347</v>
      </c>
      <c r="J31" s="97">
        <v>5.3921597989950678</v>
      </c>
      <c r="K31" s="97">
        <v>11.764097081157797</v>
      </c>
      <c r="L31" s="97">
        <v>17.130342680629532</v>
      </c>
      <c r="M31" s="97">
        <v>32.987701719346191</v>
      </c>
      <c r="N31" s="97">
        <v>31.954626103617404</v>
      </c>
      <c r="O31" s="97">
        <v>35.053498986871389</v>
      </c>
      <c r="P31" s="97">
        <v>37.385550718833564</v>
      </c>
      <c r="Q31" s="97">
        <v>49.812677382035972</v>
      </c>
      <c r="R31" s="97">
        <v>95.031826563478731</v>
      </c>
      <c r="S31" s="97">
        <v>116.76469735153546</v>
      </c>
      <c r="T31" s="97">
        <v>99.701467215929611</v>
      </c>
      <c r="U31" s="97">
        <v>104.59807911754612</v>
      </c>
      <c r="V31" s="97">
        <v>102.62000526262619</v>
      </c>
      <c r="W31" s="97">
        <v>109.42583241219182</v>
      </c>
      <c r="X31" s="97">
        <v>114.59879070976457</v>
      </c>
      <c r="Y31" s="97">
        <v>132.16367507848503</v>
      </c>
      <c r="DA31" s="175" t="s">
        <v>760</v>
      </c>
    </row>
    <row r="32" spans="1:105" ht="11.45" customHeight="1" x14ac:dyDescent="0.25">
      <c r="A32" s="111" t="s">
        <v>115</v>
      </c>
      <c r="B32" s="97">
        <v>0</v>
      </c>
      <c r="C32" s="97">
        <v>0</v>
      </c>
      <c r="D32" s="97">
        <v>0</v>
      </c>
      <c r="E32" s="97">
        <v>0</v>
      </c>
      <c r="F32" s="97">
        <v>0</v>
      </c>
      <c r="G32" s="97">
        <v>0</v>
      </c>
      <c r="H32" s="97">
        <v>0</v>
      </c>
      <c r="I32" s="97">
        <v>0</v>
      </c>
      <c r="J32" s="97">
        <v>0</v>
      </c>
      <c r="K32" s="97">
        <v>0</v>
      </c>
      <c r="L32" s="97">
        <v>0</v>
      </c>
      <c r="M32" s="97">
        <v>0</v>
      </c>
      <c r="N32" s="97">
        <v>0</v>
      </c>
      <c r="O32" s="97">
        <v>0</v>
      </c>
      <c r="P32" s="97">
        <v>0</v>
      </c>
      <c r="Q32" s="97">
        <v>0</v>
      </c>
      <c r="R32" s="97">
        <v>0</v>
      </c>
      <c r="S32" s="97">
        <v>0</v>
      </c>
      <c r="T32" s="97">
        <v>0</v>
      </c>
      <c r="U32" s="97">
        <v>0</v>
      </c>
      <c r="V32" s="97">
        <v>0</v>
      </c>
      <c r="W32" s="97">
        <v>0</v>
      </c>
      <c r="X32" s="97">
        <v>0</v>
      </c>
      <c r="Y32" s="97">
        <v>0</v>
      </c>
      <c r="DA32" s="175" t="s">
        <v>761</v>
      </c>
    </row>
    <row r="33" spans="1:105" ht="11.45" customHeight="1" x14ac:dyDescent="0.25">
      <c r="A33" s="27" t="s">
        <v>34</v>
      </c>
      <c r="B33" s="32">
        <f t="shared" ref="B33:K33" si="28">B34+B40</f>
        <v>12081.925593614367</v>
      </c>
      <c r="C33" s="32">
        <f t="shared" si="28"/>
        <v>12176.152465646781</v>
      </c>
      <c r="D33" s="32">
        <f t="shared" si="28"/>
        <v>12566.138201503629</v>
      </c>
      <c r="E33" s="32">
        <f t="shared" si="28"/>
        <v>13044.374259241515</v>
      </c>
      <c r="F33" s="32">
        <f t="shared" si="28"/>
        <v>13509.364950986324</v>
      </c>
      <c r="G33" s="32">
        <f t="shared" si="28"/>
        <v>13607.198367329353</v>
      </c>
      <c r="H33" s="32">
        <f t="shared" si="28"/>
        <v>14103.137529155632</v>
      </c>
      <c r="I33" s="32">
        <f t="shared" si="28"/>
        <v>13760.047983335229</v>
      </c>
      <c r="J33" s="32">
        <f t="shared" si="28"/>
        <v>14054.457919129058</v>
      </c>
      <c r="K33" s="32">
        <f t="shared" si="28"/>
        <v>12835.955617838023</v>
      </c>
      <c r="L33" s="32">
        <f t="shared" ref="L33" si="29">L34+L40</f>
        <v>13317.920487904725</v>
      </c>
      <c r="M33" s="32">
        <f t="shared" ref="M33:V33" si="30">M34+M40</f>
        <v>13527.343803644948</v>
      </c>
      <c r="N33" s="32">
        <f t="shared" si="30"/>
        <v>12922.315693342654</v>
      </c>
      <c r="O33" s="32">
        <f t="shared" si="30"/>
        <v>11886.422503346224</v>
      </c>
      <c r="P33" s="32">
        <f t="shared" si="30"/>
        <v>10019.104740728402</v>
      </c>
      <c r="Q33" s="32">
        <f t="shared" si="30"/>
        <v>10316.374420191667</v>
      </c>
      <c r="R33" s="32">
        <f t="shared" si="30"/>
        <v>10312.945091458882</v>
      </c>
      <c r="S33" s="32">
        <f t="shared" si="30"/>
        <v>11040.073383058241</v>
      </c>
      <c r="T33" s="32">
        <f t="shared" si="30"/>
        <v>11518.181862099329</v>
      </c>
      <c r="U33" s="32">
        <f t="shared" si="30"/>
        <v>11532.898114620519</v>
      </c>
      <c r="V33" s="32">
        <f t="shared" si="30"/>
        <v>10933.38369655966</v>
      </c>
      <c r="W33" s="32">
        <f t="shared" ref="W33:Y33" si="31">W34+W40</f>
        <v>9968.1154054062463</v>
      </c>
      <c r="X33" s="32">
        <f t="shared" si="31"/>
        <v>9766.1450120125301</v>
      </c>
      <c r="Y33" s="32">
        <f t="shared" si="31"/>
        <v>9858.2253751428616</v>
      </c>
      <c r="DA33" s="173" t="s">
        <v>411</v>
      </c>
    </row>
    <row r="34" spans="1:105" ht="11.45" customHeight="1" x14ac:dyDescent="0.25">
      <c r="A34" s="136" t="s">
        <v>153</v>
      </c>
      <c r="B34" s="141">
        <f t="shared" ref="B34:K34" si="32">SUM(B35:B39)</f>
        <v>5484.7406104897991</v>
      </c>
      <c r="C34" s="141">
        <f t="shared" si="32"/>
        <v>5689.6450334727861</v>
      </c>
      <c r="D34" s="141">
        <f t="shared" si="32"/>
        <v>5833.5404065728671</v>
      </c>
      <c r="E34" s="141">
        <f t="shared" si="32"/>
        <v>6057.4029337715046</v>
      </c>
      <c r="F34" s="141">
        <f t="shared" si="32"/>
        <v>6348.1183265987829</v>
      </c>
      <c r="G34" s="141">
        <f t="shared" si="32"/>
        <v>6406.3740076323547</v>
      </c>
      <c r="H34" s="141">
        <f t="shared" si="32"/>
        <v>6335.6359493055852</v>
      </c>
      <c r="I34" s="141">
        <f t="shared" si="32"/>
        <v>6192.8007659331624</v>
      </c>
      <c r="J34" s="141">
        <f t="shared" si="32"/>
        <v>6342.1120971552564</v>
      </c>
      <c r="K34" s="141">
        <f t="shared" si="32"/>
        <v>5896.3756232695096</v>
      </c>
      <c r="L34" s="141">
        <f t="shared" ref="L34" si="33">SUM(L35:L39)</f>
        <v>6094.7692094737549</v>
      </c>
      <c r="M34" s="141">
        <f t="shared" ref="M34:V34" si="34">SUM(M35:M39)</f>
        <v>6129.1988870572295</v>
      </c>
      <c r="N34" s="141">
        <f t="shared" si="34"/>
        <v>5791.5292473764866</v>
      </c>
      <c r="O34" s="141">
        <f t="shared" si="34"/>
        <v>5577.5098641193963</v>
      </c>
      <c r="P34" s="141">
        <f t="shared" si="34"/>
        <v>5244.4158180586674</v>
      </c>
      <c r="Q34" s="141">
        <f t="shared" si="34"/>
        <v>5489.1190366182072</v>
      </c>
      <c r="R34" s="141">
        <f t="shared" si="34"/>
        <v>5563.0684247180752</v>
      </c>
      <c r="S34" s="141">
        <f t="shared" si="34"/>
        <v>5510.1856590183088</v>
      </c>
      <c r="T34" s="141">
        <f t="shared" si="34"/>
        <v>5296.1056531700033</v>
      </c>
      <c r="U34" s="141">
        <f t="shared" si="34"/>
        <v>5105.0119490204306</v>
      </c>
      <c r="V34" s="141">
        <f t="shared" si="34"/>
        <v>4954.5354015900912</v>
      </c>
      <c r="W34" s="141">
        <f t="shared" ref="W34:Y34" si="35">SUM(W35:W39)</f>
        <v>5073.1849835328185</v>
      </c>
      <c r="X34" s="141">
        <f t="shared" si="35"/>
        <v>5016.2962147404032</v>
      </c>
      <c r="Y34" s="141">
        <f t="shared" si="35"/>
        <v>4910.9567574288021</v>
      </c>
      <c r="DA34" s="174" t="s">
        <v>412</v>
      </c>
    </row>
    <row r="35" spans="1:105" ht="11.45" customHeight="1" x14ac:dyDescent="0.25">
      <c r="A35" s="111" t="s">
        <v>110</v>
      </c>
      <c r="B35" s="96">
        <v>207.9835441327279</v>
      </c>
      <c r="C35" s="96">
        <v>189.93011404409259</v>
      </c>
      <c r="D35" s="96">
        <v>167.86573876748764</v>
      </c>
      <c r="E35" s="96">
        <v>151.0900073874748</v>
      </c>
      <c r="F35" s="96">
        <v>139.58363682460055</v>
      </c>
      <c r="G35" s="96">
        <v>132.40608551665855</v>
      </c>
      <c r="H35" s="96">
        <v>117.73261043059078</v>
      </c>
      <c r="I35" s="96">
        <v>107.80563219297318</v>
      </c>
      <c r="J35" s="96">
        <v>101.42456635647045</v>
      </c>
      <c r="K35" s="96">
        <v>92.152146916930363</v>
      </c>
      <c r="L35" s="96">
        <v>86.212958006518576</v>
      </c>
      <c r="M35" s="96">
        <v>80.580319891325061</v>
      </c>
      <c r="N35" s="96">
        <v>75.069025469554688</v>
      </c>
      <c r="O35" s="96">
        <v>67.090060339790256</v>
      </c>
      <c r="P35" s="96">
        <v>65.860005616950914</v>
      </c>
      <c r="Q35" s="96">
        <v>64.97370260397426</v>
      </c>
      <c r="R35" s="96">
        <v>64.63375479970999</v>
      </c>
      <c r="S35" s="96">
        <v>63.529829865025022</v>
      </c>
      <c r="T35" s="96">
        <v>59.123814702962974</v>
      </c>
      <c r="U35" s="96">
        <v>59.56766532206543</v>
      </c>
      <c r="V35" s="96">
        <v>58.474140555440506</v>
      </c>
      <c r="W35" s="96">
        <v>62.896763337575656</v>
      </c>
      <c r="X35" s="96">
        <v>62.896483299667196</v>
      </c>
      <c r="Y35" s="96">
        <v>66.368870652539684</v>
      </c>
      <c r="DA35" s="171" t="s">
        <v>762</v>
      </c>
    </row>
    <row r="36" spans="1:105" ht="11.45" customHeight="1" x14ac:dyDescent="0.25">
      <c r="A36" s="111" t="s">
        <v>111</v>
      </c>
      <c r="B36" s="96">
        <v>5159.0244230560666</v>
      </c>
      <c r="C36" s="96">
        <v>5382.2771667952911</v>
      </c>
      <c r="D36" s="96">
        <v>5552.5613717482147</v>
      </c>
      <c r="E36" s="96">
        <v>5797.3846429225132</v>
      </c>
      <c r="F36" s="96">
        <v>6102.4205670325</v>
      </c>
      <c r="G36" s="96">
        <v>6182.9801169569846</v>
      </c>
      <c r="H36" s="96">
        <v>6133.7704671970314</v>
      </c>
      <c r="I36" s="96">
        <v>5999.4182080151368</v>
      </c>
      <c r="J36" s="96">
        <v>6154.2128038714181</v>
      </c>
      <c r="K36" s="96">
        <v>5719.4597173504781</v>
      </c>
      <c r="L36" s="96">
        <v>5923.9538941217997</v>
      </c>
      <c r="M36" s="96">
        <v>5963.6203630001864</v>
      </c>
      <c r="N36" s="96">
        <v>5633.1239739996527</v>
      </c>
      <c r="O36" s="96">
        <v>5426.8199258186578</v>
      </c>
      <c r="P36" s="96">
        <v>5094.0960479825862</v>
      </c>
      <c r="Q36" s="96">
        <v>5339.145684724539</v>
      </c>
      <c r="R36" s="96">
        <v>5417.3881582833792</v>
      </c>
      <c r="S36" s="96">
        <v>5363.4388804951523</v>
      </c>
      <c r="T36" s="96">
        <v>5149.3042714935682</v>
      </c>
      <c r="U36" s="96">
        <v>4953.1757854115558</v>
      </c>
      <c r="V36" s="96">
        <v>4805.8913758767094</v>
      </c>
      <c r="W36" s="96">
        <v>4929.589870893944</v>
      </c>
      <c r="X36" s="96">
        <v>4869.0503889209222</v>
      </c>
      <c r="Y36" s="96">
        <v>4761.9274496964999</v>
      </c>
      <c r="DA36" s="171" t="s">
        <v>763</v>
      </c>
    </row>
    <row r="37" spans="1:105" ht="11.45" customHeight="1" x14ac:dyDescent="0.25">
      <c r="A37" s="111" t="s">
        <v>112</v>
      </c>
      <c r="B37" s="96">
        <v>117.73264330100483</v>
      </c>
      <c r="C37" s="96">
        <v>117.43775263340216</v>
      </c>
      <c r="D37" s="96">
        <v>113.1132960571652</v>
      </c>
      <c r="E37" s="96">
        <v>108.60030185453874</v>
      </c>
      <c r="F37" s="96">
        <v>105.19325388478747</v>
      </c>
      <c r="G37" s="96">
        <v>90.143847780118591</v>
      </c>
      <c r="H37" s="96">
        <v>83.310727752442034</v>
      </c>
      <c r="I37" s="96">
        <v>83.672159736686481</v>
      </c>
      <c r="J37" s="96">
        <v>84.547986439957896</v>
      </c>
      <c r="K37" s="96">
        <v>81.788969919533699</v>
      </c>
      <c r="L37" s="96">
        <v>80.475946828126254</v>
      </c>
      <c r="M37" s="96">
        <v>79.751319311995587</v>
      </c>
      <c r="N37" s="96">
        <v>77.513161277237842</v>
      </c>
      <c r="O37" s="96">
        <v>76.715426086065023</v>
      </c>
      <c r="P37" s="96">
        <v>76.492782688016746</v>
      </c>
      <c r="Q37" s="96">
        <v>76.349892542992123</v>
      </c>
      <c r="R37" s="96">
        <v>76.050838537630327</v>
      </c>
      <c r="S37" s="96">
        <v>76.254481826316649</v>
      </c>
      <c r="T37" s="96">
        <v>75.187859349992991</v>
      </c>
      <c r="U37" s="96">
        <v>79.225652808795616</v>
      </c>
      <c r="V37" s="96">
        <v>77.268266613531907</v>
      </c>
      <c r="W37" s="96">
        <v>68.515491528450895</v>
      </c>
      <c r="X37" s="96">
        <v>73.025854166216902</v>
      </c>
      <c r="Y37" s="96">
        <v>74.886487540627755</v>
      </c>
      <c r="DA37" s="171" t="s">
        <v>764</v>
      </c>
    </row>
    <row r="38" spans="1:105" ht="11.45" customHeight="1" x14ac:dyDescent="0.25">
      <c r="A38" s="111" t="s">
        <v>113</v>
      </c>
      <c r="B38" s="96">
        <v>0</v>
      </c>
      <c r="C38" s="96">
        <v>0</v>
      </c>
      <c r="D38" s="96">
        <v>0</v>
      </c>
      <c r="E38" s="96">
        <v>0.32798160697844819</v>
      </c>
      <c r="F38" s="96">
        <v>0.92086885689436038</v>
      </c>
      <c r="G38" s="96">
        <v>0.84395737859371689</v>
      </c>
      <c r="H38" s="96">
        <v>0.82214392552040783</v>
      </c>
      <c r="I38" s="96">
        <v>1.9047659883652619</v>
      </c>
      <c r="J38" s="96">
        <v>1.9267404874102505</v>
      </c>
      <c r="K38" s="96">
        <v>2.9747890825674297</v>
      </c>
      <c r="L38" s="96">
        <v>4.1264105173103216</v>
      </c>
      <c r="M38" s="96">
        <v>5.2468848537215083</v>
      </c>
      <c r="N38" s="96">
        <v>5.8230866300416162</v>
      </c>
      <c r="O38" s="96">
        <v>6.8844518748828456</v>
      </c>
      <c r="P38" s="96">
        <v>7.9669817711133062</v>
      </c>
      <c r="Q38" s="96">
        <v>8.6497567467025025</v>
      </c>
      <c r="R38" s="96">
        <v>4.9956730973557812</v>
      </c>
      <c r="S38" s="96">
        <v>6.9624668318150729</v>
      </c>
      <c r="T38" s="96">
        <v>12.489707623478862</v>
      </c>
      <c r="U38" s="96">
        <v>13.042845478014048</v>
      </c>
      <c r="V38" s="96">
        <v>12.901618544409853</v>
      </c>
      <c r="W38" s="96">
        <v>12.182857772847242</v>
      </c>
      <c r="X38" s="96">
        <v>11.323488353597357</v>
      </c>
      <c r="Y38" s="96">
        <v>7.7739495391339695</v>
      </c>
      <c r="DA38" s="171" t="s">
        <v>765</v>
      </c>
    </row>
    <row r="39" spans="1:105" ht="11.45" customHeight="1" x14ac:dyDescent="0.25">
      <c r="A39" s="111" t="s">
        <v>115</v>
      </c>
      <c r="B39" s="96">
        <v>0</v>
      </c>
      <c r="C39" s="96">
        <v>0</v>
      </c>
      <c r="D39" s="96">
        <v>0</v>
      </c>
      <c r="E39" s="96">
        <v>0</v>
      </c>
      <c r="F39" s="96">
        <v>0</v>
      </c>
      <c r="G39" s="96">
        <v>0</v>
      </c>
      <c r="H39" s="96">
        <v>0</v>
      </c>
      <c r="I39" s="96">
        <v>0</v>
      </c>
      <c r="J39" s="96">
        <v>0</v>
      </c>
      <c r="K39" s="96">
        <v>0</v>
      </c>
      <c r="L39" s="96">
        <v>0</v>
      </c>
      <c r="M39" s="96">
        <v>0</v>
      </c>
      <c r="N39" s="96">
        <v>0</v>
      </c>
      <c r="O39" s="96">
        <v>0</v>
      </c>
      <c r="P39" s="96">
        <v>0</v>
      </c>
      <c r="Q39" s="96">
        <v>0</v>
      </c>
      <c r="R39" s="96">
        <v>0</v>
      </c>
      <c r="S39" s="96">
        <v>0</v>
      </c>
      <c r="T39" s="96">
        <v>0</v>
      </c>
      <c r="U39" s="96">
        <v>0</v>
      </c>
      <c r="V39" s="96">
        <v>0</v>
      </c>
      <c r="W39" s="96">
        <v>0</v>
      </c>
      <c r="X39" s="96">
        <v>0</v>
      </c>
      <c r="Y39" s="96">
        <v>0</v>
      </c>
      <c r="DA39" s="171" t="s">
        <v>766</v>
      </c>
    </row>
    <row r="40" spans="1:105" ht="11.45" customHeight="1" x14ac:dyDescent="0.25">
      <c r="A40" s="109" t="s">
        <v>154</v>
      </c>
      <c r="B40" s="130">
        <f t="shared" ref="B40:K40" si="36">SUM(B41:B42)</f>
        <v>6597.1849831245672</v>
      </c>
      <c r="C40" s="130">
        <f t="shared" si="36"/>
        <v>6486.5074321739949</v>
      </c>
      <c r="D40" s="130">
        <f t="shared" si="36"/>
        <v>6732.5977949307617</v>
      </c>
      <c r="E40" s="130">
        <f t="shared" si="36"/>
        <v>6986.9713254700091</v>
      </c>
      <c r="F40" s="130">
        <f t="shared" si="36"/>
        <v>7161.2466243875424</v>
      </c>
      <c r="G40" s="130">
        <f t="shared" si="36"/>
        <v>7200.8243596969978</v>
      </c>
      <c r="H40" s="130">
        <f t="shared" si="36"/>
        <v>7767.5015798500463</v>
      </c>
      <c r="I40" s="130">
        <f t="shared" si="36"/>
        <v>7567.2472174020677</v>
      </c>
      <c r="J40" s="130">
        <f t="shared" si="36"/>
        <v>7712.3458219738022</v>
      </c>
      <c r="K40" s="130">
        <f t="shared" si="36"/>
        <v>6939.5799945685121</v>
      </c>
      <c r="L40" s="130">
        <f t="shared" ref="L40" si="37">SUM(L41:L42)</f>
        <v>7223.1512784309707</v>
      </c>
      <c r="M40" s="130">
        <f t="shared" ref="M40:V40" si="38">SUM(M41:M42)</f>
        <v>7398.1449165877193</v>
      </c>
      <c r="N40" s="130">
        <f t="shared" si="38"/>
        <v>7130.7864459661687</v>
      </c>
      <c r="O40" s="130">
        <f t="shared" si="38"/>
        <v>6308.9126392268281</v>
      </c>
      <c r="P40" s="130">
        <f t="shared" si="38"/>
        <v>4774.688922669734</v>
      </c>
      <c r="Q40" s="130">
        <f t="shared" si="38"/>
        <v>4827.2553835734589</v>
      </c>
      <c r="R40" s="130">
        <f t="shared" si="38"/>
        <v>4749.8766667408072</v>
      </c>
      <c r="S40" s="130">
        <f t="shared" si="38"/>
        <v>5529.8877240399324</v>
      </c>
      <c r="T40" s="130">
        <f t="shared" si="38"/>
        <v>6222.0762089293248</v>
      </c>
      <c r="U40" s="130">
        <f t="shared" si="38"/>
        <v>6427.886165600089</v>
      </c>
      <c r="V40" s="130">
        <f t="shared" si="38"/>
        <v>5978.8482949695699</v>
      </c>
      <c r="W40" s="130">
        <f t="shared" ref="W40:Y40" si="39">SUM(W41:W42)</f>
        <v>4894.9304218734287</v>
      </c>
      <c r="X40" s="130">
        <f t="shared" si="39"/>
        <v>4749.8487972721259</v>
      </c>
      <c r="Y40" s="130">
        <f t="shared" si="39"/>
        <v>4947.2686177140586</v>
      </c>
      <c r="DA40" s="176" t="s">
        <v>413</v>
      </c>
    </row>
    <row r="41" spans="1:105" ht="11.45" customHeight="1" x14ac:dyDescent="0.25">
      <c r="A41" s="128" t="s">
        <v>27</v>
      </c>
      <c r="B41" s="97">
        <v>5402.3808287628972</v>
      </c>
      <c r="C41" s="97">
        <v>5233.6141568878757</v>
      </c>
      <c r="D41" s="97">
        <v>5430.3345004056464</v>
      </c>
      <c r="E41" s="97">
        <v>5651.8814021443732</v>
      </c>
      <c r="F41" s="97">
        <v>5577.0496168331883</v>
      </c>
      <c r="G41" s="97">
        <v>5557.4471733716864</v>
      </c>
      <c r="H41" s="97">
        <v>5909.1428151463706</v>
      </c>
      <c r="I41" s="97">
        <v>5675.8446254619366</v>
      </c>
      <c r="J41" s="97">
        <v>5757.3166988638495</v>
      </c>
      <c r="K41" s="97">
        <v>5272.5998257053579</v>
      </c>
      <c r="L41" s="97">
        <v>5192.0443948896955</v>
      </c>
      <c r="M41" s="97">
        <v>5383.6114913572037</v>
      </c>
      <c r="N41" s="97">
        <v>5146.516260821174</v>
      </c>
      <c r="O41" s="97">
        <v>4563.5634521963584</v>
      </c>
      <c r="P41" s="97">
        <v>3442.8510263903354</v>
      </c>
      <c r="Q41" s="97">
        <v>3474.9122234854863</v>
      </c>
      <c r="R41" s="97">
        <v>3384.2319350608714</v>
      </c>
      <c r="S41" s="97">
        <v>3858.3379786316277</v>
      </c>
      <c r="T41" s="97">
        <v>4390.1376230456644</v>
      </c>
      <c r="U41" s="97">
        <v>4491.3534368493838</v>
      </c>
      <c r="V41" s="97">
        <v>4167.9934400950096</v>
      </c>
      <c r="W41" s="97">
        <v>3449.1214852355597</v>
      </c>
      <c r="X41" s="97">
        <v>3342.2135028007342</v>
      </c>
      <c r="Y41" s="97">
        <v>3453.67976394986</v>
      </c>
      <c r="DA41" s="175" t="s">
        <v>767</v>
      </c>
    </row>
    <row r="42" spans="1:105" ht="11.45" customHeight="1" x14ac:dyDescent="0.25">
      <c r="A42" s="138" t="s">
        <v>116</v>
      </c>
      <c r="B42" s="98">
        <v>1194.8041543616696</v>
      </c>
      <c r="C42" s="98">
        <v>1252.8932752861194</v>
      </c>
      <c r="D42" s="98">
        <v>1302.2632945251155</v>
      </c>
      <c r="E42" s="98">
        <v>1335.0899233256357</v>
      </c>
      <c r="F42" s="98">
        <v>1584.1970075543538</v>
      </c>
      <c r="G42" s="98">
        <v>1643.3771863253112</v>
      </c>
      <c r="H42" s="98">
        <v>1858.3587647036759</v>
      </c>
      <c r="I42" s="98">
        <v>1891.4025919401306</v>
      </c>
      <c r="J42" s="98">
        <v>1955.0291231099529</v>
      </c>
      <c r="K42" s="98">
        <v>1666.9801688631546</v>
      </c>
      <c r="L42" s="98">
        <v>2031.1068835412757</v>
      </c>
      <c r="M42" s="98">
        <v>2014.5334252305156</v>
      </c>
      <c r="N42" s="98">
        <v>1984.2701851449942</v>
      </c>
      <c r="O42" s="98">
        <v>1745.3491870304701</v>
      </c>
      <c r="P42" s="98">
        <v>1331.8378962793986</v>
      </c>
      <c r="Q42" s="98">
        <v>1352.3431600879724</v>
      </c>
      <c r="R42" s="98">
        <v>1365.6447316799363</v>
      </c>
      <c r="S42" s="98">
        <v>1671.5497454083043</v>
      </c>
      <c r="T42" s="98">
        <v>1831.9385858836606</v>
      </c>
      <c r="U42" s="98">
        <v>1936.532728750705</v>
      </c>
      <c r="V42" s="98">
        <v>1810.8548548745603</v>
      </c>
      <c r="W42" s="98">
        <v>1445.8089366378695</v>
      </c>
      <c r="X42" s="98">
        <v>1407.6352944713915</v>
      </c>
      <c r="Y42" s="98">
        <v>1493.5888537641981</v>
      </c>
      <c r="DA42" s="178" t="s">
        <v>768</v>
      </c>
    </row>
    <row r="43" spans="1:105" x14ac:dyDescent="0.25">
      <c r="A43" s="106"/>
      <c r="B43" s="106"/>
      <c r="C43" s="106"/>
      <c r="D43" s="106"/>
      <c r="E43" s="106"/>
      <c r="F43" s="106"/>
      <c r="G43" s="106"/>
      <c r="H43" s="106"/>
      <c r="I43" s="106"/>
      <c r="J43" s="106"/>
      <c r="K43" s="106"/>
      <c r="L43" s="106"/>
      <c r="M43" s="106"/>
      <c r="N43" s="106"/>
      <c r="O43" s="106"/>
      <c r="P43" s="106"/>
      <c r="Q43" s="106"/>
      <c r="R43" s="106"/>
      <c r="S43" s="106"/>
      <c r="T43" s="106"/>
      <c r="U43" s="106"/>
      <c r="V43" s="106"/>
      <c r="W43" s="106"/>
      <c r="X43" s="106"/>
      <c r="Y43" s="106"/>
      <c r="DA43" s="171"/>
    </row>
    <row r="44" spans="1:105" ht="11.45" customHeight="1" x14ac:dyDescent="0.25">
      <c r="A44" s="68" t="s">
        <v>36</v>
      </c>
      <c r="B44" s="69"/>
      <c r="C44" s="69"/>
      <c r="D44" s="69"/>
      <c r="E44" s="69"/>
      <c r="F44" s="69"/>
      <c r="G44" s="69"/>
      <c r="H44" s="69"/>
      <c r="I44" s="69"/>
      <c r="J44" s="69"/>
      <c r="K44" s="69"/>
      <c r="L44" s="69"/>
      <c r="M44" s="69"/>
      <c r="N44" s="69"/>
      <c r="O44" s="69"/>
      <c r="P44" s="69"/>
      <c r="Q44" s="69"/>
      <c r="R44" s="69"/>
      <c r="S44" s="69"/>
      <c r="T44" s="69"/>
      <c r="U44" s="69"/>
      <c r="V44" s="69"/>
      <c r="W44" s="69"/>
      <c r="X44" s="69"/>
      <c r="Y44" s="69"/>
      <c r="DA44" s="179"/>
    </row>
    <row r="45" spans="1:105" x14ac:dyDescent="0.25">
      <c r="A45" s="106"/>
      <c r="B45" s="106"/>
      <c r="C45" s="106"/>
      <c r="D45" s="106"/>
      <c r="E45" s="106"/>
      <c r="F45" s="106"/>
      <c r="G45" s="106"/>
      <c r="H45" s="106"/>
      <c r="I45" s="106"/>
      <c r="J45" s="106"/>
      <c r="K45" s="106"/>
      <c r="L45" s="106"/>
      <c r="M45" s="106"/>
      <c r="N45" s="106"/>
      <c r="O45" s="106"/>
      <c r="P45" s="106"/>
      <c r="Q45" s="106"/>
      <c r="R45" s="106"/>
      <c r="S45" s="106"/>
      <c r="T45" s="106"/>
      <c r="U45" s="106"/>
      <c r="V45" s="106"/>
      <c r="W45" s="106"/>
      <c r="X45" s="106"/>
      <c r="Y45" s="106"/>
      <c r="DA45" s="171"/>
    </row>
    <row r="46" spans="1:105" ht="11.45" customHeight="1" x14ac:dyDescent="0.25">
      <c r="A46" s="53" t="s">
        <v>48</v>
      </c>
      <c r="B46" s="132"/>
      <c r="C46" s="132"/>
      <c r="D46" s="132"/>
      <c r="E46" s="132"/>
      <c r="F46" s="132"/>
      <c r="G46" s="132"/>
      <c r="H46" s="132"/>
      <c r="I46" s="132"/>
      <c r="J46" s="132"/>
      <c r="K46" s="132"/>
      <c r="L46" s="132"/>
      <c r="M46" s="132"/>
      <c r="N46" s="132"/>
      <c r="O46" s="132"/>
      <c r="P46" s="132"/>
      <c r="Q46" s="132"/>
      <c r="R46" s="132"/>
      <c r="S46" s="132"/>
      <c r="T46" s="132"/>
      <c r="U46" s="132"/>
      <c r="V46" s="132"/>
      <c r="W46" s="132"/>
      <c r="X46" s="132"/>
      <c r="Y46" s="132"/>
      <c r="DA46" s="172"/>
    </row>
    <row r="47" spans="1:105" ht="11.45" customHeight="1" x14ac:dyDescent="0.25">
      <c r="A47" s="133" t="s">
        <v>45</v>
      </c>
      <c r="B47" s="145">
        <f>IF(B4=0,0,B4/TrRoad_ene!B4)</f>
        <v>2.9968616062724389</v>
      </c>
      <c r="C47" s="145">
        <f>IF(C4=0,0,C4/TrRoad_ene!C4)</f>
        <v>2.9978254375473576</v>
      </c>
      <c r="D47" s="145">
        <f>IF(D4=0,0,D4/TrRoad_ene!D4)</f>
        <v>3.0000979517127679</v>
      </c>
      <c r="E47" s="145">
        <f>IF(E4=0,0,E4/TrRoad_ene!E4)</f>
        <v>3.004405714077738</v>
      </c>
      <c r="F47" s="145">
        <f>IF(F4=0,0,F4/TrRoad_ene!F4)</f>
        <v>3.0068518081739537</v>
      </c>
      <c r="G47" s="145">
        <f>IF(G4=0,0,G4/TrRoad_ene!G4)</f>
        <v>3.0088859807570647</v>
      </c>
      <c r="H47" s="145">
        <f>IF(H4=0,0,H4/TrRoad_ene!H4)</f>
        <v>3.0000472327632988</v>
      </c>
      <c r="I47" s="145">
        <f>IF(I4=0,0,I4/TrRoad_ene!I4)</f>
        <v>2.9247676402993403</v>
      </c>
      <c r="J47" s="145">
        <f>IF(J4=0,0,J4/TrRoad_ene!J4)</f>
        <v>2.9381884627817692</v>
      </c>
      <c r="K47" s="145">
        <f>IF(K4=0,0,K4/TrRoad_ene!K4)</f>
        <v>2.908660994344094</v>
      </c>
      <c r="L47" s="145">
        <f>IF(L4=0,0,L4/TrRoad_ene!L4)</f>
        <v>2.9499136724146653</v>
      </c>
      <c r="M47" s="145">
        <f>IF(M4=0,0,M4/TrRoad_ene!M4)</f>
        <v>2.9258611691751777</v>
      </c>
      <c r="N47" s="145">
        <f>IF(N4=0,0,N4/TrRoad_ene!N4)</f>
        <v>2.9236764104221402</v>
      </c>
      <c r="O47" s="145">
        <f>IF(O4=0,0,O4/TrRoad_ene!O4)</f>
        <v>2.9201457338458816</v>
      </c>
      <c r="P47" s="145">
        <f>IF(P4=0,0,P4/TrRoad_ene!P4)</f>
        <v>2.8930313343341716</v>
      </c>
      <c r="Q47" s="145">
        <f>IF(Q4=0,0,Q4/TrRoad_ene!Q4)</f>
        <v>2.9097621603554784</v>
      </c>
      <c r="R47" s="145">
        <f>IF(R4=0,0,R4/TrRoad_ene!R4)</f>
        <v>2.9251883180236744</v>
      </c>
      <c r="S47" s="145">
        <f>IF(S4=0,0,S4/TrRoad_ene!S4)</f>
        <v>2.9066573782345553</v>
      </c>
      <c r="T47" s="145">
        <f>IF(T4=0,0,T4/TrRoad_ene!T4)</f>
        <v>2.8496542499346291</v>
      </c>
      <c r="U47" s="145">
        <f>IF(U4=0,0,U4/TrRoad_ene!U4)</f>
        <v>2.8066022249283544</v>
      </c>
      <c r="V47" s="145">
        <f>IF(V4=0,0,V4/TrRoad_ene!V4)</f>
        <v>2.8003959146974591</v>
      </c>
      <c r="W47" s="145">
        <f>IF(W4=0,0,W4/TrRoad_ene!W4)</f>
        <v>2.7632508818182568</v>
      </c>
      <c r="X47" s="145">
        <f>IF(X4=0,0,X4/TrRoad_ene!X4)</f>
        <v>2.7606096732465573</v>
      </c>
      <c r="Y47" s="145">
        <f>IF(Y4=0,0,Y4/TrRoad_ene!Y4)</f>
        <v>2.7499368158521218</v>
      </c>
      <c r="DA47" s="206"/>
    </row>
    <row r="48" spans="1:105" ht="11.45" customHeight="1" x14ac:dyDescent="0.25">
      <c r="A48" s="92" t="s">
        <v>126</v>
      </c>
      <c r="B48" s="97">
        <f>IF(B7=0,0,(B7+B12)/(TrRoad_ene!B7+TrRoad_ene!B12))</f>
        <v>2.9014524000000002</v>
      </c>
      <c r="C48" s="97">
        <f>IF(C7=0,0,(C7+C12)/(TrRoad_ene!C7+TrRoad_ene!C12))</f>
        <v>2.9014524000000002</v>
      </c>
      <c r="D48" s="97">
        <f>IF(D7=0,0,(D7+D12)/(TrRoad_ene!D7+TrRoad_ene!D12))</f>
        <v>2.9014524000000002</v>
      </c>
      <c r="E48" s="97">
        <f>IF(E7=0,0,(E7+E12)/(TrRoad_ene!E7+TrRoad_ene!E12))</f>
        <v>2.9014524000000002</v>
      </c>
      <c r="F48" s="97">
        <f>IF(F7=0,0,(F7+F12)/(TrRoad_ene!F7+TrRoad_ene!F12))</f>
        <v>2.9014524000000002</v>
      </c>
      <c r="G48" s="97">
        <f>IF(G7=0,0,(G7+G12)/(TrRoad_ene!G7+TrRoad_ene!G12))</f>
        <v>2.9014524000000002</v>
      </c>
      <c r="H48" s="97">
        <f>IF(H7=0,0,(H7+H12)/(TrRoad_ene!H7+TrRoad_ene!H12))</f>
        <v>2.888250510596257</v>
      </c>
      <c r="I48" s="97">
        <f>IF(I7=0,0,(I7+I12)/(TrRoad_ene!I7+TrRoad_ene!I12))</f>
        <v>2.8400651023769039</v>
      </c>
      <c r="J48" s="97">
        <f>IF(J7=0,0,(J7+J12)/(TrRoad_ene!J7+TrRoad_ene!J12))</f>
        <v>2.8264138471239417</v>
      </c>
      <c r="K48" s="97">
        <f>IF(K7=0,0,(K7+K12)/(TrRoad_ene!K7+TrRoad_ene!K12))</f>
        <v>2.805503569348645</v>
      </c>
      <c r="L48" s="97">
        <f>IF(L7=0,0,(L7+L12)/(TrRoad_ene!L7+TrRoad_ene!L12))</f>
        <v>2.8083959496710529</v>
      </c>
      <c r="M48" s="97">
        <f>IF(M7=0,0,(M7+M12)/(TrRoad_ene!M7+TrRoad_ene!M12))</f>
        <v>2.7997923749181104</v>
      </c>
      <c r="N48" s="97">
        <f>IF(N7=0,0,(N7+N12)/(TrRoad_ene!N7+TrRoad_ene!N12))</f>
        <v>2.8122178810601257</v>
      </c>
      <c r="O48" s="97">
        <f>IF(O7=0,0,(O7+O12)/(TrRoad_ene!O7+TrRoad_ene!O12))</f>
        <v>2.8095172005668361</v>
      </c>
      <c r="P48" s="97">
        <f>IF(P7=0,0,(P7+P12)/(TrRoad_ene!P7+TrRoad_ene!P12))</f>
        <v>2.8043471270487199</v>
      </c>
      <c r="Q48" s="97">
        <f>IF(Q7=0,0,(Q7+Q12)/(TrRoad_ene!Q7+TrRoad_ene!Q12))</f>
        <v>2.7938557270361453</v>
      </c>
      <c r="R48" s="97">
        <f>IF(R7=0,0,(R7+R12)/(TrRoad_ene!R7+TrRoad_ene!R12))</f>
        <v>2.8125048192992841</v>
      </c>
      <c r="S48" s="97">
        <f>IF(S7=0,0,(S7+S12)/(TrRoad_ene!S7+TrRoad_ene!S12))</f>
        <v>2.8095434617271846</v>
      </c>
      <c r="T48" s="97">
        <f>IF(T7=0,0,(T7+T12)/(TrRoad_ene!T7+TrRoad_ene!T12))</f>
        <v>2.7828424287126086</v>
      </c>
      <c r="U48" s="97">
        <f>IF(U7=0,0,(U7+U12)/(TrRoad_ene!U7+TrRoad_ene!U12))</f>
        <v>2.7669484288359079</v>
      </c>
      <c r="V48" s="97">
        <f>IF(V7=0,0,(V7+V12)/(TrRoad_ene!V7+TrRoad_ene!V12))</f>
        <v>2.7200033829210031</v>
      </c>
      <c r="W48" s="97">
        <f>IF(W7=0,0,(W7+W12)/(TrRoad_ene!W7+TrRoad_ene!W12))</f>
        <v>2.7202118850920063</v>
      </c>
      <c r="X48" s="97">
        <f>IF(X7=0,0,(X7+X12)/(TrRoad_ene!X7+TrRoad_ene!X12))</f>
        <v>2.7116760305878445</v>
      </c>
      <c r="Y48" s="97">
        <f>IF(Y7=0,0,(Y7+Y12)/(TrRoad_ene!Y7+TrRoad_ene!Y12))</f>
        <v>2.726855013681702</v>
      </c>
      <c r="DA48" s="175"/>
    </row>
    <row r="49" spans="1:105" ht="11.45" customHeight="1" x14ac:dyDescent="0.25">
      <c r="A49" s="92" t="s">
        <v>95</v>
      </c>
      <c r="B49" s="97">
        <f>IF(B8=0,0,(B8+B13+B14)/(TrRoad_ene!B8+TrRoad_ene!B13+TrRoad_ene!B14))</f>
        <v>3.1024188000000001</v>
      </c>
      <c r="C49" s="97">
        <f>IF(C8=0,0,(C8+C13+C14)/(TrRoad_ene!C8+TrRoad_ene!C13+TrRoad_ene!C14))</f>
        <v>3.1024188000000001</v>
      </c>
      <c r="D49" s="97">
        <f>IF(D8=0,0,(D8+D13+D14)/(TrRoad_ene!D8+TrRoad_ene!D13+TrRoad_ene!D14))</f>
        <v>3.1024188000000001</v>
      </c>
      <c r="E49" s="97">
        <f>IF(E8=0,0,(E8+E13+E14)/(TrRoad_ene!E8+TrRoad_ene!E13+TrRoad_ene!E14))</f>
        <v>3.1024188000000001</v>
      </c>
      <c r="F49" s="97">
        <f>IF(F8=0,0,(F8+F13+F14)/(TrRoad_ene!F8+TrRoad_ene!F13+TrRoad_ene!F14))</f>
        <v>3.1024188000000001</v>
      </c>
      <c r="G49" s="97">
        <f>IF(G8=0,0,(G8+G13+G14)/(TrRoad_ene!G8+TrRoad_ene!G13+TrRoad_ene!G14))</f>
        <v>3.1024188000000001</v>
      </c>
      <c r="H49" s="97">
        <f>IF(H8=0,0,(H8+H13+H14)/(TrRoad_ene!H8+TrRoad_ene!H13+TrRoad_ene!H14))</f>
        <v>3.092199551955483</v>
      </c>
      <c r="I49" s="97">
        <f>IF(I8=0,0,(I8+I13+I14)/(TrRoad_ene!I8+TrRoad_ene!I13+TrRoad_ene!I14))</f>
        <v>2.9922379260543814</v>
      </c>
      <c r="J49" s="97">
        <f>IF(J8=0,0,(J8+J13+J14)/(TrRoad_ene!J8+TrRoad_ene!J13+TrRoad_ene!J14))</f>
        <v>3.0219451053752646</v>
      </c>
      <c r="K49" s="97">
        <f>IF(K8=0,0,(K8+K13+K14)/(TrRoad_ene!K8+TrRoad_ene!K13+TrRoad_ene!K14))</f>
        <v>2.9907207328733025</v>
      </c>
      <c r="L49" s="97">
        <f>IF(L8=0,0,(L8+L13+L14)/(TrRoad_ene!L8+TrRoad_ene!L13+TrRoad_ene!L14))</f>
        <v>3.0577124391327914</v>
      </c>
      <c r="M49" s="97">
        <f>IF(M8=0,0,(M8+M13+M14)/(TrRoad_ene!M8+TrRoad_ene!M13+TrRoad_ene!M14))</f>
        <v>3.0219613473247287</v>
      </c>
      <c r="N49" s="97">
        <f>IF(N8=0,0,(N8+N13+N14)/(TrRoad_ene!N8+TrRoad_ene!N13+TrRoad_ene!N14))</f>
        <v>3.0112163239791681</v>
      </c>
      <c r="O49" s="97">
        <f>IF(O8=0,0,(O8+O13+O14)/(TrRoad_ene!O8+TrRoad_ene!O13+TrRoad_ene!O14))</f>
        <v>3.0121560994524947</v>
      </c>
      <c r="P49" s="97">
        <f>IF(P8=0,0,(P8+P13+P14)/(TrRoad_ene!P8+TrRoad_ene!P13+TrRoad_ene!P14))</f>
        <v>2.9745239167916027</v>
      </c>
      <c r="Q49" s="97">
        <f>IF(Q8=0,0,(Q8+Q13+Q14)/(TrRoad_ene!Q8+TrRoad_ene!Q13+TrRoad_ene!Q14))</f>
        <v>3.0144192539766994</v>
      </c>
      <c r="R49" s="97">
        <f>IF(R8=0,0,(R8+R13+R14)/(TrRoad_ene!R8+TrRoad_ene!R13+TrRoad_ene!R14))</f>
        <v>3.0346438656898957</v>
      </c>
      <c r="S49" s="97">
        <f>IF(S8=0,0,(S8+S13+S14)/(TrRoad_ene!S8+TrRoad_ene!S13+TrRoad_ene!S14))</f>
        <v>3.0041868360225696</v>
      </c>
      <c r="T49" s="97">
        <f>IF(T8=0,0,(T8+T13+T14)/(TrRoad_ene!T8+TrRoad_ene!T13+TrRoad_ene!T14))</f>
        <v>2.9255835423395475</v>
      </c>
      <c r="U49" s="97">
        <f>IF(U8=0,0,(U8+U13+U14)/(TrRoad_ene!U8+TrRoad_ene!U13+TrRoad_ene!U14))</f>
        <v>2.8733779228612377</v>
      </c>
      <c r="V49" s="97">
        <f>IF(V8=0,0,(V8+V13+V14)/(TrRoad_ene!V8+TrRoad_ene!V13+TrRoad_ene!V14))</f>
        <v>2.9106876661929246</v>
      </c>
      <c r="W49" s="97">
        <f>IF(W8=0,0,(W8+W13+W14)/(TrRoad_ene!W8+TrRoad_ene!W13+TrRoad_ene!W14))</f>
        <v>2.8666697735375806</v>
      </c>
      <c r="X49" s="97">
        <f>IF(X8=0,0,(X8+X13+X14)/(TrRoad_ene!X8+TrRoad_ene!X13+TrRoad_ene!X14))</f>
        <v>2.8964744770602082</v>
      </c>
      <c r="Y49" s="97">
        <f>IF(Y8=0,0,(Y8+Y13+Y14)/(TrRoad_ene!Y8+TrRoad_ene!Y13+TrRoad_ene!Y14))</f>
        <v>2.89872788878818</v>
      </c>
      <c r="DA49" s="175"/>
    </row>
    <row r="50" spans="1:105" ht="11.45" customHeight="1" x14ac:dyDescent="0.25">
      <c r="A50" s="92" t="s">
        <v>127</v>
      </c>
      <c r="B50" s="97">
        <f>IF(B6=0,0,B6/TrRoad_ene!B6)</f>
        <v>2.6418708000000004</v>
      </c>
      <c r="C50" s="97">
        <f>IF(C6=0,0,C6/TrRoad_ene!C6)</f>
        <v>2.6418708000000004</v>
      </c>
      <c r="D50" s="97">
        <f>IF(D6=0,0,D6/TrRoad_ene!D6)</f>
        <v>2.6418708000000004</v>
      </c>
      <c r="E50" s="97">
        <f>IF(E6=0,0,E6/TrRoad_ene!E6)</f>
        <v>2.6418708000000004</v>
      </c>
      <c r="F50" s="97">
        <f>IF(F6=0,0,F6/TrRoad_ene!F6)</f>
        <v>2.6418708000000004</v>
      </c>
      <c r="G50" s="97">
        <f>IF(G6=0,0,G6/TrRoad_ene!G6)</f>
        <v>2.6418708000000004</v>
      </c>
      <c r="H50" s="97">
        <f>IF(H6=0,0,H6/TrRoad_ene!H6)</f>
        <v>2.6418708000000004</v>
      </c>
      <c r="I50" s="97">
        <f>IF(I6=0,0,I6/TrRoad_ene!I6)</f>
        <v>2.6418708000000004</v>
      </c>
      <c r="J50" s="97">
        <f>IF(J6=0,0,J6/TrRoad_ene!J6)</f>
        <v>2.6418708000000004</v>
      </c>
      <c r="K50" s="97">
        <f>IF(K6=0,0,K6/TrRoad_ene!K6)</f>
        <v>2.6418708000000004</v>
      </c>
      <c r="L50" s="97">
        <f>IF(L6=0,0,L6/TrRoad_ene!L6)</f>
        <v>2.6418708000000004</v>
      </c>
      <c r="M50" s="97">
        <f>IF(M6=0,0,M6/TrRoad_ene!M6)</f>
        <v>2.6418708000000004</v>
      </c>
      <c r="N50" s="97">
        <f>IF(N6=0,0,N6/TrRoad_ene!N6)</f>
        <v>2.6418708000000004</v>
      </c>
      <c r="O50" s="97">
        <f>IF(O6=0,0,O6/TrRoad_ene!O6)</f>
        <v>2.6418708000000004</v>
      </c>
      <c r="P50" s="97">
        <f>IF(P6=0,0,P6/TrRoad_ene!P6)</f>
        <v>2.6418708000000004</v>
      </c>
      <c r="Q50" s="97">
        <f>IF(Q6=0,0,Q6/TrRoad_ene!Q6)</f>
        <v>2.6418708000000004</v>
      </c>
      <c r="R50" s="97">
        <f>IF(R6=0,0,R6/TrRoad_ene!R6)</f>
        <v>2.6418708000000004</v>
      </c>
      <c r="S50" s="97">
        <f>IF(S6=0,0,S6/TrRoad_ene!S6)</f>
        <v>2.6418708000000004</v>
      </c>
      <c r="T50" s="97">
        <f>IF(T6=0,0,T6/TrRoad_ene!T6)</f>
        <v>2.6418708000000004</v>
      </c>
      <c r="U50" s="97">
        <f>IF(U6=0,0,U6/TrRoad_ene!U6)</f>
        <v>2.6418708000000004</v>
      </c>
      <c r="V50" s="97">
        <f>IF(V6=0,0,V6/TrRoad_ene!V6)</f>
        <v>2.6418708000000004</v>
      </c>
      <c r="W50" s="97">
        <f>IF(W6=0,0,W6/TrRoad_ene!W6)</f>
        <v>2.6418708000000004</v>
      </c>
      <c r="X50" s="97">
        <f>IF(X6=0,0,X6/TrRoad_ene!X6)</f>
        <v>2.6418708</v>
      </c>
      <c r="Y50" s="97">
        <f>IF(Y6=0,0,Y6/TrRoad_ene!Y6)</f>
        <v>2.6418708000000004</v>
      </c>
      <c r="DA50" s="175"/>
    </row>
    <row r="51" spans="1:105" ht="11.45" customHeight="1" x14ac:dyDescent="0.25">
      <c r="A51" s="92" t="s">
        <v>128</v>
      </c>
      <c r="B51" s="97">
        <f>IF(B9=0,0,(B9+B11)/(TrRoad_ene!B9+TrRoad_ene!B11))</f>
        <v>2.3478346896415441</v>
      </c>
      <c r="C51" s="97">
        <f>IF(C9=0,0,(C9+C11)/(TrRoad_ene!C9+TrRoad_ene!C11))</f>
        <v>2.347977088305115</v>
      </c>
      <c r="D51" s="97">
        <f>IF(D9=0,0,(D9+D11)/(TrRoad_ene!D9+TrRoad_ene!D11))</f>
        <v>2.3480847279317003</v>
      </c>
      <c r="E51" s="97">
        <f>IF(E9=0,0,(E9+E11)/(TrRoad_ene!E9+TrRoad_ene!E11))</f>
        <v>2.3482581314273157</v>
      </c>
      <c r="F51" s="97">
        <f>IF(F9=0,0,(F9+F11)/(TrRoad_ene!F9+TrRoad_ene!F11))</f>
        <v>2.348071915948621</v>
      </c>
      <c r="G51" s="97">
        <f>IF(G9=0,0,(G9+G11)/(TrRoad_ene!G9+TrRoad_ene!G11))</f>
        <v>2.3480291984128954</v>
      </c>
      <c r="H51" s="97">
        <f>IF(H9=0,0,(H9+H11)/(TrRoad_ene!H9+TrRoad_ene!H11))</f>
        <v>2.3480039236061896</v>
      </c>
      <c r="I51" s="97">
        <f>IF(I9=0,0,(I9+I11)/(TrRoad_ene!I9+TrRoad_ene!I11))</f>
        <v>2.3480311011676331</v>
      </c>
      <c r="J51" s="97">
        <f>IF(J9=0,0,(J9+J11)/(TrRoad_ene!J9+TrRoad_ene!J11))</f>
        <v>2.3481051125763819</v>
      </c>
      <c r="K51" s="97">
        <f>IF(K9=0,0,(K9+K11)/(TrRoad_ene!K9+TrRoad_ene!K11))</f>
        <v>2.3481266586866352</v>
      </c>
      <c r="L51" s="97">
        <f>IF(L9=0,0,(L9+L11)/(TrRoad_ene!L9+TrRoad_ene!L11))</f>
        <v>2.3482634846710169</v>
      </c>
      <c r="M51" s="97">
        <f>IF(M9=0,0,(M9+M11)/(TrRoad_ene!M9+TrRoad_ene!M11))</f>
        <v>2.3478264185678572</v>
      </c>
      <c r="N51" s="97">
        <f>IF(N9=0,0,(N9+N11)/(TrRoad_ene!N9+TrRoad_ene!N11))</f>
        <v>2.3471625943913823</v>
      </c>
      <c r="O51" s="97">
        <f>IF(O9=0,0,(O9+O11)/(TrRoad_ene!O9+TrRoad_ene!O11))</f>
        <v>2.3460386444617987</v>
      </c>
      <c r="P51" s="97">
        <f>IF(P9=0,0,(P9+P11)/(TrRoad_ene!P9+TrRoad_ene!P11))</f>
        <v>2.3446273538623443</v>
      </c>
      <c r="Q51" s="97">
        <f>IF(Q9=0,0,(Q9+Q11)/(TrRoad_ene!Q9+TrRoad_ene!Q11))</f>
        <v>2.3433725437336781</v>
      </c>
      <c r="R51" s="97">
        <f>IF(R9=0,0,(R9+R11)/(TrRoad_ene!R9+TrRoad_ene!R11))</f>
        <v>2.3434325235315914</v>
      </c>
      <c r="S51" s="97">
        <f>IF(S9=0,0,(S9+S11)/(TrRoad_ene!S9+TrRoad_ene!S11))</f>
        <v>2.3425772451388616</v>
      </c>
      <c r="T51" s="97">
        <f>IF(T9=0,0,(T9+T11)/(TrRoad_ene!T9+TrRoad_ene!T11))</f>
        <v>2.3419607479926525</v>
      </c>
      <c r="U51" s="97">
        <f>IF(U9=0,0,(U9+U11)/(TrRoad_ene!U9+TrRoad_ene!U11))</f>
        <v>2.3400770145738816</v>
      </c>
      <c r="V51" s="97">
        <f>IF(V9=0,0,(V9+V11)/(TrRoad_ene!V9+TrRoad_ene!V11))</f>
        <v>2.3361889053252924</v>
      </c>
      <c r="W51" s="97">
        <f>IF(W9=0,0,(W9+W11)/(TrRoad_ene!W9+TrRoad_ene!W11))</f>
        <v>2.3339591559190822</v>
      </c>
      <c r="X51" s="97">
        <f>IF(X9=0,0,(X9+X11)/(TrRoad_ene!X9+TrRoad_ene!X11))</f>
        <v>2.3282333333389422</v>
      </c>
      <c r="Y51" s="97">
        <f>IF(Y9=0,0,(Y9+Y11)/(TrRoad_ene!Y9+TrRoad_ene!Y11))</f>
        <v>2.3225852232037298</v>
      </c>
      <c r="DA51" s="175"/>
    </row>
    <row r="52" spans="1:105" ht="11.45" customHeight="1" x14ac:dyDescent="0.25">
      <c r="A52" s="85" t="s">
        <v>91</v>
      </c>
      <c r="B52" s="98">
        <f>IF(B15=0,0,B15/TrRoad_ene!B15)</f>
        <v>0</v>
      </c>
      <c r="C52" s="98">
        <f>IF(C15=0,0,C15/TrRoad_ene!C15)</f>
        <v>0</v>
      </c>
      <c r="D52" s="98">
        <f>IF(D15=0,0,D15/TrRoad_ene!D15)</f>
        <v>0</v>
      </c>
      <c r="E52" s="98">
        <f>IF(E15=0,0,E15/TrRoad_ene!E15)</f>
        <v>0</v>
      </c>
      <c r="F52" s="98">
        <f>IF(F15=0,0,F15/TrRoad_ene!F15)</f>
        <v>0</v>
      </c>
      <c r="G52" s="98">
        <f>IF(G15=0,0,G15/TrRoad_ene!G15)</f>
        <v>0</v>
      </c>
      <c r="H52" s="98">
        <f>IF(H15=0,0,H15/TrRoad_ene!H15)</f>
        <v>0</v>
      </c>
      <c r="I52" s="98">
        <f>IF(I15=0,0,I15/TrRoad_ene!I15)</f>
        <v>0</v>
      </c>
      <c r="J52" s="98">
        <f>IF(J15=0,0,J15/TrRoad_ene!J15)</f>
        <v>0</v>
      </c>
      <c r="K52" s="98">
        <f>IF(K15=0,0,K15/TrRoad_ene!K15)</f>
        <v>0</v>
      </c>
      <c r="L52" s="98">
        <f>IF(L15=0,0,L15/TrRoad_ene!L15)</f>
        <v>0</v>
      </c>
      <c r="M52" s="98">
        <f>IF(M15=0,0,M15/TrRoad_ene!M15)</f>
        <v>0</v>
      </c>
      <c r="N52" s="98">
        <f>IF(N15=0,0,N15/TrRoad_ene!N15)</f>
        <v>0</v>
      </c>
      <c r="O52" s="98">
        <f>IF(O15=0,0,O15/TrRoad_ene!O15)</f>
        <v>0</v>
      </c>
      <c r="P52" s="98">
        <f>IF(P15=0,0,P15/TrRoad_ene!P15)</f>
        <v>0</v>
      </c>
      <c r="Q52" s="98">
        <f>IF(Q15=0,0,Q15/TrRoad_ene!Q15)</f>
        <v>0</v>
      </c>
      <c r="R52" s="98">
        <f>IF(R15=0,0,R15/TrRoad_ene!R15)</f>
        <v>0</v>
      </c>
      <c r="S52" s="98">
        <f>IF(S15=0,0,S15/TrRoad_ene!S15)</f>
        <v>0</v>
      </c>
      <c r="T52" s="98">
        <f>IF(T15=0,0,T15/TrRoad_ene!T15)</f>
        <v>0</v>
      </c>
      <c r="U52" s="98">
        <f>IF(U15=0,0,U15/TrRoad_ene!U15)</f>
        <v>0</v>
      </c>
      <c r="V52" s="98">
        <f>IF(V15=0,0,V15/TrRoad_ene!V15)</f>
        <v>0</v>
      </c>
      <c r="W52" s="98">
        <f>IF(W15=0,0,W15/TrRoad_ene!W15)</f>
        <v>0</v>
      </c>
      <c r="X52" s="98">
        <f>IF(X15=0,0,X15/TrRoad_ene!X15)</f>
        <v>0</v>
      </c>
      <c r="Y52" s="98">
        <f>IF(Y15=0,0,Y15/TrRoad_ene!Y15)</f>
        <v>0</v>
      </c>
      <c r="DA52" s="178"/>
    </row>
    <row r="53" spans="1:105" x14ac:dyDescent="0.25">
      <c r="A53" s="106"/>
      <c r="B53" s="106"/>
      <c r="C53" s="106"/>
      <c r="D53" s="106"/>
      <c r="E53" s="106"/>
      <c r="F53" s="106"/>
      <c r="G53" s="106"/>
      <c r="H53" s="106"/>
      <c r="I53" s="106"/>
      <c r="J53" s="106"/>
      <c r="K53" s="106"/>
      <c r="L53" s="106"/>
      <c r="M53" s="106"/>
      <c r="N53" s="106"/>
      <c r="O53" s="106"/>
      <c r="P53" s="106"/>
      <c r="Q53" s="106"/>
      <c r="R53" s="106"/>
      <c r="S53" s="106"/>
      <c r="T53" s="106"/>
      <c r="U53" s="106"/>
      <c r="V53" s="106"/>
      <c r="W53" s="106"/>
      <c r="X53" s="106"/>
      <c r="Y53" s="106"/>
      <c r="DA53" s="171"/>
    </row>
    <row r="54" spans="1:105" ht="11.45" customHeight="1" x14ac:dyDescent="0.25">
      <c r="A54" s="53" t="s">
        <v>129</v>
      </c>
      <c r="B54" s="62">
        <f>IF(TrRoad_act!B30=0,0,B17/TrRoad_act!B30*1000
)</f>
        <v>268.39716220839887</v>
      </c>
      <c r="C54" s="62">
        <f>IF(TrRoad_act!C30=0,0,C17/TrRoad_act!C30*1000
)</f>
        <v>264.31291589656462</v>
      </c>
      <c r="D54" s="62">
        <f>IF(TrRoad_act!D30=0,0,D17/TrRoad_act!D30*1000
)</f>
        <v>264.25960677630547</v>
      </c>
      <c r="E54" s="62">
        <f>IF(TrRoad_act!E30=0,0,E17/TrRoad_act!E30*1000
)</f>
        <v>264.38733140906072</v>
      </c>
      <c r="F54" s="62">
        <f>IF(TrRoad_act!F30=0,0,F17/TrRoad_act!F30*1000
)</f>
        <v>261.60870522837246</v>
      </c>
      <c r="G54" s="62">
        <f>IF(TrRoad_act!G30=0,0,G17/TrRoad_act!G30*1000
)</f>
        <v>258.73211618344743</v>
      </c>
      <c r="H54" s="62">
        <f>IF(TrRoad_act!H30=0,0,H17/TrRoad_act!H30*1000
)</f>
        <v>263.30702275483475</v>
      </c>
      <c r="I54" s="62">
        <f>IF(TrRoad_act!I30=0,0,I17/TrRoad_act!I30*1000
)</f>
        <v>254.80716038618922</v>
      </c>
      <c r="J54" s="62">
        <f>IF(TrRoad_act!J30=0,0,J17/TrRoad_act!J30*1000
)</f>
        <v>252.71233469367394</v>
      </c>
      <c r="K54" s="62">
        <f>IF(TrRoad_act!K30=0,0,K17/TrRoad_act!K30*1000
)</f>
        <v>244.06542173630345</v>
      </c>
      <c r="L54" s="62">
        <f>IF(TrRoad_act!L30=0,0,L17/TrRoad_act!L30*1000
)</f>
        <v>249.13747173828497</v>
      </c>
      <c r="M54" s="62">
        <f>IF(TrRoad_act!M30=0,0,M17/TrRoad_act!M30*1000
)</f>
        <v>244.80072094437332</v>
      </c>
      <c r="N54" s="62">
        <f>IF(TrRoad_act!N30=0,0,N17/TrRoad_act!N30*1000
)</f>
        <v>245.82609882439991</v>
      </c>
      <c r="O54" s="62">
        <f>IF(TrRoad_act!O30=0,0,O17/TrRoad_act!O30*1000
)</f>
        <v>234.08888142088534</v>
      </c>
      <c r="P54" s="62">
        <f>IF(TrRoad_act!P30=0,0,P17/TrRoad_act!P30*1000
)</f>
        <v>214.90679342432097</v>
      </c>
      <c r="Q54" s="62">
        <f>IF(TrRoad_act!Q30=0,0,Q17/TrRoad_act!Q30*1000
)</f>
        <v>211.90213390748548</v>
      </c>
      <c r="R54" s="62">
        <f>IF(TrRoad_act!R30=0,0,R17/TrRoad_act!R30*1000
)</f>
        <v>208.30026576206237</v>
      </c>
      <c r="S54" s="62">
        <f>IF(TrRoad_act!S30=0,0,S17/TrRoad_act!S30*1000
)</f>
        <v>213.1314431739757</v>
      </c>
      <c r="T54" s="62">
        <f>IF(TrRoad_act!T30=0,0,T17/TrRoad_act!T30*1000
)</f>
        <v>213.82476628416441</v>
      </c>
      <c r="U54" s="62">
        <f>IF(TrRoad_act!U30=0,0,U17/TrRoad_act!U30*1000
)</f>
        <v>209.35565593584079</v>
      </c>
      <c r="V54" s="62">
        <f>IF(TrRoad_act!V30=0,0,V17/TrRoad_act!V30*1000
)</f>
        <v>208.62066932021008</v>
      </c>
      <c r="W54" s="62">
        <f>IF(TrRoad_act!W30=0,0,W17/TrRoad_act!W30*1000
)</f>
        <v>198.35632925785282</v>
      </c>
      <c r="X54" s="62">
        <f>IF(TrRoad_act!X30=0,0,X17/TrRoad_act!X30*1000
)</f>
        <v>184.79327542557053</v>
      </c>
      <c r="Y54" s="62">
        <f>IF(TrRoad_act!Y30=0,0,Y17/TrRoad_act!Y30*1000
)</f>
        <v>186.36210525295942</v>
      </c>
      <c r="DA54" s="172" t="s">
        <v>769</v>
      </c>
    </row>
    <row r="55" spans="1:105" ht="11.45" customHeight="1" x14ac:dyDescent="0.25">
      <c r="A55" s="27" t="s">
        <v>33</v>
      </c>
      <c r="B55" s="29">
        <f>IF(TrRoad_act!B31=0,0,B18/TrRoad_act!B31*1000
)</f>
        <v>199.47390540972251</v>
      </c>
      <c r="C55" s="29">
        <f>IF(TrRoad_act!C31=0,0,C18/TrRoad_act!C31*1000
)</f>
        <v>198.56920518929806</v>
      </c>
      <c r="D55" s="29">
        <f>IF(TrRoad_act!D31=0,0,D18/TrRoad_act!D31*1000
)</f>
        <v>198.37352482609279</v>
      </c>
      <c r="E55" s="29">
        <f>IF(TrRoad_act!E31=0,0,E18/TrRoad_act!E31*1000
)</f>
        <v>197.25905711088927</v>
      </c>
      <c r="F55" s="29">
        <f>IF(TrRoad_act!F31=0,0,F18/TrRoad_act!F31*1000
)</f>
        <v>193.58395376087279</v>
      </c>
      <c r="G55" s="29">
        <f>IF(TrRoad_act!G31=0,0,G18/TrRoad_act!G31*1000
)</f>
        <v>191.12556764497097</v>
      </c>
      <c r="H55" s="29">
        <f>IF(TrRoad_act!H31=0,0,H18/TrRoad_act!H31*1000
)</f>
        <v>192.93188682894817</v>
      </c>
      <c r="I55" s="29">
        <f>IF(TrRoad_act!I31=0,0,I18/TrRoad_act!I31*1000
)</f>
        <v>187.09974887303548</v>
      </c>
      <c r="J55" s="29">
        <f>IF(TrRoad_act!J31=0,0,J18/TrRoad_act!J31*1000
)</f>
        <v>184.24744748700121</v>
      </c>
      <c r="K55" s="29">
        <f>IF(TrRoad_act!K31=0,0,K18/TrRoad_act!K31*1000
)</f>
        <v>182.06072484484892</v>
      </c>
      <c r="L55" s="29">
        <f>IF(TrRoad_act!L31=0,0,L18/TrRoad_act!L31*1000
)</f>
        <v>182.54842551874296</v>
      </c>
      <c r="M55" s="29">
        <f>IF(TrRoad_act!M31=0,0,M18/TrRoad_act!M31*1000
)</f>
        <v>177.77765144986711</v>
      </c>
      <c r="N55" s="29">
        <f>IF(TrRoad_act!N31=0,0,N18/TrRoad_act!N31*1000
)</f>
        <v>178.87733275041475</v>
      </c>
      <c r="O55" s="29">
        <f>IF(TrRoad_act!O31=0,0,O18/TrRoad_act!O31*1000
)</f>
        <v>173.47041011584406</v>
      </c>
      <c r="P55" s="29">
        <f>IF(TrRoad_act!P31=0,0,P18/TrRoad_act!P31*1000
)</f>
        <v>166.7071834088531</v>
      </c>
      <c r="Q55" s="29">
        <f>IF(TrRoad_act!Q31=0,0,Q18/TrRoad_act!Q31*1000
)</f>
        <v>162.74831675287979</v>
      </c>
      <c r="R55" s="29">
        <f>IF(TrRoad_act!R31=0,0,R18/TrRoad_act!R31*1000
)</f>
        <v>160.87531540772741</v>
      </c>
      <c r="S55" s="29">
        <f>IF(TrRoad_act!S31=0,0,S18/TrRoad_act!S31*1000
)</f>
        <v>160.83238820203266</v>
      </c>
      <c r="T55" s="29">
        <f>IF(TrRoad_act!T31=0,0,T18/TrRoad_act!T31*1000
)</f>
        <v>157.63095896234051</v>
      </c>
      <c r="U55" s="29">
        <f>IF(TrRoad_act!U31=0,0,U18/TrRoad_act!U31*1000
)</f>
        <v>152.71318549786244</v>
      </c>
      <c r="V55" s="29">
        <f>IF(TrRoad_act!V31=0,0,V18/TrRoad_act!V31*1000
)</f>
        <v>145.25300616865744</v>
      </c>
      <c r="W55" s="29">
        <f>IF(TrRoad_act!W31=0,0,W18/TrRoad_act!W31*1000
)</f>
        <v>147.99640131595453</v>
      </c>
      <c r="X55" s="29">
        <f>IF(TrRoad_act!X31=0,0,X18/TrRoad_act!X31*1000
)</f>
        <v>136.26783877429685</v>
      </c>
      <c r="Y55" s="29">
        <f>IF(TrRoad_act!Y31=0,0,Y18/TrRoad_act!Y31*1000
)</f>
        <v>138.65608039207143</v>
      </c>
      <c r="DA55" s="173" t="s">
        <v>770</v>
      </c>
    </row>
    <row r="56" spans="1:105" ht="11.45" customHeight="1" x14ac:dyDescent="0.25">
      <c r="A56" s="136" t="s">
        <v>173</v>
      </c>
      <c r="B56" s="152">
        <f>IF(TrRoad_act!B32=0,0,B19/TrRoad_act!B32*1000
)</f>
        <v>124.21021945752828</v>
      </c>
      <c r="C56" s="152">
        <f>IF(TrRoad_act!C32=0,0,C19/TrRoad_act!C32*1000
)</f>
        <v>123.72976456648391</v>
      </c>
      <c r="D56" s="152">
        <f>IF(TrRoad_act!D32=0,0,D19/TrRoad_act!D32*1000
)</f>
        <v>122.3293132507538</v>
      </c>
      <c r="E56" s="152">
        <f>IF(TrRoad_act!E32=0,0,E19/TrRoad_act!E32*1000
)</f>
        <v>121.62109452326764</v>
      </c>
      <c r="F56" s="152">
        <f>IF(TrRoad_act!F32=0,0,F19/TrRoad_act!F32*1000
)</f>
        <v>120.74485365468503</v>
      </c>
      <c r="G56" s="152">
        <f>IF(TrRoad_act!G32=0,0,G19/TrRoad_act!G32*1000
)</f>
        <v>119.07227714253709</v>
      </c>
      <c r="H56" s="152">
        <f>IF(TrRoad_act!H32=0,0,H19/TrRoad_act!H32*1000
)</f>
        <v>115.40006944730625</v>
      </c>
      <c r="I56" s="152">
        <f>IF(TrRoad_act!I32=0,0,I19/TrRoad_act!I32*1000
)</f>
        <v>111.8609077691812</v>
      </c>
      <c r="J56" s="152">
        <f>IF(TrRoad_act!J32=0,0,J19/TrRoad_act!J32*1000
)</f>
        <v>109.29449076835699</v>
      </c>
      <c r="K56" s="152">
        <f>IF(TrRoad_act!K32=0,0,K19/TrRoad_act!K32*1000
)</f>
        <v>106.29358866478854</v>
      </c>
      <c r="L56" s="152">
        <f>IF(TrRoad_act!L32=0,0,L19/TrRoad_act!L32*1000
)</f>
        <v>104.4067688109251</v>
      </c>
      <c r="M56" s="152">
        <f>IF(TrRoad_act!M32=0,0,M19/TrRoad_act!M32*1000
)</f>
        <v>102.64340622935453</v>
      </c>
      <c r="N56" s="152">
        <f>IF(TrRoad_act!N32=0,0,N19/TrRoad_act!N32*1000
)</f>
        <v>102.23580036835209</v>
      </c>
      <c r="O56" s="152">
        <f>IF(TrRoad_act!O32=0,0,O19/TrRoad_act!O32*1000
)</f>
        <v>100.79002405680596</v>
      </c>
      <c r="P56" s="152">
        <f>IF(TrRoad_act!P32=0,0,P19/TrRoad_act!P32*1000
)</f>
        <v>99.228536716411767</v>
      </c>
      <c r="Q56" s="152">
        <f>IF(TrRoad_act!Q32=0,0,Q19/TrRoad_act!Q32*1000
)</f>
        <v>97.758525970322168</v>
      </c>
      <c r="R56" s="152">
        <f>IF(TrRoad_act!R32=0,0,R19/TrRoad_act!R32*1000
)</f>
        <v>96.65650492810957</v>
      </c>
      <c r="S56" s="152">
        <f>IF(TrRoad_act!S32=0,0,S19/TrRoad_act!S32*1000
)</f>
        <v>95.258230942221942</v>
      </c>
      <c r="T56" s="152">
        <f>IF(TrRoad_act!T32=0,0,T19/TrRoad_act!T32*1000
)</f>
        <v>93.405876412284584</v>
      </c>
      <c r="U56" s="152">
        <f>IF(TrRoad_act!U32=0,0,U19/TrRoad_act!U32*1000
)</f>
        <v>91.296361143092099</v>
      </c>
      <c r="V56" s="152">
        <f>IF(TrRoad_act!V32=0,0,V19/TrRoad_act!V32*1000
)</f>
        <v>88.429332701646331</v>
      </c>
      <c r="W56" s="152">
        <f>IF(TrRoad_act!W32=0,0,W19/TrRoad_act!W32*1000
)</f>
        <v>87.300809067900616</v>
      </c>
      <c r="X56" s="152">
        <f>IF(TrRoad_act!X32=0,0,X19/TrRoad_act!X32*1000
)</f>
        <v>86.374396526626455</v>
      </c>
      <c r="Y56" s="152">
        <f>IF(TrRoad_act!Y32=0,0,Y19/TrRoad_act!Y32*1000
)</f>
        <v>86.503726339156003</v>
      </c>
      <c r="DA56" s="174" t="s">
        <v>771</v>
      </c>
    </row>
    <row r="57" spans="1:105" ht="11.45" customHeight="1" x14ac:dyDescent="0.25">
      <c r="A57" s="109" t="s">
        <v>20</v>
      </c>
      <c r="B57" s="116">
        <f>IF(TrRoad_act!B33=0,0,B20/TrRoad_act!B33*1000
)</f>
        <v>190.707009416213</v>
      </c>
      <c r="C57" s="116">
        <f>IF(TrRoad_act!C33=0,0,C20/TrRoad_act!C33*1000
)</f>
        <v>190.3516770524121</v>
      </c>
      <c r="D57" s="116">
        <f>IF(TrRoad_act!D33=0,0,D20/TrRoad_act!D33*1000
)</f>
        <v>190.57472715015925</v>
      </c>
      <c r="E57" s="116">
        <f>IF(TrRoad_act!E33=0,0,E20/TrRoad_act!E33*1000
)</f>
        <v>189.81120916141009</v>
      </c>
      <c r="F57" s="116">
        <f>IF(TrRoad_act!F33=0,0,F20/TrRoad_act!F33*1000
)</f>
        <v>186.32526560872486</v>
      </c>
      <c r="G57" s="116">
        <f>IF(TrRoad_act!G33=0,0,G20/TrRoad_act!G33*1000
)</f>
        <v>184.07423581763865</v>
      </c>
      <c r="H57" s="116">
        <f>IF(TrRoad_act!H33=0,0,H20/TrRoad_act!H33*1000
)</f>
        <v>186.4639480727366</v>
      </c>
      <c r="I57" s="116">
        <f>IF(TrRoad_act!I33=0,0,I20/TrRoad_act!I33*1000
)</f>
        <v>181.26014624160197</v>
      </c>
      <c r="J57" s="116">
        <f>IF(TrRoad_act!J33=0,0,J20/TrRoad_act!J33*1000
)</f>
        <v>178.35047782973089</v>
      </c>
      <c r="K57" s="116">
        <f>IF(TrRoad_act!K33=0,0,K20/TrRoad_act!K33*1000
)</f>
        <v>176.13299976126405</v>
      </c>
      <c r="L57" s="116">
        <f>IF(TrRoad_act!L33=0,0,L20/TrRoad_act!L33*1000
)</f>
        <v>176.15514621601952</v>
      </c>
      <c r="M57" s="116">
        <f>IF(TrRoad_act!M33=0,0,M20/TrRoad_act!M33*1000
)</f>
        <v>171.77212871561301</v>
      </c>
      <c r="N57" s="116">
        <f>IF(TrRoad_act!N33=0,0,N20/TrRoad_act!N33*1000
)</f>
        <v>172.8767139858231</v>
      </c>
      <c r="O57" s="116">
        <f>IF(TrRoad_act!O33=0,0,O20/TrRoad_act!O33*1000
)</f>
        <v>168.21804058608751</v>
      </c>
      <c r="P57" s="116">
        <f>IF(TrRoad_act!P33=0,0,P20/TrRoad_act!P33*1000
)</f>
        <v>161.56526387885006</v>
      </c>
      <c r="Q57" s="116">
        <f>IF(TrRoad_act!Q33=0,0,Q20/TrRoad_act!Q33*1000
)</f>
        <v>157.69551559277397</v>
      </c>
      <c r="R57" s="116">
        <f>IF(TrRoad_act!R33=0,0,R20/TrRoad_act!R33*1000
)</f>
        <v>155.86783068518764</v>
      </c>
      <c r="S57" s="116">
        <f>IF(TrRoad_act!S33=0,0,S20/TrRoad_act!S33*1000
)</f>
        <v>155.3346368667876</v>
      </c>
      <c r="T57" s="116">
        <f>IF(TrRoad_act!T33=0,0,T20/TrRoad_act!T33*1000
)</f>
        <v>152.77449582934173</v>
      </c>
      <c r="U57" s="116">
        <f>IF(TrRoad_act!U33=0,0,U20/TrRoad_act!U33*1000
)</f>
        <v>148.63889772069723</v>
      </c>
      <c r="V57" s="116">
        <f>IF(TrRoad_act!V33=0,0,V20/TrRoad_act!V33*1000
)</f>
        <v>141.72866007267854</v>
      </c>
      <c r="W57" s="116">
        <f>IF(TrRoad_act!W33=0,0,W20/TrRoad_act!W33*1000
)</f>
        <v>145.47836535487548</v>
      </c>
      <c r="X57" s="116">
        <f>IF(TrRoad_act!X33=0,0,X20/TrRoad_act!X33*1000
)</f>
        <v>133.55125150377921</v>
      </c>
      <c r="Y57" s="116">
        <f>IF(TrRoad_act!Y33=0,0,Y20/TrRoad_act!Y33*1000
)</f>
        <v>136.41255451527553</v>
      </c>
      <c r="DA57" s="176" t="s">
        <v>772</v>
      </c>
    </row>
    <row r="58" spans="1:105" ht="11.45" customHeight="1" x14ac:dyDescent="0.25">
      <c r="A58" s="111" t="s">
        <v>110</v>
      </c>
      <c r="B58" s="87">
        <f>IF(TrRoad_act!B34=0,0,B21/TrRoad_act!B34*1000
)</f>
        <v>180.57977578173481</v>
      </c>
      <c r="C58" s="87">
        <f>IF(TrRoad_act!C34=0,0,C21/TrRoad_act!C34*1000
)</f>
        <v>185.46561881936492</v>
      </c>
      <c r="D58" s="87">
        <f>IF(TrRoad_act!D34=0,0,D21/TrRoad_act!D34*1000
)</f>
        <v>186.46320431331085</v>
      </c>
      <c r="E58" s="87">
        <f>IF(TrRoad_act!E34=0,0,E21/TrRoad_act!E34*1000
)</f>
        <v>187.41092864737075</v>
      </c>
      <c r="F58" s="87">
        <f>IF(TrRoad_act!F34=0,0,F21/TrRoad_act!F34*1000
)</f>
        <v>182.34193671396955</v>
      </c>
      <c r="G58" s="87">
        <f>IF(TrRoad_act!G34=0,0,G21/TrRoad_act!G34*1000
)</f>
        <v>178.7130639953894</v>
      </c>
      <c r="H58" s="87">
        <f>IF(TrRoad_act!H34=0,0,H21/TrRoad_act!H34*1000
)</f>
        <v>181.94286333606408</v>
      </c>
      <c r="I58" s="87">
        <f>IF(TrRoad_act!I34=0,0,I21/TrRoad_act!I34*1000
)</f>
        <v>178.42662514779985</v>
      </c>
      <c r="J58" s="87">
        <f>IF(TrRoad_act!J34=0,0,J21/TrRoad_act!J34*1000
)</f>
        <v>171.87930438146856</v>
      </c>
      <c r="K58" s="87">
        <f>IF(TrRoad_act!K34=0,0,K21/TrRoad_act!K34*1000
)</f>
        <v>168.76337107146466</v>
      </c>
      <c r="L58" s="87">
        <f>IF(TrRoad_act!L34=0,0,L21/TrRoad_act!L34*1000
)</f>
        <v>167.63336241029421</v>
      </c>
      <c r="M58" s="87">
        <f>IF(TrRoad_act!M34=0,0,M21/TrRoad_act!M34*1000
)</f>
        <v>164.65266588145397</v>
      </c>
      <c r="N58" s="87">
        <f>IF(TrRoad_act!N34=0,0,N21/TrRoad_act!N34*1000
)</f>
        <v>167.2182832759577</v>
      </c>
      <c r="O58" s="87">
        <f>IF(TrRoad_act!O34=0,0,O21/TrRoad_act!O34*1000
)</f>
        <v>163.07138492058536</v>
      </c>
      <c r="P58" s="87">
        <f>IF(TrRoad_act!P34=0,0,P21/TrRoad_act!P34*1000
)</f>
        <v>158.36051242463756</v>
      </c>
      <c r="Q58" s="87">
        <f>IF(TrRoad_act!Q34=0,0,Q21/TrRoad_act!Q34*1000
)</f>
        <v>155.43882256588401</v>
      </c>
      <c r="R58" s="87">
        <f>IF(TrRoad_act!R34=0,0,R21/TrRoad_act!R34*1000
)</f>
        <v>153.32892125733918</v>
      </c>
      <c r="S58" s="87">
        <f>IF(TrRoad_act!S34=0,0,S21/TrRoad_act!S34*1000
)</f>
        <v>154.65931769509922</v>
      </c>
      <c r="T58" s="87">
        <f>IF(TrRoad_act!T34=0,0,T21/TrRoad_act!T34*1000
)</f>
        <v>154.4229702870301</v>
      </c>
      <c r="U58" s="87">
        <f>IF(TrRoad_act!U34=0,0,U21/TrRoad_act!U34*1000
)</f>
        <v>153.04779803300906</v>
      </c>
      <c r="V58" s="87">
        <f>IF(TrRoad_act!V34=0,0,V21/TrRoad_act!V34*1000
)</f>
        <v>145.75636189303486</v>
      </c>
      <c r="W58" s="87">
        <f>IF(TrRoad_act!W34=0,0,W21/TrRoad_act!W34*1000
)</f>
        <v>155.41635802656322</v>
      </c>
      <c r="X58" s="87">
        <f>IF(TrRoad_act!X34=0,0,X21/TrRoad_act!X34*1000
)</f>
        <v>140.83598591917584</v>
      </c>
      <c r="Y58" s="87">
        <f>IF(TrRoad_act!Y34=0,0,Y21/TrRoad_act!Y34*1000
)</f>
        <v>149.84524808423291</v>
      </c>
      <c r="DA58" s="171" t="s">
        <v>773</v>
      </c>
    </row>
    <row r="59" spans="1:105" ht="11.45" customHeight="1" x14ac:dyDescent="0.25">
      <c r="A59" s="111" t="s">
        <v>111</v>
      </c>
      <c r="B59" s="87">
        <f>IF(TrRoad_act!B35=0,0,B22/TrRoad_act!B35*1000
)</f>
        <v>220.75105253238843</v>
      </c>
      <c r="C59" s="87">
        <f>IF(TrRoad_act!C35=0,0,C22/TrRoad_act!C35*1000
)</f>
        <v>208.44732186504473</v>
      </c>
      <c r="D59" s="87">
        <f>IF(TrRoad_act!D35=0,0,D22/TrRoad_act!D35*1000
)</f>
        <v>205.12819651696626</v>
      </c>
      <c r="E59" s="87">
        <f>IF(TrRoad_act!E35=0,0,E22/TrRoad_act!E35*1000
)</f>
        <v>202.66544299089247</v>
      </c>
      <c r="F59" s="87">
        <f>IF(TrRoad_act!F35=0,0,F22/TrRoad_act!F35*1000
)</f>
        <v>200.5469890997299</v>
      </c>
      <c r="G59" s="87">
        <f>IF(TrRoad_act!G35=0,0,G22/TrRoad_act!G35*1000
)</f>
        <v>198.67789128130011</v>
      </c>
      <c r="H59" s="87">
        <f>IF(TrRoad_act!H35=0,0,H22/TrRoad_act!H35*1000
)</f>
        <v>197.21602228489394</v>
      </c>
      <c r="I59" s="87">
        <f>IF(TrRoad_act!I35=0,0,I22/TrRoad_act!I35*1000
)</f>
        <v>190.35626399270319</v>
      </c>
      <c r="J59" s="87">
        <f>IF(TrRoad_act!J35=0,0,J22/TrRoad_act!J35*1000
)</f>
        <v>191.12483345199507</v>
      </c>
      <c r="K59" s="87">
        <f>IF(TrRoad_act!K35=0,0,K22/TrRoad_act!K35*1000
)</f>
        <v>187.89533682843495</v>
      </c>
      <c r="L59" s="87">
        <f>IF(TrRoad_act!L35=0,0,L22/TrRoad_act!L35*1000
)</f>
        <v>190.26977285506405</v>
      </c>
      <c r="M59" s="87">
        <f>IF(TrRoad_act!M35=0,0,M22/TrRoad_act!M35*1000
)</f>
        <v>182.63892157338128</v>
      </c>
      <c r="N59" s="87">
        <f>IF(TrRoad_act!N35=0,0,N22/TrRoad_act!N35*1000
)</f>
        <v>177.37316468999626</v>
      </c>
      <c r="O59" s="87">
        <f>IF(TrRoad_act!O35=0,0,O22/TrRoad_act!O35*1000
)</f>
        <v>173.51392484616184</v>
      </c>
      <c r="P59" s="87">
        <f>IF(TrRoad_act!P35=0,0,P22/TrRoad_act!P35*1000
)</f>
        <v>167.00976219611672</v>
      </c>
      <c r="Q59" s="87">
        <f>IF(TrRoad_act!Q35=0,0,Q22/TrRoad_act!Q35*1000
)</f>
        <v>164.07649401883629</v>
      </c>
      <c r="R59" s="87">
        <f>IF(TrRoad_act!R35=0,0,R22/TrRoad_act!R35*1000
)</f>
        <v>163.27417574928512</v>
      </c>
      <c r="S59" s="87">
        <f>IF(TrRoad_act!S35=0,0,S22/TrRoad_act!S35*1000
)</f>
        <v>159.97158812943408</v>
      </c>
      <c r="T59" s="87">
        <f>IF(TrRoad_act!T35=0,0,T22/TrRoad_act!T35*1000
)</f>
        <v>153.58540013480101</v>
      </c>
      <c r="U59" s="87">
        <f>IF(TrRoad_act!U35=0,0,U22/TrRoad_act!U35*1000
)</f>
        <v>148.50743053789111</v>
      </c>
      <c r="V59" s="87">
        <f>IF(TrRoad_act!V35=0,0,V22/TrRoad_act!V35*1000
)</f>
        <v>147.8996623103057</v>
      </c>
      <c r="W59" s="87">
        <f>IF(TrRoad_act!W35=0,0,W22/TrRoad_act!W35*1000
)</f>
        <v>145.60178715761487</v>
      </c>
      <c r="X59" s="87">
        <f>IF(TrRoad_act!X35=0,0,X22/TrRoad_act!X35*1000
)</f>
        <v>146.81308728246952</v>
      </c>
      <c r="Y59" s="87">
        <f>IF(TrRoad_act!Y35=0,0,Y22/TrRoad_act!Y35*1000
)</f>
        <v>145.54902437287456</v>
      </c>
      <c r="DA59" s="171" t="s">
        <v>774</v>
      </c>
    </row>
    <row r="60" spans="1:105" ht="11.45" customHeight="1" x14ac:dyDescent="0.25">
      <c r="A60" s="111" t="s">
        <v>112</v>
      </c>
      <c r="B60" s="87">
        <f>IF(TrRoad_act!B36=0,0,B23/TrRoad_act!B36*1000
)</f>
        <v>188.79618365535484</v>
      </c>
      <c r="C60" s="87">
        <f>IF(TrRoad_act!C36=0,0,C23/TrRoad_act!C36*1000
)</f>
        <v>176.49609764533014</v>
      </c>
      <c r="D60" s="87">
        <f>IF(TrRoad_act!D36=0,0,D23/TrRoad_act!D36*1000
)</f>
        <v>177.61451220788615</v>
      </c>
      <c r="E60" s="87">
        <f>IF(TrRoad_act!E36=0,0,E23/TrRoad_act!E36*1000
)</f>
        <v>164.15821401158021</v>
      </c>
      <c r="F60" s="87">
        <f>IF(TrRoad_act!F36=0,0,F23/TrRoad_act!F36*1000
)</f>
        <v>167.06344968664172</v>
      </c>
      <c r="G60" s="87">
        <f>IF(TrRoad_act!G36=0,0,G23/TrRoad_act!G36*1000
)</f>
        <v>172.65064072037745</v>
      </c>
      <c r="H60" s="87">
        <f>IF(TrRoad_act!H36=0,0,H23/TrRoad_act!H36*1000
)</f>
        <v>180.3654722989468</v>
      </c>
      <c r="I60" s="87">
        <f>IF(TrRoad_act!I36=0,0,I23/TrRoad_act!I36*1000
)</f>
        <v>162.48855906385</v>
      </c>
      <c r="J60" s="87">
        <f>IF(TrRoad_act!J36=0,0,J23/TrRoad_act!J36*1000
)</f>
        <v>182.56264770820491</v>
      </c>
      <c r="K60" s="87">
        <f>IF(TrRoad_act!K36=0,0,K23/TrRoad_act!K36*1000
)</f>
        <v>204.63669037139519</v>
      </c>
      <c r="L60" s="87">
        <f>IF(TrRoad_act!L36=0,0,L23/TrRoad_act!L36*1000
)</f>
        <v>211.46512491648406</v>
      </c>
      <c r="M60" s="87">
        <f>IF(TrRoad_act!M36=0,0,M23/TrRoad_act!M36*1000
)</f>
        <v>217.86214006400357</v>
      </c>
      <c r="N60" s="87">
        <f>IF(TrRoad_act!N36=0,0,N23/TrRoad_act!N36*1000
)</f>
        <v>260.10169786165358</v>
      </c>
      <c r="O60" s="87">
        <f>IF(TrRoad_act!O36=0,0,O23/TrRoad_act!O36*1000
)</f>
        <v>248.89961123252107</v>
      </c>
      <c r="P60" s="87">
        <f>IF(TrRoad_act!P36=0,0,P23/TrRoad_act!P36*1000
)</f>
        <v>202.71360355967062</v>
      </c>
      <c r="Q60" s="87">
        <f>IF(TrRoad_act!Q36=0,0,Q23/TrRoad_act!Q36*1000
)</f>
        <v>187.88361241977586</v>
      </c>
      <c r="R60" s="87">
        <f>IF(TrRoad_act!R36=0,0,R23/TrRoad_act!R36*1000
)</f>
        <v>202.39278919519916</v>
      </c>
      <c r="S60" s="87">
        <f>IF(TrRoad_act!S36=0,0,S23/TrRoad_act!S36*1000
)</f>
        <v>190.82104694344261</v>
      </c>
      <c r="T60" s="87">
        <f>IF(TrRoad_act!T36=0,0,T23/TrRoad_act!T36*1000
)</f>
        <v>188.41741318355596</v>
      </c>
      <c r="U60" s="87">
        <f>IF(TrRoad_act!U36=0,0,U23/TrRoad_act!U36*1000
)</f>
        <v>156.96527090190511</v>
      </c>
      <c r="V60" s="87">
        <f>IF(TrRoad_act!V36=0,0,V23/TrRoad_act!V36*1000
)</f>
        <v>165.77888173526978</v>
      </c>
      <c r="W60" s="87">
        <f>IF(TrRoad_act!W36=0,0,W23/TrRoad_act!W36*1000
)</f>
        <v>186.78873020825603</v>
      </c>
      <c r="X60" s="87">
        <f>IF(TrRoad_act!X36=0,0,X23/TrRoad_act!X36*1000
)</f>
        <v>188.84370403864639</v>
      </c>
      <c r="Y60" s="87">
        <f>IF(TrRoad_act!Y36=0,0,Y23/TrRoad_act!Y36*1000
)</f>
        <v>172.48106386442453</v>
      </c>
      <c r="DA60" s="171" t="s">
        <v>775</v>
      </c>
    </row>
    <row r="61" spans="1:105" ht="11.45" customHeight="1" x14ac:dyDescent="0.25">
      <c r="A61" s="111" t="s">
        <v>113</v>
      </c>
      <c r="B61" s="87">
        <f>IF(TrRoad_act!B37=0,0,B24/TrRoad_act!B37*1000
)</f>
        <v>0</v>
      </c>
      <c r="C61" s="87">
        <f>IF(TrRoad_act!C37=0,0,C24/TrRoad_act!C37*1000
)</f>
        <v>0</v>
      </c>
      <c r="D61" s="87">
        <f>IF(TrRoad_act!D37=0,0,D24/TrRoad_act!D37*1000
)</f>
        <v>0</v>
      </c>
      <c r="E61" s="87">
        <f>IF(TrRoad_act!E37=0,0,E24/TrRoad_act!E37*1000
)</f>
        <v>0</v>
      </c>
      <c r="F61" s="87">
        <f>IF(TrRoad_act!F37=0,0,F24/TrRoad_act!F37*1000
)</f>
        <v>0</v>
      </c>
      <c r="G61" s="87">
        <f>IF(TrRoad_act!G37=0,0,G24/TrRoad_act!G37*1000
)</f>
        <v>0</v>
      </c>
      <c r="H61" s="87">
        <f>IF(TrRoad_act!H37=0,0,H24/TrRoad_act!H37*1000
)</f>
        <v>0</v>
      </c>
      <c r="I61" s="87">
        <f>IF(TrRoad_act!I37=0,0,I24/TrRoad_act!I37*1000
)</f>
        <v>0</v>
      </c>
      <c r="J61" s="87">
        <f>IF(TrRoad_act!J37=0,0,J24/TrRoad_act!J37*1000
)</f>
        <v>0</v>
      </c>
      <c r="K61" s="87">
        <f>IF(TrRoad_act!K37=0,0,K24/TrRoad_act!K37*1000
)</f>
        <v>0</v>
      </c>
      <c r="L61" s="87">
        <f>IF(TrRoad_act!L37=0,0,L24/TrRoad_act!L37*1000
)</f>
        <v>185.92919310831874</v>
      </c>
      <c r="M61" s="87">
        <f>IF(TrRoad_act!M37=0,0,M24/TrRoad_act!M37*1000
)</f>
        <v>185.01103809757907</v>
      </c>
      <c r="N61" s="87">
        <f>IF(TrRoad_act!N37=0,0,N24/TrRoad_act!N37*1000
)</f>
        <v>172.29653931903997</v>
      </c>
      <c r="O61" s="87">
        <f>IF(TrRoad_act!O37=0,0,O24/TrRoad_act!O37*1000
)</f>
        <v>166.06513704679568</v>
      </c>
      <c r="P61" s="87">
        <f>IF(TrRoad_act!P37=0,0,P24/TrRoad_act!P37*1000
)</f>
        <v>149.69035392027266</v>
      </c>
      <c r="Q61" s="87">
        <f>IF(TrRoad_act!Q37=0,0,Q24/TrRoad_act!Q37*1000
)</f>
        <v>148.40552667060376</v>
      </c>
      <c r="R61" s="87">
        <f>IF(TrRoad_act!R37=0,0,R24/TrRoad_act!R37*1000
)</f>
        <v>128.65816250936555</v>
      </c>
      <c r="S61" s="87">
        <f>IF(TrRoad_act!S37=0,0,S24/TrRoad_act!S37*1000
)</f>
        <v>154.04324864518102</v>
      </c>
      <c r="T61" s="87">
        <f>IF(TrRoad_act!T37=0,0,T24/TrRoad_act!T37*1000
)</f>
        <v>172.9650510721122</v>
      </c>
      <c r="U61" s="87">
        <f>IF(TrRoad_act!U37=0,0,U24/TrRoad_act!U37*1000
)</f>
        <v>173.66658638526317</v>
      </c>
      <c r="V61" s="87">
        <f>IF(TrRoad_act!V37=0,0,V24/TrRoad_act!V37*1000
)</f>
        <v>174.84258038168988</v>
      </c>
      <c r="W61" s="87">
        <f>IF(TrRoad_act!W37=0,0,W24/TrRoad_act!W37*1000
)</f>
        <v>179.57314356581196</v>
      </c>
      <c r="X61" s="87">
        <f>IF(TrRoad_act!X37=0,0,X24/TrRoad_act!X37*1000
)</f>
        <v>179.9242919318076</v>
      </c>
      <c r="Y61" s="87">
        <f>IF(TrRoad_act!Y37=0,0,Y24/TrRoad_act!Y37*1000
)</f>
        <v>174.79276983943188</v>
      </c>
      <c r="DA61" s="171" t="s">
        <v>776</v>
      </c>
    </row>
    <row r="62" spans="1:105" ht="11.45" customHeight="1" x14ac:dyDescent="0.25">
      <c r="A62" s="111" t="s">
        <v>114</v>
      </c>
      <c r="B62" s="87">
        <f>IF(TrRoad_act!B38=0,0,B25/TrRoad_act!B38*1000
)</f>
        <v>0</v>
      </c>
      <c r="C62" s="87">
        <f>IF(TrRoad_act!C38=0,0,C25/TrRoad_act!C38*1000
)</f>
        <v>0</v>
      </c>
      <c r="D62" s="87">
        <f>IF(TrRoad_act!D38=0,0,D25/TrRoad_act!D38*1000
)</f>
        <v>0</v>
      </c>
      <c r="E62" s="87">
        <f>IF(TrRoad_act!E38=0,0,E25/TrRoad_act!E38*1000
)</f>
        <v>0</v>
      </c>
      <c r="F62" s="87">
        <f>IF(TrRoad_act!F38=0,0,F25/TrRoad_act!F38*1000
)</f>
        <v>0</v>
      </c>
      <c r="G62" s="87">
        <f>IF(TrRoad_act!G38=0,0,G25/TrRoad_act!G38*1000
)</f>
        <v>0</v>
      </c>
      <c r="H62" s="87">
        <f>IF(TrRoad_act!H38=0,0,H25/TrRoad_act!H38*1000
)</f>
        <v>0</v>
      </c>
      <c r="I62" s="87">
        <f>IF(TrRoad_act!I38=0,0,I25/TrRoad_act!I38*1000
)</f>
        <v>0</v>
      </c>
      <c r="J62" s="87">
        <f>IF(TrRoad_act!J38=0,0,J25/TrRoad_act!J38*1000
)</f>
        <v>0</v>
      </c>
      <c r="K62" s="87">
        <f>IF(TrRoad_act!K38=0,0,K25/TrRoad_act!K38*1000
)</f>
        <v>0</v>
      </c>
      <c r="L62" s="87">
        <f>IF(TrRoad_act!L38=0,0,L25/TrRoad_act!L38*1000
)</f>
        <v>0</v>
      </c>
      <c r="M62" s="87">
        <f>IF(TrRoad_act!M38=0,0,M25/TrRoad_act!M38*1000
)</f>
        <v>52.249038473868531</v>
      </c>
      <c r="N62" s="87">
        <f>IF(TrRoad_act!N38=0,0,N25/TrRoad_act!N38*1000
)</f>
        <v>31.388483936708351</v>
      </c>
      <c r="O62" s="87">
        <f>IF(TrRoad_act!O38=0,0,O25/TrRoad_act!O38*1000
)</f>
        <v>34.428750386901989</v>
      </c>
      <c r="P62" s="87">
        <f>IF(TrRoad_act!P38=0,0,P25/TrRoad_act!P38*1000
)</f>
        <v>50.792202913398377</v>
      </c>
      <c r="Q62" s="87">
        <f>IF(TrRoad_act!Q38=0,0,Q25/TrRoad_act!Q38*1000
)</f>
        <v>45.572567373469695</v>
      </c>
      <c r="R62" s="87">
        <f>IF(TrRoad_act!R38=0,0,R25/TrRoad_act!R38*1000
)</f>
        <v>45.077342009858988</v>
      </c>
      <c r="S62" s="87">
        <f>IF(TrRoad_act!S38=0,0,S25/TrRoad_act!S38*1000
)</f>
        <v>46.332278314710649</v>
      </c>
      <c r="T62" s="87">
        <f>IF(TrRoad_act!T38=0,0,T25/TrRoad_act!T38*1000
)</f>
        <v>47.340588621280482</v>
      </c>
      <c r="U62" s="87">
        <f>IF(TrRoad_act!U38=0,0,U25/TrRoad_act!U38*1000
)</f>
        <v>47.915188993414027</v>
      </c>
      <c r="V62" s="87">
        <f>IF(TrRoad_act!V38=0,0,V25/TrRoad_act!V38*1000
)</f>
        <v>48.534572471001916</v>
      </c>
      <c r="W62" s="87">
        <f>IF(TrRoad_act!W38=0,0,W25/TrRoad_act!W38*1000
)</f>
        <v>48.801056896138263</v>
      </c>
      <c r="X62" s="87">
        <f>IF(TrRoad_act!X38=0,0,X25/TrRoad_act!X38*1000
)</f>
        <v>41.146415805342286</v>
      </c>
      <c r="Y62" s="87">
        <f>IF(TrRoad_act!Y38=0,0,Y25/TrRoad_act!Y38*1000
)</f>
        <v>39.686811677416884</v>
      </c>
      <c r="DA62" s="171" t="s">
        <v>777</v>
      </c>
    </row>
    <row r="63" spans="1:105" ht="11.45" customHeight="1" x14ac:dyDescent="0.25">
      <c r="A63" s="111" t="s">
        <v>115</v>
      </c>
      <c r="B63" s="87">
        <f>IF(TrRoad_act!B39=0,0,B26/TrRoad_act!B39*1000
)</f>
        <v>0</v>
      </c>
      <c r="C63" s="87">
        <f>IF(TrRoad_act!C39=0,0,C26/TrRoad_act!C39*1000
)</f>
        <v>0</v>
      </c>
      <c r="D63" s="87">
        <f>IF(TrRoad_act!D39=0,0,D26/TrRoad_act!D39*1000
)</f>
        <v>0</v>
      </c>
      <c r="E63" s="87">
        <f>IF(TrRoad_act!E39=0,0,E26/TrRoad_act!E39*1000
)</f>
        <v>0</v>
      </c>
      <c r="F63" s="87">
        <f>IF(TrRoad_act!F39=0,0,F26/TrRoad_act!F39*1000
)</f>
        <v>0</v>
      </c>
      <c r="G63" s="87">
        <f>IF(TrRoad_act!G39=0,0,G26/TrRoad_act!G39*1000
)</f>
        <v>0</v>
      </c>
      <c r="H63" s="87">
        <f>IF(TrRoad_act!H39=0,0,H26/TrRoad_act!H39*1000
)</f>
        <v>0</v>
      </c>
      <c r="I63" s="87">
        <f>IF(TrRoad_act!I39=0,0,I26/TrRoad_act!I39*1000
)</f>
        <v>0</v>
      </c>
      <c r="J63" s="87">
        <f>IF(TrRoad_act!J39=0,0,J26/TrRoad_act!J39*1000
)</f>
        <v>0</v>
      </c>
      <c r="K63" s="87">
        <f>IF(TrRoad_act!K39=0,0,K26/TrRoad_act!K39*1000
)</f>
        <v>0</v>
      </c>
      <c r="L63" s="87">
        <f>IF(TrRoad_act!L39=0,0,L26/TrRoad_act!L39*1000
)</f>
        <v>0</v>
      </c>
      <c r="M63" s="87">
        <f>IF(TrRoad_act!M39=0,0,M26/TrRoad_act!M39*1000
)</f>
        <v>0</v>
      </c>
      <c r="N63" s="87">
        <f>IF(TrRoad_act!N39=0,0,N26/TrRoad_act!N39*1000
)</f>
        <v>0</v>
      </c>
      <c r="O63" s="87">
        <f>IF(TrRoad_act!O39=0,0,O26/TrRoad_act!O39*1000
)</f>
        <v>0</v>
      </c>
      <c r="P63" s="87">
        <f>IF(TrRoad_act!P39=0,0,P26/TrRoad_act!P39*1000
)</f>
        <v>0</v>
      </c>
      <c r="Q63" s="87">
        <f>IF(TrRoad_act!Q39=0,0,Q26/TrRoad_act!Q39*1000
)</f>
        <v>0</v>
      </c>
      <c r="R63" s="87">
        <f>IF(TrRoad_act!R39=0,0,R26/TrRoad_act!R39*1000
)</f>
        <v>0</v>
      </c>
      <c r="S63" s="87">
        <f>IF(TrRoad_act!S39=0,0,S26/TrRoad_act!S39*1000
)</f>
        <v>0</v>
      </c>
      <c r="T63" s="87">
        <f>IF(TrRoad_act!T39=0,0,T26/TrRoad_act!T39*1000
)</f>
        <v>0</v>
      </c>
      <c r="U63" s="87">
        <f>IF(TrRoad_act!U39=0,0,U26/TrRoad_act!U39*1000
)</f>
        <v>0</v>
      </c>
      <c r="V63" s="87">
        <f>IF(TrRoad_act!V39=0,0,V26/TrRoad_act!V39*1000
)</f>
        <v>0</v>
      </c>
      <c r="W63" s="87">
        <f>IF(TrRoad_act!W39=0,0,W26/TrRoad_act!W39*1000
)</f>
        <v>0</v>
      </c>
      <c r="X63" s="87">
        <f>IF(TrRoad_act!X39=0,0,X26/TrRoad_act!X39*1000
)</f>
        <v>0</v>
      </c>
      <c r="Y63" s="87">
        <f>IF(TrRoad_act!Y39=0,0,Y26/TrRoad_act!Y39*1000
)</f>
        <v>0</v>
      </c>
      <c r="DA63" s="171" t="s">
        <v>778</v>
      </c>
    </row>
    <row r="64" spans="1:105" ht="11.45" customHeight="1" x14ac:dyDescent="0.25">
      <c r="A64" s="109" t="s">
        <v>21</v>
      </c>
      <c r="B64" s="116">
        <f>IF(TrRoad_act!B40=0,0,B27/TrRoad_act!B40*1000
)</f>
        <v>1890.2168776789636</v>
      </c>
      <c r="C64" s="116">
        <f>IF(TrRoad_act!C40=0,0,C27/TrRoad_act!C40*1000
)</f>
        <v>1841.585873376225</v>
      </c>
      <c r="D64" s="116">
        <f>IF(TrRoad_act!D40=0,0,D27/TrRoad_act!D40*1000
)</f>
        <v>1822.3155853220228</v>
      </c>
      <c r="E64" s="116">
        <f>IF(TrRoad_act!E40=0,0,E27/TrRoad_act!E40*1000
)</f>
        <v>1803.7995854240162</v>
      </c>
      <c r="F64" s="116">
        <f>IF(TrRoad_act!F40=0,0,F27/TrRoad_act!F40*1000
)</f>
        <v>1783.4826062665711</v>
      </c>
      <c r="G64" s="116">
        <f>IF(TrRoad_act!G40=0,0,G27/TrRoad_act!G40*1000
)</f>
        <v>1762.6322218321341</v>
      </c>
      <c r="H64" s="116">
        <f>IF(TrRoad_act!H40=0,0,H27/TrRoad_act!H40*1000
)</f>
        <v>1742.4885943963382</v>
      </c>
      <c r="I64" s="116">
        <f>IF(TrRoad_act!I40=0,0,I27/TrRoad_act!I40*1000
)</f>
        <v>1671.5782999972837</v>
      </c>
      <c r="J64" s="116">
        <f>IF(TrRoad_act!J40=0,0,J27/TrRoad_act!J40*1000
)</f>
        <v>1678.0423984141539</v>
      </c>
      <c r="K64" s="116">
        <f>IF(TrRoad_act!K40=0,0,K27/TrRoad_act!K40*1000
)</f>
        <v>1645.0271498084051</v>
      </c>
      <c r="L64" s="116">
        <f>IF(TrRoad_act!L40=0,0,L27/TrRoad_act!L40*1000
)</f>
        <v>1671.593633230357</v>
      </c>
      <c r="M64" s="116">
        <f>IF(TrRoad_act!M40=0,0,M27/TrRoad_act!M40*1000
)</f>
        <v>1638.9895094429671</v>
      </c>
      <c r="N64" s="116">
        <f>IF(TrRoad_act!N40=0,0,N27/TrRoad_act!N40*1000
)</f>
        <v>1599.6687090618054</v>
      </c>
      <c r="O64" s="116">
        <f>IF(TrRoad_act!O40=0,0,O27/TrRoad_act!O40*1000
)</f>
        <v>1492.9351552640728</v>
      </c>
      <c r="P64" s="116">
        <f>IF(TrRoad_act!P40=0,0,P27/TrRoad_act!P40*1000
)</f>
        <v>1464.1453091487272</v>
      </c>
      <c r="Q64" s="116">
        <f>IF(TrRoad_act!Q40=0,0,Q27/TrRoad_act!Q40*1000
)</f>
        <v>1472.2374069052873</v>
      </c>
      <c r="R64" s="116">
        <f>IF(TrRoad_act!R40=0,0,R27/TrRoad_act!R40*1000
)</f>
        <v>1514.2234440040429</v>
      </c>
      <c r="S64" s="116">
        <f>IF(TrRoad_act!S40=0,0,S27/TrRoad_act!S40*1000
)</f>
        <v>1492.9720524524114</v>
      </c>
      <c r="T64" s="116">
        <f>IF(TrRoad_act!T40=0,0,T27/TrRoad_act!T40*1000
)</f>
        <v>1400.8128222907922</v>
      </c>
      <c r="U64" s="116">
        <f>IF(TrRoad_act!U40=0,0,U27/TrRoad_act!U40*1000
)</f>
        <v>1309.1443805506131</v>
      </c>
      <c r="V64" s="116">
        <f>IF(TrRoad_act!V40=0,0,V27/TrRoad_act!V40*1000
)</f>
        <v>1217.2439175975903</v>
      </c>
      <c r="W64" s="116">
        <f>IF(TrRoad_act!W40=0,0,W27/TrRoad_act!W40*1000
)</f>
        <v>1124.2168930959033</v>
      </c>
      <c r="X64" s="116">
        <f>IF(TrRoad_act!X40=0,0,X27/TrRoad_act!X40*1000
)</f>
        <v>1116.8624123487182</v>
      </c>
      <c r="Y64" s="116">
        <f>IF(TrRoad_act!Y40=0,0,Y27/TrRoad_act!Y40*1000
)</f>
        <v>1109.0144669462261</v>
      </c>
      <c r="DA64" s="176" t="s">
        <v>779</v>
      </c>
    </row>
    <row r="65" spans="1:105" ht="11.45" customHeight="1" x14ac:dyDescent="0.25">
      <c r="A65" s="111" t="s">
        <v>110</v>
      </c>
      <c r="B65" s="101">
        <f>IF(TrRoad_act!B41=0,0,B28/TrRoad_act!B41*1000
)</f>
        <v>539.84277316381201</v>
      </c>
      <c r="C65" s="101">
        <f>IF(TrRoad_act!C41=0,0,C28/TrRoad_act!C41*1000
)</f>
        <v>516.82892143231823</v>
      </c>
      <c r="D65" s="101">
        <f>IF(TrRoad_act!D41=0,0,D28/TrRoad_act!D41*1000
)</f>
        <v>502.90098214248388</v>
      </c>
      <c r="E65" s="101">
        <f>IF(TrRoad_act!E41=0,0,E28/TrRoad_act!E41*1000
)</f>
        <v>494.48168097963509</v>
      </c>
      <c r="F65" s="101">
        <f>IF(TrRoad_act!F41=0,0,F28/TrRoad_act!F41*1000
)</f>
        <v>493.31927359246293</v>
      </c>
      <c r="G65" s="101">
        <f>IF(TrRoad_act!G41=0,0,G28/TrRoad_act!G41*1000
)</f>
        <v>490.7363881505803</v>
      </c>
      <c r="H65" s="101">
        <f>IF(TrRoad_act!H41=0,0,H28/TrRoad_act!H41*1000
)</f>
        <v>486.96000201820505</v>
      </c>
      <c r="I65" s="101">
        <f>IF(TrRoad_act!I41=0,0,I28/TrRoad_act!I41*1000
)</f>
        <v>475.9639620607706</v>
      </c>
      <c r="J65" s="101">
        <f>IF(TrRoad_act!J41=0,0,J28/TrRoad_act!J41*1000
)</f>
        <v>473.67616044246796</v>
      </c>
      <c r="K65" s="101">
        <f>IF(TrRoad_act!K41=0,0,K28/TrRoad_act!K41*1000
)</f>
        <v>467.35515968476182</v>
      </c>
      <c r="L65" s="101">
        <f>IF(TrRoad_act!L41=0,0,L28/TrRoad_act!L41*1000
)</f>
        <v>459.31673769507876</v>
      </c>
      <c r="M65" s="101">
        <f>IF(TrRoad_act!M41=0,0,M28/TrRoad_act!M41*1000
)</f>
        <v>449.69330664274662</v>
      </c>
      <c r="N65" s="101">
        <f>IF(TrRoad_act!N41=0,0,N28/TrRoad_act!N41*1000
)</f>
        <v>433.64581752292452</v>
      </c>
      <c r="O65" s="101">
        <f>IF(TrRoad_act!O41=0,0,O28/TrRoad_act!O41*1000
)</f>
        <v>431.9917432029722</v>
      </c>
      <c r="P65" s="101">
        <f>IF(TrRoad_act!P41=0,0,P28/TrRoad_act!P41*1000
)</f>
        <v>430.37358228945351</v>
      </c>
      <c r="Q65" s="101">
        <f>IF(TrRoad_act!Q41=0,0,Q28/TrRoad_act!Q41*1000
)</f>
        <v>403.93777205514419</v>
      </c>
      <c r="R65" s="101">
        <f>IF(TrRoad_act!R41=0,0,R28/TrRoad_act!R41*1000
)</f>
        <v>400.05266867601983</v>
      </c>
      <c r="S65" s="101">
        <f>IF(TrRoad_act!S41=0,0,S28/TrRoad_act!S41*1000
)</f>
        <v>395.96767265012687</v>
      </c>
      <c r="T65" s="101">
        <f>IF(TrRoad_act!T41=0,0,T28/TrRoad_act!T41*1000
)</f>
        <v>388.90166762772407</v>
      </c>
      <c r="U65" s="101">
        <f>IF(TrRoad_act!U41=0,0,U28/TrRoad_act!U41*1000
)</f>
        <v>362.57131823574701</v>
      </c>
      <c r="V65" s="101">
        <f>IF(TrRoad_act!V41=0,0,V28/TrRoad_act!V41*1000
)</f>
        <v>354.7072344289893</v>
      </c>
      <c r="W65" s="101">
        <f>IF(TrRoad_act!W41=0,0,W28/TrRoad_act!W41*1000
)</f>
        <v>352.94916973647099</v>
      </c>
      <c r="X65" s="101">
        <f>IF(TrRoad_act!X41=0,0,X28/TrRoad_act!X41*1000
)</f>
        <v>348.77581026738739</v>
      </c>
      <c r="Y65" s="101">
        <f>IF(TrRoad_act!Y41=0,0,Y28/TrRoad_act!Y41*1000
)</f>
        <v>350.60826070894092</v>
      </c>
      <c r="DA65" s="175" t="s">
        <v>780</v>
      </c>
    </row>
    <row r="66" spans="1:105" ht="11.45" customHeight="1" x14ac:dyDescent="0.25">
      <c r="A66" s="111" t="s">
        <v>111</v>
      </c>
      <c r="B66" s="101">
        <f>IF(TrRoad_act!B42=0,0,B29/TrRoad_act!B42*1000
)</f>
        <v>1907.1469227635801</v>
      </c>
      <c r="C66" s="101">
        <f>IF(TrRoad_act!C42=0,0,C29/TrRoad_act!C42*1000
)</f>
        <v>1856.9468548594054</v>
      </c>
      <c r="D66" s="101">
        <f>IF(TrRoad_act!D42=0,0,D29/TrRoad_act!D42*1000
)</f>
        <v>1839.0031743358427</v>
      </c>
      <c r="E66" s="101">
        <f>IF(TrRoad_act!E42=0,0,E29/TrRoad_act!E42*1000
)</f>
        <v>1818.7654653475449</v>
      </c>
      <c r="F66" s="101">
        <f>IF(TrRoad_act!F42=0,0,F29/TrRoad_act!F42*1000
)</f>
        <v>1799.791535465954</v>
      </c>
      <c r="G66" s="101">
        <f>IF(TrRoad_act!G42=0,0,G29/TrRoad_act!G42*1000
)</f>
        <v>1780.2211926851508</v>
      </c>
      <c r="H66" s="101">
        <f>IF(TrRoad_act!H42=0,0,H29/TrRoad_act!H42*1000
)</f>
        <v>1761.3845744711509</v>
      </c>
      <c r="I66" s="101">
        <f>IF(TrRoad_act!I42=0,0,I29/TrRoad_act!I42*1000
)</f>
        <v>1690.5305359312879</v>
      </c>
      <c r="J66" s="101">
        <f>IF(TrRoad_act!J42=0,0,J29/TrRoad_act!J42*1000
)</f>
        <v>1697.8152153462909</v>
      </c>
      <c r="K66" s="101">
        <f>IF(TrRoad_act!K42=0,0,K29/TrRoad_act!K42*1000
)</f>
        <v>1672.9514770588078</v>
      </c>
      <c r="L66" s="101">
        <f>IF(TrRoad_act!L42=0,0,L29/TrRoad_act!L42*1000
)</f>
        <v>1708.8154008707186</v>
      </c>
      <c r="M66" s="101">
        <f>IF(TrRoad_act!M42=0,0,M29/TrRoad_act!M42*1000
)</f>
        <v>1686.4414727557087</v>
      </c>
      <c r="N66" s="101">
        <f>IF(TrRoad_act!N42=0,0,N29/TrRoad_act!N42*1000
)</f>
        <v>1676.6137730494893</v>
      </c>
      <c r="O66" s="101">
        <f>IF(TrRoad_act!O42=0,0,O29/TrRoad_act!O42*1000
)</f>
        <v>1671.1106328877145</v>
      </c>
      <c r="P66" s="101">
        <f>IF(TrRoad_act!P42=0,0,P29/TrRoad_act!P42*1000
)</f>
        <v>1650.0464863296902</v>
      </c>
      <c r="Q66" s="101">
        <f>IF(TrRoad_act!Q42=0,0,Q29/TrRoad_act!Q42*1000
)</f>
        <v>1672.3253488998257</v>
      </c>
      <c r="R66" s="101">
        <f>IF(TrRoad_act!R42=0,0,R29/TrRoad_act!R42*1000
)</f>
        <v>1685.697088523073</v>
      </c>
      <c r="S66" s="101">
        <f>IF(TrRoad_act!S42=0,0,S29/TrRoad_act!S42*1000
)</f>
        <v>1665.2794338801314</v>
      </c>
      <c r="T66" s="101">
        <f>IF(TrRoad_act!T42=0,0,T29/TrRoad_act!T42*1000
)</f>
        <v>1614.7754924122098</v>
      </c>
      <c r="U66" s="101">
        <f>IF(TrRoad_act!U42=0,0,U29/TrRoad_act!U42*1000
)</f>
        <v>1572.2704318963872</v>
      </c>
      <c r="V66" s="101">
        <f>IF(TrRoad_act!V42=0,0,V29/TrRoad_act!V42*1000
)</f>
        <v>1571.7543601171235</v>
      </c>
      <c r="W66" s="101">
        <f>IF(TrRoad_act!W42=0,0,W29/TrRoad_act!W42*1000
)</f>
        <v>1517.1172732637879</v>
      </c>
      <c r="X66" s="101">
        <f>IF(TrRoad_act!X42=0,0,X29/TrRoad_act!X42*1000
)</f>
        <v>1502.2078248257405</v>
      </c>
      <c r="Y66" s="101">
        <f>IF(TrRoad_act!Y42=0,0,Y29/TrRoad_act!Y42*1000
)</f>
        <v>1459.8525705856202</v>
      </c>
      <c r="DA66" s="175" t="s">
        <v>781</v>
      </c>
    </row>
    <row r="67" spans="1:105" ht="11.45" customHeight="1" x14ac:dyDescent="0.25">
      <c r="A67" s="111" t="s">
        <v>112</v>
      </c>
      <c r="B67" s="101">
        <f>IF(TrRoad_act!B43=0,0,B30/TrRoad_act!B43*1000
)</f>
        <v>1244.3441090091492</v>
      </c>
      <c r="C67" s="101">
        <f>IF(TrRoad_act!C43=0,0,C30/TrRoad_act!C43*1000
)</f>
        <v>1244.3441090091492</v>
      </c>
      <c r="D67" s="101">
        <f>IF(TrRoad_act!D43=0,0,D30/TrRoad_act!D43*1000
)</f>
        <v>1244.344109009149</v>
      </c>
      <c r="E67" s="101">
        <f>IF(TrRoad_act!E43=0,0,E30/TrRoad_act!E43*1000
)</f>
        <v>1244.3441090091492</v>
      </c>
      <c r="F67" s="101">
        <f>IF(TrRoad_act!F43=0,0,F30/TrRoad_act!F43*1000
)</f>
        <v>1244.3441090091494</v>
      </c>
      <c r="G67" s="101">
        <f>IF(TrRoad_act!G43=0,0,G30/TrRoad_act!G43*1000
)</f>
        <v>1222.5777489093757</v>
      </c>
      <c r="H67" s="101">
        <f>IF(TrRoad_act!H43=0,0,H30/TrRoad_act!H43*1000
)</f>
        <v>1219.4052423283301</v>
      </c>
      <c r="I67" s="101">
        <f>IF(TrRoad_act!I43=0,0,I30/TrRoad_act!I43*1000
)</f>
        <v>1216.9310022515781</v>
      </c>
      <c r="J67" s="101">
        <f>IF(TrRoad_act!J43=0,0,J30/TrRoad_act!J43*1000
)</f>
        <v>1216.7302773493648</v>
      </c>
      <c r="K67" s="101">
        <f>IF(TrRoad_act!K43=0,0,K30/TrRoad_act!K43*1000
)</f>
        <v>1215.1670672175208</v>
      </c>
      <c r="L67" s="101">
        <f>IF(TrRoad_act!L43=0,0,L30/TrRoad_act!L43*1000
)</f>
        <v>1215.1670672175208</v>
      </c>
      <c r="M67" s="101">
        <f>IF(TrRoad_act!M43=0,0,M30/TrRoad_act!M43*1000
)</f>
        <v>1214.1971426745188</v>
      </c>
      <c r="N67" s="101">
        <f>IF(TrRoad_act!N43=0,0,N30/TrRoad_act!N43*1000
)</f>
        <v>1213.4162511267421</v>
      </c>
      <c r="O67" s="101">
        <f>IF(TrRoad_act!O43=0,0,O30/TrRoad_act!O43*1000
)</f>
        <v>1213.1605148515732</v>
      </c>
      <c r="P67" s="101">
        <f>IF(TrRoad_act!P43=0,0,P30/TrRoad_act!P43*1000
)</f>
        <v>1212.5938292339113</v>
      </c>
      <c r="Q67" s="101">
        <f>IF(TrRoad_act!Q43=0,0,Q30/TrRoad_act!Q43*1000
)</f>
        <v>1212.5938292339113</v>
      </c>
      <c r="R67" s="101">
        <f>IF(TrRoad_act!R43=0,0,R30/TrRoad_act!R43*1000
)</f>
        <v>1213.2450734884073</v>
      </c>
      <c r="S67" s="101">
        <f>IF(TrRoad_act!S43=0,0,S30/TrRoad_act!S43*1000
)</f>
        <v>1212.3839277106169</v>
      </c>
      <c r="T67" s="101">
        <f>IF(TrRoad_act!T43=0,0,T30/TrRoad_act!T43*1000
)</f>
        <v>1211.7674642971026</v>
      </c>
      <c r="U67" s="101">
        <f>IF(TrRoad_act!U43=0,0,U30/TrRoad_act!U43*1000
)</f>
        <v>1211.7674642971026</v>
      </c>
      <c r="V67" s="101">
        <f>IF(TrRoad_act!V43=0,0,V30/TrRoad_act!V43*1000
)</f>
        <v>1211.7635390141313</v>
      </c>
      <c r="W67" s="101">
        <f>IF(TrRoad_act!W43=0,0,W30/TrRoad_act!W43*1000
)</f>
        <v>1211.0993158752822</v>
      </c>
      <c r="X67" s="101">
        <f>IF(TrRoad_act!X43=0,0,X30/TrRoad_act!X43*1000
)</f>
        <v>1210.077057055031</v>
      </c>
      <c r="Y67" s="101">
        <f>IF(TrRoad_act!Y43=0,0,Y30/TrRoad_act!Y43*1000
)</f>
        <v>1210.4043372799283</v>
      </c>
      <c r="DA67" s="175" t="s">
        <v>782</v>
      </c>
    </row>
    <row r="68" spans="1:105" ht="11.45" customHeight="1" x14ac:dyDescent="0.25">
      <c r="A68" s="111" t="s">
        <v>113</v>
      </c>
      <c r="B68" s="101">
        <f>IF(TrRoad_act!B44=0,0,B31/TrRoad_act!B44*1000
)</f>
        <v>1192.2561531766037</v>
      </c>
      <c r="C68" s="101">
        <f>IF(TrRoad_act!C44=0,0,C31/TrRoad_act!C44*1000
)</f>
        <v>1287.1275637324109</v>
      </c>
      <c r="D68" s="101">
        <f>IF(TrRoad_act!D44=0,0,D31/TrRoad_act!D44*1000
)</f>
        <v>1043.1101494465363</v>
      </c>
      <c r="E68" s="101">
        <f>IF(TrRoad_act!E44=0,0,E31/TrRoad_act!E44*1000
)</f>
        <v>1243.6918783027497</v>
      </c>
      <c r="F68" s="101">
        <f>IF(TrRoad_act!F44=0,0,F31/TrRoad_act!F44*1000
)</f>
        <v>930.73439790619352</v>
      </c>
      <c r="G68" s="101">
        <f>IF(TrRoad_act!G44=0,0,G31/TrRoad_act!G44*1000
)</f>
        <v>984.71510430398587</v>
      </c>
      <c r="H68" s="101">
        <f>IF(TrRoad_act!H44=0,0,H31/TrRoad_act!H44*1000
)</f>
        <v>979.89895335422852</v>
      </c>
      <c r="I68" s="101">
        <f>IF(TrRoad_act!I44=0,0,I31/TrRoad_act!I44*1000
)</f>
        <v>921.30801522039621</v>
      </c>
      <c r="J68" s="101">
        <f>IF(TrRoad_act!J44=0,0,J31/TrRoad_act!J44*1000
)</f>
        <v>935.99432710963242</v>
      </c>
      <c r="K68" s="101">
        <f>IF(TrRoad_act!K44=0,0,K31/TrRoad_act!K44*1000
)</f>
        <v>931.77170371079535</v>
      </c>
      <c r="L68" s="101">
        <f>IF(TrRoad_act!L44=0,0,L31/TrRoad_act!L44*1000
)</f>
        <v>976.91289980517718</v>
      </c>
      <c r="M68" s="101">
        <f>IF(TrRoad_act!M44=0,0,M31/TrRoad_act!M44*1000
)</f>
        <v>1045.4283206318089</v>
      </c>
      <c r="N68" s="101">
        <f>IF(TrRoad_act!N44=0,0,N31/TrRoad_act!N44*1000
)</f>
        <v>745.21403181183086</v>
      </c>
      <c r="O68" s="101">
        <f>IF(TrRoad_act!O44=0,0,O31/TrRoad_act!O44*1000
)</f>
        <v>423.89105696997194</v>
      </c>
      <c r="P68" s="101">
        <f>IF(TrRoad_act!P44=0,0,P31/TrRoad_act!P44*1000
)</f>
        <v>434.99853688058039</v>
      </c>
      <c r="Q68" s="101">
        <f>IF(TrRoad_act!Q44=0,0,Q31/TrRoad_act!Q44*1000
)</f>
        <v>523.773399156511</v>
      </c>
      <c r="R68" s="101">
        <f>IF(TrRoad_act!R44=0,0,R31/TrRoad_act!R44*1000
)</f>
        <v>896.01916499929951</v>
      </c>
      <c r="S68" s="101">
        <f>IF(TrRoad_act!S44=0,0,S31/TrRoad_act!S44*1000
)</f>
        <v>991.80788656525067</v>
      </c>
      <c r="T68" s="101">
        <f>IF(TrRoad_act!T44=0,0,T31/TrRoad_act!T44*1000
)</f>
        <v>835.55958197345956</v>
      </c>
      <c r="U68" s="101">
        <f>IF(TrRoad_act!U44=0,0,U31/TrRoad_act!U44*1000
)</f>
        <v>878.55741303409286</v>
      </c>
      <c r="V68" s="101">
        <f>IF(TrRoad_act!V44=0,0,V31/TrRoad_act!V44*1000
)</f>
        <v>911.1657081436141</v>
      </c>
      <c r="W68" s="101">
        <f>IF(TrRoad_act!W44=0,0,W31/TrRoad_act!W44*1000
)</f>
        <v>927.99657100898162</v>
      </c>
      <c r="X68" s="101">
        <f>IF(TrRoad_act!X44=0,0,X31/TrRoad_act!X44*1000
)</f>
        <v>1001.1999091977492</v>
      </c>
      <c r="Y68" s="101">
        <f>IF(TrRoad_act!Y44=0,0,Y31/TrRoad_act!Y44*1000
)</f>
        <v>1193.3239169558792</v>
      </c>
      <c r="DA68" s="175" t="s">
        <v>783</v>
      </c>
    </row>
    <row r="69" spans="1:105" ht="11.45" customHeight="1" x14ac:dyDescent="0.25">
      <c r="A69" s="111" t="s">
        <v>115</v>
      </c>
      <c r="B69" s="101">
        <f>IF(TrRoad_act!B45=0,0,B32/TrRoad_act!B45*1000
)</f>
        <v>0</v>
      </c>
      <c r="C69" s="101">
        <f>IF(TrRoad_act!C45=0,0,C32/TrRoad_act!C45*1000
)</f>
        <v>0</v>
      </c>
      <c r="D69" s="101">
        <f>IF(TrRoad_act!D45=0,0,D32/TrRoad_act!D45*1000
)</f>
        <v>0</v>
      </c>
      <c r="E69" s="101">
        <f>IF(TrRoad_act!E45=0,0,E32/TrRoad_act!E45*1000
)</f>
        <v>0</v>
      </c>
      <c r="F69" s="101">
        <f>IF(TrRoad_act!F45=0,0,F32/TrRoad_act!F45*1000
)</f>
        <v>0</v>
      </c>
      <c r="G69" s="101">
        <f>IF(TrRoad_act!G45=0,0,G32/TrRoad_act!G45*1000
)</f>
        <v>0</v>
      </c>
      <c r="H69" s="101">
        <f>IF(TrRoad_act!H45=0,0,H32/TrRoad_act!H45*1000
)</f>
        <v>0</v>
      </c>
      <c r="I69" s="101">
        <f>IF(TrRoad_act!I45=0,0,I32/TrRoad_act!I45*1000
)</f>
        <v>0</v>
      </c>
      <c r="J69" s="101">
        <f>IF(TrRoad_act!J45=0,0,J32/TrRoad_act!J45*1000
)</f>
        <v>0</v>
      </c>
      <c r="K69" s="101">
        <f>IF(TrRoad_act!K45=0,0,K32/TrRoad_act!K45*1000
)</f>
        <v>0</v>
      </c>
      <c r="L69" s="101">
        <f>IF(TrRoad_act!L45=0,0,L32/TrRoad_act!L45*1000
)</f>
        <v>0</v>
      </c>
      <c r="M69" s="101">
        <f>IF(TrRoad_act!M45=0,0,M32/TrRoad_act!M45*1000
)</f>
        <v>0</v>
      </c>
      <c r="N69" s="101">
        <f>IF(TrRoad_act!N45=0,0,N32/TrRoad_act!N45*1000
)</f>
        <v>0</v>
      </c>
      <c r="O69" s="101">
        <f>IF(TrRoad_act!O45=0,0,O32/TrRoad_act!O45*1000
)</f>
        <v>0</v>
      </c>
      <c r="P69" s="101">
        <f>IF(TrRoad_act!P45=0,0,P32/TrRoad_act!P45*1000
)</f>
        <v>0</v>
      </c>
      <c r="Q69" s="101">
        <f>IF(TrRoad_act!Q45=0,0,Q32/TrRoad_act!Q45*1000
)</f>
        <v>0</v>
      </c>
      <c r="R69" s="101">
        <f>IF(TrRoad_act!R45=0,0,R32/TrRoad_act!R45*1000
)</f>
        <v>0</v>
      </c>
      <c r="S69" s="101">
        <f>IF(TrRoad_act!S45=0,0,S32/TrRoad_act!S45*1000
)</f>
        <v>0</v>
      </c>
      <c r="T69" s="101">
        <f>IF(TrRoad_act!T45=0,0,T32/TrRoad_act!T45*1000
)</f>
        <v>0</v>
      </c>
      <c r="U69" s="101">
        <f>IF(TrRoad_act!U45=0,0,U32/TrRoad_act!U45*1000
)</f>
        <v>0</v>
      </c>
      <c r="V69" s="101">
        <f>IF(TrRoad_act!V45=0,0,V32/TrRoad_act!V45*1000
)</f>
        <v>0</v>
      </c>
      <c r="W69" s="101">
        <f>IF(TrRoad_act!W45=0,0,W32/TrRoad_act!W45*1000
)</f>
        <v>0</v>
      </c>
      <c r="X69" s="101">
        <f>IF(TrRoad_act!X45=0,0,X32/TrRoad_act!X45*1000
)</f>
        <v>0</v>
      </c>
      <c r="Y69" s="101">
        <f>IF(TrRoad_act!Y45=0,0,Y32/TrRoad_act!Y45*1000
)</f>
        <v>0</v>
      </c>
      <c r="DA69" s="175" t="s">
        <v>784</v>
      </c>
    </row>
    <row r="70" spans="1:105" ht="11.45" customHeight="1" x14ac:dyDescent="0.25">
      <c r="A70" s="27" t="s">
        <v>34</v>
      </c>
      <c r="B70" s="29">
        <f>IF(TrRoad_act!B46=0,0,B33/TrRoad_act!B46*1000
)</f>
        <v>569.68144192403008</v>
      </c>
      <c r="C70" s="29">
        <f>IF(TrRoad_act!C46=0,0,C33/TrRoad_act!C46*1000
)</f>
        <v>535.9544484544316</v>
      </c>
      <c r="D70" s="29">
        <f>IF(TrRoad_act!D46=0,0,D33/TrRoad_act!D46*1000
)</f>
        <v>530.48475793202829</v>
      </c>
      <c r="E70" s="29">
        <f>IF(TrRoad_act!E46=0,0,E33/TrRoad_act!E46*1000
)</f>
        <v>526.52927659568468</v>
      </c>
      <c r="F70" s="29">
        <f>IF(TrRoad_act!F46=0,0,F33/TrRoad_act!F46*1000
)</f>
        <v>521.66972571966983</v>
      </c>
      <c r="G70" s="29">
        <f>IF(TrRoad_act!G46=0,0,G33/TrRoad_act!G46*1000
)</f>
        <v>517.89391027187935</v>
      </c>
      <c r="H70" s="29">
        <f>IF(TrRoad_act!H46=0,0,H33/TrRoad_act!H46*1000
)</f>
        <v>535.829290443334</v>
      </c>
      <c r="I70" s="29">
        <f>IF(TrRoad_act!I46=0,0,I33/TrRoad_act!I46*1000
)</f>
        <v>521.75800396638385</v>
      </c>
      <c r="J70" s="29">
        <f>IF(TrRoad_act!J46=0,0,J33/TrRoad_act!J46*1000
)</f>
        <v>524.84997073798183</v>
      </c>
      <c r="K70" s="29">
        <f>IF(TrRoad_act!K46=0,0,K33/TrRoad_act!K46*1000
)</f>
        <v>503.35891256373009</v>
      </c>
      <c r="L70" s="29">
        <f>IF(TrRoad_act!L46=0,0,L33/TrRoad_act!L46*1000
)</f>
        <v>532.26881213959598</v>
      </c>
      <c r="M70" s="29">
        <f>IF(TrRoad_act!M46=0,0,M33/TrRoad_act!M46*1000
)</f>
        <v>530.25878757443127</v>
      </c>
      <c r="N70" s="29">
        <f>IF(TrRoad_act!N46=0,0,N33/TrRoad_act!N46*1000
)</f>
        <v>529.88982590543253</v>
      </c>
      <c r="O70" s="29">
        <f>IF(TrRoad_act!O46=0,0,O33/TrRoad_act!O46*1000
)</f>
        <v>495.84121650721227</v>
      </c>
      <c r="P70" s="29">
        <f>IF(TrRoad_act!P46=0,0,P33/TrRoad_act!P46*1000
)</f>
        <v>428.29155015352291</v>
      </c>
      <c r="Q70" s="29">
        <f>IF(TrRoad_act!Q46=0,0,Q33/TrRoad_act!Q46*1000
)</f>
        <v>423.84305027711463</v>
      </c>
      <c r="R70" s="29">
        <f>IF(TrRoad_act!R46=0,0,R33/TrRoad_act!R46*1000
)</f>
        <v>411.1080874590952</v>
      </c>
      <c r="S70" s="29">
        <f>IF(TrRoad_act!S46=0,0,S33/TrRoad_act!S46*1000
)</f>
        <v>437.21891493878917</v>
      </c>
      <c r="T70" s="29">
        <f>IF(TrRoad_act!T46=0,0,T33/TrRoad_act!T46*1000
)</f>
        <v>453.06209102675655</v>
      </c>
      <c r="U70" s="29">
        <f>IF(TrRoad_act!U46=0,0,U33/TrRoad_act!U46*1000
)</f>
        <v>451.67118618633447</v>
      </c>
      <c r="V70" s="29">
        <f>IF(TrRoad_act!V46=0,0,V33/TrRoad_act!V46*1000
)</f>
        <v>436.7074051189752</v>
      </c>
      <c r="W70" s="29">
        <f>IF(TrRoad_act!W46=0,0,W33/TrRoad_act!W46*1000
)</f>
        <v>381.9187616364872</v>
      </c>
      <c r="X70" s="29">
        <f>IF(TrRoad_act!X46=0,0,X33/TrRoad_act!X46*1000
)</f>
        <v>378.81836171693055</v>
      </c>
      <c r="Y70" s="29">
        <f>IF(TrRoad_act!Y46=0,0,Y33/TrRoad_act!Y46*1000
)</f>
        <v>388.672469210109</v>
      </c>
      <c r="DA70" s="173" t="s">
        <v>785</v>
      </c>
    </row>
    <row r="71" spans="1:105" ht="11.45" customHeight="1" x14ac:dyDescent="0.25">
      <c r="A71" s="136" t="s">
        <v>153</v>
      </c>
      <c r="B71" s="152">
        <f>IF(TrRoad_act!B47=0,0,B34/TrRoad_act!B47*1000
)</f>
        <v>356.63847067433858</v>
      </c>
      <c r="C71" s="152">
        <f>IF(TrRoad_act!C47=0,0,C34/TrRoad_act!C47*1000
)</f>
        <v>336.82478335240569</v>
      </c>
      <c r="D71" s="152">
        <f>IF(TrRoad_act!D47=0,0,D34/TrRoad_act!D47*1000
)</f>
        <v>331.83201860477988</v>
      </c>
      <c r="E71" s="152">
        <f>IF(TrRoad_act!E47=0,0,E34/TrRoad_act!E47*1000
)</f>
        <v>328.18306981798395</v>
      </c>
      <c r="F71" s="152">
        <f>IF(TrRoad_act!F47=0,0,F34/TrRoad_act!F47*1000
)</f>
        <v>325.44738913443695</v>
      </c>
      <c r="G71" s="152">
        <f>IF(TrRoad_act!G47=0,0,G34/TrRoad_act!G47*1000
)</f>
        <v>322.31544497206653</v>
      </c>
      <c r="H71" s="152">
        <f>IF(TrRoad_act!H47=0,0,H34/TrRoad_act!H47*1000
)</f>
        <v>318.72036409091578</v>
      </c>
      <c r="I71" s="152">
        <f>IF(TrRoad_act!I47=0,0,I34/TrRoad_act!I47*1000
)</f>
        <v>307.10299792214556</v>
      </c>
      <c r="J71" s="152">
        <f>IF(TrRoad_act!J47=0,0,J34/TrRoad_act!J47*1000
)</f>
        <v>308.71259853317321</v>
      </c>
      <c r="K71" s="152">
        <f>IF(TrRoad_act!K47=0,0,K34/TrRoad_act!K47*1000
)</f>
        <v>304.02003996042538</v>
      </c>
      <c r="L71" s="152">
        <f>IF(TrRoad_act!L47=0,0,L34/TrRoad_act!L47*1000
)</f>
        <v>311.14052919614255</v>
      </c>
      <c r="M71" s="152">
        <f>IF(TrRoad_act!M47=0,0,M34/TrRoad_act!M47*1000
)</f>
        <v>306.91231969863401</v>
      </c>
      <c r="N71" s="152">
        <f>IF(TrRoad_act!N47=0,0,N34/TrRoad_act!N47*1000
)</f>
        <v>303.23618737871425</v>
      </c>
      <c r="O71" s="152">
        <f>IF(TrRoad_act!O47=0,0,O34/TrRoad_act!O47*1000
)</f>
        <v>300.64842724833278</v>
      </c>
      <c r="P71" s="152">
        <f>IF(TrRoad_act!P47=0,0,P34/TrRoad_act!P47*1000
)</f>
        <v>293.80776924482421</v>
      </c>
      <c r="Q71" s="152">
        <f>IF(TrRoad_act!Q47=0,0,Q34/TrRoad_act!Q47*1000
)</f>
        <v>293.88116046535345</v>
      </c>
      <c r="R71" s="152">
        <f>IF(TrRoad_act!R47=0,0,R34/TrRoad_act!R47*1000
)</f>
        <v>289.98638469617788</v>
      </c>
      <c r="S71" s="152">
        <f>IF(TrRoad_act!S47=0,0,S34/TrRoad_act!S47*1000
)</f>
        <v>281.72772016109741</v>
      </c>
      <c r="T71" s="152">
        <f>IF(TrRoad_act!T47=0,0,T34/TrRoad_act!T47*1000
)</f>
        <v>269.3600982687372</v>
      </c>
      <c r="U71" s="152">
        <f>IF(TrRoad_act!U47=0,0,U34/TrRoad_act!U47*1000
)</f>
        <v>260.17980430588301</v>
      </c>
      <c r="V71" s="152">
        <f>IF(TrRoad_act!V47=0,0,V34/TrRoad_act!V47*1000
)</f>
        <v>261.24857148969181</v>
      </c>
      <c r="W71" s="152">
        <f>IF(TrRoad_act!W47=0,0,W34/TrRoad_act!W47*1000
)</f>
        <v>255.59043055377433</v>
      </c>
      <c r="X71" s="152">
        <f>IF(TrRoad_act!X47=0,0,X34/TrRoad_act!X47*1000
)</f>
        <v>254.75944524394671</v>
      </c>
      <c r="Y71" s="152">
        <f>IF(TrRoad_act!Y47=0,0,Y34/TrRoad_act!Y47*1000
)</f>
        <v>250.87870680094355</v>
      </c>
      <c r="DA71" s="174" t="s">
        <v>786</v>
      </c>
    </row>
    <row r="72" spans="1:105" ht="11.45" customHeight="1" x14ac:dyDescent="0.25">
      <c r="A72" s="111" t="s">
        <v>110</v>
      </c>
      <c r="B72" s="87">
        <f>IF(TrRoad_act!B48=0,0,B35/TrRoad_act!B48*1000
)</f>
        <v>348.21758621047513</v>
      </c>
      <c r="C72" s="87">
        <f>IF(TrRoad_act!C48=0,0,C35/TrRoad_act!C48*1000
)</f>
        <v>348.21758621047513</v>
      </c>
      <c r="D72" s="87">
        <f>IF(TrRoad_act!D48=0,0,D35/TrRoad_act!D48*1000
)</f>
        <v>348.21758621047513</v>
      </c>
      <c r="E72" s="87">
        <f>IF(TrRoad_act!E48=0,0,E35/TrRoad_act!E48*1000
)</f>
        <v>348.21758621047513</v>
      </c>
      <c r="F72" s="87">
        <f>IF(TrRoad_act!F48=0,0,F35/TrRoad_act!F48*1000
)</f>
        <v>348.21758621047513</v>
      </c>
      <c r="G72" s="87">
        <f>IF(TrRoad_act!G48=0,0,G35/TrRoad_act!G48*1000
)</f>
        <v>348.21758621047519</v>
      </c>
      <c r="H72" s="87">
        <f>IF(TrRoad_act!H48=0,0,H35/TrRoad_act!H48*1000
)</f>
        <v>346.63316247097526</v>
      </c>
      <c r="I72" s="87">
        <f>IF(TrRoad_act!I48=0,0,I35/TrRoad_act!I48*1000
)</f>
        <v>340.85019441652435</v>
      </c>
      <c r="J72" s="87">
        <f>IF(TrRoad_act!J48=0,0,J35/TrRoad_act!J48*1000
)</f>
        <v>339.21184006925705</v>
      </c>
      <c r="K72" s="87">
        <f>IF(TrRoad_act!K48=0,0,K35/TrRoad_act!K48*1000
)</f>
        <v>334.32015321238913</v>
      </c>
      <c r="L72" s="87">
        <f>IF(TrRoad_act!L48=0,0,L35/TrRoad_act!L48*1000
)</f>
        <v>328.76633900941732</v>
      </c>
      <c r="M72" s="87">
        <f>IF(TrRoad_act!M48=0,0,M35/TrRoad_act!M48*1000
)</f>
        <v>321.83625976020761</v>
      </c>
      <c r="N72" s="87">
        <f>IF(TrRoad_act!N48=0,0,N35/TrRoad_act!N48*1000
)</f>
        <v>315.56065436003945</v>
      </c>
      <c r="O72" s="87">
        <f>IF(TrRoad_act!O48=0,0,O35/TrRoad_act!O48*1000
)</f>
        <v>310.59881785160411</v>
      </c>
      <c r="P72" s="87">
        <f>IF(TrRoad_act!P48=0,0,P35/TrRoad_act!P48*1000
)</f>
        <v>299.32037641785445</v>
      </c>
      <c r="Q72" s="87">
        <f>IF(TrRoad_act!Q48=0,0,Q35/TrRoad_act!Q48*1000
)</f>
        <v>288.18236641387574</v>
      </c>
      <c r="R72" s="87">
        <f>IF(TrRoad_act!R48=0,0,R35/TrRoad_act!R48*1000
)</f>
        <v>280.11516457836768</v>
      </c>
      <c r="S72" s="87">
        <f>IF(TrRoad_act!S48=0,0,S35/TrRoad_act!S48*1000
)</f>
        <v>270.50091021345031</v>
      </c>
      <c r="T72" s="87">
        <f>IF(TrRoad_act!T48=0,0,T35/TrRoad_act!T48*1000
)</f>
        <v>262.8836680994296</v>
      </c>
      <c r="U72" s="87">
        <f>IF(TrRoad_act!U48=0,0,U35/TrRoad_act!U48*1000
)</f>
        <v>254.59998375445787</v>
      </c>
      <c r="V72" s="87">
        <f>IF(TrRoad_act!V48=0,0,V35/TrRoad_act!V48*1000
)</f>
        <v>244.79398483840671</v>
      </c>
      <c r="W72" s="87">
        <f>IF(TrRoad_act!W48=0,0,W35/TrRoad_act!W48*1000
)</f>
        <v>236.50056469394312</v>
      </c>
      <c r="X72" s="87">
        <f>IF(TrRoad_act!X48=0,0,X35/TrRoad_act!X48*1000
)</f>
        <v>226.4421191577494</v>
      </c>
      <c r="Y72" s="87">
        <f>IF(TrRoad_act!Y48=0,0,Y35/TrRoad_act!Y48*1000
)</f>
        <v>226.72533315102933</v>
      </c>
      <c r="DA72" s="171" t="s">
        <v>787</v>
      </c>
    </row>
    <row r="73" spans="1:105" ht="11.45" customHeight="1" x14ac:dyDescent="0.25">
      <c r="A73" s="111" t="s">
        <v>111</v>
      </c>
      <c r="B73" s="87">
        <f>IF(TrRoad_act!B49=0,0,B36/TrRoad_act!B49*1000
)</f>
        <v>353.91342746085104</v>
      </c>
      <c r="C73" s="87">
        <f>IF(TrRoad_act!C49=0,0,C36/TrRoad_act!C49*1000
)</f>
        <v>333.42685126650395</v>
      </c>
      <c r="D73" s="87">
        <f>IF(TrRoad_act!D49=0,0,D36/TrRoad_act!D49*1000
)</f>
        <v>328.53478080698488</v>
      </c>
      <c r="E73" s="87">
        <f>IF(TrRoad_act!E49=0,0,E36/TrRoad_act!E49*1000
)</f>
        <v>325.08684301827208</v>
      </c>
      <c r="F73" s="87">
        <f>IF(TrRoad_act!F49=0,0,F36/TrRoad_act!F49*1000
)</f>
        <v>322.5639709023464</v>
      </c>
      <c r="G73" s="87">
        <f>IF(TrRoad_act!G49=0,0,G36/TrRoad_act!G49*1000
)</f>
        <v>319.76800388530916</v>
      </c>
      <c r="H73" s="87">
        <f>IF(TrRoad_act!H49=0,0,H36/TrRoad_act!H49*1000
)</f>
        <v>316.32636241504417</v>
      </c>
      <c r="I73" s="87">
        <f>IF(TrRoad_act!I49=0,0,I36/TrRoad_act!I49*1000
)</f>
        <v>304.59984608741144</v>
      </c>
      <c r="J73" s="87">
        <f>IF(TrRoad_act!J49=0,0,J36/TrRoad_act!J49*1000
)</f>
        <v>306.32820071554431</v>
      </c>
      <c r="K73" s="87">
        <f>IF(TrRoad_act!K49=0,0,K36/TrRoad_act!K49*1000
)</f>
        <v>301.58100195076497</v>
      </c>
      <c r="L73" s="87">
        <f>IF(TrRoad_act!L49=0,0,L36/TrRoad_act!L49*1000
)</f>
        <v>309.05578764885865</v>
      </c>
      <c r="M73" s="87">
        <f>IF(TrRoad_act!M49=0,0,M36/TrRoad_act!M49*1000
)</f>
        <v>304.94725352296143</v>
      </c>
      <c r="N73" s="87">
        <f>IF(TrRoad_act!N49=0,0,N36/TrRoad_act!N49*1000
)</f>
        <v>301.38085810599244</v>
      </c>
      <c r="O73" s="87">
        <f>IF(TrRoad_act!O49=0,0,O36/TrRoad_act!O49*1000
)</f>
        <v>298.87715207233038</v>
      </c>
      <c r="P73" s="87">
        <f>IF(TrRoad_act!P49=0,0,P36/TrRoad_act!P49*1000
)</f>
        <v>292.14338498885513</v>
      </c>
      <c r="Q73" s="87">
        <f>IF(TrRoad_act!Q49=0,0,Q36/TrRoad_act!Q49*1000
)</f>
        <v>292.51613838232061</v>
      </c>
      <c r="R73" s="87">
        <f>IF(TrRoad_act!R49=0,0,R36/TrRoad_act!R49*1000
)</f>
        <v>288.69541969269295</v>
      </c>
      <c r="S73" s="87">
        <f>IF(TrRoad_act!S49=0,0,S36/TrRoad_act!S49*1000
)</f>
        <v>280.57516262991788</v>
      </c>
      <c r="T73" s="87">
        <f>IF(TrRoad_act!T49=0,0,T36/TrRoad_act!T49*1000
)</f>
        <v>268.46720094670911</v>
      </c>
      <c r="U73" s="87">
        <f>IF(TrRoad_act!U49=0,0,U36/TrRoad_act!U49*1000
)</f>
        <v>259.70819980402626</v>
      </c>
      <c r="V73" s="87">
        <f>IF(TrRoad_act!V49=0,0,V36/TrRoad_act!V49*1000
)</f>
        <v>261.27116110973367</v>
      </c>
      <c r="W73" s="87">
        <f>IF(TrRoad_act!W49=0,0,W36/TrRoad_act!W49*1000
)</f>
        <v>256.3677705078286</v>
      </c>
      <c r="X73" s="87">
        <f>IF(TrRoad_act!X49=0,0,X36/TrRoad_act!X49*1000
)</f>
        <v>256.469912139489</v>
      </c>
      <c r="Y73" s="87">
        <f>IF(TrRoad_act!Y49=0,0,Y36/TrRoad_act!Y49*1000
)</f>
        <v>254.15815043927859</v>
      </c>
      <c r="DA73" s="171" t="s">
        <v>788</v>
      </c>
    </row>
    <row r="74" spans="1:105" ht="11.45" customHeight="1" x14ac:dyDescent="0.25">
      <c r="A74" s="111" t="s">
        <v>112</v>
      </c>
      <c r="B74" s="87">
        <f>IF(TrRoad_act!B50=0,0,B37/TrRoad_act!B50*1000
)</f>
        <v>575.33682750006403</v>
      </c>
      <c r="C74" s="87">
        <f>IF(TrRoad_act!C50=0,0,C37/TrRoad_act!C50*1000
)</f>
        <v>574.92987586356946</v>
      </c>
      <c r="D74" s="87">
        <f>IF(TrRoad_act!D50=0,0,D37/TrRoad_act!D50*1000
)</f>
        <v>574.92817678155541</v>
      </c>
      <c r="E74" s="87">
        <f>IF(TrRoad_act!E50=0,0,E37/TrRoad_act!E50*1000
)</f>
        <v>574.91834480313287</v>
      </c>
      <c r="F74" s="87">
        <f>IF(TrRoad_act!F50=0,0,F37/TrRoad_act!F50*1000
)</f>
        <v>574.90332166710914</v>
      </c>
      <c r="G74" s="87">
        <f>IF(TrRoad_act!G50=0,0,G37/TrRoad_act!G50*1000
)</f>
        <v>574.85338993570497</v>
      </c>
      <c r="H74" s="87">
        <f>IF(TrRoad_act!H50=0,0,H37/TrRoad_act!H50*1000
)</f>
        <v>574.82135165931709</v>
      </c>
      <c r="I74" s="87">
        <f>IF(TrRoad_act!I50=0,0,I37/TrRoad_act!I50*1000
)</f>
        <v>574.8052042280724</v>
      </c>
      <c r="J74" s="87">
        <f>IF(TrRoad_act!J50=0,0,J37/TrRoad_act!J50*1000
)</f>
        <v>574.80469069957883</v>
      </c>
      <c r="K74" s="87">
        <f>IF(TrRoad_act!K50=0,0,K37/TrRoad_act!K50*1000
)</f>
        <v>574.68658797877856</v>
      </c>
      <c r="L74" s="87">
        <f>IF(TrRoad_act!L50=0,0,L37/TrRoad_act!L50*1000
)</f>
        <v>568.35815777805908</v>
      </c>
      <c r="M74" s="87">
        <f>IF(TrRoad_act!M50=0,0,M37/TrRoad_act!M50*1000
)</f>
        <v>560.9337097678698</v>
      </c>
      <c r="N74" s="87">
        <f>IF(TrRoad_act!N50=0,0,N37/TrRoad_act!N50*1000
)</f>
        <v>552.54143294889013</v>
      </c>
      <c r="O74" s="87">
        <f>IF(TrRoad_act!O50=0,0,O37/TrRoad_act!O50*1000
)</f>
        <v>548.05771967148883</v>
      </c>
      <c r="P74" s="87">
        <f>IF(TrRoad_act!P50=0,0,P37/TrRoad_act!P50*1000
)</f>
        <v>539.71516554138202</v>
      </c>
      <c r="Q74" s="87">
        <f>IF(TrRoad_act!Q50=0,0,Q37/TrRoad_act!Q50*1000
)</f>
        <v>532.31584264276898</v>
      </c>
      <c r="R74" s="87">
        <f>IF(TrRoad_act!R50=0,0,R37/TrRoad_act!R50*1000
)</f>
        <v>523.2667629973829</v>
      </c>
      <c r="S74" s="87">
        <f>IF(TrRoad_act!S50=0,0,S37/TrRoad_act!S50*1000
)</f>
        <v>513.76578310382013</v>
      </c>
      <c r="T74" s="87">
        <f>IF(TrRoad_act!T50=0,0,T37/TrRoad_act!T50*1000
)</f>
        <v>477.41991430704877</v>
      </c>
      <c r="U74" s="87">
        <f>IF(TrRoad_act!U50=0,0,U37/TrRoad_act!U50*1000
)</f>
        <v>402.15588883094887</v>
      </c>
      <c r="V74" s="87">
        <f>IF(TrRoad_act!V50=0,0,V37/TrRoad_act!V50*1000
)</f>
        <v>396.64744063748952</v>
      </c>
      <c r="W74" s="87">
        <f>IF(TrRoad_act!W50=0,0,W37/TrRoad_act!W50*1000
)</f>
        <v>385.50287743568163</v>
      </c>
      <c r="X74" s="87">
        <f>IF(TrRoad_act!X50=0,0,X37/TrRoad_act!X50*1000
)</f>
        <v>380.7828592188784</v>
      </c>
      <c r="Y74" s="87">
        <f>IF(TrRoad_act!Y50=0,0,Y37/TrRoad_act!Y50*1000
)</f>
        <v>383.83822089008436</v>
      </c>
      <c r="DA74" s="171" t="s">
        <v>789</v>
      </c>
    </row>
    <row r="75" spans="1:105" ht="11.45" customHeight="1" x14ac:dyDescent="0.25">
      <c r="A75" s="111" t="s">
        <v>113</v>
      </c>
      <c r="B75" s="87">
        <f>IF(TrRoad_act!B51=0,0,B38/TrRoad_act!B51*1000
)</f>
        <v>0</v>
      </c>
      <c r="C75" s="87">
        <f>IF(TrRoad_act!C51=0,0,C38/TrRoad_act!C51*1000
)</f>
        <v>0</v>
      </c>
      <c r="D75" s="87">
        <f>IF(TrRoad_act!D51=0,0,D38/TrRoad_act!D51*1000
)</f>
        <v>0</v>
      </c>
      <c r="E75" s="87">
        <f>IF(TrRoad_act!E51=0,0,E38/TrRoad_act!E51*1000
)</f>
        <v>261.04890538400025</v>
      </c>
      <c r="F75" s="87">
        <f>IF(TrRoad_act!F51=0,0,F38/TrRoad_act!F51*1000
)</f>
        <v>262.2490573930092</v>
      </c>
      <c r="G75" s="87">
        <f>IF(TrRoad_act!G51=0,0,G38/TrRoad_act!G51*1000
)</f>
        <v>262.30540534254487</v>
      </c>
      <c r="H75" s="87">
        <f>IF(TrRoad_act!H51=0,0,H38/TrRoad_act!H51*1000
)</f>
        <v>262.31123627229516</v>
      </c>
      <c r="I75" s="87">
        <f>IF(TrRoad_act!I51=0,0,I38/TrRoad_act!I51*1000
)</f>
        <v>260.60612031017558</v>
      </c>
      <c r="J75" s="87">
        <f>IF(TrRoad_act!J51=0,0,J38/TrRoad_act!J51*1000
)</f>
        <v>260.61433477806878</v>
      </c>
      <c r="K75" s="87">
        <f>IF(TrRoad_act!K51=0,0,K38/TrRoad_act!K51*1000
)</f>
        <v>251.80670740084221</v>
      </c>
      <c r="L75" s="87">
        <f>IF(TrRoad_act!L51=0,0,L38/TrRoad_act!L51*1000
)</f>
        <v>246.48939693861237</v>
      </c>
      <c r="M75" s="87">
        <f>IF(TrRoad_act!M51=0,0,M38/TrRoad_act!M51*1000
)</f>
        <v>243.82730053793583</v>
      </c>
      <c r="N75" s="87">
        <f>IF(TrRoad_act!N51=0,0,N38/TrRoad_act!N51*1000
)</f>
        <v>236.98052986518098</v>
      </c>
      <c r="O75" s="87">
        <f>IF(TrRoad_act!O51=0,0,O38/TrRoad_act!O51*1000
)</f>
        <v>234.73312055238475</v>
      </c>
      <c r="P75" s="87">
        <f>IF(TrRoad_act!P51=0,0,P38/TrRoad_act!P51*1000
)</f>
        <v>232.46427794527847</v>
      </c>
      <c r="Q75" s="87">
        <f>IF(TrRoad_act!Q51=0,0,Q38/TrRoad_act!Q51*1000
)</f>
        <v>232.99687360497205</v>
      </c>
      <c r="R75" s="87">
        <f>IF(TrRoad_act!R51=0,0,R38/TrRoad_act!R51*1000
)</f>
        <v>226.22608246418525</v>
      </c>
      <c r="S75" s="87">
        <f>IF(TrRoad_act!S51=0,0,S38/TrRoad_act!S51*1000
)</f>
        <v>227.69723333826639</v>
      </c>
      <c r="T75" s="87">
        <f>IF(TrRoad_act!T51=0,0,T38/TrRoad_act!T51*1000
)</f>
        <v>217.47890416884056</v>
      </c>
      <c r="U75" s="87">
        <f>IF(TrRoad_act!U51=0,0,U38/TrRoad_act!U51*1000
)</f>
        <v>217.20084563812273</v>
      </c>
      <c r="V75" s="87">
        <f>IF(TrRoad_act!V51=0,0,V38/TrRoad_act!V51*1000
)</f>
        <v>215.33240403353281</v>
      </c>
      <c r="W75" s="87">
        <f>IF(TrRoad_act!W51=0,0,W38/TrRoad_act!W51*1000
)</f>
        <v>214.38703615296919</v>
      </c>
      <c r="X75" s="87">
        <f>IF(TrRoad_act!X51=0,0,X38/TrRoad_act!X51*1000
)</f>
        <v>212.00671609127704</v>
      </c>
      <c r="Y75" s="87">
        <f>IF(TrRoad_act!Y51=0,0,Y38/TrRoad_act!Y51*1000
)</f>
        <v>208.20430185223748</v>
      </c>
      <c r="DA75" s="171" t="s">
        <v>790</v>
      </c>
    </row>
    <row r="76" spans="1:105" ht="11.45" customHeight="1" x14ac:dyDescent="0.25">
      <c r="A76" s="111" t="s">
        <v>115</v>
      </c>
      <c r="B76" s="87">
        <f>IF(TrRoad_act!B52=0,0,B39/TrRoad_act!B52*1000
)</f>
        <v>0</v>
      </c>
      <c r="C76" s="87">
        <f>IF(TrRoad_act!C52=0,0,C39/TrRoad_act!C52*1000
)</f>
        <v>0</v>
      </c>
      <c r="D76" s="87">
        <f>IF(TrRoad_act!D52=0,0,D39/TrRoad_act!D52*1000
)</f>
        <v>0</v>
      </c>
      <c r="E76" s="87">
        <f>IF(TrRoad_act!E52=0,0,E39/TrRoad_act!E52*1000
)</f>
        <v>0</v>
      </c>
      <c r="F76" s="87">
        <f>IF(TrRoad_act!F52=0,0,F39/TrRoad_act!F52*1000
)</f>
        <v>0</v>
      </c>
      <c r="G76" s="87">
        <f>IF(TrRoad_act!G52=0,0,G39/TrRoad_act!G52*1000
)</f>
        <v>0</v>
      </c>
      <c r="H76" s="87">
        <f>IF(TrRoad_act!H52=0,0,H39/TrRoad_act!H52*1000
)</f>
        <v>0</v>
      </c>
      <c r="I76" s="87">
        <f>IF(TrRoad_act!I52=0,0,I39/TrRoad_act!I52*1000
)</f>
        <v>0</v>
      </c>
      <c r="J76" s="87">
        <f>IF(TrRoad_act!J52=0,0,J39/TrRoad_act!J52*1000
)</f>
        <v>0</v>
      </c>
      <c r="K76" s="87">
        <f>IF(TrRoad_act!K52=0,0,K39/TrRoad_act!K52*1000
)</f>
        <v>0</v>
      </c>
      <c r="L76" s="87">
        <f>IF(TrRoad_act!L52=0,0,L39/TrRoad_act!L52*1000
)</f>
        <v>0</v>
      </c>
      <c r="M76" s="87">
        <f>IF(TrRoad_act!M52=0,0,M39/TrRoad_act!M52*1000
)</f>
        <v>0</v>
      </c>
      <c r="N76" s="87">
        <f>IF(TrRoad_act!N52=0,0,N39/TrRoad_act!N52*1000
)</f>
        <v>0</v>
      </c>
      <c r="O76" s="87">
        <f>IF(TrRoad_act!O52=0,0,O39/TrRoad_act!O52*1000
)</f>
        <v>0</v>
      </c>
      <c r="P76" s="87">
        <f>IF(TrRoad_act!P52=0,0,P39/TrRoad_act!P52*1000
)</f>
        <v>0</v>
      </c>
      <c r="Q76" s="87">
        <f>IF(TrRoad_act!Q52=0,0,Q39/TrRoad_act!Q52*1000
)</f>
        <v>0</v>
      </c>
      <c r="R76" s="87">
        <f>IF(TrRoad_act!R52=0,0,R39/TrRoad_act!R52*1000
)</f>
        <v>0</v>
      </c>
      <c r="S76" s="87">
        <f>IF(TrRoad_act!S52=0,0,S39/TrRoad_act!S52*1000
)</f>
        <v>0</v>
      </c>
      <c r="T76" s="87">
        <f>IF(TrRoad_act!T52=0,0,T39/TrRoad_act!T52*1000
)</f>
        <v>0</v>
      </c>
      <c r="U76" s="87">
        <f>IF(TrRoad_act!U52=0,0,U39/TrRoad_act!U52*1000
)</f>
        <v>0</v>
      </c>
      <c r="V76" s="87">
        <f>IF(TrRoad_act!V52=0,0,V39/TrRoad_act!V52*1000
)</f>
        <v>0</v>
      </c>
      <c r="W76" s="87">
        <f>IF(TrRoad_act!W52=0,0,W39/TrRoad_act!W52*1000
)</f>
        <v>0</v>
      </c>
      <c r="X76" s="87">
        <f>IF(TrRoad_act!X52=0,0,X39/TrRoad_act!X52*1000
)</f>
        <v>0</v>
      </c>
      <c r="Y76" s="87">
        <f>IF(TrRoad_act!Y52=0,0,Y39/TrRoad_act!Y52*1000
)</f>
        <v>0</v>
      </c>
      <c r="DA76" s="171" t="s">
        <v>791</v>
      </c>
    </row>
    <row r="77" spans="1:105" ht="11.45" customHeight="1" x14ac:dyDescent="0.25">
      <c r="A77" s="109" t="s">
        <v>154</v>
      </c>
      <c r="B77" s="116">
        <f>IF(TrRoad_act!B53=0,0,B40/TrRoad_act!B53*1000
)</f>
        <v>1131.7439957366364</v>
      </c>
      <c r="C77" s="116">
        <f>IF(TrRoad_act!C53=0,0,C40/TrRoad_act!C53*1000
)</f>
        <v>1113.251848340529</v>
      </c>
      <c r="D77" s="116">
        <f>IF(TrRoad_act!D53=0,0,D40/TrRoad_act!D53*1000
)</f>
        <v>1102.2176285194716</v>
      </c>
      <c r="E77" s="116">
        <f>IF(TrRoad_act!E53=0,0,E40/TrRoad_act!E53*1000
)</f>
        <v>1106.0808863498298</v>
      </c>
      <c r="F77" s="116">
        <f>IF(TrRoad_act!F53=0,0,F40/TrRoad_act!F53*1000
)</f>
        <v>1120.5952184160897</v>
      </c>
      <c r="G77" s="116">
        <f>IF(TrRoad_act!G53=0,0,G40/TrRoad_act!G53*1000
)</f>
        <v>1125.4798420475602</v>
      </c>
      <c r="H77" s="116">
        <f>IF(TrRoad_act!H53=0,0,H40/TrRoad_act!H53*1000
)</f>
        <v>1205.7867885411827</v>
      </c>
      <c r="I77" s="116">
        <f>IF(TrRoad_act!I53=0,0,I40/TrRoad_act!I53*1000
)</f>
        <v>1219.0987312565571</v>
      </c>
      <c r="J77" s="116">
        <f>IF(TrRoad_act!J53=0,0,J40/TrRoad_act!J53*1000
)</f>
        <v>1237.0816913780006</v>
      </c>
      <c r="K77" s="116">
        <f>IF(TrRoad_act!K53=0,0,K40/TrRoad_act!K53*1000
)</f>
        <v>1136.535168723374</v>
      </c>
      <c r="L77" s="116">
        <f>IF(TrRoad_act!L53=0,0,L40/TrRoad_act!L53*1000
)</f>
        <v>1329.602367713373</v>
      </c>
      <c r="M77" s="116">
        <f>IF(TrRoad_act!M53=0,0,M40/TrRoad_act!M53*1000
)</f>
        <v>1335.3297924433593</v>
      </c>
      <c r="N77" s="116">
        <f>IF(TrRoad_act!N53=0,0,N40/TrRoad_act!N53*1000
)</f>
        <v>1348.5542272287357</v>
      </c>
      <c r="O77" s="116">
        <f>IF(TrRoad_act!O53=0,0,O40/TrRoad_act!O53*1000
)</f>
        <v>1163.8698758958358</v>
      </c>
      <c r="P77" s="116">
        <f>IF(TrRoad_act!P53=0,0,P40/TrRoad_act!P53*1000
)</f>
        <v>861.33358099542511</v>
      </c>
      <c r="Q77" s="116">
        <f>IF(TrRoad_act!Q53=0,0,Q40/TrRoad_act!Q53*1000
)</f>
        <v>852.56187427177258</v>
      </c>
      <c r="R77" s="116">
        <f>IF(TrRoad_act!R53=0,0,R40/TrRoad_act!R53*1000
)</f>
        <v>804.8140252693596</v>
      </c>
      <c r="S77" s="116">
        <f>IF(TrRoad_act!S53=0,0,S40/TrRoad_act!S53*1000
)</f>
        <v>971.49765974356467</v>
      </c>
      <c r="T77" s="116">
        <f>IF(TrRoad_act!T53=0,0,T40/TrRoad_act!T53*1000
)</f>
        <v>1080.0039377850203</v>
      </c>
      <c r="U77" s="116">
        <f>IF(TrRoad_act!U53=0,0,U40/TrRoad_act!U53*1000
)</f>
        <v>1087.1240454421779</v>
      </c>
      <c r="V77" s="116">
        <f>IF(TrRoad_act!V53=0,0,V40/TrRoad_act!V53*1000
)</f>
        <v>984.80233670328744</v>
      </c>
      <c r="W77" s="116">
        <f>IF(TrRoad_act!W53=0,0,W40/TrRoad_act!W53*1000
)</f>
        <v>783.037414680452</v>
      </c>
      <c r="X77" s="116">
        <f>IF(TrRoad_act!X53=0,0,X40/TrRoad_act!X53*1000
)</f>
        <v>779.91372478109383</v>
      </c>
      <c r="Y77" s="116">
        <f>IF(TrRoad_act!Y53=0,0,Y40/TrRoad_act!Y53*1000
)</f>
        <v>854.62569050995728</v>
      </c>
      <c r="DA77" s="176" t="s">
        <v>792</v>
      </c>
    </row>
    <row r="78" spans="1:105" ht="11.45" customHeight="1" x14ac:dyDescent="0.25">
      <c r="A78" s="128" t="s">
        <v>27</v>
      </c>
      <c r="B78" s="101">
        <f>IF(TrRoad_act!B54=0,0,B41/TrRoad_act!B54*1000
)</f>
        <v>1097.5987055593046</v>
      </c>
      <c r="C78" s="101">
        <f>IF(TrRoad_act!C54=0,0,C41/TrRoad_act!C54*1000
)</f>
        <v>1078.2064600098631</v>
      </c>
      <c r="D78" s="101">
        <f>IF(TrRoad_act!D54=0,0,D41/TrRoad_act!D54*1000
)</f>
        <v>1067.9123894603042</v>
      </c>
      <c r="E78" s="101">
        <f>IF(TrRoad_act!E54=0,0,E41/TrRoad_act!E54*1000
)</f>
        <v>1072.2597993064642</v>
      </c>
      <c r="F78" s="101">
        <f>IF(TrRoad_act!F54=0,0,F41/TrRoad_act!F54*1000
)</f>
        <v>1082.0818038093109</v>
      </c>
      <c r="G78" s="101">
        <f>IF(TrRoad_act!G54=0,0,G41/TrRoad_act!G54*1000
)</f>
        <v>1085.8630663094345</v>
      </c>
      <c r="H78" s="101">
        <f>IF(TrRoad_act!H54=0,0,H41/TrRoad_act!H54*1000
)</f>
        <v>1161.3881319076986</v>
      </c>
      <c r="I78" s="101">
        <f>IF(TrRoad_act!I54=0,0,I41/TrRoad_act!I54*1000
)</f>
        <v>1172.6951705499869</v>
      </c>
      <c r="J78" s="101">
        <f>IF(TrRoad_act!J54=0,0,J41/TrRoad_act!J54*1000
)</f>
        <v>1188.7913893999275</v>
      </c>
      <c r="K78" s="101">
        <f>IF(TrRoad_act!K54=0,0,K41/TrRoad_act!K54*1000
)</f>
        <v>1093.673475566347</v>
      </c>
      <c r="L78" s="101">
        <f>IF(TrRoad_act!L54=0,0,L41/TrRoad_act!L54*1000
)</f>
        <v>1271.0022998505985</v>
      </c>
      <c r="M78" s="101">
        <f>IF(TrRoad_act!M54=0,0,M41/TrRoad_act!M54*1000
)</f>
        <v>1279.0713925771452</v>
      </c>
      <c r="N78" s="101">
        <f>IF(TrRoad_act!N54=0,0,N41/TrRoad_act!N54*1000
)</f>
        <v>1290.824243998288</v>
      </c>
      <c r="O78" s="101">
        <f>IF(TrRoad_act!O54=0,0,O41/TrRoad_act!O54*1000
)</f>
        <v>1114.4233094496603</v>
      </c>
      <c r="P78" s="101">
        <f>IF(TrRoad_act!P54=0,0,P41/TrRoad_act!P54*1000
)</f>
        <v>823.84566317069516</v>
      </c>
      <c r="Q78" s="101">
        <f>IF(TrRoad_act!Q54=0,0,Q41/TrRoad_act!Q54*1000
)</f>
        <v>814.36892980676964</v>
      </c>
      <c r="R78" s="101">
        <f>IF(TrRoad_act!R54=0,0,R41/TrRoad_act!R54*1000
)</f>
        <v>767.05166252512947</v>
      </c>
      <c r="S78" s="101">
        <f>IF(TrRoad_act!S54=0,0,S41/TrRoad_act!S54*1000
)</f>
        <v>921.50417450003056</v>
      </c>
      <c r="T78" s="101">
        <f>IF(TrRoad_act!T54=0,0,T41/TrRoad_act!T54*1000
)</f>
        <v>1023.81940835953</v>
      </c>
      <c r="U78" s="101">
        <f>IF(TrRoad_act!U54=0,0,U41/TrRoad_act!U54*1000
)</f>
        <v>1027.2995052263002</v>
      </c>
      <c r="V78" s="101">
        <f>IF(TrRoad_act!V54=0,0,V41/TrRoad_act!V54*1000
)</f>
        <v>928.69729057375434</v>
      </c>
      <c r="W78" s="101">
        <f>IF(TrRoad_act!W54=0,0,W41/TrRoad_act!W54*1000
)</f>
        <v>738.09575973369567</v>
      </c>
      <c r="X78" s="101">
        <f>IF(TrRoad_act!X54=0,0,X41/TrRoad_act!X54*1000
)</f>
        <v>734.87544036955455</v>
      </c>
      <c r="Y78" s="101">
        <f>IF(TrRoad_act!Y54=0,0,Y41/TrRoad_act!Y54*1000
)</f>
        <v>803.36817026049312</v>
      </c>
      <c r="DA78" s="175" t="s">
        <v>793</v>
      </c>
    </row>
    <row r="79" spans="1:105" ht="11.45" customHeight="1" x14ac:dyDescent="0.25">
      <c r="A79" s="138" t="s">
        <v>116</v>
      </c>
      <c r="B79" s="88">
        <f>IF(TrRoad_act!B55=0,0,B42/TrRoad_act!B55*1000
)</f>
        <v>1316.9946269067436</v>
      </c>
      <c r="C79" s="88">
        <f>IF(TrRoad_act!C55=0,0,C42/TrRoad_act!C55*1000
)</f>
        <v>1288.1489694497993</v>
      </c>
      <c r="D79" s="88">
        <f>IF(TrRoad_act!D55=0,0,D42/TrRoad_act!D55*1000
)</f>
        <v>1272.6996254894916</v>
      </c>
      <c r="E79" s="88">
        <f>IF(TrRoad_act!E55=0,0,E42/TrRoad_act!E55*1000
)</f>
        <v>1276.532871219496</v>
      </c>
      <c r="F79" s="88">
        <f>IF(TrRoad_act!F55=0,0,F42/TrRoad_act!F55*1000
)</f>
        <v>1281.1178762071668</v>
      </c>
      <c r="G79" s="88">
        <f>IF(TrRoad_act!G55=0,0,G42/TrRoad_act!G55*1000
)</f>
        <v>1283.8845676464102</v>
      </c>
      <c r="H79" s="88">
        <f>IF(TrRoad_act!H55=0,0,H42/TrRoad_act!H55*1000
)</f>
        <v>1372.6441342634644</v>
      </c>
      <c r="I79" s="88">
        <f>IF(TrRoad_act!I55=0,0,I42/TrRoad_act!I55*1000
)</f>
        <v>1383.3654634203906</v>
      </c>
      <c r="J79" s="88">
        <f>IF(TrRoad_act!J55=0,0,J42/TrRoad_act!J55*1000
)</f>
        <v>1405.1755046694116</v>
      </c>
      <c r="K79" s="88">
        <f>IF(TrRoad_act!K55=0,0,K42/TrRoad_act!K55*1000
)</f>
        <v>1297.3529917168873</v>
      </c>
      <c r="L79" s="88">
        <f>IF(TrRoad_act!L55=0,0,L42/TrRoad_act!L55*1000
)</f>
        <v>1507.2422428450332</v>
      </c>
      <c r="M79" s="88">
        <f>IF(TrRoad_act!M55=0,0,M42/TrRoad_act!M55*1000
)</f>
        <v>1513.1930126334603</v>
      </c>
      <c r="N79" s="88">
        <f>IF(TrRoad_act!N55=0,0,N42/TrRoad_act!N55*1000
)</f>
        <v>1525.5087020157571</v>
      </c>
      <c r="O79" s="88">
        <f>IF(TrRoad_act!O55=0,0,O42/TrRoad_act!O55*1000
)</f>
        <v>1316.6146660764014</v>
      </c>
      <c r="P79" s="88">
        <f>IF(TrRoad_act!P55=0,0,P42/TrRoad_act!P55*1000
)</f>
        <v>976.15745568334955</v>
      </c>
      <c r="Q79" s="88">
        <f>IF(TrRoad_act!Q55=0,0,Q42/TrRoad_act!Q55*1000
)</f>
        <v>969.3808247583579</v>
      </c>
      <c r="R79" s="88">
        <f>IF(TrRoad_act!R55=0,0,R42/TrRoad_act!R55*1000
)</f>
        <v>916.64382495909206</v>
      </c>
      <c r="S79" s="88">
        <f>IF(TrRoad_act!S55=0,0,S42/TrRoad_act!S55*1000
)</f>
        <v>1110.5708214977828</v>
      </c>
      <c r="T79" s="88">
        <f>IF(TrRoad_act!T55=0,0,T42/TrRoad_act!T55*1000
)</f>
        <v>1243.5429645974787</v>
      </c>
      <c r="U79" s="88">
        <f>IF(TrRoad_act!U55=0,0,U42/TrRoad_act!U55*1000
)</f>
        <v>1256.8815727115987</v>
      </c>
      <c r="V79" s="88">
        <f>IF(TrRoad_act!V55=0,0,V42/TrRoad_act!V55*1000
)</f>
        <v>1143.8554932282495</v>
      </c>
      <c r="W79" s="88">
        <f>IF(TrRoad_act!W55=0,0,W42/TrRoad_act!W55*1000
)</f>
        <v>916.10747867001248</v>
      </c>
      <c r="X79" s="88">
        <f>IF(TrRoad_act!X55=0,0,X42/TrRoad_act!X55*1000
)</f>
        <v>912.73113683857491</v>
      </c>
      <c r="Y79" s="88">
        <f>IF(TrRoad_act!Y55=0,0,Y42/TrRoad_act!Y55*1000
)</f>
        <v>1002.5342037526867</v>
      </c>
      <c r="DA79" s="178" t="s">
        <v>794</v>
      </c>
    </row>
    <row r="80" spans="1:105" x14ac:dyDescent="0.25">
      <c r="A80" s="106"/>
      <c r="B80" s="106"/>
      <c r="C80" s="106"/>
      <c r="D80" s="106"/>
      <c r="E80" s="106"/>
      <c r="F80" s="106"/>
      <c r="G80" s="106"/>
      <c r="H80" s="106"/>
      <c r="I80" s="106"/>
      <c r="J80" s="106"/>
      <c r="K80" s="106"/>
      <c r="L80" s="106"/>
      <c r="M80" s="106"/>
      <c r="N80" s="106"/>
      <c r="O80" s="106"/>
      <c r="P80" s="106"/>
      <c r="Q80" s="106"/>
      <c r="R80" s="106"/>
      <c r="S80" s="106"/>
      <c r="T80" s="106"/>
      <c r="U80" s="106"/>
      <c r="V80" s="106"/>
      <c r="W80" s="106"/>
      <c r="X80" s="106"/>
      <c r="Y80" s="106"/>
      <c r="DA80" s="171"/>
    </row>
    <row r="81" spans="1:105" ht="11.45" customHeight="1" x14ac:dyDescent="0.25">
      <c r="A81" s="53" t="s">
        <v>71</v>
      </c>
      <c r="B81" s="62"/>
      <c r="C81" s="62"/>
      <c r="D81" s="62"/>
      <c r="E81" s="62"/>
      <c r="F81" s="62"/>
      <c r="G81" s="62"/>
      <c r="H81" s="62"/>
      <c r="I81" s="62"/>
      <c r="J81" s="62"/>
      <c r="K81" s="62"/>
      <c r="L81" s="62"/>
      <c r="M81" s="62"/>
      <c r="N81" s="62"/>
      <c r="O81" s="62"/>
      <c r="P81" s="62"/>
      <c r="Q81" s="62"/>
      <c r="R81" s="62"/>
      <c r="S81" s="62"/>
      <c r="T81" s="62"/>
      <c r="U81" s="62"/>
      <c r="V81" s="62"/>
      <c r="W81" s="62"/>
      <c r="X81" s="62"/>
      <c r="Y81" s="62"/>
      <c r="DA81" s="172"/>
    </row>
    <row r="82" spans="1:105" ht="11.45" customHeight="1" x14ac:dyDescent="0.25">
      <c r="A82" s="27" t="s">
        <v>157</v>
      </c>
      <c r="B82" s="29">
        <f>IF(TrRoad_act!B4=0,0,B18/TrRoad_act!B4*1000)</f>
        <v>123.99409838353293</v>
      </c>
      <c r="C82" s="29">
        <f>IF(TrRoad_act!C4=0,0,C18/TrRoad_act!C4*1000)</f>
        <v>124.40338377544309</v>
      </c>
      <c r="D82" s="29">
        <f>IF(TrRoad_act!D4=0,0,D18/TrRoad_act!D4*1000)</f>
        <v>124.67140025368118</v>
      </c>
      <c r="E82" s="29">
        <f>IF(TrRoad_act!E4=0,0,E18/TrRoad_act!E4*1000)</f>
        <v>123.58475793401276</v>
      </c>
      <c r="F82" s="29">
        <f>IF(TrRoad_act!F4=0,0,F18/TrRoad_act!F4*1000)</f>
        <v>119.89084481677327</v>
      </c>
      <c r="G82" s="29">
        <f>IF(TrRoad_act!G4=0,0,G18/TrRoad_act!G4*1000)</f>
        <v>122.39528782142069</v>
      </c>
      <c r="H82" s="29">
        <f>IF(TrRoad_act!H4=0,0,H18/TrRoad_act!H4*1000)</f>
        <v>125.38379729536538</v>
      </c>
      <c r="I82" s="29">
        <f>IF(TrRoad_act!I4=0,0,I18/TrRoad_act!I4*1000)</f>
        <v>123.0133926234666</v>
      </c>
      <c r="J82" s="29">
        <f>IF(TrRoad_act!J4=0,0,J18/TrRoad_act!J4*1000)</f>
        <v>125.03547647721055</v>
      </c>
      <c r="K82" s="29">
        <f>IF(TrRoad_act!K4=0,0,K18/TrRoad_act!K4*1000)</f>
        <v>124.32559414729864</v>
      </c>
      <c r="L82" s="29">
        <f>IF(TrRoad_act!L4=0,0,L18/TrRoad_act!L4*1000)</f>
        <v>125.97840126082477</v>
      </c>
      <c r="M82" s="29">
        <f>IF(TrRoad_act!M4=0,0,M18/TrRoad_act!M4*1000)</f>
        <v>124.89624745000035</v>
      </c>
      <c r="N82" s="29">
        <f>IF(TrRoad_act!N4=0,0,N18/TrRoad_act!N4*1000)</f>
        <v>124.00708545901152</v>
      </c>
      <c r="O82" s="29">
        <f>IF(TrRoad_act!O4=0,0,O18/TrRoad_act!O4*1000)</f>
        <v>115.7817544591222</v>
      </c>
      <c r="P82" s="29">
        <f>IF(TrRoad_act!P4=0,0,P18/TrRoad_act!P4*1000)</f>
        <v>111.82270398338218</v>
      </c>
      <c r="Q82" s="29">
        <f>IF(TrRoad_act!Q4=0,0,Q18/TrRoad_act!Q4*1000)</f>
        <v>114.30776161595026</v>
      </c>
      <c r="R82" s="29">
        <f>IF(TrRoad_act!R4=0,0,R18/TrRoad_act!R4*1000)</f>
        <v>114.33718030374159</v>
      </c>
      <c r="S82" s="29">
        <f>IF(TrRoad_act!S4=0,0,S18/TrRoad_act!S4*1000)</f>
        <v>117.41765053998013</v>
      </c>
      <c r="T82" s="29">
        <f>IF(TrRoad_act!T4=0,0,T18/TrRoad_act!T4*1000)</f>
        <v>108.24923829504949</v>
      </c>
      <c r="U82" s="29">
        <f>IF(TrRoad_act!U4=0,0,U18/TrRoad_act!U4*1000)</f>
        <v>105.64649093134599</v>
      </c>
      <c r="V82" s="29">
        <f>IF(TrRoad_act!V4=0,0,V18/TrRoad_act!V4*1000)</f>
        <v>116.80153941076324</v>
      </c>
      <c r="W82" s="29">
        <f>IF(TrRoad_act!W4=0,0,W18/TrRoad_act!W4*1000)</f>
        <v>114.24656322630692</v>
      </c>
      <c r="X82" s="29">
        <f>IF(TrRoad_act!X4=0,0,X18/TrRoad_act!X4*1000)</f>
        <v>104.56412886637436</v>
      </c>
      <c r="Y82" s="29">
        <f>IF(TrRoad_act!Y4=0,0,Y18/TrRoad_act!Y4*1000)</f>
        <v>102.7052060027888</v>
      </c>
      <c r="DA82" s="173" t="s">
        <v>436</v>
      </c>
    </row>
    <row r="83" spans="1:105" ht="11.45" customHeight="1" x14ac:dyDescent="0.25">
      <c r="A83" s="136" t="s">
        <v>173</v>
      </c>
      <c r="B83" s="152">
        <f>IF(TrRoad_act!B5=0,0,B19/TrRoad_act!B5*1000)</f>
        <v>107.54622556108779</v>
      </c>
      <c r="C83" s="152">
        <f>IF(TrRoad_act!C5=0,0,C19/TrRoad_act!C5*1000)</f>
        <v>107.13228312973264</v>
      </c>
      <c r="D83" s="152">
        <f>IF(TrRoad_act!D5=0,0,D19/TrRoad_act!D5*1000)</f>
        <v>105.93810068808506</v>
      </c>
      <c r="E83" s="152">
        <f>IF(TrRoad_act!E5=0,0,E19/TrRoad_act!E5*1000)</f>
        <v>105.28056334132305</v>
      </c>
      <c r="F83" s="152">
        <f>IF(TrRoad_act!F5=0,0,F19/TrRoad_act!F5*1000)</f>
        <v>104.50805521329585</v>
      </c>
      <c r="G83" s="152">
        <f>IF(TrRoad_act!G5=0,0,G19/TrRoad_act!G5*1000)</f>
        <v>103.15380187282308</v>
      </c>
      <c r="H83" s="152">
        <f>IF(TrRoad_act!H5=0,0,H19/TrRoad_act!H5*1000)</f>
        <v>99.94464340534067</v>
      </c>
      <c r="I83" s="152">
        <f>IF(TrRoad_act!I5=0,0,I19/TrRoad_act!I5*1000)</f>
        <v>96.724229452667686</v>
      </c>
      <c r="J83" s="152">
        <f>IF(TrRoad_act!J5=0,0,J19/TrRoad_act!J5*1000)</f>
        <v>94.45538261516235</v>
      </c>
      <c r="K83" s="152">
        <f>IF(TrRoad_act!K5=0,0,K19/TrRoad_act!K5*1000)</f>
        <v>91.817855806396963</v>
      </c>
      <c r="L83" s="152">
        <f>IF(TrRoad_act!L5=0,0,L19/TrRoad_act!L5*1000)</f>
        <v>90.343203859764358</v>
      </c>
      <c r="M83" s="152">
        <f>IF(TrRoad_act!M5=0,0,M19/TrRoad_act!M5*1000)</f>
        <v>88.895238189793531</v>
      </c>
      <c r="N83" s="152">
        <f>IF(TrRoad_act!N5=0,0,N19/TrRoad_act!N5*1000)</f>
        <v>89.092085807672177</v>
      </c>
      <c r="O83" s="152">
        <f>IF(TrRoad_act!O5=0,0,O19/TrRoad_act!O5*1000)</f>
        <v>87.877389910780394</v>
      </c>
      <c r="P83" s="152">
        <f>IF(TrRoad_act!P5=0,0,P19/TrRoad_act!P5*1000)</f>
        <v>86.328508128543277</v>
      </c>
      <c r="Q83" s="152">
        <f>IF(TrRoad_act!Q5=0,0,Q19/TrRoad_act!Q5*1000)</f>
        <v>84.902863769353203</v>
      </c>
      <c r="R83" s="152">
        <f>IF(TrRoad_act!R5=0,0,R19/TrRoad_act!R5*1000)</f>
        <v>83.925087600347709</v>
      </c>
      <c r="S83" s="152">
        <f>IF(TrRoad_act!S5=0,0,S19/TrRoad_act!S5*1000)</f>
        <v>82.758520155501785</v>
      </c>
      <c r="T83" s="152">
        <f>IF(TrRoad_act!T5=0,0,T19/TrRoad_act!T5*1000)</f>
        <v>81.189903043204481</v>
      </c>
      <c r="U83" s="152">
        <f>IF(TrRoad_act!U5=0,0,U19/TrRoad_act!U5*1000)</f>
        <v>79.308476477536743</v>
      </c>
      <c r="V83" s="152">
        <f>IF(TrRoad_act!V5=0,0,V19/TrRoad_act!V5*1000)</f>
        <v>76.900565536893055</v>
      </c>
      <c r="W83" s="152">
        <f>IF(TrRoad_act!W5=0,0,W19/TrRoad_act!W5*1000)</f>
        <v>75.907518344298225</v>
      </c>
      <c r="X83" s="152">
        <f>IF(TrRoad_act!X5=0,0,X19/TrRoad_act!X5*1000)</f>
        <v>75.10528255527359</v>
      </c>
      <c r="Y83" s="152">
        <f>IF(TrRoad_act!Y5=0,0,Y19/TrRoad_act!Y5*1000)</f>
        <v>75.142574335438923</v>
      </c>
      <c r="DA83" s="174" t="s">
        <v>437</v>
      </c>
    </row>
    <row r="84" spans="1:105" ht="11.45" customHeight="1" x14ac:dyDescent="0.25">
      <c r="A84" s="109" t="s">
        <v>20</v>
      </c>
      <c r="B84" s="116">
        <f>IF(TrRoad_act!B6=0,0,B20/TrRoad_act!B6*1000)</f>
        <v>120.49006715405071</v>
      </c>
      <c r="C84" s="116">
        <f>IF(TrRoad_act!C6=0,0,C20/TrRoad_act!C6*1000)</f>
        <v>121.24958212042131</v>
      </c>
      <c r="D84" s="116">
        <f>IF(TrRoad_act!D6=0,0,D20/TrRoad_act!D6*1000)</f>
        <v>121.4949568783604</v>
      </c>
      <c r="E84" s="116">
        <f>IF(TrRoad_act!E6=0,0,E20/TrRoad_act!E6*1000)</f>
        <v>120.75007016322454</v>
      </c>
      <c r="F84" s="116">
        <f>IF(TrRoad_act!F6=0,0,F20/TrRoad_act!F6*1000)</f>
        <v>117.18851378834972</v>
      </c>
      <c r="G84" s="116">
        <f>IF(TrRoad_act!G6=0,0,G20/TrRoad_act!G6*1000)</f>
        <v>119.908035469111</v>
      </c>
      <c r="H84" s="116">
        <f>IF(TrRoad_act!H6=0,0,H20/TrRoad_act!H6*1000)</f>
        <v>123.34716154165632</v>
      </c>
      <c r="I84" s="116">
        <f>IF(TrRoad_act!I6=0,0,I20/TrRoad_act!I6*1000)</f>
        <v>121.32857409818415</v>
      </c>
      <c r="J84" s="116">
        <f>IF(TrRoad_act!J6=0,0,J20/TrRoad_act!J6*1000)</f>
        <v>123.37121318446385</v>
      </c>
      <c r="K84" s="116">
        <f>IF(TrRoad_act!K6=0,0,K20/TrRoad_act!K6*1000)</f>
        <v>122.41183287577449</v>
      </c>
      <c r="L84" s="116">
        <f>IF(TrRoad_act!L6=0,0,L20/TrRoad_act!L6*1000)</f>
        <v>123.7422714004972</v>
      </c>
      <c r="M84" s="116">
        <f>IF(TrRoad_act!M6=0,0,M20/TrRoad_act!M6*1000)</f>
        <v>123.05974179799284</v>
      </c>
      <c r="N84" s="116">
        <f>IF(TrRoad_act!N6=0,0,N20/TrRoad_act!N6*1000)</f>
        <v>121.76559593479904</v>
      </c>
      <c r="O84" s="116">
        <f>IF(TrRoad_act!O6=0,0,O20/TrRoad_act!O6*1000)</f>
        <v>113.93775793551181</v>
      </c>
      <c r="P84" s="116">
        <f>IF(TrRoad_act!P6=0,0,P20/TrRoad_act!P6*1000)</f>
        <v>110.00723367213713</v>
      </c>
      <c r="Q84" s="116">
        <f>IF(TrRoad_act!Q6=0,0,Q20/TrRoad_act!Q6*1000)</f>
        <v>113.00799777519245</v>
      </c>
      <c r="R84" s="116">
        <f>IF(TrRoad_act!R6=0,0,R20/TrRoad_act!R6*1000)</f>
        <v>113.1367977447446</v>
      </c>
      <c r="S84" s="116">
        <f>IF(TrRoad_act!S6=0,0,S20/TrRoad_act!S6*1000)</f>
        <v>115.71110635775119</v>
      </c>
      <c r="T84" s="116">
        <f>IF(TrRoad_act!T6=0,0,T20/TrRoad_act!T6*1000)</f>
        <v>107.29342395909306</v>
      </c>
      <c r="U84" s="116">
        <f>IF(TrRoad_act!U6=0,0,U20/TrRoad_act!U6*1000)</f>
        <v>105.16363599150769</v>
      </c>
      <c r="V84" s="116">
        <f>IF(TrRoad_act!V6=0,0,V20/TrRoad_act!V6*1000)</f>
        <v>115.56636952670392</v>
      </c>
      <c r="W84" s="116">
        <f>IF(TrRoad_act!W6=0,0,W20/TrRoad_act!W6*1000)</f>
        <v>114.00957598280118</v>
      </c>
      <c r="X84" s="116">
        <f>IF(TrRoad_act!X6=0,0,X20/TrRoad_act!X6*1000)</f>
        <v>104.90959908811148</v>
      </c>
      <c r="Y84" s="116">
        <f>IF(TrRoad_act!Y6=0,0,Y20/TrRoad_act!Y6*1000)</f>
        <v>103.14802814687965</v>
      </c>
      <c r="DA84" s="176" t="s">
        <v>438</v>
      </c>
    </row>
    <row r="85" spans="1:105" ht="11.45" customHeight="1" x14ac:dyDescent="0.25">
      <c r="A85" s="111" t="s">
        <v>110</v>
      </c>
      <c r="B85" s="87">
        <f>IF(TrRoad_act!B7=0,0,B21/TrRoad_act!B7*1000)</f>
        <v>116.08015868178043</v>
      </c>
      <c r="C85" s="87">
        <f>IF(TrRoad_act!C7=0,0,C21/TrRoad_act!C7*1000)</f>
        <v>120.32376394544052</v>
      </c>
      <c r="D85" s="87">
        <f>IF(TrRoad_act!D7=0,0,D21/TrRoad_act!D7*1000)</f>
        <v>121.2116046866397</v>
      </c>
      <c r="E85" s="87">
        <f>IF(TrRoad_act!E7=0,0,E21/TrRoad_act!E7*1000)</f>
        <v>121.7037259272698</v>
      </c>
      <c r="F85" s="87">
        <f>IF(TrRoad_act!F7=0,0,F21/TrRoad_act!F7*1000)</f>
        <v>117.14332963205698</v>
      </c>
      <c r="G85" s="87">
        <f>IF(TrRoad_act!G7=0,0,G21/TrRoad_act!G7*1000)</f>
        <v>119.03528875476148</v>
      </c>
      <c r="H85" s="87">
        <f>IF(TrRoad_act!H7=0,0,H21/TrRoad_act!H7*1000)</f>
        <v>123.21887734635422</v>
      </c>
      <c r="I85" s="87">
        <f>IF(TrRoad_act!I7=0,0,I21/TrRoad_act!I7*1000)</f>
        <v>122.35421613933501</v>
      </c>
      <c r="J85" s="87">
        <f>IF(TrRoad_act!J7=0,0,J21/TrRoad_act!J7*1000)</f>
        <v>121.82343702279007</v>
      </c>
      <c r="K85" s="87">
        <f>IF(TrRoad_act!K7=0,0,K21/TrRoad_act!K7*1000)</f>
        <v>120.14051905596601</v>
      </c>
      <c r="L85" s="87">
        <f>IF(TrRoad_act!L7=0,0,L21/TrRoad_act!L7*1000)</f>
        <v>120.58909720326552</v>
      </c>
      <c r="M85" s="87">
        <f>IF(TrRoad_act!M7=0,0,M21/TrRoad_act!M7*1000)</f>
        <v>120.78569617085302</v>
      </c>
      <c r="N85" s="87">
        <f>IF(TrRoad_act!N7=0,0,N21/TrRoad_act!N7*1000)</f>
        <v>120.69312525586459</v>
      </c>
      <c r="O85" s="87">
        <f>IF(TrRoad_act!O7=0,0,O21/TrRoad_act!O7*1000)</f>
        <v>113.16432244656538</v>
      </c>
      <c r="P85" s="87">
        <f>IF(TrRoad_act!P7=0,0,P21/TrRoad_act!P7*1000)</f>
        <v>110.49900208295264</v>
      </c>
      <c r="Q85" s="87">
        <f>IF(TrRoad_act!Q7=0,0,Q21/TrRoad_act!Q7*1000)</f>
        <v>114.14478911999697</v>
      </c>
      <c r="R85" s="87">
        <f>IF(TrRoad_act!R7=0,0,R21/TrRoad_act!R7*1000)</f>
        <v>113.92143060484064</v>
      </c>
      <c r="S85" s="87">
        <f>IF(TrRoad_act!S7=0,0,S21/TrRoad_act!S7*1000)</f>
        <v>117.81786861512518</v>
      </c>
      <c r="T85" s="87">
        <f>IF(TrRoad_act!T7=0,0,T21/TrRoad_act!T7*1000)</f>
        <v>110.72923698975315</v>
      </c>
      <c r="U85" s="87">
        <f>IF(TrRoad_act!U7=0,0,U21/TrRoad_act!U7*1000)</f>
        <v>110.25728498585596</v>
      </c>
      <c r="V85" s="87">
        <f>IF(TrRoad_act!V7=0,0,V21/TrRoad_act!V7*1000)</f>
        <v>120.55821460181697</v>
      </c>
      <c r="W85" s="87">
        <f>IF(TrRoad_act!W7=0,0,W21/TrRoad_act!W7*1000)</f>
        <v>123.90231300529815</v>
      </c>
      <c r="X85" s="87">
        <f>IF(TrRoad_act!X7=0,0,X21/TrRoad_act!X7*1000)</f>
        <v>112.09163257197925</v>
      </c>
      <c r="Y85" s="87">
        <f>IF(TrRoad_act!Y7=0,0,Y21/TrRoad_act!Y7*1000)</f>
        <v>114.31844929693769</v>
      </c>
      <c r="DA85" s="171" t="s">
        <v>795</v>
      </c>
    </row>
    <row r="86" spans="1:105" ht="11.45" customHeight="1" x14ac:dyDescent="0.25">
      <c r="A86" s="111" t="s">
        <v>111</v>
      </c>
      <c r="B86" s="87">
        <f>IF(TrRoad_act!B8=0,0,B22/TrRoad_act!B8*1000)</f>
        <v>131.40463524916623</v>
      </c>
      <c r="C86" s="87">
        <f>IF(TrRoad_act!C8=0,0,C22/TrRoad_act!C8*1000)</f>
        <v>125.22854486415339</v>
      </c>
      <c r="D86" s="87">
        <f>IF(TrRoad_act!D8=0,0,D22/TrRoad_act!D8*1000)</f>
        <v>123.4796636388601</v>
      </c>
      <c r="E86" s="87">
        <f>IF(TrRoad_act!E8=0,0,E22/TrRoad_act!E8*1000)</f>
        <v>121.87305067901983</v>
      </c>
      <c r="F86" s="87">
        <f>IF(TrRoad_act!F8=0,0,F22/TrRoad_act!F8*1000)</f>
        <v>119.30706591455369</v>
      </c>
      <c r="G86" s="87">
        <f>IF(TrRoad_act!G8=0,0,G22/TrRoad_act!G8*1000)</f>
        <v>122.54285359815482</v>
      </c>
      <c r="H86" s="87">
        <f>IF(TrRoad_act!H8=0,0,H22/TrRoad_act!H8*1000)</f>
        <v>123.68112758632455</v>
      </c>
      <c r="I86" s="87">
        <f>IF(TrRoad_act!I8=0,0,I22/TrRoad_act!I8*1000)</f>
        <v>120.87749991468765</v>
      </c>
      <c r="J86" s="87">
        <f>IF(TrRoad_act!J8=0,0,J22/TrRoad_act!J8*1000)</f>
        <v>125.44212408055402</v>
      </c>
      <c r="K86" s="87">
        <f>IF(TrRoad_act!K8=0,0,K22/TrRoad_act!K8*1000)</f>
        <v>123.86435128161261</v>
      </c>
      <c r="L86" s="87">
        <f>IF(TrRoad_act!L8=0,0,L22/TrRoad_act!L8*1000)</f>
        <v>126.7466255652439</v>
      </c>
      <c r="M86" s="87">
        <f>IF(TrRoad_act!M8=0,0,M22/TrRoad_act!M8*1000)</f>
        <v>124.06780323493133</v>
      </c>
      <c r="N86" s="87">
        <f>IF(TrRoad_act!N8=0,0,N22/TrRoad_act!N8*1000)</f>
        <v>118.5511321730026</v>
      </c>
      <c r="O86" s="87">
        <f>IF(TrRoad_act!O8=0,0,O22/TrRoad_act!O8*1000)</f>
        <v>111.50263225094508</v>
      </c>
      <c r="P86" s="87">
        <f>IF(TrRoad_act!P8=0,0,P22/TrRoad_act!P8*1000)</f>
        <v>107.91264404548917</v>
      </c>
      <c r="Q86" s="87">
        <f>IF(TrRoad_act!Q8=0,0,Q22/TrRoad_act!Q8*1000)</f>
        <v>111.57373667973184</v>
      </c>
      <c r="R86" s="87">
        <f>IF(TrRoad_act!R8=0,0,R22/TrRoad_act!R8*1000)</f>
        <v>112.33571874697283</v>
      </c>
      <c r="S86" s="87">
        <f>IF(TrRoad_act!S8=0,0,S22/TrRoad_act!S8*1000)</f>
        <v>112.84880037926222</v>
      </c>
      <c r="T86" s="87">
        <f>IF(TrRoad_act!T8=0,0,T22/TrRoad_act!T8*1000)</f>
        <v>101.98102143601075</v>
      </c>
      <c r="U86" s="87">
        <f>IF(TrRoad_act!U8=0,0,U22/TrRoad_act!U8*1000)</f>
        <v>99.071197154004139</v>
      </c>
      <c r="V86" s="87">
        <f>IF(TrRoad_act!V8=0,0,V22/TrRoad_act!V8*1000)</f>
        <v>113.28058649667626</v>
      </c>
      <c r="W86" s="87">
        <f>IF(TrRoad_act!W8=0,0,W22/TrRoad_act!W8*1000)</f>
        <v>107.49008599264619</v>
      </c>
      <c r="X86" s="87">
        <f>IF(TrRoad_act!X8=0,0,X22/TrRoad_act!X8*1000)</f>
        <v>108.2040075406229</v>
      </c>
      <c r="Y86" s="87">
        <f>IF(TrRoad_act!Y8=0,0,Y22/TrRoad_act!Y8*1000)</f>
        <v>102.82569811590832</v>
      </c>
      <c r="DA86" s="171" t="s">
        <v>796</v>
      </c>
    </row>
    <row r="87" spans="1:105" ht="11.45" customHeight="1" x14ac:dyDescent="0.25">
      <c r="A87" s="111" t="s">
        <v>112</v>
      </c>
      <c r="B87" s="87">
        <f>IF(TrRoad_act!B9=0,0,B23/TrRoad_act!B9*1000)</f>
        <v>123.1819440681865</v>
      </c>
      <c r="C87" s="87">
        <f>IF(TrRoad_act!C9=0,0,C23/TrRoad_act!C9*1000)</f>
        <v>116.04558713573064</v>
      </c>
      <c r="D87" s="87">
        <f>IF(TrRoad_act!D9=0,0,D23/TrRoad_act!D9*1000)</f>
        <v>116.87469291471301</v>
      </c>
      <c r="E87" s="87">
        <f>IF(TrRoad_act!E9=0,0,E23/TrRoad_act!E9*1000)</f>
        <v>107.80270449871738</v>
      </c>
      <c r="F87" s="87">
        <f>IF(TrRoad_act!F9=0,0,F23/TrRoad_act!F9*1000)</f>
        <v>108.5361299069671</v>
      </c>
      <c r="G87" s="87">
        <f>IF(TrRoad_act!G9=0,0,G23/TrRoad_act!G9*1000)</f>
        <v>115.94112621833969</v>
      </c>
      <c r="H87" s="87">
        <f>IF(TrRoad_act!H9=0,0,H23/TrRoad_act!H9*1000)</f>
        <v>122.88908979047174</v>
      </c>
      <c r="I87" s="87">
        <f>IF(TrRoad_act!I9=0,0,I23/TrRoad_act!I9*1000)</f>
        <v>111.94565450910937</v>
      </c>
      <c r="J87" s="87">
        <f>IF(TrRoad_act!J9=0,0,J23/TrRoad_act!J9*1000)</f>
        <v>129.72278032603541</v>
      </c>
      <c r="K87" s="87">
        <f>IF(TrRoad_act!K9=0,0,K23/TrRoad_act!K9*1000)</f>
        <v>146.05144297375895</v>
      </c>
      <c r="L87" s="87">
        <f>IF(TrRoad_act!L9=0,0,L23/TrRoad_act!L9*1000)</f>
        <v>152.44565275392037</v>
      </c>
      <c r="M87" s="87">
        <f>IF(TrRoad_act!M9=0,0,M23/TrRoad_act!M9*1000)</f>
        <v>159.9795201430309</v>
      </c>
      <c r="N87" s="87">
        <f>IF(TrRoad_act!N9=0,0,N23/TrRoad_act!N9*1000)</f>
        <v>187.98037625361766</v>
      </c>
      <c r="O87" s="87">
        <f>IF(TrRoad_act!O9=0,0,O23/TrRoad_act!O9*1000)</f>
        <v>173.39525374740802</v>
      </c>
      <c r="P87" s="87">
        <f>IF(TrRoad_act!P9=0,0,P23/TrRoad_act!P9*1000)</f>
        <v>141.91792551219592</v>
      </c>
      <c r="Q87" s="87">
        <f>IF(TrRoad_act!Q9=0,0,Q23/TrRoad_act!Q9*1000)</f>
        <v>138.00349083584442</v>
      </c>
      <c r="R87" s="87">
        <f>IF(TrRoad_act!R9=0,0,R23/TrRoad_act!R9*1000)</f>
        <v>150.45295043043279</v>
      </c>
      <c r="S87" s="87">
        <f>IF(TrRoad_act!S9=0,0,S23/TrRoad_act!S9*1000)</f>
        <v>145.33256521448087</v>
      </c>
      <c r="T87" s="87">
        <f>IF(TrRoad_act!T9=0,0,T23/TrRoad_act!T9*1000)</f>
        <v>135.80102666844797</v>
      </c>
      <c r="U87" s="87">
        <f>IF(TrRoad_act!U9=0,0,U23/TrRoad_act!U9*1000)</f>
        <v>113.91917114933118</v>
      </c>
      <c r="V87" s="87">
        <f>IF(TrRoad_act!V9=0,0,V23/TrRoad_act!V9*1000)</f>
        <v>137.35685672257048</v>
      </c>
      <c r="W87" s="87">
        <f>IF(TrRoad_act!W9=0,0,W23/TrRoad_act!W9*1000)</f>
        <v>149.15779310267263</v>
      </c>
      <c r="X87" s="87">
        <f>IF(TrRoad_act!X9=0,0,X23/TrRoad_act!X9*1000)</f>
        <v>151.13036723819394</v>
      </c>
      <c r="Y87" s="87">
        <f>IF(TrRoad_act!Y9=0,0,Y23/TrRoad_act!Y9*1000)</f>
        <v>133.21384401980259</v>
      </c>
      <c r="DA87" s="171" t="s">
        <v>797</v>
      </c>
    </row>
    <row r="88" spans="1:105" ht="11.45" customHeight="1" x14ac:dyDescent="0.25">
      <c r="A88" s="111" t="s">
        <v>113</v>
      </c>
      <c r="B88" s="87">
        <f>IF(TrRoad_act!B10=0,0,B24/TrRoad_act!B10*1000)</f>
        <v>0</v>
      </c>
      <c r="C88" s="87">
        <f>IF(TrRoad_act!C10=0,0,C24/TrRoad_act!C10*1000)</f>
        <v>0</v>
      </c>
      <c r="D88" s="87">
        <f>IF(TrRoad_act!D10=0,0,D24/TrRoad_act!D10*1000)</f>
        <v>0</v>
      </c>
      <c r="E88" s="87">
        <f>IF(TrRoad_act!E10=0,0,E24/TrRoad_act!E10*1000)</f>
        <v>0</v>
      </c>
      <c r="F88" s="87">
        <f>IF(TrRoad_act!F10=0,0,F24/TrRoad_act!F10*1000)</f>
        <v>0</v>
      </c>
      <c r="G88" s="87">
        <f>IF(TrRoad_act!G10=0,0,G24/TrRoad_act!G10*1000)</f>
        <v>0</v>
      </c>
      <c r="H88" s="87">
        <f>IF(TrRoad_act!H10=0,0,H24/TrRoad_act!H10*1000)</f>
        <v>0</v>
      </c>
      <c r="I88" s="87">
        <f>IF(TrRoad_act!I10=0,0,I24/TrRoad_act!I10*1000)</f>
        <v>0</v>
      </c>
      <c r="J88" s="87">
        <f>IF(TrRoad_act!J10=0,0,J24/TrRoad_act!J10*1000)</f>
        <v>0</v>
      </c>
      <c r="K88" s="87">
        <f>IF(TrRoad_act!K10=0,0,K24/TrRoad_act!K10*1000)</f>
        <v>0</v>
      </c>
      <c r="L88" s="87">
        <f>IF(TrRoad_act!L10=0,0,L24/TrRoad_act!L10*1000)</f>
        <v>134.03674587287887</v>
      </c>
      <c r="M88" s="87">
        <f>IF(TrRoad_act!M10=0,0,M24/TrRoad_act!M10*1000)</f>
        <v>135.8564507230096</v>
      </c>
      <c r="N88" s="87">
        <f>IF(TrRoad_act!N10=0,0,N24/TrRoad_act!N10*1000)</f>
        <v>124.52194105098278</v>
      </c>
      <c r="O88" s="87">
        <f>IF(TrRoad_act!O10=0,0,O24/TrRoad_act!O10*1000)</f>
        <v>115.68883709475597</v>
      </c>
      <c r="P88" s="87">
        <f>IF(TrRoad_act!P10=0,0,P24/TrRoad_act!P10*1000)</f>
        <v>104.79683713628133</v>
      </c>
      <c r="Q88" s="87">
        <f>IF(TrRoad_act!Q10=0,0,Q24/TrRoad_act!Q10*1000)</f>
        <v>109.00621121823632</v>
      </c>
      <c r="R88" s="87">
        <f>IF(TrRoad_act!R10=0,0,R24/TrRoad_act!R10*1000)</f>
        <v>95.640759848529726</v>
      </c>
      <c r="S88" s="87">
        <f>IF(TrRoad_act!S10=0,0,S24/TrRoad_act!S10*1000)</f>
        <v>117.32196651353499</v>
      </c>
      <c r="T88" s="87">
        <f>IF(TrRoad_act!T10=0,0,T24/TrRoad_act!T10*1000)</f>
        <v>124.66380424441235</v>
      </c>
      <c r="U88" s="87">
        <f>IF(TrRoad_act!U10=0,0,U24/TrRoad_act!U10*1000)</f>
        <v>126.0403238478581</v>
      </c>
      <c r="V88" s="87">
        <f>IF(TrRoad_act!V10=0,0,V24/TrRoad_act!V10*1000)</f>
        <v>144.86662602081523</v>
      </c>
      <c r="W88" s="87">
        <f>IF(TrRoad_act!W10=0,0,W24/TrRoad_act!W10*1000)</f>
        <v>143.39587706882989</v>
      </c>
      <c r="X88" s="87">
        <f>IF(TrRoad_act!X10=0,0,X24/TrRoad_act!X10*1000)</f>
        <v>143.99222072641251</v>
      </c>
      <c r="Y88" s="87">
        <f>IF(TrRoad_act!Y10=0,0,Y24/TrRoad_act!Y10*1000)</f>
        <v>134.99926458873142</v>
      </c>
      <c r="DA88" s="171" t="s">
        <v>798</v>
      </c>
    </row>
    <row r="89" spans="1:105" ht="11.45" customHeight="1" x14ac:dyDescent="0.25">
      <c r="A89" s="111" t="s">
        <v>114</v>
      </c>
      <c r="B89" s="87">
        <f>IF(TrRoad_act!B11=0,0,B25/TrRoad_act!B11*1000)</f>
        <v>0</v>
      </c>
      <c r="C89" s="87">
        <f>IF(TrRoad_act!C11=0,0,C25/TrRoad_act!C11*1000)</f>
        <v>0</v>
      </c>
      <c r="D89" s="87">
        <f>IF(TrRoad_act!D11=0,0,D25/TrRoad_act!D11*1000)</f>
        <v>0</v>
      </c>
      <c r="E89" s="87">
        <f>IF(TrRoad_act!E11=0,0,E25/TrRoad_act!E11*1000)</f>
        <v>0</v>
      </c>
      <c r="F89" s="87">
        <f>IF(TrRoad_act!F11=0,0,F25/TrRoad_act!F11*1000)</f>
        <v>0</v>
      </c>
      <c r="G89" s="87">
        <f>IF(TrRoad_act!G11=0,0,G25/TrRoad_act!G11*1000)</f>
        <v>0</v>
      </c>
      <c r="H89" s="87">
        <f>IF(TrRoad_act!H11=0,0,H25/TrRoad_act!H11*1000)</f>
        <v>0</v>
      </c>
      <c r="I89" s="87">
        <f>IF(TrRoad_act!I11=0,0,I25/TrRoad_act!I11*1000)</f>
        <v>0</v>
      </c>
      <c r="J89" s="87">
        <f>IF(TrRoad_act!J11=0,0,J25/TrRoad_act!J11*1000)</f>
        <v>0</v>
      </c>
      <c r="K89" s="87">
        <f>IF(TrRoad_act!K11=0,0,K25/TrRoad_act!K11*1000)</f>
        <v>0</v>
      </c>
      <c r="L89" s="87">
        <f>IF(TrRoad_act!L11=0,0,L25/TrRoad_act!L11*1000)</f>
        <v>0</v>
      </c>
      <c r="M89" s="87">
        <f>IF(TrRoad_act!M11=0,0,M25/TrRoad_act!M11*1000)</f>
        <v>38.367272535414394</v>
      </c>
      <c r="N89" s="87">
        <f>IF(TrRoad_act!N11=0,0,N25/TrRoad_act!N11*1000)</f>
        <v>22.685046152953081</v>
      </c>
      <c r="O89" s="87">
        <f>IF(TrRoad_act!O11=0,0,O25/TrRoad_act!O11*1000)</f>
        <v>23.984697605518132</v>
      </c>
      <c r="P89" s="87">
        <f>IF(TrRoad_act!P11=0,0,P25/TrRoad_act!P11*1000)</f>
        <v>35.559153125814646</v>
      </c>
      <c r="Q89" s="87">
        <f>IF(TrRoad_act!Q11=0,0,Q25/TrRoad_act!Q11*1000)</f>
        <v>33.473772953859573</v>
      </c>
      <c r="R89" s="87">
        <f>IF(TrRoad_act!R11=0,0,R25/TrRoad_act!R11*1000)</f>
        <v>33.509193335954357</v>
      </c>
      <c r="S89" s="87">
        <f>IF(TrRoad_act!S11=0,0,S25/TrRoad_act!S11*1000)</f>
        <v>35.287453703699313</v>
      </c>
      <c r="T89" s="87">
        <f>IF(TrRoad_act!T11=0,0,T25/TrRoad_act!T11*1000)</f>
        <v>34.120522244913268</v>
      </c>
      <c r="U89" s="87">
        <f>IF(TrRoad_act!U11=0,0,U25/TrRoad_act!U11*1000)</f>
        <v>34.774944701013041</v>
      </c>
      <c r="V89" s="87">
        <f>IF(TrRoad_act!V11=0,0,V25/TrRoad_act!V11*1000)</f>
        <v>40.213543771132215</v>
      </c>
      <c r="W89" s="87">
        <f>IF(TrRoad_act!W11=0,0,W25/TrRoad_act!W11*1000)</f>
        <v>38.969470693388828</v>
      </c>
      <c r="X89" s="87">
        <f>IF(TrRoad_act!X11=0,0,X25/TrRoad_act!X11*1000)</f>
        <v>32.929204406646313</v>
      </c>
      <c r="Y89" s="87">
        <f>IF(TrRoad_act!Y11=0,0,Y25/TrRoad_act!Y11*1000)</f>
        <v>30.65167051957836</v>
      </c>
      <c r="DA89" s="171" t="s">
        <v>799</v>
      </c>
    </row>
    <row r="90" spans="1:105" ht="11.45" customHeight="1" x14ac:dyDescent="0.25">
      <c r="A90" s="111" t="s">
        <v>115</v>
      </c>
      <c r="B90" s="87">
        <f>IF(TrRoad_act!B12=0,0,B26/TrRoad_act!B12*1000)</f>
        <v>0</v>
      </c>
      <c r="C90" s="87">
        <f>IF(TrRoad_act!C12=0,0,C26/TrRoad_act!C12*1000)</f>
        <v>0</v>
      </c>
      <c r="D90" s="87">
        <f>IF(TrRoad_act!D12=0,0,D26/TrRoad_act!D12*1000)</f>
        <v>0</v>
      </c>
      <c r="E90" s="87">
        <f>IF(TrRoad_act!E12=0,0,E26/TrRoad_act!E12*1000)</f>
        <v>0</v>
      </c>
      <c r="F90" s="87">
        <f>IF(TrRoad_act!F12=0,0,F26/TrRoad_act!F12*1000)</f>
        <v>0</v>
      </c>
      <c r="G90" s="87">
        <f>IF(TrRoad_act!G12=0,0,G26/TrRoad_act!G12*1000)</f>
        <v>0</v>
      </c>
      <c r="H90" s="87">
        <f>IF(TrRoad_act!H12=0,0,H26/TrRoad_act!H12*1000)</f>
        <v>0</v>
      </c>
      <c r="I90" s="87">
        <f>IF(TrRoad_act!I12=0,0,I26/TrRoad_act!I12*1000)</f>
        <v>0</v>
      </c>
      <c r="J90" s="87">
        <f>IF(TrRoad_act!J12=0,0,J26/TrRoad_act!J12*1000)</f>
        <v>0</v>
      </c>
      <c r="K90" s="87">
        <f>IF(TrRoad_act!K12=0,0,K26/TrRoad_act!K12*1000)</f>
        <v>0</v>
      </c>
      <c r="L90" s="87">
        <f>IF(TrRoad_act!L12=0,0,L26/TrRoad_act!L12*1000)</f>
        <v>0</v>
      </c>
      <c r="M90" s="87">
        <f>IF(TrRoad_act!M12=0,0,M26/TrRoad_act!M12*1000)</f>
        <v>0</v>
      </c>
      <c r="N90" s="87">
        <f>IF(TrRoad_act!N12=0,0,N26/TrRoad_act!N12*1000)</f>
        <v>0</v>
      </c>
      <c r="O90" s="87">
        <f>IF(TrRoad_act!O12=0,0,O26/TrRoad_act!O12*1000)</f>
        <v>0</v>
      </c>
      <c r="P90" s="87">
        <f>IF(TrRoad_act!P12=0,0,P26/TrRoad_act!P12*1000)</f>
        <v>0</v>
      </c>
      <c r="Q90" s="87">
        <f>IF(TrRoad_act!Q12=0,0,Q26/TrRoad_act!Q12*1000)</f>
        <v>0</v>
      </c>
      <c r="R90" s="87">
        <f>IF(TrRoad_act!R12=0,0,R26/TrRoad_act!R12*1000)</f>
        <v>0</v>
      </c>
      <c r="S90" s="87">
        <f>IF(TrRoad_act!S12=0,0,S26/TrRoad_act!S12*1000)</f>
        <v>0</v>
      </c>
      <c r="T90" s="87">
        <f>IF(TrRoad_act!T12=0,0,T26/TrRoad_act!T12*1000)</f>
        <v>0</v>
      </c>
      <c r="U90" s="87">
        <f>IF(TrRoad_act!U12=0,0,U26/TrRoad_act!U12*1000)</f>
        <v>0</v>
      </c>
      <c r="V90" s="87">
        <f>IF(TrRoad_act!V12=0,0,V26/TrRoad_act!V12*1000)</f>
        <v>0</v>
      </c>
      <c r="W90" s="87">
        <f>IF(TrRoad_act!W12=0,0,W26/TrRoad_act!W12*1000)</f>
        <v>0</v>
      </c>
      <c r="X90" s="87">
        <f>IF(TrRoad_act!X12=0,0,X26/TrRoad_act!X12*1000)</f>
        <v>0</v>
      </c>
      <c r="Y90" s="87">
        <f>IF(TrRoad_act!Y12=0,0,Y26/TrRoad_act!Y12*1000)</f>
        <v>0</v>
      </c>
      <c r="DA90" s="171" t="s">
        <v>800</v>
      </c>
    </row>
    <row r="91" spans="1:105" ht="11.45" customHeight="1" x14ac:dyDescent="0.25">
      <c r="A91" s="109" t="s">
        <v>21</v>
      </c>
      <c r="B91" s="116">
        <f>IF(TrRoad_act!B13=0,0,B27/TrRoad_act!B13*1000)</f>
        <v>243.27381147160719</v>
      </c>
      <c r="C91" s="116">
        <f>IF(TrRoad_act!C13=0,0,C27/TrRoad_act!C13*1000)</f>
        <v>233.14231177463026</v>
      </c>
      <c r="D91" s="116">
        <f>IF(TrRoad_act!D13=0,0,D27/TrRoad_act!D13*1000)</f>
        <v>244.16612516809136</v>
      </c>
      <c r="E91" s="116">
        <f>IF(TrRoad_act!E13=0,0,E27/TrRoad_act!E13*1000)</f>
        <v>228.4243096907548</v>
      </c>
      <c r="F91" s="116">
        <f>IF(TrRoad_act!F13=0,0,F27/TrRoad_act!F13*1000)</f>
        <v>218.69171716697605</v>
      </c>
      <c r="G91" s="116">
        <f>IF(TrRoad_act!G13=0,0,G27/TrRoad_act!G13*1000)</f>
        <v>214.81937575650582</v>
      </c>
      <c r="H91" s="116">
        <f>IF(TrRoad_act!H13=0,0,H27/TrRoad_act!H13*1000)</f>
        <v>208.17541591193677</v>
      </c>
      <c r="I91" s="116">
        <f>IF(TrRoad_act!I13=0,0,I27/TrRoad_act!I13*1000)</f>
        <v>196.79289877750904</v>
      </c>
      <c r="J91" s="116">
        <f>IF(TrRoad_act!J13=0,0,J27/TrRoad_act!J13*1000)</f>
        <v>202.54133467590083</v>
      </c>
      <c r="K91" s="116">
        <f>IF(TrRoad_act!K13=0,0,K27/TrRoad_act!K13*1000)</f>
        <v>215.54174058298219</v>
      </c>
      <c r="L91" s="116">
        <f>IF(TrRoad_act!L13=0,0,L27/TrRoad_act!L13*1000)</f>
        <v>230.12378901806326</v>
      </c>
      <c r="M91" s="116">
        <f>IF(TrRoad_act!M13=0,0,M27/TrRoad_act!M13*1000)</f>
        <v>215.53245918236652</v>
      </c>
      <c r="N91" s="116">
        <f>IF(TrRoad_act!N13=0,0,N27/TrRoad_act!N13*1000)</f>
        <v>233.352214493133</v>
      </c>
      <c r="O91" s="116">
        <f>IF(TrRoad_act!O13=0,0,O27/TrRoad_act!O13*1000)</f>
        <v>203.7653722714771</v>
      </c>
      <c r="P91" s="116">
        <f>IF(TrRoad_act!P13=0,0,P27/TrRoad_act!P13*1000)</f>
        <v>197.06645051999692</v>
      </c>
      <c r="Q91" s="116">
        <f>IF(TrRoad_act!Q13=0,0,Q27/TrRoad_act!Q13*1000)</f>
        <v>181.78545784554919</v>
      </c>
      <c r="R91" s="116">
        <f>IF(TrRoad_act!R13=0,0,R27/TrRoad_act!R13*1000)</f>
        <v>179.89604521183813</v>
      </c>
      <c r="S91" s="116">
        <f>IF(TrRoad_act!S13=0,0,S27/TrRoad_act!S13*1000)</f>
        <v>205.27404821904577</v>
      </c>
      <c r="T91" s="116">
        <f>IF(TrRoad_act!T13=0,0,T27/TrRoad_act!T13*1000)</f>
        <v>156.96871219051366</v>
      </c>
      <c r="U91" s="116">
        <f>IF(TrRoad_act!U13=0,0,U27/TrRoad_act!U13*1000)</f>
        <v>142.38919145510411</v>
      </c>
      <c r="V91" s="116">
        <f>IF(TrRoad_act!V13=0,0,V27/TrRoad_act!V13*1000)</f>
        <v>242.38277505931711</v>
      </c>
      <c r="W91" s="116">
        <f>IF(TrRoad_act!W13=0,0,W27/TrRoad_act!W13*1000)</f>
        <v>182.04816705013323</v>
      </c>
      <c r="X91" s="116">
        <f>IF(TrRoad_act!X13=0,0,X27/TrRoad_act!X13*1000)</f>
        <v>126.04590082221249</v>
      </c>
      <c r="Y91" s="116">
        <f>IF(TrRoad_act!Y13=0,0,Y27/TrRoad_act!Y13*1000)</f>
        <v>119.61875602234142</v>
      </c>
      <c r="DA91" s="176" t="s">
        <v>439</v>
      </c>
    </row>
    <row r="92" spans="1:105" ht="11.45" customHeight="1" x14ac:dyDescent="0.25">
      <c r="A92" s="111" t="s">
        <v>110</v>
      </c>
      <c r="B92" s="101">
        <f>IF(TrRoad_act!B14=0,0,B28/TrRoad_act!B14*1000)</f>
        <v>85.705070359710376</v>
      </c>
      <c r="C92" s="101">
        <f>IF(TrRoad_act!C14=0,0,C28/TrRoad_act!C14*1000)</f>
        <v>81.986795541865561</v>
      </c>
      <c r="D92" s="101">
        <f>IF(TrRoad_act!D14=0,0,D28/TrRoad_act!D14*1000)</f>
        <v>79.989915348367433</v>
      </c>
      <c r="E92" s="101">
        <f>IF(TrRoad_act!E14=0,0,E28/TrRoad_act!E14*1000)</f>
        <v>78.442843849912705</v>
      </c>
      <c r="F92" s="101">
        <f>IF(TrRoad_act!F14=0,0,F28/TrRoad_act!F14*1000)</f>
        <v>78.135193315234389</v>
      </c>
      <c r="G92" s="101">
        <f>IF(TrRoad_act!G14=0,0,G28/TrRoad_act!G14*1000)</f>
        <v>77.702456667169997</v>
      </c>
      <c r="H92" s="101">
        <f>IF(TrRoad_act!H14=0,0,H28/TrRoad_act!H14*1000)</f>
        <v>77.027059180260437</v>
      </c>
      <c r="I92" s="101">
        <f>IF(TrRoad_act!I14=0,0,I28/TrRoad_act!I14*1000)</f>
        <v>75.23104545118035</v>
      </c>
      <c r="J92" s="101">
        <f>IF(TrRoad_act!J14=0,0,J28/TrRoad_act!J14*1000)</f>
        <v>74.964755272788139</v>
      </c>
      <c r="K92" s="101">
        <f>IF(TrRoad_act!K14=0,0,K28/TrRoad_act!K14*1000)</f>
        <v>74.259495793756884</v>
      </c>
      <c r="L92" s="101">
        <f>IF(TrRoad_act!L14=0,0,L28/TrRoad_act!L14*1000)</f>
        <v>73.146825434750014</v>
      </c>
      <c r="M92" s="101">
        <f>IF(TrRoad_act!M14=0,0,M28/TrRoad_act!M14*1000)</f>
        <v>71.465240568444372</v>
      </c>
      <c r="N92" s="101">
        <f>IF(TrRoad_act!N14=0,0,N28/TrRoad_act!N14*1000)</f>
        <v>69.232013768114967</v>
      </c>
      <c r="O92" s="101">
        <f>IF(TrRoad_act!O14=0,0,O28/TrRoad_act!O14*1000)</f>
        <v>68.768810152247909</v>
      </c>
      <c r="P92" s="101">
        <f>IF(TrRoad_act!P14=0,0,P28/TrRoad_act!P14*1000)</f>
        <v>68.468050150753754</v>
      </c>
      <c r="Q92" s="101">
        <f>IF(TrRoad_act!Q14=0,0,Q28/TrRoad_act!Q14*1000)</f>
        <v>64.000373054955574</v>
      </c>
      <c r="R92" s="101">
        <f>IF(TrRoad_act!R14=0,0,R28/TrRoad_act!R14*1000)</f>
        <v>63.26204632618748</v>
      </c>
      <c r="S92" s="101">
        <f>IF(TrRoad_act!S14=0,0,S28/TrRoad_act!S14*1000)</f>
        <v>63.054854257958219</v>
      </c>
      <c r="T92" s="101">
        <f>IF(TrRoad_act!T14=0,0,T28/TrRoad_act!T14*1000)</f>
        <v>61.309657604238403</v>
      </c>
      <c r="U92" s="101">
        <f>IF(TrRoad_act!U14=0,0,U28/TrRoad_act!U14*1000)</f>
        <v>57.065311079254137</v>
      </c>
      <c r="V92" s="101">
        <f>IF(TrRoad_act!V14=0,0,V28/TrRoad_act!V14*1000)</f>
        <v>73.428321605703559</v>
      </c>
      <c r="W92" s="101">
        <f>IF(TrRoad_act!W14=0,0,W28/TrRoad_act!W14*1000)</f>
        <v>56.584904102613876</v>
      </c>
      <c r="X92" s="101">
        <f>IF(TrRoad_act!X14=0,0,X28/TrRoad_act!X14*1000)</f>
        <v>55.00503027404897</v>
      </c>
      <c r="Y92" s="101">
        <f>IF(TrRoad_act!Y14=0,0,Y28/TrRoad_act!Y14*1000)</f>
        <v>55.156690621468755</v>
      </c>
      <c r="DA92" s="175" t="s">
        <v>801</v>
      </c>
    </row>
    <row r="93" spans="1:105" ht="11.45" customHeight="1" x14ac:dyDescent="0.25">
      <c r="A93" s="111" t="s">
        <v>111</v>
      </c>
      <c r="B93" s="101">
        <f>IF(TrRoad_act!B15=0,0,B29/TrRoad_act!B15*1000)</f>
        <v>245.39444665319388</v>
      </c>
      <c r="C93" s="101">
        <f>IF(TrRoad_act!C15=0,0,C29/TrRoad_act!C15*1000)</f>
        <v>235.01306304723079</v>
      </c>
      <c r="D93" s="101">
        <f>IF(TrRoad_act!D15=0,0,D29/TrRoad_act!D15*1000)</f>
        <v>246.32926196609117</v>
      </c>
      <c r="E93" s="101">
        <f>IF(TrRoad_act!E15=0,0,E29/TrRoad_act!E15*1000)</f>
        <v>230.21921570099195</v>
      </c>
      <c r="F93" s="101">
        <f>IF(TrRoad_act!F15=0,0,F29/TrRoad_act!F15*1000)</f>
        <v>220.58982389566853</v>
      </c>
      <c r="G93" s="101">
        <f>IF(TrRoad_act!G15=0,0,G29/TrRoad_act!G15*1000)</f>
        <v>216.85384553761472</v>
      </c>
      <c r="H93" s="101">
        <f>IF(TrRoad_act!H15=0,0,H29/TrRoad_act!H15*1000)</f>
        <v>210.31595326305967</v>
      </c>
      <c r="I93" s="101">
        <f>IF(TrRoad_act!I15=0,0,I29/TrRoad_act!I15*1000)</f>
        <v>198.90114968887528</v>
      </c>
      <c r="J93" s="101">
        <f>IF(TrRoad_act!J15=0,0,J29/TrRoad_act!J15*1000)</f>
        <v>204.81488304925239</v>
      </c>
      <c r="K93" s="101">
        <f>IF(TrRoad_act!K15=0,0,K29/TrRoad_act!K15*1000)</f>
        <v>219.11185356823324</v>
      </c>
      <c r="L93" s="101">
        <f>IF(TrRoad_act!L15=0,0,L29/TrRoad_act!L15*1000)</f>
        <v>235.17085630586502</v>
      </c>
      <c r="M93" s="101">
        <f>IF(TrRoad_act!M15=0,0,M29/TrRoad_act!M15*1000)</f>
        <v>221.69539307727138</v>
      </c>
      <c r="N93" s="101">
        <f>IF(TrRoad_act!N15=0,0,N29/TrRoad_act!N15*1000)</f>
        <v>244.55058876229754</v>
      </c>
      <c r="O93" s="101">
        <f>IF(TrRoad_act!O15=0,0,O29/TrRoad_act!O15*1000)</f>
        <v>228.04746276569136</v>
      </c>
      <c r="P93" s="101">
        <f>IF(TrRoad_act!P15=0,0,P29/TrRoad_act!P15*1000)</f>
        <v>222.0507970183549</v>
      </c>
      <c r="Q93" s="101">
        <f>IF(TrRoad_act!Q15=0,0,Q29/TrRoad_act!Q15*1000)</f>
        <v>206.40922427114714</v>
      </c>
      <c r="R93" s="101">
        <f>IF(TrRoad_act!R15=0,0,R29/TrRoad_act!R15*1000)</f>
        <v>200.15399413976894</v>
      </c>
      <c r="S93" s="101">
        <f>IF(TrRoad_act!S15=0,0,S29/TrRoad_act!S15*1000)</f>
        <v>228.90275034178845</v>
      </c>
      <c r="T93" s="101">
        <f>IF(TrRoad_act!T15=0,0,T29/TrRoad_act!T15*1000)</f>
        <v>180.84748804871586</v>
      </c>
      <c r="U93" s="101">
        <f>IF(TrRoad_act!U15=0,0,U29/TrRoad_act!U15*1000)</f>
        <v>170.5551387419784</v>
      </c>
      <c r="V93" s="101">
        <f>IF(TrRoad_act!V15=0,0,V29/TrRoad_act!V15*1000)</f>
        <v>312.87052024249209</v>
      </c>
      <c r="W93" s="101">
        <f>IF(TrRoad_act!W15=0,0,W29/TrRoad_act!W15*1000)</f>
        <v>245.69753517950443</v>
      </c>
      <c r="X93" s="101">
        <f>IF(TrRoad_act!X15=0,0,X29/TrRoad_act!X15*1000)</f>
        <v>168.92588287610315</v>
      </c>
      <c r="Y93" s="101">
        <f>IF(TrRoad_act!Y15=0,0,Y29/TrRoad_act!Y15*1000)</f>
        <v>156.81115789006898</v>
      </c>
      <c r="DA93" s="175" t="s">
        <v>802</v>
      </c>
    </row>
    <row r="94" spans="1:105" ht="11.45" customHeight="1" x14ac:dyDescent="0.25">
      <c r="A94" s="111" t="s">
        <v>112</v>
      </c>
      <c r="B94" s="101">
        <f>IF(TrRoad_act!B16=0,0,B30/TrRoad_act!B16*1000)</f>
        <v>160.11096493498374</v>
      </c>
      <c r="C94" s="101">
        <f>IF(TrRoad_act!C16=0,0,C30/TrRoad_act!C16*1000)</f>
        <v>157.48276251296309</v>
      </c>
      <c r="D94" s="101">
        <f>IF(TrRoad_act!D16=0,0,D30/TrRoad_act!D16*1000)</f>
        <v>166.67636591479851</v>
      </c>
      <c r="E94" s="101">
        <f>IF(TrRoad_act!E16=0,0,E30/TrRoad_act!E16*1000)</f>
        <v>157.50899733710006</v>
      </c>
      <c r="F94" s="101">
        <f>IF(TrRoad_act!F16=0,0,F30/TrRoad_act!F16*1000)</f>
        <v>152.51191177586978</v>
      </c>
      <c r="G94" s="101">
        <f>IF(TrRoad_act!G16=0,0,G30/TrRoad_act!G16*1000)</f>
        <v>148.9256994631271</v>
      </c>
      <c r="H94" s="101">
        <f>IF(TrRoad_act!H16=0,0,H30/TrRoad_act!H16*1000)</f>
        <v>145.60157938890563</v>
      </c>
      <c r="I94" s="101">
        <f>IF(TrRoad_act!I16=0,0,I30/TrRoad_act!I16*1000)</f>
        <v>143.17929803411272</v>
      </c>
      <c r="J94" s="101">
        <f>IF(TrRoad_act!J16=0,0,J30/TrRoad_act!J16*1000)</f>
        <v>146.77950062249033</v>
      </c>
      <c r="K94" s="101">
        <f>IF(TrRoad_act!K16=0,0,K30/TrRoad_act!K16*1000)</f>
        <v>159.15435214009216</v>
      </c>
      <c r="L94" s="101">
        <f>IF(TrRoad_act!L16=0,0,L30/TrRoad_act!L16*1000)</f>
        <v>167.23390929565434</v>
      </c>
      <c r="M94" s="101">
        <f>IF(TrRoad_act!M16=0,0,M30/TrRoad_act!M16*1000)</f>
        <v>159.61533036700877</v>
      </c>
      <c r="N94" s="101">
        <f>IF(TrRoad_act!N16=0,0,N30/TrRoad_act!N16*1000)</f>
        <v>176.98868003873045</v>
      </c>
      <c r="O94" s="101">
        <f>IF(TrRoad_act!O16=0,0,O30/TrRoad_act!O16*1000)</f>
        <v>165.55347796533971</v>
      </c>
      <c r="P94" s="101">
        <f>IF(TrRoad_act!P16=0,0,P30/TrRoad_act!P16*1000)</f>
        <v>163.18172152825616</v>
      </c>
      <c r="Q94" s="101">
        <f>IF(TrRoad_act!Q16=0,0,Q30/TrRoad_act!Q16*1000)</f>
        <v>149.66618296661616</v>
      </c>
      <c r="R94" s="101">
        <f>IF(TrRoad_act!R16=0,0,R30/TrRoad_act!R16*1000)</f>
        <v>144.05663329576217</v>
      </c>
      <c r="S94" s="101">
        <f>IF(TrRoad_act!S16=0,0,S30/TrRoad_act!S16*1000)</f>
        <v>166.64951831928781</v>
      </c>
      <c r="T94" s="101">
        <f>IF(TrRoad_act!T16=0,0,T30/TrRoad_act!T16*1000)</f>
        <v>135.71242754615139</v>
      </c>
      <c r="U94" s="101">
        <f>IF(TrRoad_act!U16=0,0,U30/TrRoad_act!U16*1000)</f>
        <v>131.44886770333125</v>
      </c>
      <c r="V94" s="101">
        <f>IF(TrRoad_act!V16=0,0,V30/TrRoad_act!V16*1000)</f>
        <v>241.21141221709925</v>
      </c>
      <c r="W94" s="101">
        <f>IF(TrRoad_act!W16=0,0,W30/TrRoad_act!W16*1000)</f>
        <v>196.13784775384474</v>
      </c>
      <c r="X94" s="101">
        <f>IF(TrRoad_act!X16=0,0,X30/TrRoad_act!X16*1000)</f>
        <v>136.07526990138678</v>
      </c>
      <c r="Y94" s="101">
        <f>IF(TrRoad_act!Y16=0,0,Y30/TrRoad_act!Y16*1000)</f>
        <v>130.01648897181914</v>
      </c>
      <c r="DA94" s="175" t="s">
        <v>803</v>
      </c>
    </row>
    <row r="95" spans="1:105" ht="11.45" customHeight="1" x14ac:dyDescent="0.25">
      <c r="A95" s="111" t="s">
        <v>113</v>
      </c>
      <c r="B95" s="101">
        <f>IF(TrRoad_act!B17=0,0,B31/TrRoad_act!B17*1000)</f>
        <v>153.40875707346177</v>
      </c>
      <c r="C95" s="101">
        <f>IF(TrRoad_act!C17=0,0,C31/TrRoad_act!C17*1000)</f>
        <v>162.89738744740552</v>
      </c>
      <c r="D95" s="101">
        <f>IF(TrRoad_act!D17=0,0,D31/TrRoad_act!D17*1000)</f>
        <v>139.72164749269746</v>
      </c>
      <c r="E95" s="101">
        <f>IF(TrRoad_act!E17=0,0,E31/TrRoad_act!E17*1000)</f>
        <v>157.4264380162067</v>
      </c>
      <c r="F95" s="101">
        <f>IF(TrRoad_act!F17=0,0,F31/TrRoad_act!F17*1000)</f>
        <v>114.07462080024439</v>
      </c>
      <c r="G95" s="101">
        <f>IF(TrRoad_act!G17=0,0,G31/TrRoad_act!G17*1000)</f>
        <v>119.95096901706147</v>
      </c>
      <c r="H95" s="101">
        <f>IF(TrRoad_act!H17=0,0,H31/TrRoad_act!H17*1000)</f>
        <v>117.00362627397614</v>
      </c>
      <c r="I95" s="101">
        <f>IF(TrRoad_act!I17=0,0,I31/TrRoad_act!I17*1000)</f>
        <v>108.3974643167054</v>
      </c>
      <c r="J95" s="101">
        <f>IF(TrRoad_act!J17=0,0,J31/TrRoad_act!J17*1000)</f>
        <v>112.91309378601736</v>
      </c>
      <c r="K95" s="101">
        <f>IF(TrRoad_act!K17=0,0,K31/TrRoad_act!K17*1000)</f>
        <v>122.03714686419815</v>
      </c>
      <c r="L95" s="101">
        <f>IF(TrRoad_act!L17=0,0,L31/TrRoad_act!L17*1000)</f>
        <v>134.44485756996667</v>
      </c>
      <c r="M95" s="101">
        <f>IF(TrRoad_act!M17=0,0,M31/TrRoad_act!M17*1000)</f>
        <v>137.42940162510661</v>
      </c>
      <c r="N95" s="101">
        <f>IF(TrRoad_act!N17=0,0,N31/TrRoad_act!N17*1000)</f>
        <v>108.69678703762473</v>
      </c>
      <c r="O95" s="101">
        <f>IF(TrRoad_act!O17=0,0,O31/TrRoad_act!O17*1000)</f>
        <v>57.84612827459911</v>
      </c>
      <c r="P95" s="101">
        <f>IF(TrRoad_act!P17=0,0,P31/TrRoad_act!P17*1000)</f>
        <v>58.538818522020399</v>
      </c>
      <c r="Q95" s="101">
        <f>IF(TrRoad_act!Q17=0,0,Q31/TrRoad_act!Q17*1000)</f>
        <v>64.647504796169514</v>
      </c>
      <c r="R95" s="101">
        <f>IF(TrRoad_act!R17=0,0,R31/TrRoad_act!R17*1000)</f>
        <v>106.39029747480977</v>
      </c>
      <c r="S95" s="101">
        <f>IF(TrRoad_act!S17=0,0,S31/TrRoad_act!S17*1000)</f>
        <v>136.33000469866133</v>
      </c>
      <c r="T95" s="101">
        <f>IF(TrRoad_act!T17=0,0,T31/TrRoad_act!T17*1000)</f>
        <v>93.578861101739534</v>
      </c>
      <c r="U95" s="101">
        <f>IF(TrRoad_act!U17=0,0,U31/TrRoad_act!U17*1000)</f>
        <v>95.303249640134396</v>
      </c>
      <c r="V95" s="101">
        <f>IF(TrRoad_act!V17=0,0,V31/TrRoad_act!V17*1000)</f>
        <v>181.37496314167555</v>
      </c>
      <c r="W95" s="101">
        <f>IF(TrRoad_act!W17=0,0,W31/TrRoad_act!W17*1000)</f>
        <v>150.2892849287955</v>
      </c>
      <c r="X95" s="101">
        <f>IF(TrRoad_act!X17=0,0,X31/TrRoad_act!X17*1000)</f>
        <v>112.58667129917488</v>
      </c>
      <c r="Y95" s="101">
        <f>IF(TrRoad_act!Y17=0,0,Y31/TrRoad_act!Y17*1000)</f>
        <v>128.18178282256136</v>
      </c>
      <c r="DA95" s="175" t="s">
        <v>804</v>
      </c>
    </row>
    <row r="96" spans="1:105" ht="11.45" customHeight="1" x14ac:dyDescent="0.25">
      <c r="A96" s="111" t="s">
        <v>115</v>
      </c>
      <c r="B96" s="101">
        <f>IF(TrRoad_act!B18=0,0,B32/TrRoad_act!B18*1000)</f>
        <v>0</v>
      </c>
      <c r="C96" s="101">
        <f>IF(TrRoad_act!C18=0,0,C32/TrRoad_act!C18*1000)</f>
        <v>0</v>
      </c>
      <c r="D96" s="101">
        <f>IF(TrRoad_act!D18=0,0,D32/TrRoad_act!D18*1000)</f>
        <v>0</v>
      </c>
      <c r="E96" s="101">
        <f>IF(TrRoad_act!E18=0,0,E32/TrRoad_act!E18*1000)</f>
        <v>0</v>
      </c>
      <c r="F96" s="101">
        <f>IF(TrRoad_act!F18=0,0,F32/TrRoad_act!F18*1000)</f>
        <v>0</v>
      </c>
      <c r="G96" s="101">
        <f>IF(TrRoad_act!G18=0,0,G32/TrRoad_act!G18*1000)</f>
        <v>0</v>
      </c>
      <c r="H96" s="101">
        <f>IF(TrRoad_act!H18=0,0,H32/TrRoad_act!H18*1000)</f>
        <v>0</v>
      </c>
      <c r="I96" s="101">
        <f>IF(TrRoad_act!I18=0,0,I32/TrRoad_act!I18*1000)</f>
        <v>0</v>
      </c>
      <c r="J96" s="101">
        <f>IF(TrRoad_act!J18=0,0,J32/TrRoad_act!J18*1000)</f>
        <v>0</v>
      </c>
      <c r="K96" s="101">
        <f>IF(TrRoad_act!K18=0,0,K32/TrRoad_act!K18*1000)</f>
        <v>0</v>
      </c>
      <c r="L96" s="101">
        <f>IF(TrRoad_act!L18=0,0,L32/TrRoad_act!L18*1000)</f>
        <v>0</v>
      </c>
      <c r="M96" s="101">
        <f>IF(TrRoad_act!M18=0,0,M32/TrRoad_act!M18*1000)</f>
        <v>0</v>
      </c>
      <c r="N96" s="101">
        <f>IF(TrRoad_act!N18=0,0,N32/TrRoad_act!N18*1000)</f>
        <v>0</v>
      </c>
      <c r="O96" s="101">
        <f>IF(TrRoad_act!O18=0,0,O32/TrRoad_act!O18*1000)</f>
        <v>0</v>
      </c>
      <c r="P96" s="101">
        <f>IF(TrRoad_act!P18=0,0,P32/TrRoad_act!P18*1000)</f>
        <v>0</v>
      </c>
      <c r="Q96" s="101">
        <f>IF(TrRoad_act!Q18=0,0,Q32/TrRoad_act!Q18*1000)</f>
        <v>0</v>
      </c>
      <c r="R96" s="101">
        <f>IF(TrRoad_act!R18=0,0,R32/TrRoad_act!R18*1000)</f>
        <v>0</v>
      </c>
      <c r="S96" s="101">
        <f>IF(TrRoad_act!S18=0,0,S32/TrRoad_act!S18*1000)</f>
        <v>0</v>
      </c>
      <c r="T96" s="101">
        <f>IF(TrRoad_act!T18=0,0,T32/TrRoad_act!T18*1000)</f>
        <v>0</v>
      </c>
      <c r="U96" s="101">
        <f>IF(TrRoad_act!U18=0,0,U32/TrRoad_act!U18*1000)</f>
        <v>0</v>
      </c>
      <c r="V96" s="101">
        <f>IF(TrRoad_act!V18=0,0,V32/TrRoad_act!V18*1000)</f>
        <v>0</v>
      </c>
      <c r="W96" s="101">
        <f>IF(TrRoad_act!W18=0,0,W32/TrRoad_act!W18*1000)</f>
        <v>0</v>
      </c>
      <c r="X96" s="101">
        <f>IF(TrRoad_act!X18=0,0,X32/TrRoad_act!X18*1000)</f>
        <v>0</v>
      </c>
      <c r="Y96" s="101">
        <f>IF(TrRoad_act!Y18=0,0,Y32/TrRoad_act!Y18*1000)</f>
        <v>0</v>
      </c>
      <c r="DA96" s="175" t="s">
        <v>805</v>
      </c>
    </row>
    <row r="97" spans="1:105" ht="11.45" customHeight="1" x14ac:dyDescent="0.25">
      <c r="A97" s="27" t="s">
        <v>158</v>
      </c>
      <c r="B97" s="29">
        <f>IF(TrRoad_act!B19=0,0,B33/TrRoad_act!B19*1000)</f>
        <v>254.1095805384123</v>
      </c>
      <c r="C97" s="29">
        <f>IF(TrRoad_act!C19=0,0,C33/TrRoad_act!C19*1000)</f>
        <v>252.42394208817177</v>
      </c>
      <c r="D97" s="29">
        <f>IF(TrRoad_act!D19=0,0,D33/TrRoad_act!D19*1000)</f>
        <v>259.26399469512018</v>
      </c>
      <c r="E97" s="29">
        <f>IF(TrRoad_act!E19=0,0,E33/TrRoad_act!E19*1000)</f>
        <v>258.72192605266292</v>
      </c>
      <c r="F97" s="29">
        <f>IF(TrRoad_act!F19=0,0,F33/TrRoad_act!F19*1000)</f>
        <v>244.85841402284512</v>
      </c>
      <c r="G97" s="29">
        <f>IF(TrRoad_act!G19=0,0,G33/TrRoad_act!G19*1000)</f>
        <v>253.07513736510799</v>
      </c>
      <c r="H97" s="29">
        <f>IF(TrRoad_act!H19=0,0,H33/TrRoad_act!H19*1000)</f>
        <v>260.77422609858627</v>
      </c>
      <c r="I97" s="29">
        <f>IF(TrRoad_act!I19=0,0,I33/TrRoad_act!I19*1000)</f>
        <v>254.71825273965044</v>
      </c>
      <c r="J97" s="29">
        <f>IF(TrRoad_act!J19=0,0,J33/TrRoad_act!J19*1000)</f>
        <v>253.31889737449575</v>
      </c>
      <c r="K97" s="29">
        <f>IF(TrRoad_act!K19=0,0,K33/TrRoad_act!K19*1000)</f>
        <v>242.54618228036358</v>
      </c>
      <c r="L97" s="29">
        <f>IF(TrRoad_act!L19=0,0,L33/TrRoad_act!L19*1000)</f>
        <v>250.61572624825578</v>
      </c>
      <c r="M97" s="29">
        <f>IF(TrRoad_act!M19=0,0,M33/TrRoad_act!M19*1000)</f>
        <v>254.44851977121806</v>
      </c>
      <c r="N97" s="29">
        <f>IF(TrRoad_act!N19=0,0,N33/TrRoad_act!N19*1000)</f>
        <v>253.93184338584896</v>
      </c>
      <c r="O97" s="29">
        <f>IF(TrRoad_act!O19=0,0,O33/TrRoad_act!O19*1000)</f>
        <v>217.10729208552058</v>
      </c>
      <c r="P97" s="29">
        <f>IF(TrRoad_act!P19=0,0,P33/TrRoad_act!P19*1000)</f>
        <v>181.57293096776337</v>
      </c>
      <c r="Q97" s="29">
        <f>IF(TrRoad_act!Q19=0,0,Q33/TrRoad_act!Q19*1000)</f>
        <v>185.90513885454388</v>
      </c>
      <c r="R97" s="29">
        <f>IF(TrRoad_act!R19=0,0,R33/TrRoad_act!R19*1000)</f>
        <v>175.68636021294955</v>
      </c>
      <c r="S97" s="29">
        <f>IF(TrRoad_act!S19=0,0,S33/TrRoad_act!S19*1000)</f>
        <v>189.59575724336605</v>
      </c>
      <c r="T97" s="29">
        <f>IF(TrRoad_act!T19=0,0,T33/TrRoad_act!T19*1000)</f>
        <v>194.74382719245463</v>
      </c>
      <c r="U97" s="29">
        <f>IF(TrRoad_act!U19=0,0,U33/TrRoad_act!U19*1000)</f>
        <v>188.78132453793108</v>
      </c>
      <c r="V97" s="29">
        <f>IF(TrRoad_act!V19=0,0,V33/TrRoad_act!V19*1000)</f>
        <v>179.62683441278548</v>
      </c>
      <c r="W97" s="29">
        <f>IF(TrRoad_act!W19=0,0,W33/TrRoad_act!W19*1000)</f>
        <v>159.4024789641727</v>
      </c>
      <c r="X97" s="29">
        <f>IF(TrRoad_act!X19=0,0,X33/TrRoad_act!X19*1000)</f>
        <v>159.86120794445961</v>
      </c>
      <c r="Y97" s="29">
        <f>IF(TrRoad_act!Y19=0,0,Y33/TrRoad_act!Y19*1000)</f>
        <v>170.53159346217254</v>
      </c>
      <c r="DA97" s="173" t="s">
        <v>445</v>
      </c>
    </row>
    <row r="98" spans="1:105" ht="11.45" customHeight="1" x14ac:dyDescent="0.25">
      <c r="A98" s="136" t="s">
        <v>153</v>
      </c>
      <c r="B98" s="152">
        <f>IF(TrRoad_act!B20=0,0,B34/TrRoad_act!B20*1000)</f>
        <v>1783.9441724735575</v>
      </c>
      <c r="C98" s="152">
        <f>IF(TrRoad_act!C20=0,0,C34/TrRoad_act!C20*1000)</f>
        <v>1681.9662667616149</v>
      </c>
      <c r="D98" s="152">
        <f>IF(TrRoad_act!D20=0,0,D34/TrRoad_act!D20*1000)</f>
        <v>1647.5072612886395</v>
      </c>
      <c r="E98" s="152">
        <f>IF(TrRoad_act!E20=0,0,E34/TrRoad_act!E20*1000)</f>
        <v>1625.9333897634938</v>
      </c>
      <c r="F98" s="152">
        <f>IF(TrRoad_act!F20=0,0,F34/TrRoad_act!F20*1000)</f>
        <v>1615.0510306913575</v>
      </c>
      <c r="G98" s="152">
        <f>IF(TrRoad_act!G20=0,0,G34/TrRoad_act!G20*1000)</f>
        <v>1593.1759620295043</v>
      </c>
      <c r="H98" s="152">
        <f>IF(TrRoad_act!H20=0,0,H34/TrRoad_act!H20*1000)</f>
        <v>1584.4802866176481</v>
      </c>
      <c r="I98" s="152">
        <f>IF(TrRoad_act!I20=0,0,I34/TrRoad_act!I20*1000)</f>
        <v>1534.5402836202256</v>
      </c>
      <c r="J98" s="152">
        <f>IF(TrRoad_act!J20=0,0,J34/TrRoad_act!J20*1000)</f>
        <v>1542.4780492115092</v>
      </c>
      <c r="K98" s="152">
        <f>IF(TrRoad_act!K20=0,0,K34/TrRoad_act!K20*1000)</f>
        <v>1496.3196082450227</v>
      </c>
      <c r="L98" s="152">
        <f>IF(TrRoad_act!L20=0,0,L34/TrRoad_act!L20*1000)</f>
        <v>1535.1749566150334</v>
      </c>
      <c r="M98" s="152">
        <f>IF(TrRoad_act!M20=0,0,M34/TrRoad_act!M20*1000)</f>
        <v>1523.6662525391973</v>
      </c>
      <c r="N98" s="152">
        <f>IF(TrRoad_act!N20=0,0,N34/TrRoad_act!N20*1000)</f>
        <v>1496.0087097807866</v>
      </c>
      <c r="O98" s="152">
        <f>IF(TrRoad_act!O20=0,0,O34/TrRoad_act!O20*1000)</f>
        <v>1486.6292857315721</v>
      </c>
      <c r="P98" s="152">
        <f>IF(TrRoad_act!P20=0,0,P34/TrRoad_act!P20*1000)</f>
        <v>1442.0474190863163</v>
      </c>
      <c r="Q98" s="152">
        <f>IF(TrRoad_act!Q20=0,0,Q34/TrRoad_act!Q20*1000)</f>
        <v>1450.5718650654596</v>
      </c>
      <c r="R98" s="152">
        <f>IF(TrRoad_act!R20=0,0,R34/TrRoad_act!R20*1000)</f>
        <v>1430.2247444310426</v>
      </c>
      <c r="S98" s="152">
        <f>IF(TrRoad_act!S20=0,0,S34/TrRoad_act!S20*1000)</f>
        <v>1385.2880567223335</v>
      </c>
      <c r="T98" s="152">
        <f>IF(TrRoad_act!T20=0,0,T34/TrRoad_act!T20*1000)</f>
        <v>1320.626174455097</v>
      </c>
      <c r="U98" s="152">
        <f>IF(TrRoad_act!U20=0,0,U34/TrRoad_act!U20*1000)</f>
        <v>1270.1219862706425</v>
      </c>
      <c r="V98" s="152">
        <f>IF(TrRoad_act!V20=0,0,V34/TrRoad_act!V20*1000)</f>
        <v>1262.557127299485</v>
      </c>
      <c r="W98" s="152">
        <f>IF(TrRoad_act!W20=0,0,W34/TrRoad_act!W20*1000)</f>
        <v>1238.7956084029979</v>
      </c>
      <c r="X98" s="152">
        <f>IF(TrRoad_act!X20=0,0,X34/TrRoad_act!X20*1000)</f>
        <v>1230.2683363755439</v>
      </c>
      <c r="Y98" s="152">
        <f>IF(TrRoad_act!Y20=0,0,Y34/TrRoad_act!Y20*1000)</f>
        <v>1207.2783086870363</v>
      </c>
      <c r="DA98" s="174" t="s">
        <v>446</v>
      </c>
    </row>
    <row r="99" spans="1:105" ht="11.45" customHeight="1" x14ac:dyDescent="0.25">
      <c r="A99" s="111" t="s">
        <v>110</v>
      </c>
      <c r="B99" s="87">
        <f>IF(TrRoad_act!B21=0,0,B35/TrRoad_act!B21*1000)</f>
        <v>2123.8837523665106</v>
      </c>
      <c r="C99" s="87">
        <f>IF(TrRoad_act!C21=0,0,C35/TrRoad_act!C21*1000)</f>
        <v>2120.4581466398372</v>
      </c>
      <c r="D99" s="87">
        <f>IF(TrRoad_act!D21=0,0,D35/TrRoad_act!D21*1000)</f>
        <v>2106.5821353481938</v>
      </c>
      <c r="E99" s="87">
        <f>IF(TrRoad_act!E21=0,0,E35/TrRoad_act!E21*1000)</f>
        <v>2100.6064205207908</v>
      </c>
      <c r="F99" s="87">
        <f>IF(TrRoad_act!F21=0,0,F35/TrRoad_act!F21*1000)</f>
        <v>2106.8160994910277</v>
      </c>
      <c r="G99" s="87">
        <f>IF(TrRoad_act!G21=0,0,G35/TrRoad_act!G21*1000)</f>
        <v>2102.2829937333045</v>
      </c>
      <c r="H99" s="87">
        <f>IF(TrRoad_act!H21=0,0,H35/TrRoad_act!H21*1000)</f>
        <v>2095.790149789967</v>
      </c>
      <c r="I99" s="87">
        <f>IF(TrRoad_act!I21=0,0,I35/TrRoad_act!I21*1000)</f>
        <v>2079.7647562528523</v>
      </c>
      <c r="J99" s="87">
        <f>IF(TrRoad_act!J21=0,0,J35/TrRoad_act!J21*1000)</f>
        <v>2074.508661420366</v>
      </c>
      <c r="K99" s="87">
        <f>IF(TrRoad_act!K21=0,0,K35/TrRoad_act!K21*1000)</f>
        <v>2030.8849481081218</v>
      </c>
      <c r="L99" s="87">
        <f>IF(TrRoad_act!L21=0,0,L35/TrRoad_act!L21*1000)</f>
        <v>2000.1003778273882</v>
      </c>
      <c r="M99" s="87">
        <f>IF(TrRoad_act!M21=0,0,M35/TrRoad_act!M21*1000)</f>
        <v>1961.6121897395842</v>
      </c>
      <c r="N99" s="87">
        <f>IF(TrRoad_act!N21=0,0,N35/TrRoad_act!N21*1000)</f>
        <v>1922.9380451051309</v>
      </c>
      <c r="O99" s="87">
        <f>IF(TrRoad_act!O21=0,0,O35/TrRoad_act!O21*1000)</f>
        <v>1896.6079236178418</v>
      </c>
      <c r="P99" s="87">
        <f>IF(TrRoad_act!P21=0,0,P35/TrRoad_act!P21*1000)</f>
        <v>1839.0257882818637</v>
      </c>
      <c r="Q99" s="87">
        <f>IF(TrRoad_act!Q21=0,0,Q35/TrRoad_act!Q21*1000)</f>
        <v>1777.9580169546948</v>
      </c>
      <c r="R99" s="87">
        <f>IF(TrRoad_act!R21=0,0,R35/TrRoad_act!R21*1000)</f>
        <v>1727.1712782974516</v>
      </c>
      <c r="S99" s="87">
        <f>IF(TrRoad_act!S21=0,0,S35/TrRoad_act!S21*1000)</f>
        <v>1662.6942931895358</v>
      </c>
      <c r="T99" s="87">
        <f>IF(TrRoad_act!T21=0,0,T35/TrRoad_act!T21*1000)</f>
        <v>1610.7470112904639</v>
      </c>
      <c r="U99" s="87">
        <f>IF(TrRoad_act!U21=0,0,U35/TrRoad_act!U21*1000)</f>
        <v>1552.3940535771119</v>
      </c>
      <c r="V99" s="87">
        <f>IF(TrRoad_act!V21=0,0,V35/TrRoad_act!V21*1000)</f>
        <v>1477.2961518452191</v>
      </c>
      <c r="W99" s="87">
        <f>IF(TrRoad_act!W21=0,0,W35/TrRoad_act!W21*1000)</f>
        <v>1431.5921047883328</v>
      </c>
      <c r="X99" s="87">
        <f>IF(TrRoad_act!X21=0,0,X35/TrRoad_act!X21*1000)</f>
        <v>1365.213226137653</v>
      </c>
      <c r="Y99" s="87">
        <f>IF(TrRoad_act!Y21=0,0,Y35/TrRoad_act!Y21*1000)</f>
        <v>1361.8279502551472</v>
      </c>
      <c r="DA99" s="171" t="s">
        <v>806</v>
      </c>
    </row>
    <row r="100" spans="1:105" ht="11.45" customHeight="1" x14ac:dyDescent="0.25">
      <c r="A100" s="111" t="s">
        <v>111</v>
      </c>
      <c r="B100" s="87">
        <f>IF(TrRoad_act!B22=0,0,B36/TrRoad_act!B22*1000)</f>
        <v>1752.9658684622366</v>
      </c>
      <c r="C100" s="87">
        <f>IF(TrRoad_act!C22=0,0,C36/TrRoad_act!C22*1000)</f>
        <v>1651.1976921769419</v>
      </c>
      <c r="D100" s="87">
        <f>IF(TrRoad_act!D22=0,0,D36/TrRoad_act!D22*1000)</f>
        <v>1619.473931849358</v>
      </c>
      <c r="E100" s="87">
        <f>IF(TrRoad_act!E22=0,0,E36/TrRoad_act!E22*1000)</f>
        <v>1600.5799983722404</v>
      </c>
      <c r="F100" s="87">
        <f>IF(TrRoad_act!F22=0,0,F36/TrRoad_act!F22*1000)</f>
        <v>1591.8483378342546</v>
      </c>
      <c r="G100" s="87">
        <f>IF(TrRoad_act!G22=0,0,G36/TrRoad_act!G22*1000)</f>
        <v>1572.6122538025231</v>
      </c>
      <c r="H100" s="87">
        <f>IF(TrRoad_act!H22=0,0,H36/TrRoad_act!H22*1000)</f>
        <v>1565.5732469702584</v>
      </c>
      <c r="I100" s="87">
        <f>IF(TrRoad_act!I22=0,0,I36/TrRoad_act!I22*1000)</f>
        <v>1515.4846010472029</v>
      </c>
      <c r="J100" s="87">
        <f>IF(TrRoad_act!J22=0,0,J36/TrRoad_act!J22*1000)</f>
        <v>1524.2568470192157</v>
      </c>
      <c r="K100" s="87">
        <f>IF(TrRoad_act!K22=0,0,K36/TrRoad_act!K22*1000)</f>
        <v>1477.9434984680531</v>
      </c>
      <c r="L100" s="87">
        <f>IF(TrRoad_act!L22=0,0,L36/TrRoad_act!L22*1000)</f>
        <v>1518.571155574856</v>
      </c>
      <c r="M100" s="87">
        <f>IF(TrRoad_act!M22=0,0,M36/TrRoad_act!M22*1000)</f>
        <v>1507.9671686710794</v>
      </c>
      <c r="N100" s="87">
        <f>IF(TrRoad_act!N22=0,0,N36/TrRoad_act!N22*1000)</f>
        <v>1480.7677974512692</v>
      </c>
      <c r="O100" s="87">
        <f>IF(TrRoad_act!O22=0,0,O36/TrRoad_act!O22*1000)</f>
        <v>1471.9262858164236</v>
      </c>
      <c r="P100" s="87">
        <f>IF(TrRoad_act!P22=0,0,P36/TrRoad_act!P22*1000)</f>
        <v>1427.3614184487305</v>
      </c>
      <c r="Q100" s="87">
        <f>IF(TrRoad_act!Q22=0,0,Q36/TrRoad_act!Q22*1000)</f>
        <v>1437.4636574871347</v>
      </c>
      <c r="R100" s="87">
        <f>IF(TrRoad_act!R22=0,0,R36/TrRoad_act!R22*1000)</f>
        <v>1417.8543621040519</v>
      </c>
      <c r="S100" s="87">
        <f>IF(TrRoad_act!S22=0,0,S36/TrRoad_act!S22*1000)</f>
        <v>1373.680844497107</v>
      </c>
      <c r="T100" s="87">
        <f>IF(TrRoad_act!T22=0,0,T36/TrRoad_act!T22*1000)</f>
        <v>1310.2311085388255</v>
      </c>
      <c r="U100" s="87">
        <f>IF(TrRoad_act!U22=0,0,U36/TrRoad_act!U22*1000)</f>
        <v>1261.3110611264713</v>
      </c>
      <c r="V100" s="87">
        <f>IF(TrRoad_act!V22=0,0,V36/TrRoad_act!V22*1000)</f>
        <v>1255.8889619117901</v>
      </c>
      <c r="W100" s="87">
        <f>IF(TrRoad_act!W22=0,0,W36/TrRoad_act!W22*1000)</f>
        <v>1236.0711857947997</v>
      </c>
      <c r="X100" s="87">
        <f>IF(TrRoad_act!X22=0,0,X36/TrRoad_act!X22*1000)</f>
        <v>1231.6084021056529</v>
      </c>
      <c r="Y100" s="87">
        <f>IF(TrRoad_act!Y22=0,0,Y36/TrRoad_act!Y22*1000)</f>
        <v>1215.9596945461606</v>
      </c>
      <c r="DA100" s="171" t="s">
        <v>807</v>
      </c>
    </row>
    <row r="101" spans="1:105" ht="11.45" customHeight="1" x14ac:dyDescent="0.25">
      <c r="A101" s="111" t="s">
        <v>112</v>
      </c>
      <c r="B101" s="87">
        <f>IF(TrRoad_act!B23=0,0,B37/TrRoad_act!B23*1000)</f>
        <v>3509.1522899905754</v>
      </c>
      <c r="C101" s="87">
        <f>IF(TrRoad_act!C23=0,0,C37/TrRoad_act!C23*1000)</f>
        <v>3501.0142718198604</v>
      </c>
      <c r="D101" s="87">
        <f>IF(TrRoad_act!D23=0,0,D37/TrRoad_act!D23*1000)</f>
        <v>3478.0937961711115</v>
      </c>
      <c r="E101" s="87">
        <f>IF(TrRoad_act!E23=0,0,E37/TrRoad_act!E23*1000)</f>
        <v>3468.1682206558166</v>
      </c>
      <c r="F101" s="87">
        <f>IF(TrRoad_act!F23=0,0,F37/TrRoad_act!F23*1000)</f>
        <v>3478.3297044826231</v>
      </c>
      <c r="G101" s="87">
        <f>IF(TrRoad_act!G23=0,0,G37/TrRoad_act!G23*1000)</f>
        <v>3470.544146559298</v>
      </c>
      <c r="H101" s="87">
        <f>IF(TrRoad_act!H23=0,0,H37/TrRoad_act!H23*1000)</f>
        <v>3475.446255946229</v>
      </c>
      <c r="I101" s="87">
        <f>IF(TrRoad_act!I23=0,0,I37/TrRoad_act!I23*1000)</f>
        <v>3507.2874390190236</v>
      </c>
      <c r="J101" s="87">
        <f>IF(TrRoad_act!J23=0,0,J37/TrRoad_act!J23*1000)</f>
        <v>3515.3174760582365</v>
      </c>
      <c r="K101" s="87">
        <f>IF(TrRoad_act!K23=0,0,K37/TrRoad_act!K23*1000)</f>
        <v>3491.0319649927242</v>
      </c>
      <c r="L101" s="87">
        <f>IF(TrRoad_act!L23=0,0,L37/TrRoad_act!L23*1000)</f>
        <v>3457.6939036347408</v>
      </c>
      <c r="M101" s="87">
        <f>IF(TrRoad_act!M23=0,0,M37/TrRoad_act!M23*1000)</f>
        <v>3418.9261444199356</v>
      </c>
      <c r="N101" s="87">
        <f>IF(TrRoad_act!N23=0,0,N37/TrRoad_act!N23*1000)</f>
        <v>3367.0323857994726</v>
      </c>
      <c r="O101" s="87">
        <f>IF(TrRoad_act!O23=0,0,O37/TrRoad_act!O23*1000)</f>
        <v>3346.6019636478268</v>
      </c>
      <c r="P101" s="87">
        <f>IF(TrRoad_act!P23=0,0,P37/TrRoad_act!P23*1000)</f>
        <v>3316.0124934889363</v>
      </c>
      <c r="Q101" s="87">
        <f>IF(TrRoad_act!Q23=0,0,Q37/TrRoad_act!Q23*1000)</f>
        <v>3284.153821609867</v>
      </c>
      <c r="R101" s="87">
        <f>IF(TrRoad_act!R23=0,0,R37/TrRoad_act!R23*1000)</f>
        <v>3226.427691971357</v>
      </c>
      <c r="S101" s="87">
        <f>IF(TrRoad_act!S23=0,0,S37/TrRoad_act!S23*1000)</f>
        <v>3157.9761965632706</v>
      </c>
      <c r="T101" s="87">
        <f>IF(TrRoad_act!T23=0,0,T37/TrRoad_act!T23*1000)</f>
        <v>2925.2585588914208</v>
      </c>
      <c r="U101" s="87">
        <f>IF(TrRoad_act!U23=0,0,U37/TrRoad_act!U23*1000)</f>
        <v>2452.099176228844</v>
      </c>
      <c r="V101" s="87">
        <f>IF(TrRoad_act!V23=0,0,V37/TrRoad_act!V23*1000)</f>
        <v>2393.7097068779112</v>
      </c>
      <c r="W101" s="87">
        <f>IF(TrRoad_act!W23=0,0,W37/TrRoad_act!W23*1000)</f>
        <v>2333.5372430264651</v>
      </c>
      <c r="X101" s="87">
        <f>IF(TrRoad_act!X23=0,0,X37/TrRoad_act!X23*1000)</f>
        <v>2304.9308616281155</v>
      </c>
      <c r="Y101" s="87">
        <f>IF(TrRoad_act!Y23=0,0,Y37/TrRoad_act!Y23*1000)</f>
        <v>2324.0468787014174</v>
      </c>
      <c r="DA101" s="171" t="s">
        <v>808</v>
      </c>
    </row>
    <row r="102" spans="1:105" ht="11.45" customHeight="1" x14ac:dyDescent="0.25">
      <c r="A102" s="111" t="s">
        <v>113</v>
      </c>
      <c r="B102" s="87">
        <f>IF(TrRoad_act!B24=0,0,B38/TrRoad_act!B24*1000)</f>
        <v>0</v>
      </c>
      <c r="C102" s="87">
        <f>IF(TrRoad_act!C24=0,0,C38/TrRoad_act!C24*1000)</f>
        <v>0</v>
      </c>
      <c r="D102" s="87">
        <f>IF(TrRoad_act!D24=0,0,D38/TrRoad_act!D24*1000)</f>
        <v>0</v>
      </c>
      <c r="E102" s="87">
        <f>IF(TrRoad_act!E24=0,0,E38/TrRoad_act!E24*1000)</f>
        <v>1640.199675910741</v>
      </c>
      <c r="F102" s="87">
        <f>IF(TrRoad_act!F24=0,0,F38/TrRoad_act!F24*1000)</f>
        <v>1646.0138498873077</v>
      </c>
      <c r="G102" s="87">
        <f>IF(TrRoad_act!G24=0,0,G38/TrRoad_act!G24*1000)</f>
        <v>1636.2667387612694</v>
      </c>
      <c r="H102" s="87">
        <f>IF(TrRoad_act!H24=0,0,H38/TrRoad_act!H24*1000)</f>
        <v>1632.1637558762502</v>
      </c>
      <c r="I102" s="87">
        <f>IF(TrRoad_act!I24=0,0,I38/TrRoad_act!I24*1000)</f>
        <v>1629.9233943483907</v>
      </c>
      <c r="J102" s="87">
        <f>IF(TrRoad_act!J24=0,0,J38/TrRoad_act!J24*1000)</f>
        <v>1633.7081049495166</v>
      </c>
      <c r="K102" s="87">
        <f>IF(TrRoad_act!K24=0,0,K38/TrRoad_act!K24*1000)</f>
        <v>1561.6537060066737</v>
      </c>
      <c r="L102" s="87">
        <f>IF(TrRoad_act!L24=0,0,L38/TrRoad_act!L24*1000)</f>
        <v>1529.8500596371362</v>
      </c>
      <c r="M102" s="87">
        <f>IF(TrRoad_act!M24=0,0,M38/TrRoad_act!M24*1000)</f>
        <v>1510.1130236949371</v>
      </c>
      <c r="N102" s="87">
        <f>IF(TrRoad_act!N24=0,0,N38/TrRoad_act!N24*1000)</f>
        <v>1461.5269154211871</v>
      </c>
      <c r="O102" s="87">
        <f>IF(TrRoad_act!O24=0,0,O38/TrRoad_act!O24*1000)</f>
        <v>1444.8627882447074</v>
      </c>
      <c r="P102" s="87">
        <f>IF(TrRoad_act!P24=0,0,P38/TrRoad_act!P24*1000)</f>
        <v>1433.9862865349237</v>
      </c>
      <c r="Q102" s="87">
        <f>IF(TrRoad_act!Q24=0,0,Q38/TrRoad_act!Q24*1000)</f>
        <v>1437.4878813938201</v>
      </c>
      <c r="R102" s="87">
        <f>IF(TrRoad_act!R24=0,0,R38/TrRoad_act!R24*1000)</f>
        <v>1400.485759931868</v>
      </c>
      <c r="S102" s="87">
        <f>IF(TrRoad_act!S24=0,0,S38/TrRoad_act!S24*1000)</f>
        <v>1410.8339462637493</v>
      </c>
      <c r="T102" s="87">
        <f>IF(TrRoad_act!T24=0,0,T38/TrRoad_act!T24*1000)</f>
        <v>1348.6292407387111</v>
      </c>
      <c r="U102" s="87">
        <f>IF(TrRoad_act!U24=0,0,U38/TrRoad_act!U24*1000)</f>
        <v>1345.7179769670224</v>
      </c>
      <c r="V102" s="87">
        <f>IF(TrRoad_act!V24=0,0,V38/TrRoad_act!V24*1000)</f>
        <v>1325.7523108248315</v>
      </c>
      <c r="W102" s="87">
        <f>IF(TrRoad_act!W24=0,0,W38/TrRoad_act!W24*1000)</f>
        <v>1323.9506953601463</v>
      </c>
      <c r="X102" s="87">
        <f>IF(TrRoad_act!X24=0,0,X38/TrRoad_act!X24*1000)</f>
        <v>1304.0044536915177</v>
      </c>
      <c r="Y102" s="87">
        <f>IF(TrRoad_act!Y24=0,0,Y38/TrRoad_act!Y24*1000)</f>
        <v>1280.9592326014529</v>
      </c>
      <c r="DA102" s="171" t="s">
        <v>809</v>
      </c>
    </row>
    <row r="103" spans="1:105" ht="11.45" customHeight="1" x14ac:dyDescent="0.25">
      <c r="A103" s="111" t="s">
        <v>115</v>
      </c>
      <c r="B103" s="87">
        <f>IF(TrRoad_act!B25=0,0,B39/TrRoad_act!B25*1000)</f>
        <v>0</v>
      </c>
      <c r="C103" s="87">
        <f>IF(TrRoad_act!C25=0,0,C39/TrRoad_act!C25*1000)</f>
        <v>0</v>
      </c>
      <c r="D103" s="87">
        <f>IF(TrRoad_act!D25=0,0,D39/TrRoad_act!D25*1000)</f>
        <v>0</v>
      </c>
      <c r="E103" s="87">
        <f>IF(TrRoad_act!E25=0,0,E39/TrRoad_act!E25*1000)</f>
        <v>0</v>
      </c>
      <c r="F103" s="87">
        <f>IF(TrRoad_act!F25=0,0,F39/TrRoad_act!F25*1000)</f>
        <v>0</v>
      </c>
      <c r="G103" s="87">
        <f>IF(TrRoad_act!G25=0,0,G39/TrRoad_act!G25*1000)</f>
        <v>0</v>
      </c>
      <c r="H103" s="87">
        <f>IF(TrRoad_act!H25=0,0,H39/TrRoad_act!H25*1000)</f>
        <v>0</v>
      </c>
      <c r="I103" s="87">
        <f>IF(TrRoad_act!I25=0,0,I39/TrRoad_act!I25*1000)</f>
        <v>0</v>
      </c>
      <c r="J103" s="87">
        <f>IF(TrRoad_act!J25=0,0,J39/TrRoad_act!J25*1000)</f>
        <v>0</v>
      </c>
      <c r="K103" s="87">
        <f>IF(TrRoad_act!K25=0,0,K39/TrRoad_act!K25*1000)</f>
        <v>0</v>
      </c>
      <c r="L103" s="87">
        <f>IF(TrRoad_act!L25=0,0,L39/TrRoad_act!L25*1000)</f>
        <v>0</v>
      </c>
      <c r="M103" s="87">
        <f>IF(TrRoad_act!M25=0,0,M39/TrRoad_act!M25*1000)</f>
        <v>0</v>
      </c>
      <c r="N103" s="87">
        <f>IF(TrRoad_act!N25=0,0,N39/TrRoad_act!N25*1000)</f>
        <v>0</v>
      </c>
      <c r="O103" s="87">
        <f>IF(TrRoad_act!O25=0,0,O39/TrRoad_act!O25*1000)</f>
        <v>0</v>
      </c>
      <c r="P103" s="87">
        <f>IF(TrRoad_act!P25=0,0,P39/TrRoad_act!P25*1000)</f>
        <v>0</v>
      </c>
      <c r="Q103" s="87">
        <f>IF(TrRoad_act!Q25=0,0,Q39/TrRoad_act!Q25*1000)</f>
        <v>0</v>
      </c>
      <c r="R103" s="87">
        <f>IF(TrRoad_act!R25=0,0,R39/TrRoad_act!R25*1000)</f>
        <v>0</v>
      </c>
      <c r="S103" s="87">
        <f>IF(TrRoad_act!S25=0,0,S39/TrRoad_act!S25*1000)</f>
        <v>0</v>
      </c>
      <c r="T103" s="87">
        <f>IF(TrRoad_act!T25=0,0,T39/TrRoad_act!T25*1000)</f>
        <v>0</v>
      </c>
      <c r="U103" s="87">
        <f>IF(TrRoad_act!U25=0,0,U39/TrRoad_act!U25*1000)</f>
        <v>0</v>
      </c>
      <c r="V103" s="87">
        <f>IF(TrRoad_act!V25=0,0,V39/TrRoad_act!V25*1000)</f>
        <v>0</v>
      </c>
      <c r="W103" s="87">
        <f>IF(TrRoad_act!W25=0,0,W39/TrRoad_act!W25*1000)</f>
        <v>0</v>
      </c>
      <c r="X103" s="87">
        <f>IF(TrRoad_act!X25=0,0,X39/TrRoad_act!X25*1000)</f>
        <v>0</v>
      </c>
      <c r="Y103" s="87">
        <f>IF(TrRoad_act!Y25=0,0,Y39/TrRoad_act!Y25*1000)</f>
        <v>0</v>
      </c>
      <c r="DA103" s="171" t="s">
        <v>810</v>
      </c>
    </row>
    <row r="104" spans="1:105" ht="11.45" customHeight="1" x14ac:dyDescent="0.25">
      <c r="A104" s="109" t="s">
        <v>154</v>
      </c>
      <c r="B104" s="116">
        <f>IF(TrRoad_act!B26=0,0,B40/TrRoad_act!B26*1000)</f>
        <v>148.34595101702891</v>
      </c>
      <c r="C104" s="116">
        <f>IF(TrRoad_act!C26=0,0,C40/TrRoad_act!C26*1000)</f>
        <v>144.6132156517146</v>
      </c>
      <c r="D104" s="116">
        <f>IF(TrRoad_act!D26=0,0,D40/TrRoad_act!D26*1000)</f>
        <v>149.85412797811128</v>
      </c>
      <c r="E104" s="116">
        <f>IF(TrRoad_act!E26=0,0,E40/TrRoad_act!E26*1000)</f>
        <v>149.63631791272306</v>
      </c>
      <c r="F104" s="116">
        <f>IF(TrRoad_act!F26=0,0,F40/TrRoad_act!F26*1000)</f>
        <v>139.75468399820548</v>
      </c>
      <c r="G104" s="116">
        <f>IF(TrRoad_act!G26=0,0,G40/TrRoad_act!G26*1000)</f>
        <v>144.75098083475297</v>
      </c>
      <c r="H104" s="116">
        <f>IF(TrRoad_act!H26=0,0,H40/TrRoad_act!H26*1000)</f>
        <v>155.09185167198413</v>
      </c>
      <c r="I104" s="116">
        <f>IF(TrRoad_act!I26=0,0,I40/TrRoad_act!I26*1000)</f>
        <v>151.39020117418397</v>
      </c>
      <c r="J104" s="116">
        <f>IF(TrRoad_act!J26=0,0,J40/TrRoad_act!J26*1000)</f>
        <v>150.13429830713062</v>
      </c>
      <c r="K104" s="116">
        <f>IF(TrRoad_act!K26=0,0,K40/TrRoad_act!K26*1000)</f>
        <v>141.67869568824423</v>
      </c>
      <c r="L104" s="116">
        <f>IF(TrRoad_act!L26=0,0,L40/TrRoad_act!L26*1000)</f>
        <v>146.8994408676518</v>
      </c>
      <c r="M104" s="116">
        <f>IF(TrRoad_act!M26=0,0,M40/TrRoad_act!M26*1000)</f>
        <v>150.55020352420578</v>
      </c>
      <c r="N104" s="116">
        <f>IF(TrRoad_act!N26=0,0,N40/TrRoad_act!N26*1000)</f>
        <v>151.66208963828643</v>
      </c>
      <c r="O104" s="116">
        <f>IF(TrRoad_act!O26=0,0,O40/TrRoad_act!O26*1000)</f>
        <v>123.71074740031214</v>
      </c>
      <c r="P104" s="116">
        <f>IF(TrRoad_act!P26=0,0,P40/TrRoad_act!P26*1000)</f>
        <v>92.635560106359023</v>
      </c>
      <c r="Q104" s="116">
        <f>IF(TrRoad_act!Q26=0,0,Q40/TrRoad_act!Q26*1000)</f>
        <v>93.355029476274197</v>
      </c>
      <c r="R104" s="116">
        <f>IF(TrRoad_act!R26=0,0,R40/TrRoad_act!R26*1000)</f>
        <v>86.65880668456434</v>
      </c>
      <c r="S104" s="116">
        <f>IF(TrRoad_act!S26=0,0,S40/TrRoad_act!S26*1000)</f>
        <v>101.92985930701214</v>
      </c>
      <c r="T104" s="116">
        <f>IF(TrRoad_act!T26=0,0,T40/TrRoad_act!T26*1000)</f>
        <v>112.85165881797995</v>
      </c>
      <c r="U104" s="116">
        <f>IF(TrRoad_act!U26=0,0,U40/TrRoad_act!U26*1000)</f>
        <v>112.62766620409464</v>
      </c>
      <c r="V104" s="116">
        <f>IF(TrRoad_act!V26=0,0,V40/TrRoad_act!V26*1000)</f>
        <v>104.9970724227661</v>
      </c>
      <c r="W104" s="116">
        <f>IF(TrRoad_act!W26=0,0,W40/TrRoad_act!W26*1000)</f>
        <v>83.761365216267023</v>
      </c>
      <c r="X104" s="116">
        <f>IF(TrRoad_act!X26=0,0,X40/TrRoad_act!X26*1000)</f>
        <v>83.310218494968368</v>
      </c>
      <c r="Y104" s="116">
        <f>IF(TrRoad_act!Y26=0,0,Y40/TrRoad_act!Y26*1000)</f>
        <v>92.05762114054555</v>
      </c>
      <c r="DA104" s="176" t="s">
        <v>447</v>
      </c>
    </row>
    <row r="105" spans="1:105" ht="11.45" customHeight="1" x14ac:dyDescent="0.25">
      <c r="A105" s="128" t="s">
        <v>27</v>
      </c>
      <c r="B105" s="101">
        <f>IF(TrRoad_act!B27=0,0,B41/TrRoad_act!B27*1000)</f>
        <v>171.30294031654554</v>
      </c>
      <c r="C105" s="101">
        <f>IF(TrRoad_act!C27=0,0,C41/TrRoad_act!C27*1000)</f>
        <v>168.83170930958664</v>
      </c>
      <c r="D105" s="101">
        <f>IF(TrRoad_act!D27=0,0,D41/TrRoad_act!D27*1000)</f>
        <v>179.47959083836747</v>
      </c>
      <c r="E105" s="101">
        <f>IF(TrRoad_act!E27=0,0,E41/TrRoad_act!E27*1000)</f>
        <v>177.81599503364396</v>
      </c>
      <c r="F105" s="101">
        <f>IF(TrRoad_act!F27=0,0,F41/TrRoad_act!F27*1000)</f>
        <v>164.33053264285428</v>
      </c>
      <c r="G105" s="101">
        <f>IF(TrRoad_act!G27=0,0,G41/TrRoad_act!G27*1000)</f>
        <v>174.61423236156995</v>
      </c>
      <c r="H105" s="101">
        <f>IF(TrRoad_act!H27=0,0,H41/TrRoad_act!H27*1000)</f>
        <v>190.56218566049762</v>
      </c>
      <c r="I105" s="101">
        <f>IF(TrRoad_act!I27=0,0,I41/TrRoad_act!I27*1000)</f>
        <v>184.9652814137371</v>
      </c>
      <c r="J105" s="101">
        <f>IF(TrRoad_act!J27=0,0,J41/TrRoad_act!J27*1000)</f>
        <v>179.86555965084349</v>
      </c>
      <c r="K105" s="101">
        <f>IF(TrRoad_act!K27=0,0,K41/TrRoad_act!K27*1000)</f>
        <v>168.25477313416593</v>
      </c>
      <c r="L105" s="101">
        <f>IF(TrRoad_act!L27=0,0,L41/TrRoad_act!L27*1000)</f>
        <v>172.69972042608086</v>
      </c>
      <c r="M105" s="101">
        <f>IF(TrRoad_act!M27=0,0,M41/TrRoad_act!M27*1000)</f>
        <v>177.53046962431009</v>
      </c>
      <c r="N105" s="101">
        <f>IF(TrRoad_act!N27=0,0,N41/TrRoad_act!N27*1000)</f>
        <v>179.35237012793775</v>
      </c>
      <c r="O105" s="101">
        <f>IF(TrRoad_act!O27=0,0,O41/TrRoad_act!O27*1000)</f>
        <v>141.29116852522861</v>
      </c>
      <c r="P105" s="101">
        <f>IF(TrRoad_act!P27=0,0,P41/TrRoad_act!P27*1000)</f>
        <v>106.74514080520682</v>
      </c>
      <c r="Q105" s="101">
        <f>IF(TrRoad_act!Q27=0,0,Q41/TrRoad_act!Q27*1000)</f>
        <v>108.01716579065858</v>
      </c>
      <c r="R105" s="101">
        <f>IF(TrRoad_act!R27=0,0,R41/TrRoad_act!R27*1000)</f>
        <v>99.381315451233988</v>
      </c>
      <c r="S105" s="101">
        <f>IF(TrRoad_act!S27=0,0,S41/TrRoad_act!S27*1000)</f>
        <v>116.34816894733815</v>
      </c>
      <c r="T105" s="101">
        <f>IF(TrRoad_act!T27=0,0,T41/TrRoad_act!T27*1000)</f>
        <v>128.01101102334638</v>
      </c>
      <c r="U105" s="101">
        <f>IF(TrRoad_act!U27=0,0,U41/TrRoad_act!U27*1000)</f>
        <v>126.85289038155634</v>
      </c>
      <c r="V105" s="101">
        <f>IF(TrRoad_act!V27=0,0,V41/TrRoad_act!V27*1000)</f>
        <v>119.09233213597948</v>
      </c>
      <c r="W105" s="101">
        <f>IF(TrRoad_act!W27=0,0,W41/TrRoad_act!W27*1000)</f>
        <v>95.093090492006269</v>
      </c>
      <c r="X105" s="101">
        <f>IF(TrRoad_act!X27=0,0,X41/TrRoad_act!X27*1000)</f>
        <v>94.324880839915735</v>
      </c>
      <c r="Y105" s="101">
        <f>IF(TrRoad_act!Y27=0,0,Y41/TrRoad_act!Y27*1000)</f>
        <v>104.25888317182455</v>
      </c>
      <c r="DA105" s="175" t="s">
        <v>811</v>
      </c>
    </row>
    <row r="106" spans="1:105" ht="11.45" customHeight="1" x14ac:dyDescent="0.25">
      <c r="A106" s="138" t="s">
        <v>116</v>
      </c>
      <c r="B106" s="88">
        <f>IF(TrRoad_act!B28=0,0,B42/TrRoad_act!B28*1000)</f>
        <v>92.372564232704974</v>
      </c>
      <c r="C106" s="88">
        <f>IF(TrRoad_act!C28=0,0,C42/TrRoad_act!C28*1000)</f>
        <v>90.427777435624947</v>
      </c>
      <c r="D106" s="88">
        <f>IF(TrRoad_act!D28=0,0,D42/TrRoad_act!D28*1000)</f>
        <v>88.760360006907348</v>
      </c>
      <c r="E106" s="88">
        <f>IF(TrRoad_act!E28=0,0,E42/TrRoad_act!E28*1000)</f>
        <v>89.555157469979264</v>
      </c>
      <c r="F106" s="88">
        <f>IF(TrRoad_act!F28=0,0,F42/TrRoad_act!F28*1000)</f>
        <v>91.553294544088303</v>
      </c>
      <c r="G106" s="88">
        <f>IF(TrRoad_act!G28=0,0,G42/TrRoad_act!G28*1000)</f>
        <v>91.709946640914609</v>
      </c>
      <c r="H106" s="88">
        <f>IF(TrRoad_act!H28=0,0,H42/TrRoad_act!H28*1000)</f>
        <v>97.427698211985671</v>
      </c>
      <c r="I106" s="88">
        <f>IF(TrRoad_act!I28=0,0,I42/TrRoad_act!I28*1000)</f>
        <v>98.004943542526391</v>
      </c>
      <c r="J106" s="88">
        <f>IF(TrRoad_act!J28=0,0,J42/TrRoad_act!J28*1000)</f>
        <v>100.97953751490144</v>
      </c>
      <c r="K106" s="88">
        <f>IF(TrRoad_act!K28=0,0,K42/TrRoad_act!K28*1000)</f>
        <v>94.477988663267041</v>
      </c>
      <c r="L106" s="88">
        <f>IF(TrRoad_act!L28=0,0,L42/TrRoad_act!L28*1000)</f>
        <v>106.30327346094916</v>
      </c>
      <c r="M106" s="88">
        <f>IF(TrRoad_act!M28=0,0,M42/TrRoad_act!M28*1000)</f>
        <v>107.06652560286432</v>
      </c>
      <c r="N106" s="88">
        <f>IF(TrRoad_act!N28=0,0,N42/TrRoad_act!N28*1000)</f>
        <v>108.29636150735963</v>
      </c>
      <c r="O106" s="88">
        <f>IF(TrRoad_act!O28=0,0,O42/TrRoad_act!O28*1000)</f>
        <v>93.34272570287493</v>
      </c>
      <c r="P106" s="88">
        <f>IF(TrRoad_act!P28=0,0,P42/TrRoad_act!P28*1000)</f>
        <v>69.043913421254587</v>
      </c>
      <c r="Q106" s="88">
        <f>IF(TrRoad_act!Q28=0,0,Q42/TrRoad_act!Q28*1000)</f>
        <v>69.214017834519467</v>
      </c>
      <c r="R106" s="88">
        <f>IF(TrRoad_act!R28=0,0,R42/TrRoad_act!R28*1000)</f>
        <v>65.788078370749062</v>
      </c>
      <c r="S106" s="88">
        <f>IF(TrRoad_act!S28=0,0,S42/TrRoad_act!S28*1000)</f>
        <v>79.258335758925938</v>
      </c>
      <c r="T106" s="88">
        <f>IF(TrRoad_act!T28=0,0,T42/TrRoad_act!T28*1000)</f>
        <v>87.904922547200599</v>
      </c>
      <c r="U106" s="88">
        <f>IF(TrRoad_act!U28=0,0,U42/TrRoad_act!U28*1000)</f>
        <v>89.381183824919461</v>
      </c>
      <c r="V106" s="88">
        <f>IF(TrRoad_act!V28=0,0,V42/TrRoad_act!V28*1000)</f>
        <v>82.517879010005032</v>
      </c>
      <c r="W106" s="88">
        <f>IF(TrRoad_act!W28=0,0,W42/TrRoad_act!W28*1000)</f>
        <v>65.220540266955496</v>
      </c>
      <c r="X106" s="88">
        <f>IF(TrRoad_act!X28=0,0,X42/TrRoad_act!X28*1000)</f>
        <v>65.225675106408019</v>
      </c>
      <c r="Y106" s="88">
        <f>IF(TrRoad_act!Y28=0,0,Y42/TrRoad_act!Y28*1000)</f>
        <v>72.451557301198065</v>
      </c>
      <c r="DA106" s="178" t="s">
        <v>812</v>
      </c>
    </row>
    <row r="107" spans="1:105" x14ac:dyDescent="0.25">
      <c r="A107" s="106"/>
      <c r="B107" s="106"/>
      <c r="C107" s="106"/>
      <c r="D107" s="106"/>
      <c r="E107" s="106"/>
      <c r="F107" s="106"/>
      <c r="G107" s="106"/>
      <c r="H107" s="106"/>
      <c r="I107" s="106"/>
      <c r="J107" s="106"/>
      <c r="K107" s="106"/>
      <c r="L107" s="106"/>
      <c r="M107" s="106"/>
      <c r="N107" s="106"/>
      <c r="O107" s="106"/>
      <c r="P107" s="106"/>
      <c r="Q107" s="106"/>
      <c r="R107" s="106"/>
      <c r="S107" s="106"/>
      <c r="T107" s="106"/>
      <c r="U107" s="106"/>
      <c r="V107" s="106"/>
      <c r="W107" s="106"/>
      <c r="X107" s="106"/>
      <c r="Y107" s="106"/>
      <c r="DA107" s="171"/>
    </row>
    <row r="108" spans="1:105" ht="11.45" customHeight="1" x14ac:dyDescent="0.25">
      <c r="A108" s="53" t="s">
        <v>130</v>
      </c>
      <c r="B108" s="62"/>
      <c r="C108" s="62"/>
      <c r="D108" s="62"/>
      <c r="E108" s="62"/>
      <c r="F108" s="62"/>
      <c r="G108" s="62"/>
      <c r="H108" s="62"/>
      <c r="I108" s="62"/>
      <c r="J108" s="62"/>
      <c r="K108" s="62"/>
      <c r="L108" s="62"/>
      <c r="M108" s="62"/>
      <c r="N108" s="62"/>
      <c r="O108" s="62"/>
      <c r="P108" s="62"/>
      <c r="Q108" s="62"/>
      <c r="R108" s="62"/>
      <c r="S108" s="62"/>
      <c r="T108" s="62"/>
      <c r="U108" s="62"/>
      <c r="V108" s="62"/>
      <c r="W108" s="62"/>
      <c r="X108" s="62"/>
      <c r="Y108" s="62"/>
      <c r="DA108" s="172"/>
    </row>
    <row r="109" spans="1:105" ht="11.45" customHeight="1" x14ac:dyDescent="0.25">
      <c r="A109" s="27" t="s">
        <v>33</v>
      </c>
      <c r="B109" s="29"/>
      <c r="C109" s="29"/>
      <c r="D109" s="29"/>
      <c r="E109" s="29"/>
      <c r="F109" s="29"/>
      <c r="G109" s="29"/>
      <c r="H109" s="29"/>
      <c r="I109" s="29"/>
      <c r="J109" s="29"/>
      <c r="K109" s="29"/>
      <c r="L109" s="29"/>
      <c r="M109" s="29"/>
      <c r="N109" s="29"/>
      <c r="O109" s="29"/>
      <c r="P109" s="29"/>
      <c r="Q109" s="29"/>
      <c r="R109" s="29"/>
      <c r="S109" s="29"/>
      <c r="T109" s="29"/>
      <c r="U109" s="29"/>
      <c r="V109" s="29"/>
      <c r="W109" s="29"/>
      <c r="X109" s="29"/>
      <c r="Y109" s="29"/>
      <c r="DA109" s="173"/>
    </row>
    <row r="110" spans="1:105" ht="11.45" customHeight="1" x14ac:dyDescent="0.25">
      <c r="A110" s="136" t="s">
        <v>173</v>
      </c>
      <c r="B110" s="152">
        <f>IF(B19=0,0,1000000*B19/TrRoad_act!B59)</f>
        <v>379.39047223301253</v>
      </c>
      <c r="C110" s="152">
        <f>IF(C19=0,0,1000000*C19/TrRoad_act!C59)</f>
        <v>395.24202885663226</v>
      </c>
      <c r="D110" s="152">
        <f>IF(D19=0,0,1000000*D19/TrRoad_act!D59)</f>
        <v>389.84675023863497</v>
      </c>
      <c r="E110" s="152">
        <f>IF(E19=0,0,1000000*E19/TrRoad_act!E59)</f>
        <v>385.66733447861486</v>
      </c>
      <c r="F110" s="152">
        <f>IF(F19=0,0,1000000*F19/TrRoad_act!F59)</f>
        <v>357.75840460923746</v>
      </c>
      <c r="G110" s="152">
        <f>IF(G19=0,0,1000000*G19/TrRoad_act!G59)</f>
        <v>343.08406365155048</v>
      </c>
      <c r="H110" s="152">
        <f>IF(H19=0,0,1000000*H19/TrRoad_act!H59)</f>
        <v>310.14009330019968</v>
      </c>
      <c r="I110" s="152">
        <f>IF(I19=0,0,1000000*I19/TrRoad_act!I59)</f>
        <v>309.41444268693436</v>
      </c>
      <c r="J110" s="152">
        <f>IF(J19=0,0,1000000*J19/TrRoad_act!J59)</f>
        <v>306.1590756070218</v>
      </c>
      <c r="K110" s="152">
        <f>IF(K19=0,0,1000000*K19/TrRoad_act!K59)</f>
        <v>291.1433908955708</v>
      </c>
      <c r="L110" s="152">
        <f>IF(L19=0,0,1000000*L19/TrRoad_act!L59)</f>
        <v>277.6163468020178</v>
      </c>
      <c r="M110" s="152">
        <f>IF(M19=0,0,1000000*M19/TrRoad_act!M59)</f>
        <v>272.99095801201929</v>
      </c>
      <c r="N110" s="152">
        <f>IF(N19=0,0,1000000*N19/TrRoad_act!N59)</f>
        <v>260.01859249720837</v>
      </c>
      <c r="O110" s="152">
        <f>IF(O19=0,0,1000000*O19/TrRoad_act!O59)</f>
        <v>252.32619559609608</v>
      </c>
      <c r="P110" s="152">
        <f>IF(P19=0,0,1000000*P19/TrRoad_act!P59)</f>
        <v>237.02760657635065</v>
      </c>
      <c r="Q110" s="152">
        <f>IF(Q19=0,0,1000000*Q19/TrRoad_act!Q59)</f>
        <v>237.30406946131728</v>
      </c>
      <c r="R110" s="152">
        <f>IF(R19=0,0,1000000*R19/TrRoad_act!R59)</f>
        <v>236.36915269070479</v>
      </c>
      <c r="S110" s="152">
        <f>IF(S19=0,0,1000000*S19/TrRoad_act!S59)</f>
        <v>215.50433767440001</v>
      </c>
      <c r="T110" s="152">
        <f>IF(T19=0,0,1000000*T19/TrRoad_act!T59)</f>
        <v>198.67307259302123</v>
      </c>
      <c r="U110" s="152">
        <f>IF(U19=0,0,1000000*U19/TrRoad_act!U59)</f>
        <v>202.55919773766846</v>
      </c>
      <c r="V110" s="152">
        <f>IF(V19=0,0,1000000*V19/TrRoad_act!V59)</f>
        <v>170.73623862212693</v>
      </c>
      <c r="W110" s="152">
        <f>IF(W19=0,0,1000000*W19/TrRoad_act!W59)</f>
        <v>180.72884442541206</v>
      </c>
      <c r="X110" s="152">
        <f>IF(X19=0,0,1000000*X19/TrRoad_act!X59)</f>
        <v>178.00891474060001</v>
      </c>
      <c r="Y110" s="152">
        <f>IF(Y19=0,0,1000000*Y19/TrRoad_act!Y59)</f>
        <v>191.48485636914231</v>
      </c>
      <c r="DA110" s="174" t="s">
        <v>813</v>
      </c>
    </row>
    <row r="111" spans="1:105" ht="11.45" customHeight="1" x14ac:dyDescent="0.25">
      <c r="A111" s="109" t="s">
        <v>20</v>
      </c>
      <c r="B111" s="116">
        <f>IF(B20=0,0,1000000*B20/TrRoad_act!B60)</f>
        <v>2680.231580869824</v>
      </c>
      <c r="C111" s="116">
        <f>IF(C20=0,0,1000000*C20/TrRoad_act!C60)</f>
        <v>2625.6057201441886</v>
      </c>
      <c r="D111" s="116">
        <f>IF(D20=0,0,1000000*D20/TrRoad_act!D60)</f>
        <v>2610.7331439104237</v>
      </c>
      <c r="E111" s="116">
        <f>IF(E20=0,0,1000000*E20/TrRoad_act!E60)</f>
        <v>2573.5553098874589</v>
      </c>
      <c r="F111" s="116">
        <f>IF(F20=0,0,1000000*F20/TrRoad_act!F60)</f>
        <v>2571.4374798721387</v>
      </c>
      <c r="G111" s="116">
        <f>IF(G20=0,0,1000000*G20/TrRoad_act!G60)</f>
        <v>2551.8280928681534</v>
      </c>
      <c r="H111" s="116">
        <f>IF(H20=0,0,1000000*H20/TrRoad_act!H60)</f>
        <v>2573.9742997314315</v>
      </c>
      <c r="I111" s="116">
        <f>IF(I20=0,0,1000000*I20/TrRoad_act!I60)</f>
        <v>2496.9913362865755</v>
      </c>
      <c r="J111" s="116">
        <f>IF(J20=0,0,1000000*J20/TrRoad_act!J60)</f>
        <v>2453.4370023681572</v>
      </c>
      <c r="K111" s="116">
        <f>IF(K20=0,0,1000000*K20/TrRoad_act!K60)</f>
        <v>2374.445135028654</v>
      </c>
      <c r="L111" s="116">
        <f>IF(L20=0,0,1000000*L20/TrRoad_act!L60)</f>
        <v>2340.961581804424</v>
      </c>
      <c r="M111" s="116">
        <f>IF(M20=0,0,1000000*M20/TrRoad_act!M60)</f>
        <v>2297.1648566843646</v>
      </c>
      <c r="N111" s="116">
        <f>IF(N20=0,0,1000000*N20/TrRoad_act!N60)</f>
        <v>2164.5600134082315</v>
      </c>
      <c r="O111" s="116">
        <f>IF(O20=0,0,1000000*O20/TrRoad_act!O60)</f>
        <v>2092.8953959501837</v>
      </c>
      <c r="P111" s="116">
        <f>IF(P20=0,0,1000000*P20/TrRoad_act!P60)</f>
        <v>2010.4709558294064</v>
      </c>
      <c r="Q111" s="116">
        <f>IF(Q20=0,0,1000000*Q20/TrRoad_act!Q60)</f>
        <v>1946.041272836989</v>
      </c>
      <c r="R111" s="116">
        <f>IF(R20=0,0,1000000*R20/TrRoad_act!R60)</f>
        <v>1937.2077326100339</v>
      </c>
      <c r="S111" s="116">
        <f>IF(S20=0,0,1000000*S20/TrRoad_act!S60)</f>
        <v>1916.7159647825972</v>
      </c>
      <c r="T111" s="116">
        <f>IF(T20=0,0,1000000*T20/TrRoad_act!T60)</f>
        <v>1874.4301520441745</v>
      </c>
      <c r="U111" s="116">
        <f>IF(U20=0,0,1000000*U20/TrRoad_act!U60)</f>
        <v>1806.9582698117297</v>
      </c>
      <c r="V111" s="116">
        <f>IF(V20=0,0,1000000*V20/TrRoad_act!V60)</f>
        <v>1399.6080633698709</v>
      </c>
      <c r="W111" s="116">
        <f>IF(W20=0,0,1000000*W20/TrRoad_act!W60)</f>
        <v>1495.5532515637269</v>
      </c>
      <c r="X111" s="116">
        <f>IF(X20=0,0,1000000*X20/TrRoad_act!X60)</f>
        <v>1477.6816792112963</v>
      </c>
      <c r="Y111" s="116">
        <f>IF(Y20=0,0,1000000*Y20/TrRoad_act!Y60)</f>
        <v>1548.2340547928516</v>
      </c>
      <c r="DA111" s="176" t="s">
        <v>814</v>
      </c>
    </row>
    <row r="112" spans="1:105" ht="11.45" customHeight="1" x14ac:dyDescent="0.25">
      <c r="A112" s="111" t="s">
        <v>110</v>
      </c>
      <c r="B112" s="87">
        <f>IF(B21=0,0,1000000*B21/TrRoad_act!B61)</f>
        <v>2163.739013968433</v>
      </c>
      <c r="C112" s="87">
        <f>IF(C21=0,0,1000000*C21/TrRoad_act!C61)</f>
        <v>2161.7043216114048</v>
      </c>
      <c r="D112" s="87">
        <f>IF(D21=0,0,1000000*D21/TrRoad_act!D61)</f>
        <v>2135.0898189949426</v>
      </c>
      <c r="E112" s="87">
        <f>IF(E21=0,0,1000000*E21/TrRoad_act!E61)</f>
        <v>2104.0948486072111</v>
      </c>
      <c r="F112" s="87">
        <f>IF(F21=0,0,1000000*F21/TrRoad_act!F61)</f>
        <v>2073.4345432025193</v>
      </c>
      <c r="G112" s="87">
        <f>IF(G21=0,0,1000000*G21/TrRoad_act!G61)</f>
        <v>2031.0561298831931</v>
      </c>
      <c r="H112" s="87">
        <f>IF(H21=0,0,1000000*H21/TrRoad_act!H61)</f>
        <v>2038.4169500562255</v>
      </c>
      <c r="I112" s="87">
        <f>IF(I21=0,0,1000000*I21/TrRoad_act!I61)</f>
        <v>1993.4592538406664</v>
      </c>
      <c r="J112" s="87">
        <f>IF(J21=0,0,1000000*J21/TrRoad_act!J61)</f>
        <v>1925.6631640989572</v>
      </c>
      <c r="K112" s="87">
        <f>IF(K21=0,0,1000000*K21/TrRoad_act!K61)</f>
        <v>1870.5427879967476</v>
      </c>
      <c r="L112" s="87">
        <f>IF(L21=0,0,1000000*L21/TrRoad_act!L61)</f>
        <v>1840.8563281266827</v>
      </c>
      <c r="M112" s="87">
        <f>IF(M21=0,0,1000000*M21/TrRoad_act!M61)</f>
        <v>1833.5924164379517</v>
      </c>
      <c r="N112" s="87">
        <f>IF(N21=0,0,1000000*N21/TrRoad_act!N61)</f>
        <v>1718.4880070086558</v>
      </c>
      <c r="O112" s="87">
        <f>IF(O21=0,0,1000000*O21/TrRoad_act!O61)</f>
        <v>1661.9548413286127</v>
      </c>
      <c r="P112" s="87">
        <f>IF(P21=0,0,1000000*P21/TrRoad_act!P61)</f>
        <v>1605.0840051569687</v>
      </c>
      <c r="Q112" s="87">
        <f>IF(Q21=0,0,1000000*Q21/TrRoad_act!Q61)</f>
        <v>1566.6418972960746</v>
      </c>
      <c r="R112" s="87">
        <f>IF(R21=0,0,1000000*R21/TrRoad_act!R61)</f>
        <v>1586.6269149303509</v>
      </c>
      <c r="S112" s="87">
        <f>IF(S21=0,0,1000000*S21/TrRoad_act!S61)</f>
        <v>1609.5455341617537</v>
      </c>
      <c r="T112" s="87">
        <f>IF(T21=0,0,1000000*T21/TrRoad_act!T61)</f>
        <v>1616.5423280784426</v>
      </c>
      <c r="U112" s="87">
        <f>IF(U21=0,0,1000000*U21/TrRoad_act!U61)</f>
        <v>1613.4045897978153</v>
      </c>
      <c r="V112" s="87">
        <f>IF(V21=0,0,1000000*V21/TrRoad_act!V61)</f>
        <v>1309.5438523328664</v>
      </c>
      <c r="W112" s="87">
        <f>IF(W21=0,0,1000000*W21/TrRoad_act!W61)</f>
        <v>1324.6242952795865</v>
      </c>
      <c r="X112" s="87">
        <f>IF(X21=0,0,1000000*X21/TrRoad_act!X61)</f>
        <v>1345.863423714258</v>
      </c>
      <c r="Y112" s="87">
        <f>IF(Y21=0,0,1000000*Y21/TrRoad_act!Y61)</f>
        <v>1495.9561412248743</v>
      </c>
      <c r="DA112" s="171" t="s">
        <v>815</v>
      </c>
    </row>
    <row r="113" spans="1:105" ht="11.45" customHeight="1" x14ac:dyDescent="0.25">
      <c r="A113" s="111" t="s">
        <v>111</v>
      </c>
      <c r="B113" s="87">
        <f>IF(B22=0,0,1000000*B22/TrRoad_act!B62)</f>
        <v>5605.0675295229457</v>
      </c>
      <c r="C113" s="87">
        <f>IF(C22=0,0,1000000*C22/TrRoad_act!C62)</f>
        <v>5247.2610158808338</v>
      </c>
      <c r="D113" s="87">
        <f>IF(D22=0,0,1000000*D22/TrRoad_act!D62)</f>
        <v>5234.4513422700184</v>
      </c>
      <c r="E113" s="87">
        <f>IF(E22=0,0,1000000*E22/TrRoad_act!E62)</f>
        <v>5179.560461646407</v>
      </c>
      <c r="F113" s="87">
        <f>IF(F22=0,0,1000000*F22/TrRoad_act!F62)</f>
        <v>5188.9662225885595</v>
      </c>
      <c r="G113" s="87">
        <f>IF(G22=0,0,1000000*G22/TrRoad_act!G62)</f>
        <v>5177.0455336324894</v>
      </c>
      <c r="H113" s="87">
        <f>IF(H22=0,0,1000000*H22/TrRoad_act!H62)</f>
        <v>5139.9180333533332</v>
      </c>
      <c r="I113" s="87">
        <f>IF(I22=0,0,1000000*I22/TrRoad_act!I62)</f>
        <v>4886.8625152351906</v>
      </c>
      <c r="J113" s="87">
        <f>IF(J22=0,0,1000000*J22/TrRoad_act!J62)</f>
        <v>4879.6705003635852</v>
      </c>
      <c r="K113" s="87">
        <f>IF(K22=0,0,1000000*K22/TrRoad_act!K62)</f>
        <v>4623.1704238053671</v>
      </c>
      <c r="L113" s="87">
        <f>IF(L22=0,0,1000000*L22/TrRoad_act!L62)</f>
        <v>4596.6565806057488</v>
      </c>
      <c r="M113" s="87">
        <f>IF(M22=0,0,1000000*M22/TrRoad_act!M62)</f>
        <v>4369.025485007367</v>
      </c>
      <c r="N113" s="87">
        <f>IF(N22=0,0,1000000*N22/TrRoad_act!N62)</f>
        <v>4078.3693638851319</v>
      </c>
      <c r="O113" s="87">
        <f>IF(O22=0,0,1000000*O22/TrRoad_act!O62)</f>
        <v>4018.8704036681061</v>
      </c>
      <c r="P113" s="87">
        <f>IF(P22=0,0,1000000*P22/TrRoad_act!P62)</f>
        <v>3938.0753678003985</v>
      </c>
      <c r="Q113" s="87">
        <f>IF(Q22=0,0,1000000*Q22/TrRoad_act!Q62)</f>
        <v>3805.2894680985814</v>
      </c>
      <c r="R113" s="87">
        <f>IF(R22=0,0,1000000*R22/TrRoad_act!R62)</f>
        <v>3709.2507912399146</v>
      </c>
      <c r="S113" s="87">
        <f>IF(S22=0,0,1000000*S22/TrRoad_act!S62)</f>
        <v>3546.9790474565489</v>
      </c>
      <c r="T113" s="87">
        <f>IF(T22=0,0,1000000*T22/TrRoad_act!T62)</f>
        <v>3347.1733275656384</v>
      </c>
      <c r="U113" s="87">
        <f>IF(U22=0,0,1000000*U22/TrRoad_act!U62)</f>
        <v>3152.9446282406625</v>
      </c>
      <c r="V113" s="87">
        <f>IF(V22=0,0,1000000*V22/TrRoad_act!V62)</f>
        <v>2241.5575996062676</v>
      </c>
      <c r="W113" s="87">
        <f>IF(W22=0,0,1000000*W22/TrRoad_act!W62)</f>
        <v>3155.1120393452347</v>
      </c>
      <c r="X113" s="87">
        <f>IF(X22=0,0,1000000*X22/TrRoad_act!X62)</f>
        <v>3191.5117983784453</v>
      </c>
      <c r="Y113" s="87">
        <f>IF(Y22=0,0,1000000*Y22/TrRoad_act!Y62)</f>
        <v>3151.284690423473</v>
      </c>
      <c r="DA113" s="171" t="s">
        <v>816</v>
      </c>
    </row>
    <row r="114" spans="1:105" ht="11.45" customHeight="1" x14ac:dyDescent="0.25">
      <c r="A114" s="111" t="s">
        <v>112</v>
      </c>
      <c r="B114" s="87">
        <f>IF(B23=0,0,1000000*B23/TrRoad_act!B63)</f>
        <v>3107.6779309687699</v>
      </c>
      <c r="C114" s="87">
        <f>IF(C23=0,0,1000000*C23/TrRoad_act!C63)</f>
        <v>2820.4410127209085</v>
      </c>
      <c r="D114" s="87">
        <f>IF(D23=0,0,1000000*D23/TrRoad_act!D63)</f>
        <v>2790.0666608376446</v>
      </c>
      <c r="E114" s="87">
        <f>IF(E23=0,0,1000000*E23/TrRoad_act!E63)</f>
        <v>2525.6174829343795</v>
      </c>
      <c r="F114" s="87">
        <f>IF(F23=0,0,1000000*F23/TrRoad_act!F63)</f>
        <v>2645.0166218493873</v>
      </c>
      <c r="G114" s="87">
        <f>IF(G23=0,0,1000000*G23/TrRoad_act!G63)</f>
        <v>2693.7113717837656</v>
      </c>
      <c r="H114" s="87">
        <f>IF(H23=0,0,1000000*H23/TrRoad_act!H63)</f>
        <v>2772.1314441899285</v>
      </c>
      <c r="I114" s="87">
        <f>IF(I23=0,0,1000000*I23/TrRoad_act!I63)</f>
        <v>2468.325642715718</v>
      </c>
      <c r="J114" s="87">
        <f>IF(J23=0,0,1000000*J23/TrRoad_act!J63)</f>
        <v>2712.0551496132348</v>
      </c>
      <c r="K114" s="87">
        <f>IF(K23=0,0,1000000*K23/TrRoad_act!K63)</f>
        <v>2957.2271334732768</v>
      </c>
      <c r="L114" s="87">
        <f>IF(L23=0,0,1000000*L23/TrRoad_act!L63)</f>
        <v>3014.6933207629368</v>
      </c>
      <c r="M114" s="87">
        <f>IF(M23=0,0,1000000*M23/TrRoad_act!M63)</f>
        <v>3044.8699754384952</v>
      </c>
      <c r="N114" s="87">
        <f>IF(N23=0,0,1000000*N23/TrRoad_act!N63)</f>
        <v>3547.8769288758963</v>
      </c>
      <c r="O114" s="87">
        <f>IF(O23=0,0,1000000*O23/TrRoad_act!O63)</f>
        <v>3339.1206772445671</v>
      </c>
      <c r="P114" s="87">
        <f>IF(P23=0,0,1000000*P23/TrRoad_act!P63)</f>
        <v>2693.0723208120107</v>
      </c>
      <c r="Q114" s="87">
        <f>IF(Q23=0,0,1000000*Q23/TrRoad_act!Q63)</f>
        <v>2539.3826305612847</v>
      </c>
      <c r="R114" s="87">
        <f>IF(R23=0,0,1000000*R23/TrRoad_act!R63)</f>
        <v>2783.5370200190869</v>
      </c>
      <c r="S114" s="87">
        <f>IF(S23=0,0,1000000*S23/TrRoad_act!S63)</f>
        <v>2630.6486811764471</v>
      </c>
      <c r="T114" s="87">
        <f>IF(T23=0,0,1000000*T23/TrRoad_act!T63)</f>
        <v>2607.8606742620618</v>
      </c>
      <c r="U114" s="87">
        <f>IF(U23=0,0,1000000*U23/TrRoad_act!U63)</f>
        <v>2149.9576882274469</v>
      </c>
      <c r="V114" s="87">
        <f>IF(V23=0,0,1000000*V23/TrRoad_act!V63)</f>
        <v>1843.7272799632703</v>
      </c>
      <c r="W114" s="87">
        <f>IF(W23=0,0,1000000*W23/TrRoad_act!W63)</f>
        <v>2188.6028949758879</v>
      </c>
      <c r="X114" s="87">
        <f>IF(X23=0,0,1000000*X23/TrRoad_act!X63)</f>
        <v>2414.1603582548778</v>
      </c>
      <c r="Y114" s="87">
        <f>IF(Y23=0,0,1000000*Y23/TrRoad_act!Y63)</f>
        <v>2287.3267811394867</v>
      </c>
      <c r="DA114" s="171" t="s">
        <v>817</v>
      </c>
    </row>
    <row r="115" spans="1:105" ht="11.45" customHeight="1" x14ac:dyDescent="0.25">
      <c r="A115" s="111" t="s">
        <v>113</v>
      </c>
      <c r="B115" s="87">
        <f>IF(B24=0,0,1000000*B24/TrRoad_act!B64)</f>
        <v>0</v>
      </c>
      <c r="C115" s="87">
        <f>IF(C24=0,0,1000000*C24/TrRoad_act!C64)</f>
        <v>0</v>
      </c>
      <c r="D115" s="87">
        <f>IF(D24=0,0,1000000*D24/TrRoad_act!D64)</f>
        <v>0</v>
      </c>
      <c r="E115" s="87">
        <f>IF(E24=0,0,1000000*E24/TrRoad_act!E64)</f>
        <v>0</v>
      </c>
      <c r="F115" s="87">
        <f>IF(F24=0,0,1000000*F24/TrRoad_act!F64)</f>
        <v>0</v>
      </c>
      <c r="G115" s="87">
        <f>IF(G24=0,0,1000000*G24/TrRoad_act!G64)</f>
        <v>0</v>
      </c>
      <c r="H115" s="87">
        <f>IF(H24=0,0,1000000*H24/TrRoad_act!H64)</f>
        <v>0</v>
      </c>
      <c r="I115" s="87">
        <f>IF(I24=0,0,1000000*I24/TrRoad_act!I64)</f>
        <v>0</v>
      </c>
      <c r="J115" s="87">
        <f>IF(J24=0,0,1000000*J24/TrRoad_act!J64)</f>
        <v>0</v>
      </c>
      <c r="K115" s="87">
        <f>IF(K24=0,0,1000000*K24/TrRoad_act!K64)</f>
        <v>0</v>
      </c>
      <c r="L115" s="87">
        <f>IF(L24=0,0,1000000*L24/TrRoad_act!L64)</f>
        <v>3567.958961590467</v>
      </c>
      <c r="M115" s="87">
        <f>IF(M24=0,0,1000000*M24/TrRoad_act!M64)</f>
        <v>3480.5871044863252</v>
      </c>
      <c r="N115" s="87">
        <f>IF(N24=0,0,1000000*N24/TrRoad_act!N64)</f>
        <v>3163.5142429690532</v>
      </c>
      <c r="O115" s="87">
        <f>IF(O24=0,0,1000000*O24/TrRoad_act!O64)</f>
        <v>2998.8465619260778</v>
      </c>
      <c r="P115" s="87">
        <f>IF(P24=0,0,1000000*P24/TrRoad_act!P64)</f>
        <v>2676.867148748981</v>
      </c>
      <c r="Q115" s="87">
        <f>IF(Q24=0,0,1000000*Q24/TrRoad_act!Q64)</f>
        <v>2646.4946399669225</v>
      </c>
      <c r="R115" s="87">
        <f>IF(R24=0,0,1000000*R24/TrRoad_act!R64)</f>
        <v>2334.6458585332707</v>
      </c>
      <c r="S115" s="87">
        <f>IF(S24=0,0,1000000*S24/TrRoad_act!S64)</f>
        <v>2801.9536609252291</v>
      </c>
      <c r="T115" s="87">
        <f>IF(T24=0,0,1000000*T24/TrRoad_act!T64)</f>
        <v>3158.663842868938</v>
      </c>
      <c r="U115" s="87">
        <f>IF(U24=0,0,1000000*U24/TrRoad_act!U64)</f>
        <v>3172.340516369638</v>
      </c>
      <c r="V115" s="87">
        <f>IF(V24=0,0,1000000*V24/TrRoad_act!V64)</f>
        <v>2593.2947105663079</v>
      </c>
      <c r="W115" s="87">
        <f>IF(W24=0,0,1000000*W24/TrRoad_act!W64)</f>
        <v>2750.4813015279356</v>
      </c>
      <c r="X115" s="87">
        <f>IF(X24=0,0,1000000*X24/TrRoad_act!X64)</f>
        <v>3006.7991460703106</v>
      </c>
      <c r="Y115" s="87">
        <f>IF(Y24=0,0,1000000*Y24/TrRoad_act!Y64)</f>
        <v>3030.1300545982008</v>
      </c>
      <c r="DA115" s="171" t="s">
        <v>818</v>
      </c>
    </row>
    <row r="116" spans="1:105" ht="11.45" customHeight="1" x14ac:dyDescent="0.25">
      <c r="A116" s="111" t="s">
        <v>114</v>
      </c>
      <c r="B116" s="87">
        <f>IF(B25=0,0,1000000*B25/TrRoad_act!B65)</f>
        <v>0</v>
      </c>
      <c r="C116" s="87">
        <f>IF(C25=0,0,1000000*C25/TrRoad_act!C65)</f>
        <v>0</v>
      </c>
      <c r="D116" s="87">
        <f>IF(D25=0,0,1000000*D25/TrRoad_act!D65)</f>
        <v>0</v>
      </c>
      <c r="E116" s="87">
        <f>IF(E25=0,0,1000000*E25/TrRoad_act!E65)</f>
        <v>0</v>
      </c>
      <c r="F116" s="87">
        <f>IF(F25=0,0,1000000*F25/TrRoad_act!F65)</f>
        <v>0</v>
      </c>
      <c r="G116" s="87">
        <f>IF(G25=0,0,1000000*G25/TrRoad_act!G65)</f>
        <v>0</v>
      </c>
      <c r="H116" s="87">
        <f>IF(H25=0,0,1000000*H25/TrRoad_act!H65)</f>
        <v>0</v>
      </c>
      <c r="I116" s="87">
        <f>IF(I25=0,0,1000000*I25/TrRoad_act!I65)</f>
        <v>0</v>
      </c>
      <c r="J116" s="87">
        <f>IF(J25=0,0,1000000*J25/TrRoad_act!J65)</f>
        <v>0</v>
      </c>
      <c r="K116" s="87">
        <f>IF(K25=0,0,1000000*K25/TrRoad_act!K65)</f>
        <v>0</v>
      </c>
      <c r="L116" s="87">
        <f>IF(L25=0,0,1000000*L25/TrRoad_act!L65)</f>
        <v>0</v>
      </c>
      <c r="M116" s="87">
        <f>IF(M25=0,0,1000000*M25/TrRoad_act!M65)</f>
        <v>578.29542159442246</v>
      </c>
      <c r="N116" s="87">
        <f>IF(N25=0,0,1000000*N25/TrRoad_act!N65)</f>
        <v>341.25697419012641</v>
      </c>
      <c r="O116" s="87">
        <f>IF(O25=0,0,1000000*O25/TrRoad_act!O65)</f>
        <v>367.82815488770058</v>
      </c>
      <c r="P116" s="87">
        <f>IF(P25=0,0,1000000*P25/TrRoad_act!P65)</f>
        <v>527.05328306928163</v>
      </c>
      <c r="Q116" s="87">
        <f>IF(Q25=0,0,1000000*Q25/TrRoad_act!Q65)</f>
        <v>484.69548658899168</v>
      </c>
      <c r="R116" s="87">
        <f>IF(R25=0,0,1000000*R25/TrRoad_act!R65)</f>
        <v>458.86901661791632</v>
      </c>
      <c r="S116" s="87">
        <f>IF(S25=0,0,1000000*S25/TrRoad_act!S65)</f>
        <v>444.68341771662654</v>
      </c>
      <c r="T116" s="87">
        <f>IF(T25=0,0,1000000*T25/TrRoad_act!T65)</f>
        <v>457.47337857424077</v>
      </c>
      <c r="U116" s="87">
        <f>IF(U25=0,0,1000000*U25/TrRoad_act!U65)</f>
        <v>472.30137765527729</v>
      </c>
      <c r="V116" s="87">
        <f>IF(V25=0,0,1000000*V25/TrRoad_act!V65)</f>
        <v>400.70567644708336</v>
      </c>
      <c r="W116" s="87">
        <f>IF(W25=0,0,1000000*W25/TrRoad_act!W65)</f>
        <v>418.42935806366506</v>
      </c>
      <c r="X116" s="87">
        <f>IF(X25=0,0,1000000*X25/TrRoad_act!X65)</f>
        <v>369.80120367830227</v>
      </c>
      <c r="Y116" s="87">
        <f>IF(Y25=0,0,1000000*Y25/TrRoad_act!Y65)</f>
        <v>384.6569946802037</v>
      </c>
      <c r="DA116" s="171" t="s">
        <v>819</v>
      </c>
    </row>
    <row r="117" spans="1:105" ht="11.45" customHeight="1" x14ac:dyDescent="0.25">
      <c r="A117" s="111" t="s">
        <v>115</v>
      </c>
      <c r="B117" s="87">
        <f>IF(B26=0,0,1000000*B26/TrRoad_act!B66)</f>
        <v>0</v>
      </c>
      <c r="C117" s="87">
        <f>IF(C26=0,0,1000000*C26/TrRoad_act!C66)</f>
        <v>0</v>
      </c>
      <c r="D117" s="87">
        <f>IF(D26=0,0,1000000*D26/TrRoad_act!D66)</f>
        <v>0</v>
      </c>
      <c r="E117" s="87">
        <f>IF(E26=0,0,1000000*E26/TrRoad_act!E66)</f>
        <v>0</v>
      </c>
      <c r="F117" s="87">
        <f>IF(F26=0,0,1000000*F26/TrRoad_act!F66)</f>
        <v>0</v>
      </c>
      <c r="G117" s="87">
        <f>IF(G26=0,0,1000000*G26/TrRoad_act!G66)</f>
        <v>0</v>
      </c>
      <c r="H117" s="87">
        <f>IF(H26=0,0,1000000*H26/TrRoad_act!H66)</f>
        <v>0</v>
      </c>
      <c r="I117" s="87">
        <f>IF(I26=0,0,1000000*I26/TrRoad_act!I66)</f>
        <v>0</v>
      </c>
      <c r="J117" s="87">
        <f>IF(J26=0,0,1000000*J26/TrRoad_act!J66)</f>
        <v>0</v>
      </c>
      <c r="K117" s="87">
        <f>IF(K26=0,0,1000000*K26/TrRoad_act!K66)</f>
        <v>0</v>
      </c>
      <c r="L117" s="87">
        <f>IF(L26=0,0,1000000*L26/TrRoad_act!L66)</f>
        <v>0</v>
      </c>
      <c r="M117" s="87">
        <f>IF(M26=0,0,1000000*M26/TrRoad_act!M66)</f>
        <v>0</v>
      </c>
      <c r="N117" s="87">
        <f>IF(N26=0,0,1000000*N26/TrRoad_act!N66)</f>
        <v>0</v>
      </c>
      <c r="O117" s="87">
        <f>IF(O26=0,0,1000000*O26/TrRoad_act!O66)</f>
        <v>0</v>
      </c>
      <c r="P117" s="87">
        <f>IF(P26=0,0,1000000*P26/TrRoad_act!P66)</f>
        <v>0</v>
      </c>
      <c r="Q117" s="87">
        <f>IF(Q26=0,0,1000000*Q26/TrRoad_act!Q66)</f>
        <v>0</v>
      </c>
      <c r="R117" s="87">
        <f>IF(R26=0,0,1000000*R26/TrRoad_act!R66)</f>
        <v>0</v>
      </c>
      <c r="S117" s="87">
        <f>IF(S26=0,0,1000000*S26/TrRoad_act!S66)</f>
        <v>0</v>
      </c>
      <c r="T117" s="87">
        <f>IF(T26=0,0,1000000*T26/TrRoad_act!T66)</f>
        <v>0</v>
      </c>
      <c r="U117" s="87">
        <f>IF(U26=0,0,1000000*U26/TrRoad_act!U66)</f>
        <v>0</v>
      </c>
      <c r="V117" s="87">
        <f>IF(V26=0,0,1000000*V26/TrRoad_act!V66)</f>
        <v>0</v>
      </c>
      <c r="W117" s="87">
        <f>IF(W26=0,0,1000000*W26/TrRoad_act!W66)</f>
        <v>0</v>
      </c>
      <c r="X117" s="87">
        <f>IF(X26=0,0,1000000*X26/TrRoad_act!X66)</f>
        <v>0</v>
      </c>
      <c r="Y117" s="87">
        <f>IF(Y26=0,0,1000000*Y26/TrRoad_act!Y66)</f>
        <v>0</v>
      </c>
      <c r="DA117" s="171" t="s">
        <v>820</v>
      </c>
    </row>
    <row r="118" spans="1:105" ht="11.45" customHeight="1" x14ac:dyDescent="0.25">
      <c r="A118" s="109" t="s">
        <v>21</v>
      </c>
      <c r="B118" s="116">
        <f>IF(B27=0,0,1000000*B27/TrRoad_act!B67)</f>
        <v>100237.61124536961</v>
      </c>
      <c r="C118" s="116">
        <f>IF(C27=0,0,1000000*C27/TrRoad_act!C67)</f>
        <v>95813.004143023718</v>
      </c>
      <c r="D118" s="116">
        <f>IF(D27=0,0,1000000*D27/TrRoad_act!D67)</f>
        <v>95102.954366205653</v>
      </c>
      <c r="E118" s="116">
        <f>IF(E27=0,0,1000000*E27/TrRoad_act!E67)</f>
        <v>92313.587990642191</v>
      </c>
      <c r="F118" s="116">
        <f>IF(F27=0,0,1000000*F27/TrRoad_act!F67)</f>
        <v>90611.138706810118</v>
      </c>
      <c r="G118" s="116">
        <f>IF(G27=0,0,1000000*G27/TrRoad_act!G67)</f>
        <v>91333.678589258721</v>
      </c>
      <c r="H118" s="116">
        <f>IF(H27=0,0,1000000*H27/TrRoad_act!H67)</f>
        <v>92034.774702517694</v>
      </c>
      <c r="I118" s="116">
        <f>IF(I27=0,0,1000000*I27/TrRoad_act!I67)</f>
        <v>90029.403875372358</v>
      </c>
      <c r="J118" s="116">
        <f>IF(J27=0,0,1000000*J27/TrRoad_act!J67)</f>
        <v>92195.354270884869</v>
      </c>
      <c r="K118" s="116">
        <f>IF(K27=0,0,1000000*K27/TrRoad_act!K67)</f>
        <v>92325.123031317824</v>
      </c>
      <c r="L118" s="116">
        <f>IF(L27=0,0,1000000*L27/TrRoad_act!L67)</f>
        <v>95856.723979308445</v>
      </c>
      <c r="M118" s="116">
        <f>IF(M27=0,0,1000000*M27/TrRoad_act!M67)</f>
        <v>95755.824084589374</v>
      </c>
      <c r="N118" s="116">
        <f>IF(N27=0,0,1000000*N27/TrRoad_act!N67)</f>
        <v>95241.296582838448</v>
      </c>
      <c r="O118" s="116">
        <f>IF(O27=0,0,1000000*O27/TrRoad_act!O67)</f>
        <v>90480.090299772666</v>
      </c>
      <c r="P118" s="116">
        <f>IF(P27=0,0,1000000*P27/TrRoad_act!P67)</f>
        <v>90305.720059487605</v>
      </c>
      <c r="Q118" s="116">
        <f>IF(Q27=0,0,1000000*Q27/TrRoad_act!Q67)</f>
        <v>92503.819564852354</v>
      </c>
      <c r="R118" s="116">
        <f>IF(R27=0,0,1000000*R27/TrRoad_act!R67)</f>
        <v>95091.494570862764</v>
      </c>
      <c r="S118" s="116">
        <f>IF(S27=0,0,1000000*S27/TrRoad_act!S67)</f>
        <v>96521.813613040242</v>
      </c>
      <c r="T118" s="116">
        <f>IF(T27=0,0,1000000*T27/TrRoad_act!T67)</f>
        <v>86614.712534219856</v>
      </c>
      <c r="U118" s="116">
        <f>IF(U27=0,0,1000000*U27/TrRoad_act!U67)</f>
        <v>72648.84409882623</v>
      </c>
      <c r="V118" s="116">
        <f>IF(V27=0,0,1000000*V27/TrRoad_act!V67)</f>
        <v>56042.112917054663</v>
      </c>
      <c r="W118" s="116">
        <f>IF(W27=0,0,1000000*W27/TrRoad_act!W67)</f>
        <v>52620.101855239518</v>
      </c>
      <c r="X118" s="116">
        <f>IF(X27=0,0,1000000*X27/TrRoad_act!X67)</f>
        <v>50442.380510080264</v>
      </c>
      <c r="Y118" s="116">
        <f>IF(Y27=0,0,1000000*Y27/TrRoad_act!Y67)</f>
        <v>49510.52918678071</v>
      </c>
      <c r="DA118" s="176" t="s">
        <v>821</v>
      </c>
    </row>
    <row r="119" spans="1:105" ht="11.45" customHeight="1" x14ac:dyDescent="0.25">
      <c r="A119" s="111" t="s">
        <v>110</v>
      </c>
      <c r="B119" s="101">
        <f>IF(B28=0,0,1000000*B28/TrRoad_act!B68)</f>
        <v>28711.644225307631</v>
      </c>
      <c r="C119" s="101">
        <f>IF(C28=0,0,1000000*C28/TrRoad_act!C68)</f>
        <v>26414.140887937854</v>
      </c>
      <c r="D119" s="101">
        <f>IF(D28=0,0,1000000*D28/TrRoad_act!D68)</f>
        <v>25279.985865143928</v>
      </c>
      <c r="E119" s="101">
        <f>IF(E28=0,0,1000000*E28/TrRoad_act!E68)</f>
        <v>23874.080510981272</v>
      </c>
      <c r="F119" s="101">
        <f>IF(F28=0,0,1000000*F28/TrRoad_act!F68)</f>
        <v>23172.95874309562</v>
      </c>
      <c r="G119" s="101">
        <f>IF(G28=0,0,1000000*G28/TrRoad_act!G68)</f>
        <v>23072.032616437125</v>
      </c>
      <c r="H119" s="101">
        <f>IF(H28=0,0,1000000*H28/TrRoad_act!H68)</f>
        <v>22901.246243411832</v>
      </c>
      <c r="I119" s="101">
        <f>IF(I28=0,0,1000000*I28/TrRoad_act!I68)</f>
        <v>22399.542475899798</v>
      </c>
      <c r="J119" s="101">
        <f>IF(J28=0,0,1000000*J28/TrRoad_act!J68)</f>
        <v>22324.335213953411</v>
      </c>
      <c r="K119" s="101">
        <f>IF(K28=0,0,1000000*K28/TrRoad_act!K68)</f>
        <v>22082.418208829204</v>
      </c>
      <c r="L119" s="101">
        <f>IF(L28=0,0,1000000*L28/TrRoad_act!L68)</f>
        <v>21763.261981891806</v>
      </c>
      <c r="M119" s="101">
        <f>IF(M28=0,0,1000000*M28/TrRoad_act!M68)</f>
        <v>21302.470768373169</v>
      </c>
      <c r="N119" s="101">
        <f>IF(N28=0,0,1000000*N28/TrRoad_act!N68)</f>
        <v>20543.057469404943</v>
      </c>
      <c r="O119" s="101">
        <f>IF(O28=0,0,1000000*O28/TrRoad_act!O68)</f>
        <v>20441.269595595022</v>
      </c>
      <c r="P119" s="101">
        <f>IF(P28=0,0,1000000*P28/TrRoad_act!P68)</f>
        <v>20336.574506411271</v>
      </c>
      <c r="Q119" s="101">
        <f>IF(Q28=0,0,1000000*Q28/TrRoad_act!Q68)</f>
        <v>19080.939999490514</v>
      </c>
      <c r="R119" s="101">
        <f>IF(R28=0,0,1000000*R28/TrRoad_act!R68)</f>
        <v>19264.645795119653</v>
      </c>
      <c r="S119" s="101">
        <f>IF(S28=0,0,1000000*S28/TrRoad_act!S68)</f>
        <v>20051.965636534071</v>
      </c>
      <c r="T119" s="101">
        <f>IF(T28=0,0,1000000*T28/TrRoad_act!T68)</f>
        <v>19169.326325346199</v>
      </c>
      <c r="U119" s="101">
        <f>IF(U28=0,0,1000000*U28/TrRoad_act!U68)</f>
        <v>16272.030346991802</v>
      </c>
      <c r="V119" s="101">
        <f>IF(V28=0,0,1000000*V28/TrRoad_act!V68)</f>
        <v>13663.600467664792</v>
      </c>
      <c r="W119" s="101">
        <f>IF(W28=0,0,1000000*W28/TrRoad_act!W68)</f>
        <v>13752.043764914692</v>
      </c>
      <c r="X119" s="101">
        <f>IF(X28=0,0,1000000*X28/TrRoad_act!X68)</f>
        <v>13351.21060569572</v>
      </c>
      <c r="Y119" s="101">
        <f>IF(Y28=0,0,1000000*Y28/TrRoad_act!Y68)</f>
        <v>13524.128460088028</v>
      </c>
      <c r="DA119" s="175" t="s">
        <v>822</v>
      </c>
    </row>
    <row r="120" spans="1:105" ht="11.45" customHeight="1" x14ac:dyDescent="0.25">
      <c r="A120" s="111" t="s">
        <v>111</v>
      </c>
      <c r="B120" s="101">
        <f>IF(B29=0,0,1000000*B29/TrRoad_act!B69)</f>
        <v>101892.41360596588</v>
      </c>
      <c r="C120" s="101">
        <f>IF(C29=0,0,1000000*C29/TrRoad_act!C69)</f>
        <v>97293.394882638415</v>
      </c>
      <c r="D120" s="101">
        <f>IF(D29=0,0,1000000*D29/TrRoad_act!D69)</f>
        <v>96571.697537326952</v>
      </c>
      <c r="E120" s="101">
        <f>IF(E29=0,0,1000000*E29/TrRoad_act!E69)</f>
        <v>93615.867952378016</v>
      </c>
      <c r="F120" s="101">
        <f>IF(F29=0,0,1000000*F29/TrRoad_act!F69)</f>
        <v>91895.377561140354</v>
      </c>
      <c r="G120" s="101">
        <f>IF(G29=0,0,1000000*G29/TrRoad_act!G69)</f>
        <v>92852.486370757237</v>
      </c>
      <c r="H120" s="101">
        <f>IF(H29=0,0,1000000*H29/TrRoad_act!H69)</f>
        <v>93600.257117039757</v>
      </c>
      <c r="I120" s="101">
        <f>IF(I29=0,0,1000000*I29/TrRoad_act!I69)</f>
        <v>91591.177494098767</v>
      </c>
      <c r="J120" s="101">
        <f>IF(J29=0,0,1000000*J29/TrRoad_act!J69)</f>
        <v>93871.498977718889</v>
      </c>
      <c r="K120" s="101">
        <f>IF(K29=0,0,1000000*K29/TrRoad_act!K69)</f>
        <v>94549.334001098701</v>
      </c>
      <c r="L120" s="101">
        <f>IF(L29=0,0,1000000*L29/TrRoad_act!L69)</f>
        <v>98730.14711909325</v>
      </c>
      <c r="M120" s="101">
        <f>IF(M29=0,0,1000000*M29/TrRoad_act!M69)</f>
        <v>99407.770585641731</v>
      </c>
      <c r="N120" s="101">
        <f>IF(N29=0,0,1000000*N29/TrRoad_act!N69)</f>
        <v>100922.9860984704</v>
      </c>
      <c r="O120" s="101">
        <f>IF(O29=0,0,1000000*O29/TrRoad_act!O69)</f>
        <v>103237.24640517977</v>
      </c>
      <c r="P120" s="101">
        <f>IF(P29=0,0,1000000*P29/TrRoad_act!P69)</f>
        <v>104084.7241754055</v>
      </c>
      <c r="Q120" s="101">
        <f>IF(Q29=0,0,1000000*Q29/TrRoad_act!Q69)</f>
        <v>107570.89376173133</v>
      </c>
      <c r="R120" s="101">
        <f>IF(R29=0,0,1000000*R29/TrRoad_act!R69)</f>
        <v>108553.98427306744</v>
      </c>
      <c r="S120" s="101">
        <f>IF(S29=0,0,1000000*S29/TrRoad_act!S69)</f>
        <v>110455.62928323189</v>
      </c>
      <c r="T120" s="101">
        <f>IF(T29=0,0,1000000*T29/TrRoad_act!T69)</f>
        <v>102885.10658851982</v>
      </c>
      <c r="U120" s="101">
        <f>IF(U29=0,0,1000000*U29/TrRoad_act!U69)</f>
        <v>89701.512095219499</v>
      </c>
      <c r="V120" s="101">
        <f>IF(V29=0,0,1000000*V29/TrRoad_act!V69)</f>
        <v>73509.828234066401</v>
      </c>
      <c r="W120" s="101">
        <f>IF(W29=0,0,1000000*W29/TrRoad_act!W69)</f>
        <v>71604.543058081515</v>
      </c>
      <c r="X120" s="101">
        <f>IF(X29=0,0,1000000*X29/TrRoad_act!X69)</f>
        <v>67978.631080370687</v>
      </c>
      <c r="Y120" s="101">
        <f>IF(Y29=0,0,1000000*Y29/TrRoad_act!Y69)</f>
        <v>64364.026157828768</v>
      </c>
      <c r="DA120" s="175" t="s">
        <v>823</v>
      </c>
    </row>
    <row r="121" spans="1:105" ht="11.45" customHeight="1" x14ac:dyDescent="0.25">
      <c r="A121" s="111" t="s">
        <v>112</v>
      </c>
      <c r="B121" s="101">
        <f>IF(B30=0,0,1000000*B30/TrRoad_act!B70)</f>
        <v>36481.150977073601</v>
      </c>
      <c r="C121" s="101">
        <f>IF(C30=0,0,1000000*C30/TrRoad_act!C70)</f>
        <v>35757.538343407512</v>
      </c>
      <c r="D121" s="101">
        <f>IF(D30=0,0,1000000*D30/TrRoad_act!D70)</f>
        <v>35873.392257599218</v>
      </c>
      <c r="E121" s="101">
        <f>IF(E30=0,0,1000000*E30/TrRoad_act!E70)</f>
        <v>35144.285817740812</v>
      </c>
      <c r="F121" s="101">
        <f>IF(F30=0,0,1000000*F30/TrRoad_act!F70)</f>
        <v>34668.149809569091</v>
      </c>
      <c r="G121" s="101">
        <f>IF(G30=0,0,1000000*G30/TrRoad_act!G70)</f>
        <v>34259.81196945237</v>
      </c>
      <c r="H121" s="101">
        <f>IF(H30=0,0,1000000*H30/TrRoad_act!H70)</f>
        <v>34349.380285066545</v>
      </c>
      <c r="I121" s="101">
        <f>IF(I30=0,0,1000000*I30/TrRoad_act!I70)</f>
        <v>34472.293905048427</v>
      </c>
      <c r="J121" s="101">
        <f>IF(J30=0,0,1000000*J30/TrRoad_act!J70)</f>
        <v>34686.829377828581</v>
      </c>
      <c r="K121" s="101">
        <f>IF(K30=0,0,1000000*K30/TrRoad_act!K70)</f>
        <v>34901.411459919495</v>
      </c>
      <c r="L121" s="101">
        <f>IF(L30=0,0,1000000*L30/TrRoad_act!L70)</f>
        <v>35171.367133947897</v>
      </c>
      <c r="M121" s="101">
        <f>IF(M30=0,0,1000000*M30/TrRoad_act!M70)</f>
        <v>35308.431962942755</v>
      </c>
      <c r="N121" s="101">
        <f>IF(N30=0,0,1000000*N30/TrRoad_act!N70)</f>
        <v>35460.881372263771</v>
      </c>
      <c r="O121" s="101">
        <f>IF(O30=0,0,1000000*O30/TrRoad_act!O70)</f>
        <v>35587.265283089451</v>
      </c>
      <c r="P121" s="101">
        <f>IF(P30=0,0,1000000*P30/TrRoad_act!P70)</f>
        <v>35696.497805599734</v>
      </c>
      <c r="Q121" s="101">
        <f>IF(Q30=0,0,1000000*Q30/TrRoad_act!Q70)</f>
        <v>36952.400285901174</v>
      </c>
      <c r="R121" s="101">
        <f>IF(R30=0,0,1000000*R30/TrRoad_act!R70)</f>
        <v>37505.958029681766</v>
      </c>
      <c r="S121" s="101">
        <f>IF(S30=0,0,1000000*S30/TrRoad_act!S70)</f>
        <v>39220.319919877249</v>
      </c>
      <c r="T121" s="101">
        <f>IF(T30=0,0,1000000*T30/TrRoad_act!T70)</f>
        <v>37968.718911319906</v>
      </c>
      <c r="U121" s="101">
        <f>IF(U30=0,0,1000000*U30/TrRoad_act!U70)</f>
        <v>34401.158586915779</v>
      </c>
      <c r="V121" s="101">
        <f>IF(V30=0,0,1000000*V30/TrRoad_act!V70)</f>
        <v>29382.202077805854</v>
      </c>
      <c r="W121" s="101">
        <f>IF(W30=0,0,1000000*W30/TrRoad_act!W70)</f>
        <v>29557.797040211608</v>
      </c>
      <c r="X121" s="101">
        <f>IF(X30=0,0,1000000*X30/TrRoad_act!X70)</f>
        <v>28019.514029218259</v>
      </c>
      <c r="Y121" s="101">
        <f>IF(Y30=0,0,1000000*Y30/TrRoad_act!Y70)</f>
        <v>28103.264195455286</v>
      </c>
      <c r="DA121" s="175" t="s">
        <v>824</v>
      </c>
    </row>
    <row r="122" spans="1:105" ht="11.45" customHeight="1" x14ac:dyDescent="0.25">
      <c r="A122" s="111" t="s">
        <v>113</v>
      </c>
      <c r="B122" s="101">
        <f>IF(B31=0,0,1000000*B31/TrRoad_act!B71)</f>
        <v>58880.921565960183</v>
      </c>
      <c r="C122" s="101">
        <f>IF(C31=0,0,1000000*C31/TrRoad_act!C71)</f>
        <v>61688.516220875768</v>
      </c>
      <c r="D122" s="101">
        <f>IF(D31=0,0,1000000*D31/TrRoad_act!D71)</f>
        <v>50474.736198015904</v>
      </c>
      <c r="E122" s="101">
        <f>IF(E31=0,0,1000000*E31/TrRoad_act!E71)</f>
        <v>58373.749098567125</v>
      </c>
      <c r="F122" s="101">
        <f>IF(F31=0,0,1000000*F31/TrRoad_act!F71)</f>
        <v>42922.628506279165</v>
      </c>
      <c r="G122" s="101">
        <f>IF(G31=0,0,1000000*G31/TrRoad_act!G71)</f>
        <v>45902.266703465088</v>
      </c>
      <c r="H122" s="101">
        <f>IF(H31=0,0,1000000*H31/TrRoad_act!H71)</f>
        <v>46143.640519507455</v>
      </c>
      <c r="I122" s="101">
        <f>IF(I31=0,0,1000000*I31/TrRoad_act!I71)</f>
        <v>44730.076290929923</v>
      </c>
      <c r="J122" s="101">
        <f>IF(J31=0,0,1000000*J31/TrRoad_act!J71)</f>
        <v>46888.346078217975</v>
      </c>
      <c r="K122" s="101">
        <f>IF(K31=0,0,1000000*K31/TrRoad_act!K71)</f>
        <v>48213.512627695884</v>
      </c>
      <c r="L122" s="101">
        <f>IF(L31=0,0,1000000*L31/TrRoad_act!L71)</f>
        <v>52226.654514114431</v>
      </c>
      <c r="M122" s="101">
        <f>IF(M31=0,0,1000000*M31/TrRoad_act!M71)</f>
        <v>57570.160068666999</v>
      </c>
      <c r="N122" s="101">
        <f>IF(N31=0,0,1000000*N31/TrRoad_act!N71)</f>
        <v>41445.688850346829</v>
      </c>
      <c r="O122" s="101">
        <f>IF(O31=0,0,1000000*O31/TrRoad_act!O71)</f>
        <v>23781.206911038935</v>
      </c>
      <c r="P122" s="101">
        <f>IF(P31=0,0,1000000*P31/TrRoad_act!P71)</f>
        <v>24611.949123656068</v>
      </c>
      <c r="Q122" s="101">
        <f>IF(Q31=0,0,1000000*Q31/TrRoad_act!Q71)</f>
        <v>30522.473886051452</v>
      </c>
      <c r="R122" s="101">
        <f>IF(R31=0,0,1000000*R31/TrRoad_act!R71)</f>
        <v>52707.613179966022</v>
      </c>
      <c r="S122" s="101">
        <f>IF(S31=0,0,1000000*S31/TrRoad_act!S71)</f>
        <v>60751.663554388891</v>
      </c>
      <c r="T122" s="101">
        <f>IF(T31=0,0,1000000*T31/TrRoad_act!T71)</f>
        <v>48351.826971837836</v>
      </c>
      <c r="U122" s="101">
        <f>IF(U31=0,0,1000000*U31/TrRoad_act!U71)</f>
        <v>45836.143346865087</v>
      </c>
      <c r="V122" s="101">
        <f>IF(V31=0,0,1000000*V31/TrRoad_act!V71)</f>
        <v>40117.281181636514</v>
      </c>
      <c r="W122" s="101">
        <f>IF(W31=0,0,1000000*W31/TrRoad_act!W71)</f>
        <v>40112.108655495533</v>
      </c>
      <c r="X122" s="101">
        <f>IF(X31=0,0,1000000*X31/TrRoad_act!X71)</f>
        <v>41267.119448960955</v>
      </c>
      <c r="Y122" s="101">
        <f>IF(Y31=0,0,1000000*Y31/TrRoad_act!Y71)</f>
        <v>49076.74529464724</v>
      </c>
      <c r="DA122" s="175" t="s">
        <v>825</v>
      </c>
    </row>
    <row r="123" spans="1:105" ht="11.45" customHeight="1" x14ac:dyDescent="0.25">
      <c r="A123" s="111" t="s">
        <v>115</v>
      </c>
      <c r="B123" s="101">
        <f>IF(B32=0,0,1000000*B32/TrRoad_act!B72)</f>
        <v>0</v>
      </c>
      <c r="C123" s="101">
        <f>IF(C32=0,0,1000000*C32/TrRoad_act!C72)</f>
        <v>0</v>
      </c>
      <c r="D123" s="101">
        <f>IF(D32=0,0,1000000*D32/TrRoad_act!D72)</f>
        <v>0</v>
      </c>
      <c r="E123" s="101">
        <f>IF(E32=0,0,1000000*E32/TrRoad_act!E72)</f>
        <v>0</v>
      </c>
      <c r="F123" s="101">
        <f>IF(F32=0,0,1000000*F32/TrRoad_act!F72)</f>
        <v>0</v>
      </c>
      <c r="G123" s="101">
        <f>IF(G32=0,0,1000000*G32/TrRoad_act!G72)</f>
        <v>0</v>
      </c>
      <c r="H123" s="101">
        <f>IF(H32=0,0,1000000*H32/TrRoad_act!H72)</f>
        <v>0</v>
      </c>
      <c r="I123" s="101">
        <f>IF(I32=0,0,1000000*I32/TrRoad_act!I72)</f>
        <v>0</v>
      </c>
      <c r="J123" s="101">
        <f>IF(J32=0,0,1000000*J32/TrRoad_act!J72)</f>
        <v>0</v>
      </c>
      <c r="K123" s="101">
        <f>IF(K32=0,0,1000000*K32/TrRoad_act!K72)</f>
        <v>0</v>
      </c>
      <c r="L123" s="101">
        <f>IF(L32=0,0,1000000*L32/TrRoad_act!L72)</f>
        <v>0</v>
      </c>
      <c r="M123" s="101">
        <f>IF(M32=0,0,1000000*M32/TrRoad_act!M72)</f>
        <v>0</v>
      </c>
      <c r="N123" s="101">
        <f>IF(N32=0,0,1000000*N32/TrRoad_act!N72)</f>
        <v>0</v>
      </c>
      <c r="O123" s="101">
        <f>IF(O32=0,0,1000000*O32/TrRoad_act!O72)</f>
        <v>0</v>
      </c>
      <c r="P123" s="101">
        <f>IF(P32=0,0,1000000*P32/TrRoad_act!P72)</f>
        <v>0</v>
      </c>
      <c r="Q123" s="101">
        <f>IF(Q32=0,0,1000000*Q32/TrRoad_act!Q72)</f>
        <v>0</v>
      </c>
      <c r="R123" s="101">
        <f>IF(R32=0,0,1000000*R32/TrRoad_act!R72)</f>
        <v>0</v>
      </c>
      <c r="S123" s="101">
        <f>IF(S32=0,0,1000000*S32/TrRoad_act!S72)</f>
        <v>0</v>
      </c>
      <c r="T123" s="101">
        <f>IF(T32=0,0,1000000*T32/TrRoad_act!T72)</f>
        <v>0</v>
      </c>
      <c r="U123" s="101">
        <f>IF(U32=0,0,1000000*U32/TrRoad_act!U72)</f>
        <v>0</v>
      </c>
      <c r="V123" s="101">
        <f>IF(V32=0,0,1000000*V32/TrRoad_act!V72)</f>
        <v>0</v>
      </c>
      <c r="W123" s="101">
        <f>IF(W32=0,0,1000000*W32/TrRoad_act!W72)</f>
        <v>0</v>
      </c>
      <c r="X123" s="101">
        <f>IF(X32=0,0,1000000*X32/TrRoad_act!X72)</f>
        <v>0</v>
      </c>
      <c r="Y123" s="101">
        <f>IF(Y32=0,0,1000000*Y32/TrRoad_act!Y72)</f>
        <v>0</v>
      </c>
      <c r="DA123" s="175" t="s">
        <v>826</v>
      </c>
    </row>
    <row r="124" spans="1:105" ht="11.45" customHeight="1" x14ac:dyDescent="0.25">
      <c r="A124" s="27" t="s">
        <v>34</v>
      </c>
      <c r="B124" s="29"/>
      <c r="C124" s="29"/>
      <c r="D124" s="29"/>
      <c r="E124" s="29"/>
      <c r="F124" s="29"/>
      <c r="G124" s="29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DA124" s="173"/>
    </row>
    <row r="125" spans="1:105" ht="11.45" customHeight="1" x14ac:dyDescent="0.25">
      <c r="A125" s="136" t="s">
        <v>153</v>
      </c>
      <c r="B125" s="152">
        <f>IF(B34=0,0,1000000*B34/TrRoad_act!B74)</f>
        <v>7878.8462158773791</v>
      </c>
      <c r="C125" s="152">
        <f>IF(C34=0,0,1000000*C34/TrRoad_act!C74)</f>
        <v>7528.2160765528224</v>
      </c>
      <c r="D125" s="152">
        <f>IF(D34=0,0,1000000*D34/TrRoad_act!D74)</f>
        <v>7313.922129019109</v>
      </c>
      <c r="E125" s="152">
        <f>IF(E34=0,0,1000000*E34/TrRoad_act!E74)</f>
        <v>7248.2116209827627</v>
      </c>
      <c r="F125" s="152">
        <f>IF(F34=0,0,1000000*F34/TrRoad_act!F74)</f>
        <v>7324.022330004952</v>
      </c>
      <c r="G125" s="152">
        <f>IF(G34=0,0,1000000*G34/TrRoad_act!G74)</f>
        <v>7170.3376304708736</v>
      </c>
      <c r="H125" s="152">
        <f>IF(H34=0,0,1000000*H34/TrRoad_act!H74)</f>
        <v>7341.6301641829123</v>
      </c>
      <c r="I125" s="152">
        <f>IF(I34=0,0,1000000*I34/TrRoad_act!I74)</f>
        <v>7291.2407704888483</v>
      </c>
      <c r="J125" s="152">
        <f>IF(J34=0,0,1000000*J34/TrRoad_act!J74)</f>
        <v>7354.8533371161366</v>
      </c>
      <c r="K125" s="152">
        <f>IF(K34=0,0,1000000*K34/TrRoad_act!K74)</f>
        <v>6729.7164057996843</v>
      </c>
      <c r="L125" s="152">
        <f>IF(L34=0,0,1000000*L34/TrRoad_act!L74)</f>
        <v>6986.5699279235578</v>
      </c>
      <c r="M125" s="152">
        <f>IF(M34=0,0,1000000*M34/TrRoad_act!M74)</f>
        <v>7116.6315089198597</v>
      </c>
      <c r="N125" s="152">
        <f>IF(N34=0,0,1000000*N34/TrRoad_act!N74)</f>
        <v>6816.2422026731529</v>
      </c>
      <c r="O125" s="152">
        <f>IF(O34=0,0,1000000*O34/TrRoad_act!O74)</f>
        <v>6842.1515834377851</v>
      </c>
      <c r="P125" s="152">
        <f>IF(P34=0,0,1000000*P34/TrRoad_act!P74)</f>
        <v>6435.2292498210536</v>
      </c>
      <c r="Q125" s="152">
        <f>IF(Q34=0,0,1000000*Q34/TrRoad_act!Q74)</f>
        <v>6626.3057506228488</v>
      </c>
      <c r="R125" s="152">
        <f>IF(R34=0,0,1000000*R34/TrRoad_act!R74)</f>
        <v>6524.5832020356665</v>
      </c>
      <c r="S125" s="152">
        <f>IF(S34=0,0,1000000*S34/TrRoad_act!S74)</f>
        <v>6237.8283342031</v>
      </c>
      <c r="T125" s="152">
        <f>IF(T34=0,0,1000000*T34/TrRoad_act!T74)</f>
        <v>5864.9793225618942</v>
      </c>
      <c r="U125" s="152">
        <f>IF(U34=0,0,1000000*U34/TrRoad_act!U74)</f>
        <v>5505.5340452805449</v>
      </c>
      <c r="V125" s="152">
        <f>IF(V34=0,0,1000000*V34/TrRoad_act!V74)</f>
        <v>5240.4934052334656</v>
      </c>
      <c r="W125" s="152">
        <f>IF(W34=0,0,1000000*W34/TrRoad_act!W74)</f>
        <v>5204.3769168528452</v>
      </c>
      <c r="X125" s="152">
        <f>IF(X34=0,0,1000000*X34/TrRoad_act!X74)</f>
        <v>5067.779789623185</v>
      </c>
      <c r="Y125" s="152">
        <f>IF(Y34=0,0,1000000*Y34/TrRoad_act!Y74)</f>
        <v>4879.3531868376549</v>
      </c>
      <c r="DA125" s="174" t="s">
        <v>827</v>
      </c>
    </row>
    <row r="126" spans="1:105" ht="11.45" customHeight="1" x14ac:dyDescent="0.25">
      <c r="A126" s="111" t="s">
        <v>110</v>
      </c>
      <c r="B126" s="87">
        <f>IF(B35=0,0,1000000*B35/TrRoad_act!B75)</f>
        <v>2911.5483401843367</v>
      </c>
      <c r="C126" s="87">
        <f>IF(C35=0,0,1000000*C35/TrRoad_act!C75)</f>
        <v>2888.1438223304126</v>
      </c>
      <c r="D126" s="87">
        <f>IF(D35=0,0,1000000*D35/TrRoad_act!D75)</f>
        <v>2794.874276039553</v>
      </c>
      <c r="E126" s="87">
        <f>IF(E35=0,0,1000000*E35/TrRoad_act!E75)</f>
        <v>2755.457614711484</v>
      </c>
      <c r="F126" s="87">
        <f>IF(F35=0,0,1000000*F35/TrRoad_act!F75)</f>
        <v>2796.4266618171</v>
      </c>
      <c r="G126" s="87">
        <f>IF(G35=0,0,1000000*G35/TrRoad_act!G75)</f>
        <v>2766.4713548956047</v>
      </c>
      <c r="H126" s="87">
        <f>IF(H35=0,0,1000000*H35/TrRoad_act!H75)</f>
        <v>2774.1608056408204</v>
      </c>
      <c r="I126" s="87">
        <f>IF(I35=0,0,1000000*I35/TrRoad_act!I75)</f>
        <v>2855.5514050002166</v>
      </c>
      <c r="J126" s="87">
        <f>IF(J35=0,0,1000000*J35/TrRoad_act!J75)</f>
        <v>2874.5200758550745</v>
      </c>
      <c r="K126" s="87">
        <f>IF(K35=0,0,1000000*K35/TrRoad_act!K75)</f>
        <v>2739.3622745817588</v>
      </c>
      <c r="L126" s="87">
        <f>IF(L35=0,0,1000000*L35/TrRoad_act!L75)</f>
        <v>2713.8302067022969</v>
      </c>
      <c r="M126" s="87">
        <f>IF(M35=0,0,1000000*M35/TrRoad_act!M75)</f>
        <v>2681.6306662892293</v>
      </c>
      <c r="N126" s="87">
        <f>IF(N35=0,0,1000000*N35/TrRoad_act!N75)</f>
        <v>2626.4441071147817</v>
      </c>
      <c r="O126" s="87">
        <f>IF(O35=0,0,1000000*O35/TrRoad_act!O75)</f>
        <v>2611.9310262318095</v>
      </c>
      <c r="P126" s="87">
        <f>IF(P35=0,0,1000000*P35/TrRoad_act!P75)</f>
        <v>2595.7750913192067</v>
      </c>
      <c r="Q126" s="87">
        <f>IF(Q35=0,0,1000000*Q35/TrRoad_act!Q75)</f>
        <v>2551.5905829396111</v>
      </c>
      <c r="R126" s="87">
        <f>IF(R35=0,0,1000000*R35/TrRoad_act!R75)</f>
        <v>2472.8834525657112</v>
      </c>
      <c r="S126" s="87">
        <f>IF(S35=0,0,1000000*S35/TrRoad_act!S75)</f>
        <v>2351.0409986316713</v>
      </c>
      <c r="T126" s="87">
        <f>IF(T35=0,0,1000000*T35/TrRoad_act!T75)</f>
        <v>2248.8233503085835</v>
      </c>
      <c r="U126" s="87">
        <f>IF(U35=0,0,1000000*U35/TrRoad_act!U75)</f>
        <v>2125.4429930088286</v>
      </c>
      <c r="V126" s="87">
        <f>IF(V35=0,0,1000000*V35/TrRoad_act!V75)</f>
        <v>1940.92145103862</v>
      </c>
      <c r="W126" s="87">
        <f>IF(W35=0,0,1000000*W35/TrRoad_act!W75)</f>
        <v>1903.8855593163719</v>
      </c>
      <c r="X126" s="87">
        <f>IF(X35=0,0,1000000*X35/TrRoad_act!X75)</f>
        <v>1786.6796380895717</v>
      </c>
      <c r="Y126" s="87">
        <f>IF(Y35=0,0,1000000*Y35/TrRoad_act!Y75)</f>
        <v>1755.8366796089761</v>
      </c>
      <c r="DA126" s="171" t="s">
        <v>828</v>
      </c>
    </row>
    <row r="127" spans="1:105" ht="11.45" customHeight="1" x14ac:dyDescent="0.25">
      <c r="A127" s="111" t="s">
        <v>111</v>
      </c>
      <c r="B127" s="87">
        <f>IF(B36=0,0,1000000*B36/TrRoad_act!B76)</f>
        <v>8579.3279304212429</v>
      </c>
      <c r="C127" s="87">
        <f>IF(C36=0,0,1000000*C36/TrRoad_act!C76)</f>
        <v>8075.4588412797802</v>
      </c>
      <c r="D127" s="87">
        <f>IF(D36=0,0,1000000*D36/TrRoad_act!D76)</f>
        <v>7775.3244830019003</v>
      </c>
      <c r="E127" s="87">
        <f>IF(E36=0,0,1000000*E36/TrRoad_act!E76)</f>
        <v>7648.2747904977623</v>
      </c>
      <c r="F127" s="87">
        <f>IF(F36=0,0,1000000*F36/TrRoad_act!F76)</f>
        <v>7677.4879247458002</v>
      </c>
      <c r="G127" s="87">
        <f>IF(G36=0,0,1000000*G36/TrRoad_act!G76)</f>
        <v>7480.702456258965</v>
      </c>
      <c r="H127" s="87">
        <f>IF(H36=0,0,1000000*H36/TrRoad_act!H76)</f>
        <v>7638.3496701800959</v>
      </c>
      <c r="I127" s="87">
        <f>IF(I36=0,0,1000000*I36/TrRoad_act!I76)</f>
        <v>7551.1491547117912</v>
      </c>
      <c r="J127" s="87">
        <f>IF(J36=0,0,1000000*J36/TrRoad_act!J76)</f>
        <v>7598.3095196234535</v>
      </c>
      <c r="K127" s="87">
        <f>IF(K36=0,0,1000000*K36/TrRoad_act!K76)</f>
        <v>6931.8214200795519</v>
      </c>
      <c r="L127" s="87">
        <f>IF(L36=0,0,1000000*L36/TrRoad_act!L76)</f>
        <v>7197.8424458782183</v>
      </c>
      <c r="M127" s="87">
        <f>IF(M36=0,0,1000000*M36/TrRoad_act!M76)</f>
        <v>7332.2059283505259</v>
      </c>
      <c r="N127" s="87">
        <f>IF(N36=0,0,1000000*N36/TrRoad_act!N76)</f>
        <v>7016.9159309007227</v>
      </c>
      <c r="O127" s="87">
        <f>IF(O36=0,0,1000000*O36/TrRoad_act!O76)</f>
        <v>7040.9874132739506</v>
      </c>
      <c r="P127" s="87">
        <f>IF(P36=0,0,1000000*P36/TrRoad_act!P76)</f>
        <v>6613.9311223899367</v>
      </c>
      <c r="Q127" s="87">
        <f>IF(Q36=0,0,1000000*Q36/TrRoad_act!Q76)</f>
        <v>6816.4643760080007</v>
      </c>
      <c r="R127" s="87">
        <f>IF(R36=0,0,1000000*R36/TrRoad_act!R76)</f>
        <v>6707.685188906652</v>
      </c>
      <c r="S127" s="87">
        <f>IF(S36=0,0,1000000*S36/TrRoad_act!S76)</f>
        <v>6418.099498722172</v>
      </c>
      <c r="T127" s="87">
        <f>IF(T36=0,0,1000000*T36/TrRoad_act!T76)</f>
        <v>6044.3377110739812</v>
      </c>
      <c r="U127" s="87">
        <f>IF(U36=0,0,1000000*U36/TrRoad_act!U76)</f>
        <v>5706.1410384180926</v>
      </c>
      <c r="V127" s="87">
        <f>IF(V36=0,0,1000000*V36/TrRoad_act!V76)</f>
        <v>5452.1079190954115</v>
      </c>
      <c r="W127" s="87">
        <f>IF(W36=0,0,1000000*W36/TrRoad_act!W76)</f>
        <v>5431.725758652582</v>
      </c>
      <c r="X127" s="87">
        <f>IF(X36=0,0,1000000*X36/TrRoad_act!X76)</f>
        <v>5325.8833600090593</v>
      </c>
      <c r="Y127" s="87">
        <f>IF(Y36=0,0,1000000*Y36/TrRoad_act!Y76)</f>
        <v>5180.2874654023972</v>
      </c>
      <c r="DA127" s="171" t="s">
        <v>829</v>
      </c>
    </row>
    <row r="128" spans="1:105" ht="11.45" customHeight="1" x14ac:dyDescent="0.25">
      <c r="A128" s="111" t="s">
        <v>112</v>
      </c>
      <c r="B128" s="87">
        <f>IF(B37=0,0,1000000*B37/TrRoad_act!B77)</f>
        <v>5037.9837948138484</v>
      </c>
      <c r="C128" s="87">
        <f>IF(C37=0,0,1000000*C37/TrRoad_act!C77)</f>
        <v>4993.9510390118285</v>
      </c>
      <c r="D128" s="87">
        <f>IF(D37=0,0,1000000*D37/TrRoad_act!D77)</f>
        <v>4832.6623967002142</v>
      </c>
      <c r="E128" s="87">
        <f>IF(E37=0,0,1000000*E37/TrRoad_act!E77)</f>
        <v>4764.4249300052088</v>
      </c>
      <c r="F128" s="87">
        <f>IF(F37=0,0,1000000*F37/TrRoad_act!F77)</f>
        <v>4835.1376119133793</v>
      </c>
      <c r="G128" s="87">
        <f>IF(G37=0,0,1000000*G37/TrRoad_act!G77)</f>
        <v>4782.9281997197741</v>
      </c>
      <c r="H128" s="87">
        <f>IF(H37=0,0,1000000*H37/TrRoad_act!H77)</f>
        <v>4817.8769229957225</v>
      </c>
      <c r="I128" s="87">
        <f>IF(I37=0,0,1000000*I37/TrRoad_act!I77)</f>
        <v>5043.2258294669691</v>
      </c>
      <c r="J128" s="87">
        <f>IF(J37=0,0,1000000*J37/TrRoad_act!J77)</f>
        <v>5101.2420924313928</v>
      </c>
      <c r="K128" s="87">
        <f>IF(K37=0,0,1000000*K37/TrRoad_act!K77)</f>
        <v>4931.5025577047754</v>
      </c>
      <c r="L128" s="87">
        <f>IF(L37=0,0,1000000*L37/TrRoad_act!L77)</f>
        <v>4913.3614279337107</v>
      </c>
      <c r="M128" s="87">
        <f>IF(M37=0,0,1000000*M37/TrRoad_act!M77)</f>
        <v>4894.8210465841512</v>
      </c>
      <c r="N128" s="87">
        <f>IF(N37=0,0,1000000*N37/TrRoad_act!N77)</f>
        <v>4816.2769527300761</v>
      </c>
      <c r="O128" s="87">
        <f>IF(O37=0,0,1000000*O37/TrRoad_act!O77)</f>
        <v>4826.690957975653</v>
      </c>
      <c r="P128" s="87">
        <f>IF(P37=0,0,1000000*P37/TrRoad_act!P77)</f>
        <v>4901.8124119203294</v>
      </c>
      <c r="Q128" s="87">
        <f>IF(Q37=0,0,1000000*Q37/TrRoad_act!Q77)</f>
        <v>4935.9899497667529</v>
      </c>
      <c r="R128" s="87">
        <f>IF(R37=0,0,1000000*R37/TrRoad_act!R77)</f>
        <v>4837.8396016304278</v>
      </c>
      <c r="S128" s="87">
        <f>IF(S37=0,0,1000000*S37/TrRoad_act!S77)</f>
        <v>4676.4676699568663</v>
      </c>
      <c r="T128" s="87">
        <f>IF(T37=0,0,1000000*T37/TrRoad_act!T77)</f>
        <v>4277.1408697874167</v>
      </c>
      <c r="U128" s="87">
        <f>IF(U37=0,0,1000000*U37/TrRoad_act!U77)</f>
        <v>3515.9833492564512</v>
      </c>
      <c r="V128" s="87">
        <f>IF(V37=0,0,1000000*V37/TrRoad_act!V77)</f>
        <v>3293.6175027080949</v>
      </c>
      <c r="W128" s="87">
        <f>IF(W37=0,0,1000000*W37/TrRoad_act!W77)</f>
        <v>3250.1063293226553</v>
      </c>
      <c r="X128" s="87">
        <f>IF(X37=0,0,1000000*X37/TrRoad_act!X77)</f>
        <v>3210.0687575812958</v>
      </c>
      <c r="Y128" s="87">
        <f>IF(Y37=0,0,1000000*Y37/TrRoad_act!Y77)</f>
        <v>3240.156089504489</v>
      </c>
      <c r="DA128" s="171" t="s">
        <v>830</v>
      </c>
    </row>
    <row r="129" spans="1:105" ht="11.45" customHeight="1" x14ac:dyDescent="0.25">
      <c r="A129" s="111" t="s">
        <v>113</v>
      </c>
      <c r="B129" s="87">
        <f>IF(B38=0,0,1000000*B38/TrRoad_act!B78)</f>
        <v>0</v>
      </c>
      <c r="C129" s="87">
        <f>IF(C38=0,0,1000000*C38/TrRoad_act!C78)</f>
        <v>0</v>
      </c>
      <c r="D129" s="87">
        <f>IF(D38=0,0,1000000*D38/TrRoad_act!D78)</f>
        <v>0</v>
      </c>
      <c r="E129" s="87">
        <f>IF(E38=0,0,1000000*E38/TrRoad_act!E78)</f>
        <v>3904.542940219621</v>
      </c>
      <c r="F129" s="87">
        <f>IF(F38=0,0,1000000*F38/TrRoad_act!F78)</f>
        <v>3901.9866817557645</v>
      </c>
      <c r="G129" s="87">
        <f>IF(G38=0,0,1000000*G38/TrRoad_act!G78)</f>
        <v>3784.5622358462642</v>
      </c>
      <c r="H129" s="87">
        <f>IF(H38=0,0,1000000*H38/TrRoad_act!H78)</f>
        <v>3737.0178432745811</v>
      </c>
      <c r="I129" s="87">
        <f>IF(I38=0,0,1000000*I38/TrRoad_act!I78)</f>
        <v>3809.5319767305236</v>
      </c>
      <c r="J129" s="87">
        <f>IF(J38=0,0,1000000*J38/TrRoad_act!J78)</f>
        <v>3853.4809748205012</v>
      </c>
      <c r="K129" s="87">
        <f>IF(K38=0,0,1000000*K38/TrRoad_act!K78)</f>
        <v>3528.8126720847326</v>
      </c>
      <c r="L129" s="87">
        <f>IF(L38=0,0,1000000*L38/TrRoad_act!L78)</f>
        <v>3467.5718632859848</v>
      </c>
      <c r="M129" s="87">
        <f>IF(M38=0,0,1000000*M38/TrRoad_act!M78)</f>
        <v>3393.8453128858396</v>
      </c>
      <c r="N129" s="87">
        <f>IF(N38=0,0,1000000*N38/TrRoad_act!N78)</f>
        <v>3229.6653522138745</v>
      </c>
      <c r="O129" s="87">
        <f>IF(O38=0,0,1000000*O38/TrRoad_act!O78)</f>
        <v>3168.1784974150232</v>
      </c>
      <c r="P129" s="87">
        <f>IF(P38=0,0,1000000*P38/TrRoad_act!P78)</f>
        <v>3171.5691763986092</v>
      </c>
      <c r="Q129" s="87">
        <f>IF(Q38=0,0,1000000*Q38/TrRoad_act!Q78)</f>
        <v>3181.2271962863197</v>
      </c>
      <c r="R129" s="87">
        <f>IF(R38=0,0,1000000*R38/TrRoad_act!R78)</f>
        <v>3141.9327656325668</v>
      </c>
      <c r="S129" s="87">
        <f>IF(S38=0,0,1000000*S38/TrRoad_act!S78)</f>
        <v>3176.3078612295044</v>
      </c>
      <c r="T129" s="87">
        <f>IF(T38=0,0,1000000*T38/TrRoad_act!T78)</f>
        <v>3046.2701520680148</v>
      </c>
      <c r="U129" s="87">
        <f>IF(U38=0,0,1000000*U38/TrRoad_act!U78)</f>
        <v>3028.9933762224914</v>
      </c>
      <c r="V129" s="87">
        <f>IF(V38=0,0,1000000*V38/TrRoad_act!V78)</f>
        <v>2909.7019721267147</v>
      </c>
      <c r="W129" s="87">
        <f>IF(W38=0,0,1000000*W38/TrRoad_act!W78)</f>
        <v>2941.2983517255534</v>
      </c>
      <c r="X129" s="87">
        <f>IF(X38=0,0,1000000*X38/TrRoad_act!X78)</f>
        <v>2850.8278835844303</v>
      </c>
      <c r="Y129" s="87">
        <f>IF(Y38=0,0,1000000*Y38/TrRoad_act!Y78)</f>
        <v>2803.4437573508726</v>
      </c>
      <c r="DA129" s="171" t="s">
        <v>831</v>
      </c>
    </row>
    <row r="130" spans="1:105" ht="11.45" customHeight="1" x14ac:dyDescent="0.25">
      <c r="A130" s="111" t="s">
        <v>115</v>
      </c>
      <c r="B130" s="87">
        <f>IF(B39=0,0,1000000*B39/TrRoad_act!B79)</f>
        <v>0</v>
      </c>
      <c r="C130" s="87">
        <f>IF(C39=0,0,1000000*C39/TrRoad_act!C79)</f>
        <v>0</v>
      </c>
      <c r="D130" s="87">
        <f>IF(D39=0,0,1000000*D39/TrRoad_act!D79)</f>
        <v>0</v>
      </c>
      <c r="E130" s="87">
        <f>IF(E39=0,0,1000000*E39/TrRoad_act!E79)</f>
        <v>0</v>
      </c>
      <c r="F130" s="87">
        <f>IF(F39=0,0,1000000*F39/TrRoad_act!F79)</f>
        <v>0</v>
      </c>
      <c r="G130" s="87">
        <f>IF(G39=0,0,1000000*G39/TrRoad_act!G79)</f>
        <v>0</v>
      </c>
      <c r="H130" s="87">
        <f>IF(H39=0,0,1000000*H39/TrRoad_act!H79)</f>
        <v>0</v>
      </c>
      <c r="I130" s="87">
        <f>IF(I39=0,0,1000000*I39/TrRoad_act!I79)</f>
        <v>0</v>
      </c>
      <c r="J130" s="87">
        <f>IF(J39=0,0,1000000*J39/TrRoad_act!J79)</f>
        <v>0</v>
      </c>
      <c r="K130" s="87">
        <f>IF(K39=0,0,1000000*K39/TrRoad_act!K79)</f>
        <v>0</v>
      </c>
      <c r="L130" s="87">
        <f>IF(L39=0,0,1000000*L39/TrRoad_act!L79)</f>
        <v>0</v>
      </c>
      <c r="M130" s="87">
        <f>IF(M39=0,0,1000000*M39/TrRoad_act!M79)</f>
        <v>0</v>
      </c>
      <c r="N130" s="87">
        <f>IF(N39=0,0,1000000*N39/TrRoad_act!N79)</f>
        <v>0</v>
      </c>
      <c r="O130" s="87">
        <f>IF(O39=0,0,1000000*O39/TrRoad_act!O79)</f>
        <v>0</v>
      </c>
      <c r="P130" s="87">
        <f>IF(P39=0,0,1000000*P39/TrRoad_act!P79)</f>
        <v>0</v>
      </c>
      <c r="Q130" s="87">
        <f>IF(Q39=0,0,1000000*Q39/TrRoad_act!Q79)</f>
        <v>0</v>
      </c>
      <c r="R130" s="87">
        <f>IF(R39=0,0,1000000*R39/TrRoad_act!R79)</f>
        <v>0</v>
      </c>
      <c r="S130" s="87">
        <f>IF(S39=0,0,1000000*S39/TrRoad_act!S79)</f>
        <v>0</v>
      </c>
      <c r="T130" s="87">
        <f>IF(T39=0,0,1000000*T39/TrRoad_act!T79)</f>
        <v>0</v>
      </c>
      <c r="U130" s="87">
        <f>IF(U39=0,0,1000000*U39/TrRoad_act!U79)</f>
        <v>0</v>
      </c>
      <c r="V130" s="87">
        <f>IF(V39=0,0,1000000*V39/TrRoad_act!V79)</f>
        <v>0</v>
      </c>
      <c r="W130" s="87">
        <f>IF(W39=0,0,1000000*W39/TrRoad_act!W79)</f>
        <v>0</v>
      </c>
      <c r="X130" s="87">
        <f>IF(X39=0,0,1000000*X39/TrRoad_act!X79)</f>
        <v>0</v>
      </c>
      <c r="Y130" s="87">
        <f>IF(Y39=0,0,1000000*Y39/TrRoad_act!Y79)</f>
        <v>0</v>
      </c>
      <c r="DA130" s="171" t="s">
        <v>832</v>
      </c>
    </row>
    <row r="131" spans="1:105" ht="11.45" customHeight="1" x14ac:dyDescent="0.25">
      <c r="A131" s="109" t="s">
        <v>154</v>
      </c>
      <c r="B131" s="116">
        <f>IF(B40=0,0,1000000*B40/TrRoad_act!B80)</f>
        <v>58051.326802335076</v>
      </c>
      <c r="C131" s="116">
        <f>IF(C40=0,0,1000000*C40/TrRoad_act!C80)</f>
        <v>55232.052112754449</v>
      </c>
      <c r="D131" s="116">
        <f>IF(D40=0,0,1000000*D40/TrRoad_act!D80)</f>
        <v>57139.201165518905</v>
      </c>
      <c r="E131" s="116">
        <f>IF(E40=0,0,1000000*E40/TrRoad_act!E80)</f>
        <v>60182.705049872595</v>
      </c>
      <c r="F131" s="116">
        <f>IF(F40=0,0,1000000*F40/TrRoad_act!F80)</f>
        <v>70860.634907506785</v>
      </c>
      <c r="G131" s="116">
        <f>IF(G40=0,0,1000000*G40/TrRoad_act!G80)</f>
        <v>69713.957263430479</v>
      </c>
      <c r="H131" s="116">
        <f>IF(H40=0,0,1000000*H40/TrRoad_act!H80)</f>
        <v>75862.656924572424</v>
      </c>
      <c r="I131" s="116">
        <f>IF(I40=0,0,1000000*I40/TrRoad_act!I80)</f>
        <v>68094.261780471963</v>
      </c>
      <c r="J131" s="116">
        <f>IF(J40=0,0,1000000*J40/TrRoad_act!J80)</f>
        <v>69468.076220264848</v>
      </c>
      <c r="K131" s="116">
        <f>IF(K40=0,0,1000000*K40/TrRoad_act!K80)</f>
        <v>59948.513675554488</v>
      </c>
      <c r="L131" s="116">
        <f>IF(L40=0,0,1000000*L40/TrRoad_act!L80)</f>
        <v>62234.209388190749</v>
      </c>
      <c r="M131" s="116">
        <f>IF(M40=0,0,1000000*M40/TrRoad_act!M80)</f>
        <v>64982.08079638573</v>
      </c>
      <c r="N131" s="116">
        <f>IF(N40=0,0,1000000*N40/TrRoad_act!N80)</f>
        <v>62099.177437460647</v>
      </c>
      <c r="O131" s="116">
        <f>IF(O40=0,0,1000000*O40/TrRoad_act!O80)</f>
        <v>56201.618094755948</v>
      </c>
      <c r="P131" s="116">
        <f>IF(P40=0,0,1000000*P40/TrRoad_act!P80)</f>
        <v>43204.771589493852</v>
      </c>
      <c r="Q131" s="116">
        <f>IF(Q40=0,0,1000000*Q40/TrRoad_act!Q80)</f>
        <v>43206.582086135233</v>
      </c>
      <c r="R131" s="116">
        <f>IF(R40=0,0,1000000*R40/TrRoad_act!R80)</f>
        <v>40672.323834950061</v>
      </c>
      <c r="S131" s="116">
        <f>IF(S40=0,0,1000000*S40/TrRoad_act!S80)</f>
        <v>46622.834051715574</v>
      </c>
      <c r="T131" s="116">
        <f>IF(T40=0,0,1000000*T40/TrRoad_act!T80)</f>
        <v>51507.679773254124</v>
      </c>
      <c r="U131" s="116">
        <f>IF(U40=0,0,1000000*U40/TrRoad_act!U80)</f>
        <v>51259.877873651007</v>
      </c>
      <c r="V131" s="116">
        <f>IF(V40=0,0,1000000*V40/TrRoad_act!V80)</f>
        <v>47580.323536659584</v>
      </c>
      <c r="W131" s="116">
        <f>IF(W40=0,0,1000000*W40/TrRoad_act!W80)</f>
        <v>38620.913359108024</v>
      </c>
      <c r="X131" s="116">
        <f>IF(X40=0,0,1000000*X40/TrRoad_act!X80)</f>
        <v>35382.205515867572</v>
      </c>
      <c r="Y131" s="116">
        <f>IF(Y40=0,0,1000000*Y40/TrRoad_act!Y80)</f>
        <v>36304.632810459007</v>
      </c>
      <c r="DA131" s="176" t="s">
        <v>833</v>
      </c>
    </row>
    <row r="132" spans="1:105" ht="11.45" customHeight="1" x14ac:dyDescent="0.25">
      <c r="A132" s="128" t="s">
        <v>27</v>
      </c>
      <c r="B132" s="101">
        <f>IF(B41=0,0,1000000*B41/TrRoad_act!B81)</f>
        <v>52465.071027404781</v>
      </c>
      <c r="C132" s="101">
        <f>IF(C41=0,0,1000000*C41/TrRoad_act!C81)</f>
        <v>49374.650058377287</v>
      </c>
      <c r="D132" s="101">
        <f>IF(D41=0,0,1000000*D41/TrRoad_act!D81)</f>
        <v>51331.264773661467</v>
      </c>
      <c r="E132" s="101">
        <f>IF(E41=0,0,1000000*E41/TrRoad_act!E81)</f>
        <v>54453.921324807045</v>
      </c>
      <c r="F132" s="101">
        <f>IF(F41=0,0,1000000*F41/TrRoad_act!F81)</f>
        <v>64464.87368179566</v>
      </c>
      <c r="G132" s="101">
        <f>IF(G41=0,0,1000000*G41/TrRoad_act!G81)</f>
        <v>62986.752803650445</v>
      </c>
      <c r="H132" s="101">
        <f>IF(H41=0,0,1000000*H41/TrRoad_act!H81)</f>
        <v>68344.604100650817</v>
      </c>
      <c r="I132" s="101">
        <f>IF(I41=0,0,1000000*I41/TrRoad_act!I81)</f>
        <v>59718.074002166752</v>
      </c>
      <c r="J132" s="101">
        <f>IF(J41=0,0,1000000*J41/TrRoad_act!J81)</f>
        <v>60826.149461858702</v>
      </c>
      <c r="K132" s="101">
        <f>IF(K41=0,0,1000000*K41/TrRoad_act!K81)</f>
        <v>52389.656661288107</v>
      </c>
      <c r="L132" s="101">
        <f>IF(L41=0,0,1000000*L41/TrRoad_act!L81)</f>
        <v>51811.639505934487</v>
      </c>
      <c r="M132" s="101">
        <f>IF(M41=0,0,1000000*M41/TrRoad_act!M81)</f>
        <v>54830.74462099692</v>
      </c>
      <c r="N132" s="101">
        <f>IF(N41=0,0,1000000*N41/TrRoad_act!N81)</f>
        <v>51710.269284620837</v>
      </c>
      <c r="O132" s="101">
        <f>IF(O41=0,0,1000000*O41/TrRoad_act!O81)</f>
        <v>47213.021572707752</v>
      </c>
      <c r="P132" s="101">
        <f>IF(P41=0,0,1000000*P41/TrRoad_act!P81)</f>
        <v>36446.941906696193</v>
      </c>
      <c r="Q132" s="101">
        <f>IF(Q41=0,0,1000000*Q41/TrRoad_act!Q81)</f>
        <v>36457.904204940416</v>
      </c>
      <c r="R132" s="101">
        <f>IF(R41=0,0,1000000*R41/TrRoad_act!R81)</f>
        <v>34095.650030334102</v>
      </c>
      <c r="S132" s="101">
        <f>IF(S41=0,0,1000000*S41/TrRoad_act!S81)</f>
        <v>38238.468797760477</v>
      </c>
      <c r="T132" s="101">
        <f>IF(T41=0,0,1000000*T41/TrRoad_act!T81)</f>
        <v>42429.907053829833</v>
      </c>
      <c r="U132" s="101">
        <f>IF(U41=0,0,1000000*U41/TrRoad_act!U81)</f>
        <v>41868.832844072858</v>
      </c>
      <c r="V132" s="101">
        <f>IF(V41=0,0,1000000*V41/TrRoad_act!V81)</f>
        <v>38941.199817766574</v>
      </c>
      <c r="W132" s="101">
        <f>IF(W41=0,0,1000000*W41/TrRoad_act!W81)</f>
        <v>31884.35036639883</v>
      </c>
      <c r="X132" s="101">
        <f>IF(X41=0,0,1000000*X41/TrRoad_act!X81)</f>
        <v>28787.368671840948</v>
      </c>
      <c r="Y132" s="101">
        <f>IF(Y41=0,0,1000000*Y41/TrRoad_act!Y81)</f>
        <v>29085.08862721367</v>
      </c>
      <c r="DA132" s="175" t="s">
        <v>834</v>
      </c>
    </row>
    <row r="133" spans="1:105" ht="11.45" customHeight="1" x14ac:dyDescent="0.25">
      <c r="A133" s="138" t="s">
        <v>116</v>
      </c>
      <c r="B133" s="88">
        <f>IF(B42=0,0,1000000*B42/TrRoad_act!B82)</f>
        <v>111946.42128376928</v>
      </c>
      <c r="C133" s="88">
        <f>IF(C42=0,0,1000000*C42/TrRoad_act!C82)</f>
        <v>109489.93055021581</v>
      </c>
      <c r="D133" s="88">
        <f>IF(D42=0,0,1000000*D42/TrRoad_act!D82)</f>
        <v>108179.37319530781</v>
      </c>
      <c r="E133" s="88">
        <f>IF(E42=0,0,1000000*E42/TrRoad_act!E82)</f>
        <v>108508.60885286376</v>
      </c>
      <c r="F133" s="88">
        <f>IF(F42=0,0,1000000*F42/TrRoad_act!F82)</f>
        <v>108894.48773400836</v>
      </c>
      <c r="G133" s="88">
        <f>IF(G42=0,0,1000000*G42/TrRoad_act!G82)</f>
        <v>109129.23742116417</v>
      </c>
      <c r="H133" s="88">
        <f>IF(H42=0,0,1000000*H42/TrRoad_act!H82)</f>
        <v>116672.44881364114</v>
      </c>
      <c r="I133" s="88">
        <f>IF(I42=0,0,1000000*I42/TrRoad_act!I82)</f>
        <v>117587.97587442529</v>
      </c>
      <c r="J133" s="88">
        <f>IF(J42=0,0,1000000*J42/TrRoad_act!J82)</f>
        <v>119442.15072763641</v>
      </c>
      <c r="K133" s="88">
        <f>IF(K42=0,0,1000000*K42/TrRoad_act!K82)</f>
        <v>110271.89051155353</v>
      </c>
      <c r="L133" s="88">
        <f>IF(L42=0,0,1000000*L42/TrRoad_act!L82)</f>
        <v>128113.21329262493</v>
      </c>
      <c r="M133" s="88">
        <f>IF(M42=0,0,1000000*M42/TrRoad_act!M82)</f>
        <v>128617.34183939958</v>
      </c>
      <c r="N133" s="88">
        <f>IF(N42=0,0,1000000*N42/TrRoad_act!N82)</f>
        <v>129665.4371786574</v>
      </c>
      <c r="O133" s="88">
        <f>IF(O42=0,0,1000000*O42/TrRoad_act!O82)</f>
        <v>111910.05302837075</v>
      </c>
      <c r="P133" s="88">
        <f>IF(P42=0,0,1000000*P42/TrRoad_act!P82)</f>
        <v>82975.384479434215</v>
      </c>
      <c r="Q133" s="88">
        <f>IF(Q42=0,0,1000000*Q42/TrRoad_act!Q82)</f>
        <v>82399.656354373161</v>
      </c>
      <c r="R133" s="88">
        <f>IF(R42=0,0,1000000*R42/TrRoad_act!R82)</f>
        <v>77916.627584865419</v>
      </c>
      <c r="S133" s="88">
        <f>IF(S42=0,0,1000000*S42/TrRoad_act!S82)</f>
        <v>94400.50519050681</v>
      </c>
      <c r="T133" s="88">
        <f>IF(T42=0,0,1000000*T42/TrRoad_act!T82)</f>
        <v>105702.99381937917</v>
      </c>
      <c r="U133" s="88">
        <f>IF(U42=0,0,1000000*U42/TrRoad_act!U82)</f>
        <v>106837.29056331817</v>
      </c>
      <c r="V133" s="88">
        <f>IF(V42=0,0,1000000*V42/TrRoad_act!V82)</f>
        <v>97227.106301989814</v>
      </c>
      <c r="W133" s="88">
        <f>IF(W42=0,0,1000000*W42/TrRoad_act!W82)</f>
        <v>77869.819391278579</v>
      </c>
      <c r="X133" s="88">
        <f>IF(X42=0,0,1000000*X42/TrRoad_act!X82)</f>
        <v>77581.310321395038</v>
      </c>
      <c r="Y133" s="88">
        <f>IF(Y42=0,0,1000000*Y42/TrRoad_act!Y82)</f>
        <v>85216.457680390144</v>
      </c>
      <c r="DA133" s="178" t="s">
        <v>835</v>
      </c>
    </row>
    <row r="134" spans="1:105" x14ac:dyDescent="0.25">
      <c r="A134" s="106"/>
      <c r="B134" s="106"/>
      <c r="C134" s="106"/>
      <c r="D134" s="106"/>
      <c r="E134" s="106"/>
      <c r="F134" s="106"/>
      <c r="G134" s="106"/>
      <c r="H134" s="106"/>
      <c r="I134" s="106"/>
      <c r="J134" s="106"/>
      <c r="K134" s="106"/>
      <c r="L134" s="106"/>
      <c r="M134" s="106"/>
      <c r="N134" s="106"/>
      <c r="O134" s="106"/>
      <c r="P134" s="106"/>
      <c r="Q134" s="106"/>
      <c r="R134" s="106"/>
      <c r="S134" s="106"/>
      <c r="T134" s="106"/>
      <c r="U134" s="106"/>
      <c r="V134" s="106"/>
      <c r="W134" s="106"/>
      <c r="X134" s="106"/>
      <c r="Y134" s="106"/>
      <c r="DA134" s="171"/>
    </row>
    <row r="135" spans="1:105" ht="11.45" customHeight="1" x14ac:dyDescent="0.25">
      <c r="A135" s="53" t="s">
        <v>41</v>
      </c>
      <c r="B135" s="76">
        <f t="shared" ref="B135:V147" si="40">IF(B17=0,0,B17/B$17)</f>
        <v>1</v>
      </c>
      <c r="C135" s="76">
        <f t="shared" si="40"/>
        <v>1</v>
      </c>
      <c r="D135" s="76">
        <f t="shared" si="40"/>
        <v>1</v>
      </c>
      <c r="E135" s="76">
        <f t="shared" si="40"/>
        <v>1</v>
      </c>
      <c r="F135" s="76">
        <f t="shared" si="40"/>
        <v>1</v>
      </c>
      <c r="G135" s="76">
        <f t="shared" si="40"/>
        <v>1</v>
      </c>
      <c r="H135" s="76">
        <f t="shared" si="40"/>
        <v>1</v>
      </c>
      <c r="I135" s="76">
        <f t="shared" si="40"/>
        <v>1</v>
      </c>
      <c r="J135" s="76">
        <f t="shared" si="40"/>
        <v>1</v>
      </c>
      <c r="K135" s="76">
        <f t="shared" si="40"/>
        <v>1</v>
      </c>
      <c r="L135" s="76">
        <f t="shared" ref="L135:L147" si="41">IF(L17=0,0,L17/L$17)</f>
        <v>1</v>
      </c>
      <c r="M135" s="76">
        <f t="shared" si="40"/>
        <v>1</v>
      </c>
      <c r="N135" s="76">
        <f t="shared" si="40"/>
        <v>1</v>
      </c>
      <c r="O135" s="76">
        <f t="shared" si="40"/>
        <v>1</v>
      </c>
      <c r="P135" s="76">
        <f t="shared" si="40"/>
        <v>1</v>
      </c>
      <c r="Q135" s="76">
        <f t="shared" si="40"/>
        <v>1</v>
      </c>
      <c r="R135" s="76">
        <f t="shared" si="40"/>
        <v>1</v>
      </c>
      <c r="S135" s="76">
        <f t="shared" si="40"/>
        <v>1</v>
      </c>
      <c r="T135" s="76">
        <f t="shared" si="40"/>
        <v>1</v>
      </c>
      <c r="U135" s="76">
        <f t="shared" si="40"/>
        <v>1</v>
      </c>
      <c r="V135" s="76">
        <f t="shared" si="40"/>
        <v>1</v>
      </c>
      <c r="W135" s="76">
        <f t="shared" ref="W135:Y146" si="42">IF(W17=0,0,W17/W$17)</f>
        <v>1</v>
      </c>
      <c r="X135" s="76">
        <f t="shared" si="42"/>
        <v>1</v>
      </c>
      <c r="Y135" s="76">
        <f t="shared" si="42"/>
        <v>1</v>
      </c>
      <c r="DA135" s="183"/>
    </row>
    <row r="136" spans="1:105" ht="11.45" customHeight="1" x14ac:dyDescent="0.25">
      <c r="A136" s="27" t="s">
        <v>33</v>
      </c>
      <c r="B136" s="46">
        <f t="shared" si="40"/>
        <v>0.60483844347436189</v>
      </c>
      <c r="C136" s="46">
        <f t="shared" si="40"/>
        <v>0.60487216605569083</v>
      </c>
      <c r="D136" s="46">
        <f t="shared" si="40"/>
        <v>0.60175324782102058</v>
      </c>
      <c r="E136" s="46">
        <f t="shared" si="40"/>
        <v>0.59399169948082509</v>
      </c>
      <c r="F136" s="46">
        <f t="shared" si="40"/>
        <v>0.58654998749364173</v>
      </c>
      <c r="G136" s="46">
        <f t="shared" si="40"/>
        <v>0.58586755812741387</v>
      </c>
      <c r="H136" s="46">
        <f t="shared" si="40"/>
        <v>0.58234367996961145</v>
      </c>
      <c r="I136" s="46">
        <f t="shared" si="40"/>
        <v>0.58572172377775855</v>
      </c>
      <c r="J136" s="46">
        <f t="shared" si="40"/>
        <v>0.58252663419888728</v>
      </c>
      <c r="K136" s="46">
        <f t="shared" si="40"/>
        <v>0.6019956479126769</v>
      </c>
      <c r="L136" s="46">
        <f t="shared" si="41"/>
        <v>0.5932066811976664</v>
      </c>
      <c r="M136" s="46">
        <f t="shared" si="40"/>
        <v>0.58812672223678264</v>
      </c>
      <c r="N136" s="46">
        <f t="shared" si="40"/>
        <v>0.5888714895127134</v>
      </c>
      <c r="O136" s="46">
        <f t="shared" si="40"/>
        <v>0.60169926079633018</v>
      </c>
      <c r="P136" s="46">
        <f t="shared" si="40"/>
        <v>0.6327844182365282</v>
      </c>
      <c r="Q136" s="46">
        <f t="shared" si="40"/>
        <v>0.62344460516400735</v>
      </c>
      <c r="R136" s="46">
        <f t="shared" si="40"/>
        <v>0.62595065866512001</v>
      </c>
      <c r="S136" s="46">
        <f t="shared" si="40"/>
        <v>0.61182426007203661</v>
      </c>
      <c r="T136" s="46">
        <f t="shared" si="40"/>
        <v>0.59697506331017813</v>
      </c>
      <c r="U136" s="46">
        <f t="shared" si="40"/>
        <v>0.59123877301353056</v>
      </c>
      <c r="V136" s="46">
        <f t="shared" si="40"/>
        <v>0.54487541190834388</v>
      </c>
      <c r="W136" s="46">
        <f t="shared" si="42"/>
        <v>0.58548686841347575</v>
      </c>
      <c r="X136" s="46">
        <f t="shared" si="42"/>
        <v>0.58987891755671928</v>
      </c>
      <c r="Y136" s="46">
        <f t="shared" si="42"/>
        <v>0.60204778742276743</v>
      </c>
      <c r="DA136" s="211"/>
    </row>
    <row r="137" spans="1:105" ht="11.45" customHeight="1" x14ac:dyDescent="0.25">
      <c r="A137" s="153" t="s">
        <v>173</v>
      </c>
      <c r="B137" s="154">
        <f t="shared" si="40"/>
        <v>1.2046304134825277E-2</v>
      </c>
      <c r="C137" s="154">
        <f t="shared" si="40"/>
        <v>1.2374790745625331E-2</v>
      </c>
      <c r="D137" s="154">
        <f t="shared" si="40"/>
        <v>1.2385314794378266E-2</v>
      </c>
      <c r="E137" s="154">
        <f t="shared" si="40"/>
        <v>1.2190825038399715E-2</v>
      </c>
      <c r="F137" s="154">
        <f t="shared" si="40"/>
        <v>1.1375379114467498E-2</v>
      </c>
      <c r="G137" s="154">
        <f t="shared" si="40"/>
        <v>1.1621076126246408E-2</v>
      </c>
      <c r="H137" s="154">
        <f t="shared" si="40"/>
        <v>1.1753586770398512E-2</v>
      </c>
      <c r="I137" s="154">
        <f t="shared" si="40"/>
        <v>1.277744645847587E-2</v>
      </c>
      <c r="J137" s="154">
        <f t="shared" si="40"/>
        <v>1.3454567325969728E-2</v>
      </c>
      <c r="K137" s="154">
        <f t="shared" si="40"/>
        <v>1.4255682346289022E-2</v>
      </c>
      <c r="L137" s="154">
        <f t="shared" si="41"/>
        <v>1.4112785383144403E-2</v>
      </c>
      <c r="M137" s="154">
        <f t="shared" si="40"/>
        <v>1.420227112338191E-2</v>
      </c>
      <c r="N137" s="154">
        <f t="shared" si="40"/>
        <v>1.4381803428502701E-2</v>
      </c>
      <c r="O137" s="154">
        <f t="shared" si="40"/>
        <v>1.4847014528956527E-2</v>
      </c>
      <c r="P137" s="154">
        <f t="shared" si="40"/>
        <v>1.5438693952214649E-2</v>
      </c>
      <c r="Q137" s="154">
        <f t="shared" si="40"/>
        <v>1.5620448179096512E-2</v>
      </c>
      <c r="R137" s="154">
        <f t="shared" si="40"/>
        <v>1.5725527500853015E-2</v>
      </c>
      <c r="S137" s="154">
        <f t="shared" si="40"/>
        <v>1.4193436282185608E-2</v>
      </c>
      <c r="T137" s="154">
        <f t="shared" si="40"/>
        <v>1.3179730968658541E-2</v>
      </c>
      <c r="U137" s="154">
        <f t="shared" si="40"/>
        <v>1.3850829010882811E-2</v>
      </c>
      <c r="V137" s="154">
        <f t="shared" si="40"/>
        <v>1.4165290856779911E-2</v>
      </c>
      <c r="W137" s="154">
        <f t="shared" si="42"/>
        <v>1.4183924438197605E-2</v>
      </c>
      <c r="X137" s="154">
        <f t="shared" si="42"/>
        <v>1.4305310000839422E-2</v>
      </c>
      <c r="Y137" s="154">
        <f t="shared" si="42"/>
        <v>1.4622701081217073E-2</v>
      </c>
      <c r="DA137" s="212"/>
    </row>
    <row r="138" spans="1:105" ht="11.45" customHeight="1" x14ac:dyDescent="0.25">
      <c r="A138" s="155" t="s">
        <v>20</v>
      </c>
      <c r="B138" s="156">
        <f t="shared" si="40"/>
        <v>0.55605377157989988</v>
      </c>
      <c r="C138" s="156">
        <f t="shared" si="40"/>
        <v>0.55714860829189994</v>
      </c>
      <c r="D138" s="156">
        <f t="shared" si="40"/>
        <v>0.55523127694902785</v>
      </c>
      <c r="E138" s="156">
        <f t="shared" si="40"/>
        <v>0.54909725095368878</v>
      </c>
      <c r="F138" s="156">
        <f t="shared" si="40"/>
        <v>0.54371626263299389</v>
      </c>
      <c r="G138" s="156">
        <f t="shared" si="40"/>
        <v>0.54302741540473454</v>
      </c>
      <c r="H138" s="156">
        <f t="shared" si="40"/>
        <v>0.5406225939042818</v>
      </c>
      <c r="I138" s="156">
        <f t="shared" si="40"/>
        <v>0.54354841916991592</v>
      </c>
      <c r="J138" s="156">
        <f t="shared" si="40"/>
        <v>0.53869859644495166</v>
      </c>
      <c r="K138" s="156">
        <f t="shared" si="40"/>
        <v>0.55529957493538573</v>
      </c>
      <c r="L138" s="156">
        <f t="shared" si="41"/>
        <v>0.54503041415221998</v>
      </c>
      <c r="M138" s="156">
        <f t="shared" si="40"/>
        <v>0.54104611229581523</v>
      </c>
      <c r="N138" s="156">
        <f t="shared" si="40"/>
        <v>0.54120057932923593</v>
      </c>
      <c r="O138" s="156">
        <f t="shared" si="40"/>
        <v>0.55512658335338905</v>
      </c>
      <c r="P138" s="156">
        <f t="shared" si="40"/>
        <v>0.58450545823964317</v>
      </c>
      <c r="Q138" s="156">
        <f t="shared" si="40"/>
        <v>0.57542028271396706</v>
      </c>
      <c r="R138" s="156">
        <f t="shared" si="40"/>
        <v>0.57776699068036341</v>
      </c>
      <c r="S138" s="156">
        <f t="shared" si="40"/>
        <v>0.56429725348527704</v>
      </c>
      <c r="T138" s="156">
        <f t="shared" si="40"/>
        <v>0.55374920040494857</v>
      </c>
      <c r="U138" s="156">
        <f t="shared" si="40"/>
        <v>0.549779892886887</v>
      </c>
      <c r="V138" s="156">
        <f t="shared" si="40"/>
        <v>0.50608436393356326</v>
      </c>
      <c r="W138" s="156">
        <f t="shared" si="42"/>
        <v>0.54900351603570408</v>
      </c>
      <c r="X138" s="156">
        <f t="shared" si="42"/>
        <v>0.55334220088308617</v>
      </c>
      <c r="Y138" s="156">
        <f t="shared" si="42"/>
        <v>0.56669742121709665</v>
      </c>
      <c r="DA138" s="213"/>
    </row>
    <row r="139" spans="1:105" ht="11.45" customHeight="1" x14ac:dyDescent="0.25">
      <c r="A139" s="157" t="s">
        <v>110</v>
      </c>
      <c r="B139" s="103">
        <f t="shared" si="40"/>
        <v>0.35728579166607394</v>
      </c>
      <c r="C139" s="103">
        <f t="shared" si="40"/>
        <v>0.3632680732740366</v>
      </c>
      <c r="D139" s="103">
        <f t="shared" si="40"/>
        <v>0.35933175195578371</v>
      </c>
      <c r="E139" s="103">
        <f t="shared" si="40"/>
        <v>0.35499691252205151</v>
      </c>
      <c r="F139" s="103">
        <f t="shared" si="40"/>
        <v>0.34618095620080019</v>
      </c>
      <c r="G139" s="103">
        <f t="shared" si="40"/>
        <v>0.34095238242439835</v>
      </c>
      <c r="H139" s="103">
        <f t="shared" si="40"/>
        <v>0.33674826583751061</v>
      </c>
      <c r="I139" s="103">
        <f t="shared" si="40"/>
        <v>0.34072576245268205</v>
      </c>
      <c r="J139" s="103">
        <f t="shared" si="40"/>
        <v>0.33359212403527699</v>
      </c>
      <c r="K139" s="103">
        <f t="shared" si="40"/>
        <v>0.34687496905416865</v>
      </c>
      <c r="L139" s="103">
        <f t="shared" si="41"/>
        <v>0.34199585431781371</v>
      </c>
      <c r="M139" s="103">
        <f t="shared" si="40"/>
        <v>0.34576546943464143</v>
      </c>
      <c r="N139" s="103">
        <f t="shared" si="40"/>
        <v>0.34525434972962055</v>
      </c>
      <c r="O139" s="103">
        <f t="shared" si="40"/>
        <v>0.35430616040066154</v>
      </c>
      <c r="P139" s="103">
        <f t="shared" si="40"/>
        <v>0.37554596556410619</v>
      </c>
      <c r="Q139" s="103">
        <f t="shared" si="40"/>
        <v>0.37144266874560034</v>
      </c>
      <c r="R139" s="103">
        <f t="shared" si="40"/>
        <v>0.38156983291248864</v>
      </c>
      <c r="S139" s="103">
        <f t="shared" si="40"/>
        <v>0.38414716075606398</v>
      </c>
      <c r="T139" s="103">
        <f t="shared" si="40"/>
        <v>0.38974479275092527</v>
      </c>
      <c r="U139" s="103">
        <f t="shared" si="40"/>
        <v>0.40287179816929319</v>
      </c>
      <c r="V139" s="103">
        <f t="shared" si="40"/>
        <v>0.39165908261921689</v>
      </c>
      <c r="W139" s="103">
        <f t="shared" si="42"/>
        <v>0.4031173441588623</v>
      </c>
      <c r="X139" s="103">
        <f t="shared" si="42"/>
        <v>0.41720633757852837</v>
      </c>
      <c r="Y139" s="103">
        <f t="shared" si="42"/>
        <v>0.44952843999042047</v>
      </c>
      <c r="DA139" s="191"/>
    </row>
    <row r="140" spans="1:105" ht="11.45" customHeight="1" x14ac:dyDescent="0.25">
      <c r="A140" s="157" t="s">
        <v>111</v>
      </c>
      <c r="B140" s="103">
        <f t="shared" si="40"/>
        <v>0.15079280874221615</v>
      </c>
      <c r="C140" s="103">
        <f t="shared" si="40"/>
        <v>0.14995930414182201</v>
      </c>
      <c r="D140" s="103">
        <f t="shared" si="40"/>
        <v>0.1543793802133509</v>
      </c>
      <c r="E140" s="103">
        <f t="shared" si="40"/>
        <v>0.15875905183890038</v>
      </c>
      <c r="F140" s="103">
        <f t="shared" si="40"/>
        <v>0.1629203066035563</v>
      </c>
      <c r="G140" s="103">
        <f t="shared" si="40"/>
        <v>0.16895980827219761</v>
      </c>
      <c r="H140" s="103">
        <f t="shared" si="40"/>
        <v>0.17277260663500585</v>
      </c>
      <c r="I140" s="103">
        <f t="shared" si="40"/>
        <v>0.17660941337062505</v>
      </c>
      <c r="J140" s="103">
        <f t="shared" si="40"/>
        <v>0.17884654703468586</v>
      </c>
      <c r="K140" s="103">
        <f t="shared" si="40"/>
        <v>0.18100880357671587</v>
      </c>
      <c r="L140" s="103">
        <f t="shared" si="41"/>
        <v>0.1778893290870148</v>
      </c>
      <c r="M140" s="103">
        <f t="shared" si="40"/>
        <v>0.17282503905186186</v>
      </c>
      <c r="N140" s="103">
        <f t="shared" si="40"/>
        <v>0.17232049044012673</v>
      </c>
      <c r="O140" s="103">
        <f t="shared" si="40"/>
        <v>0.1772274792523692</v>
      </c>
      <c r="P140" s="103">
        <f t="shared" si="40"/>
        <v>0.18889535903040441</v>
      </c>
      <c r="Q140" s="103">
        <f t="shared" si="40"/>
        <v>0.18600427197806182</v>
      </c>
      <c r="R140" s="103">
        <f t="shared" si="40"/>
        <v>0.1798384619443536</v>
      </c>
      <c r="S140" s="103">
        <f t="shared" si="40"/>
        <v>0.16597357172878596</v>
      </c>
      <c r="T140" s="103">
        <f t="shared" si="40"/>
        <v>0.15045300569930986</v>
      </c>
      <c r="U140" s="103">
        <f t="shared" si="40"/>
        <v>0.13426596443426392</v>
      </c>
      <c r="V140" s="103">
        <f t="shared" si="40"/>
        <v>0.10219231899822671</v>
      </c>
      <c r="W140" s="103">
        <f t="shared" si="42"/>
        <v>0.13263774228865027</v>
      </c>
      <c r="X140" s="103">
        <f t="shared" si="42"/>
        <v>0.12164137015973255</v>
      </c>
      <c r="Y140" s="103">
        <f t="shared" si="42"/>
        <v>0.10320411502978319</v>
      </c>
      <c r="DA140" s="191"/>
    </row>
    <row r="141" spans="1:105" ht="11.45" customHeight="1" x14ac:dyDescent="0.25">
      <c r="A141" s="157" t="s">
        <v>112</v>
      </c>
      <c r="B141" s="103">
        <f t="shared" si="40"/>
        <v>4.7975171171609675E-2</v>
      </c>
      <c r="C141" s="103">
        <f t="shared" si="40"/>
        <v>4.3921230876041301E-2</v>
      </c>
      <c r="D141" s="103">
        <f t="shared" si="40"/>
        <v>4.1520144779893214E-2</v>
      </c>
      <c r="E141" s="103">
        <f t="shared" si="40"/>
        <v>3.534128659273697E-2</v>
      </c>
      <c r="F141" s="103">
        <f t="shared" si="40"/>
        <v>3.4614999828637333E-2</v>
      </c>
      <c r="G141" s="103">
        <f t="shared" si="40"/>
        <v>3.3115224708138449E-2</v>
      </c>
      <c r="H141" s="103">
        <f t="shared" si="40"/>
        <v>3.1101721431765417E-2</v>
      </c>
      <c r="I141" s="103">
        <f t="shared" si="40"/>
        <v>2.6213243346608843E-2</v>
      </c>
      <c r="J141" s="103">
        <f t="shared" si="40"/>
        <v>2.625992537498879E-2</v>
      </c>
      <c r="K141" s="103">
        <f t="shared" si="40"/>
        <v>2.7415802304501264E-2</v>
      </c>
      <c r="L141" s="103">
        <f t="shared" si="41"/>
        <v>2.5129973180595549E-2</v>
      </c>
      <c r="M141" s="103">
        <f t="shared" si="40"/>
        <v>2.2384018492055093E-2</v>
      </c>
      <c r="N141" s="103">
        <f t="shared" si="40"/>
        <v>2.3010107131479871E-2</v>
      </c>
      <c r="O141" s="103">
        <f t="shared" si="40"/>
        <v>2.2637849773810073E-2</v>
      </c>
      <c r="P141" s="103">
        <f t="shared" si="40"/>
        <v>1.8395300404407726E-2</v>
      </c>
      <c r="Q141" s="103">
        <f t="shared" si="40"/>
        <v>1.5593503201859397E-2</v>
      </c>
      <c r="R141" s="103">
        <f t="shared" si="40"/>
        <v>1.4491795054900837E-2</v>
      </c>
      <c r="S141" s="103">
        <f t="shared" si="40"/>
        <v>1.2300846594836923E-2</v>
      </c>
      <c r="T141" s="103">
        <f t="shared" si="40"/>
        <v>1.0903358679098574E-2</v>
      </c>
      <c r="U141" s="103">
        <f t="shared" si="40"/>
        <v>9.9546810627633153E-3</v>
      </c>
      <c r="V141" s="103">
        <f t="shared" si="40"/>
        <v>9.4933834920909125E-3</v>
      </c>
      <c r="W141" s="103">
        <f t="shared" si="42"/>
        <v>9.8839383658888193E-3</v>
      </c>
      <c r="X141" s="103">
        <f t="shared" si="42"/>
        <v>1.0639492942763003E-2</v>
      </c>
      <c r="Y141" s="103">
        <f t="shared" si="42"/>
        <v>9.5350276455100236E-3</v>
      </c>
      <c r="DA141" s="191"/>
    </row>
    <row r="142" spans="1:105" ht="11.45" customHeight="1" x14ac:dyDescent="0.25">
      <c r="A142" s="157" t="s">
        <v>113</v>
      </c>
      <c r="B142" s="103">
        <f t="shared" si="40"/>
        <v>0</v>
      </c>
      <c r="C142" s="103">
        <f t="shared" si="40"/>
        <v>0</v>
      </c>
      <c r="D142" s="103">
        <f t="shared" si="40"/>
        <v>0</v>
      </c>
      <c r="E142" s="103">
        <f t="shared" si="40"/>
        <v>0</v>
      </c>
      <c r="F142" s="103">
        <f t="shared" si="40"/>
        <v>0</v>
      </c>
      <c r="G142" s="103">
        <f t="shared" si="40"/>
        <v>0</v>
      </c>
      <c r="H142" s="103">
        <f t="shared" si="40"/>
        <v>0</v>
      </c>
      <c r="I142" s="103">
        <f t="shared" si="40"/>
        <v>0</v>
      </c>
      <c r="J142" s="103">
        <f t="shared" si="40"/>
        <v>0</v>
      </c>
      <c r="K142" s="103">
        <f t="shared" si="40"/>
        <v>0</v>
      </c>
      <c r="L142" s="103">
        <f t="shared" si="41"/>
        <v>1.5257566795925266E-5</v>
      </c>
      <c r="M142" s="103">
        <f t="shared" si="40"/>
        <v>7.1321202844382245E-5</v>
      </c>
      <c r="N142" s="103">
        <f t="shared" si="40"/>
        <v>5.6866367852109311E-4</v>
      </c>
      <c r="O142" s="103">
        <f t="shared" si="40"/>
        <v>6.5297101189515003E-4</v>
      </c>
      <c r="P142" s="103">
        <f t="shared" si="40"/>
        <v>9.553096662736182E-4</v>
      </c>
      <c r="Q142" s="103">
        <f t="shared" si="40"/>
        <v>9.9699866063902767E-4</v>
      </c>
      <c r="R142" s="103">
        <f t="shared" si="40"/>
        <v>2.6656426257271553E-4</v>
      </c>
      <c r="S142" s="103">
        <f t="shared" si="40"/>
        <v>3.5831144385791011E-4</v>
      </c>
      <c r="T142" s="103">
        <f t="shared" si="40"/>
        <v>1.1318627366903877E-3</v>
      </c>
      <c r="U142" s="103">
        <f t="shared" si="40"/>
        <v>1.1498979313030078E-3</v>
      </c>
      <c r="V142" s="103">
        <f t="shared" si="40"/>
        <v>1.0653706607445619E-3</v>
      </c>
      <c r="W142" s="103">
        <f t="shared" si="42"/>
        <v>9.6899130477885341E-4</v>
      </c>
      <c r="X142" s="103">
        <f t="shared" si="42"/>
        <v>9.5180827824219464E-4</v>
      </c>
      <c r="Y142" s="103">
        <f t="shared" si="42"/>
        <v>3.3539833362162657E-4</v>
      </c>
      <c r="DA142" s="191"/>
    </row>
    <row r="143" spans="1:105" ht="11.45" customHeight="1" x14ac:dyDescent="0.25">
      <c r="A143" s="157" t="s">
        <v>114</v>
      </c>
      <c r="B143" s="103">
        <f t="shared" si="40"/>
        <v>0</v>
      </c>
      <c r="C143" s="103">
        <f t="shared" si="40"/>
        <v>0</v>
      </c>
      <c r="D143" s="103">
        <f t="shared" si="40"/>
        <v>0</v>
      </c>
      <c r="E143" s="103">
        <f t="shared" si="40"/>
        <v>0</v>
      </c>
      <c r="F143" s="103">
        <f t="shared" si="40"/>
        <v>0</v>
      </c>
      <c r="G143" s="103">
        <f t="shared" si="40"/>
        <v>0</v>
      </c>
      <c r="H143" s="103">
        <f t="shared" si="40"/>
        <v>0</v>
      </c>
      <c r="I143" s="103">
        <f t="shared" si="40"/>
        <v>0</v>
      </c>
      <c r="J143" s="103">
        <f t="shared" si="40"/>
        <v>0</v>
      </c>
      <c r="K143" s="103">
        <f t="shared" si="40"/>
        <v>0</v>
      </c>
      <c r="L143" s="103">
        <f t="shared" si="41"/>
        <v>0</v>
      </c>
      <c r="M143" s="103">
        <f t="shared" si="40"/>
        <v>2.6411441255382775E-7</v>
      </c>
      <c r="N143" s="103">
        <f t="shared" si="40"/>
        <v>4.696834948769106E-5</v>
      </c>
      <c r="O143" s="103">
        <f t="shared" si="40"/>
        <v>3.0212291465303456E-4</v>
      </c>
      <c r="P143" s="103">
        <f t="shared" si="40"/>
        <v>7.135235744512319E-4</v>
      </c>
      <c r="Q143" s="103">
        <f t="shared" si="40"/>
        <v>1.3828401278064702E-3</v>
      </c>
      <c r="R143" s="103">
        <f t="shared" si="40"/>
        <v>1.6003365060476137E-3</v>
      </c>
      <c r="S143" s="103">
        <f t="shared" si="40"/>
        <v>1.5173629617322244E-3</v>
      </c>
      <c r="T143" s="103">
        <f t="shared" si="40"/>
        <v>1.5161805389245359E-3</v>
      </c>
      <c r="U143" s="103">
        <f t="shared" si="40"/>
        <v>1.5375512892634915E-3</v>
      </c>
      <c r="V143" s="103">
        <f t="shared" si="40"/>
        <v>1.6742081632843383E-3</v>
      </c>
      <c r="W143" s="103">
        <f t="shared" si="42"/>
        <v>2.3954999175237741E-3</v>
      </c>
      <c r="X143" s="103">
        <f t="shared" si="42"/>
        <v>2.9031919238200199E-3</v>
      </c>
      <c r="Y143" s="103">
        <f t="shared" si="42"/>
        <v>4.094440217761279E-3</v>
      </c>
      <c r="DA143" s="191"/>
    </row>
    <row r="144" spans="1:105" ht="11.45" customHeight="1" x14ac:dyDescent="0.25">
      <c r="A144" s="157" t="s">
        <v>115</v>
      </c>
      <c r="B144" s="103">
        <f t="shared" si="40"/>
        <v>0</v>
      </c>
      <c r="C144" s="103">
        <f t="shared" si="40"/>
        <v>0</v>
      </c>
      <c r="D144" s="103">
        <f t="shared" si="40"/>
        <v>0</v>
      </c>
      <c r="E144" s="103">
        <f t="shared" si="40"/>
        <v>0</v>
      </c>
      <c r="F144" s="103">
        <f t="shared" si="40"/>
        <v>0</v>
      </c>
      <c r="G144" s="103">
        <f t="shared" si="40"/>
        <v>0</v>
      </c>
      <c r="H144" s="103">
        <f t="shared" si="40"/>
        <v>0</v>
      </c>
      <c r="I144" s="103">
        <f t="shared" si="40"/>
        <v>0</v>
      </c>
      <c r="J144" s="103">
        <f t="shared" si="40"/>
        <v>0</v>
      </c>
      <c r="K144" s="103">
        <f t="shared" si="40"/>
        <v>0</v>
      </c>
      <c r="L144" s="103">
        <f t="shared" si="41"/>
        <v>0</v>
      </c>
      <c r="M144" s="103">
        <f t="shared" si="40"/>
        <v>0</v>
      </c>
      <c r="N144" s="103">
        <f t="shared" si="40"/>
        <v>0</v>
      </c>
      <c r="O144" s="103">
        <f t="shared" si="40"/>
        <v>0</v>
      </c>
      <c r="P144" s="103">
        <f t="shared" si="40"/>
        <v>0</v>
      </c>
      <c r="Q144" s="103">
        <f t="shared" si="40"/>
        <v>0</v>
      </c>
      <c r="R144" s="103">
        <f t="shared" si="40"/>
        <v>0</v>
      </c>
      <c r="S144" s="103">
        <f t="shared" si="40"/>
        <v>0</v>
      </c>
      <c r="T144" s="103">
        <f t="shared" si="40"/>
        <v>0</v>
      </c>
      <c r="U144" s="103">
        <f t="shared" si="40"/>
        <v>0</v>
      </c>
      <c r="V144" s="103">
        <f t="shared" si="40"/>
        <v>0</v>
      </c>
      <c r="W144" s="103">
        <f t="shared" si="42"/>
        <v>0</v>
      </c>
      <c r="X144" s="103">
        <f t="shared" si="42"/>
        <v>0</v>
      </c>
      <c r="Y144" s="103">
        <f t="shared" si="42"/>
        <v>0</v>
      </c>
      <c r="DA144" s="191"/>
    </row>
    <row r="145" spans="1:105" ht="11.45" customHeight="1" x14ac:dyDescent="0.25">
      <c r="A145" s="155" t="s">
        <v>21</v>
      </c>
      <c r="B145" s="156">
        <f t="shared" si="40"/>
        <v>3.6738367759636729E-2</v>
      </c>
      <c r="C145" s="156">
        <f t="shared" si="40"/>
        <v>3.5348767018165569E-2</v>
      </c>
      <c r="D145" s="156">
        <f t="shared" si="40"/>
        <v>3.4136656077614395E-2</v>
      </c>
      <c r="E145" s="156">
        <f t="shared" si="40"/>
        <v>3.2703623488736629E-2</v>
      </c>
      <c r="F145" s="156">
        <f t="shared" si="40"/>
        <v>3.1458345746180304E-2</v>
      </c>
      <c r="G145" s="156">
        <f t="shared" si="40"/>
        <v>3.12190665964329E-2</v>
      </c>
      <c r="H145" s="156">
        <f t="shared" si="40"/>
        <v>2.9967499294931147E-2</v>
      </c>
      <c r="I145" s="156">
        <f t="shared" si="40"/>
        <v>2.9395858149366787E-2</v>
      </c>
      <c r="J145" s="156">
        <f t="shared" si="40"/>
        <v>3.0373470427965819E-2</v>
      </c>
      <c r="K145" s="156">
        <f t="shared" si="40"/>
        <v>3.2440390631002146E-2</v>
      </c>
      <c r="L145" s="156">
        <f t="shared" si="41"/>
        <v>3.4063481662302143E-2</v>
      </c>
      <c r="M145" s="156">
        <f t="shared" si="40"/>
        <v>3.2878338817585409E-2</v>
      </c>
      <c r="N145" s="156">
        <f t="shared" si="40"/>
        <v>3.3289106754974755E-2</v>
      </c>
      <c r="O145" s="156">
        <f t="shared" si="40"/>
        <v>3.1725662913984612E-2</v>
      </c>
      <c r="P145" s="156">
        <f t="shared" si="40"/>
        <v>3.2840266044670371E-2</v>
      </c>
      <c r="Q145" s="156">
        <f t="shared" si="40"/>
        <v>3.2403874270943801E-2</v>
      </c>
      <c r="R145" s="156">
        <f t="shared" si="40"/>
        <v>3.2458140483903518E-2</v>
      </c>
      <c r="S145" s="156">
        <f t="shared" si="40"/>
        <v>3.3333570304574005E-2</v>
      </c>
      <c r="T145" s="156">
        <f t="shared" si="40"/>
        <v>3.0046131936571109E-2</v>
      </c>
      <c r="U145" s="156">
        <f t="shared" si="40"/>
        <v>2.7608051115760784E-2</v>
      </c>
      <c r="V145" s="156">
        <f t="shared" si="40"/>
        <v>2.4625757118000718E-2</v>
      </c>
      <c r="W145" s="156">
        <f t="shared" si="42"/>
        <v>2.2299427939574169E-2</v>
      </c>
      <c r="X145" s="156">
        <f t="shared" si="42"/>
        <v>2.2231406672793632E-2</v>
      </c>
      <c r="Y145" s="156">
        <f t="shared" si="42"/>
        <v>2.0727665124453711E-2</v>
      </c>
      <c r="DA145" s="213"/>
    </row>
    <row r="146" spans="1:105" ht="11.45" customHeight="1" x14ac:dyDescent="0.25">
      <c r="A146" s="157" t="s">
        <v>110</v>
      </c>
      <c r="B146" s="103">
        <f t="shared" si="40"/>
        <v>1.314693846473548E-5</v>
      </c>
      <c r="C146" s="103">
        <f t="shared" si="40"/>
        <v>1.5428956024651204E-5</v>
      </c>
      <c r="D146" s="103">
        <f t="shared" si="40"/>
        <v>1.7625843859000924E-5</v>
      </c>
      <c r="E146" s="103">
        <f t="shared" si="40"/>
        <v>1.9320202043743882E-5</v>
      </c>
      <c r="F146" s="103">
        <f t="shared" si="40"/>
        <v>1.7730034159456749E-5</v>
      </c>
      <c r="G146" s="103">
        <f t="shared" si="40"/>
        <v>1.8959206561760297E-5</v>
      </c>
      <c r="H146" s="103">
        <f t="shared" si="40"/>
        <v>1.8989803218614888E-5</v>
      </c>
      <c r="I146" s="103">
        <f t="shared" si="40"/>
        <v>2.0231711087754655E-5</v>
      </c>
      <c r="J146" s="103">
        <f t="shared" si="40"/>
        <v>1.989364957653019E-5</v>
      </c>
      <c r="K146" s="103">
        <f t="shared" si="40"/>
        <v>2.1225989183453384E-5</v>
      </c>
      <c r="L146" s="103">
        <f t="shared" si="41"/>
        <v>2.260165809212028E-5</v>
      </c>
      <c r="M146" s="103">
        <f t="shared" si="40"/>
        <v>1.8160972356517151E-5</v>
      </c>
      <c r="N146" s="103">
        <f t="shared" si="40"/>
        <v>1.1110951467022239E-5</v>
      </c>
      <c r="O146" s="103">
        <f t="shared" si="40"/>
        <v>1.0274461623623452E-5</v>
      </c>
      <c r="P146" s="103">
        <f t="shared" si="40"/>
        <v>1.0435133801253291E-5</v>
      </c>
      <c r="Q146" s="103">
        <f t="shared" si="40"/>
        <v>1.6018777902206129E-5</v>
      </c>
      <c r="R146" s="103">
        <f t="shared" si="40"/>
        <v>1.9564342114756434E-5</v>
      </c>
      <c r="S146" s="103">
        <f t="shared" si="40"/>
        <v>1.7625984737375747E-5</v>
      </c>
      <c r="T146" s="103">
        <f t="shared" si="40"/>
        <v>1.5427042417506583E-5</v>
      </c>
      <c r="U146" s="103">
        <f t="shared" si="40"/>
        <v>6.5170556240281253E-5</v>
      </c>
      <c r="V146" s="103">
        <f t="shared" si="40"/>
        <v>6.1996527067373748E-5</v>
      </c>
      <c r="W146" s="103">
        <f t="shared" si="42"/>
        <v>7.2054818223300175E-5</v>
      </c>
      <c r="X146" s="103">
        <f t="shared" si="42"/>
        <v>8.6904301084425939E-5</v>
      </c>
      <c r="Y146" s="103">
        <f t="shared" si="42"/>
        <v>8.5165964024399332E-5</v>
      </c>
      <c r="DA146" s="191"/>
    </row>
    <row r="147" spans="1:105" ht="11.45" customHeight="1" x14ac:dyDescent="0.25">
      <c r="A147" s="157" t="s">
        <v>111</v>
      </c>
      <c r="B147" s="103">
        <f t="shared" si="40"/>
        <v>3.6491733928625737E-2</v>
      </c>
      <c r="C147" s="103">
        <f t="shared" si="40"/>
        <v>3.5108776172035061E-2</v>
      </c>
      <c r="D147" s="103">
        <f t="shared" si="40"/>
        <v>3.3914016827285717E-2</v>
      </c>
      <c r="E147" s="103">
        <f t="shared" si="40"/>
        <v>3.249771548175736E-2</v>
      </c>
      <c r="F147" s="103">
        <f t="shared" si="40"/>
        <v>3.128828517698834E-2</v>
      </c>
      <c r="G147" s="103">
        <f t="shared" si="40"/>
        <v>3.1011946821815219E-2</v>
      </c>
      <c r="H147" s="103">
        <f t="shared" si="40"/>
        <v>2.9750994499674128E-2</v>
      </c>
      <c r="I147" s="103">
        <f t="shared" si="40"/>
        <v>2.9166771471286958E-2</v>
      </c>
      <c r="J147" s="103">
        <f t="shared" si="40"/>
        <v>3.007801042126941E-2</v>
      </c>
      <c r="K147" s="103">
        <f t="shared" si="40"/>
        <v>3.1940765685536547E-2</v>
      </c>
      <c r="L147" s="103">
        <f t="shared" si="41"/>
        <v>3.3404835205691569E-2</v>
      </c>
      <c r="M147" s="103">
        <f t="shared" si="40"/>
        <v>3.1747205807873206E-2</v>
      </c>
      <c r="N147" s="103">
        <f t="shared" si="40"/>
        <v>3.2150783146421905E-2</v>
      </c>
      <c r="O147" s="103">
        <f t="shared" si="40"/>
        <v>3.0425113379396677E-2</v>
      </c>
      <c r="P147" s="103">
        <f t="shared" si="40"/>
        <v>3.1335301547810203E-2</v>
      </c>
      <c r="Q147" s="103">
        <f t="shared" si="40"/>
        <v>3.0441520373630723E-2</v>
      </c>
      <c r="R147" s="103">
        <f t="shared" ref="R147:V147" si="43">IF(R29=0,0,R29/R$17)</f>
        <v>2.8863910978606407E-2</v>
      </c>
      <c r="S147" s="103">
        <f t="shared" si="43"/>
        <v>2.9084936114425357E-2</v>
      </c>
      <c r="T147" s="103">
        <f t="shared" si="43"/>
        <v>2.6423878198966872E-2</v>
      </c>
      <c r="U147" s="103">
        <f t="shared" si="43"/>
        <v>2.3727088184976739E-2</v>
      </c>
      <c r="V147" s="103">
        <f t="shared" si="43"/>
        <v>2.0186805630017374E-2</v>
      </c>
      <c r="W147" s="103">
        <f t="shared" ref="W147:Y147" si="44">IF(W29=0,0,W29/W$17)</f>
        <v>1.7573773261777413E-2</v>
      </c>
      <c r="X147" s="103">
        <f t="shared" si="44"/>
        <v>1.7236712972626588E-2</v>
      </c>
      <c r="Y147" s="103">
        <f t="shared" si="44"/>
        <v>1.5217755697789893E-2</v>
      </c>
      <c r="DA147" s="191"/>
    </row>
    <row r="148" spans="1:105" ht="11.45" customHeight="1" x14ac:dyDescent="0.25">
      <c r="A148" s="157" t="s">
        <v>112</v>
      </c>
      <c r="B148" s="103">
        <f t="shared" ref="B148:K148" si="45">IF(B30=0,0,B30/B$17)</f>
        <v>2.2193204074616693E-4</v>
      </c>
      <c r="C148" s="103">
        <f t="shared" si="45"/>
        <v>2.0654522607661864E-4</v>
      </c>
      <c r="D148" s="103">
        <f t="shared" si="45"/>
        <v>1.7621973972488248E-4</v>
      </c>
      <c r="E148" s="103">
        <f t="shared" si="45"/>
        <v>1.5751752382223597E-4</v>
      </c>
      <c r="F148" s="103">
        <f t="shared" si="45"/>
        <v>1.3262602483853382E-4</v>
      </c>
      <c r="G148" s="103">
        <f t="shared" si="45"/>
        <v>1.6161706303745112E-4</v>
      </c>
      <c r="H148" s="103">
        <f t="shared" si="45"/>
        <v>1.2918912110244539E-4</v>
      </c>
      <c r="I148" s="103">
        <f t="shared" si="45"/>
        <v>1.1727915804136393E-4</v>
      </c>
      <c r="J148" s="103">
        <f t="shared" si="45"/>
        <v>1.1539773922106409E-4</v>
      </c>
      <c r="K148" s="103">
        <f t="shared" si="45"/>
        <v>1.1362971150757918E-4</v>
      </c>
      <c r="L148" s="103">
        <f t="shared" ref="L148:L150" si="46">IF(L30=0,0,L30/L$17)</f>
        <v>1.1280177738738844E-4</v>
      </c>
      <c r="M148" s="103">
        <f t="shared" ref="M148:V148" si="47">IF(M30=0,0,M30/M$17)</f>
        <v>1.0858026390481522E-4</v>
      </c>
      <c r="N148" s="103">
        <f t="shared" si="47"/>
        <v>1.105637727123698E-4</v>
      </c>
      <c r="O148" s="103">
        <f t="shared" si="47"/>
        <v>1.1567148183203353E-4</v>
      </c>
      <c r="P148" s="103">
        <f t="shared" si="47"/>
        <v>1.2429149131009453E-4</v>
      </c>
      <c r="Q148" s="103">
        <f t="shared" si="47"/>
        <v>1.2813507786158668E-4</v>
      </c>
      <c r="R148" s="103">
        <f t="shared" si="47"/>
        <v>1.2787166077544252E-4</v>
      </c>
      <c r="S148" s="103">
        <f t="shared" si="47"/>
        <v>1.254899521130912E-4</v>
      </c>
      <c r="T148" s="103">
        <f t="shared" si="47"/>
        <v>1.1823986840618422E-4</v>
      </c>
      <c r="U148" s="103">
        <f t="shared" si="47"/>
        <v>1.0851613438400509E-4</v>
      </c>
      <c r="V148" s="103">
        <f t="shared" si="47"/>
        <v>1.051861360632733E-4</v>
      </c>
      <c r="W148" s="103">
        <f t="shared" ref="W148:Y148" si="48">IF(W30=0,0,W30/W$17)</f>
        <v>1.0324679634151619E-4</v>
      </c>
      <c r="X148" s="103">
        <f t="shared" si="48"/>
        <v>9.5309138471127392E-5</v>
      </c>
      <c r="Y148" s="103">
        <f t="shared" si="48"/>
        <v>8.9622290380827148E-5</v>
      </c>
      <c r="DA148" s="191"/>
    </row>
    <row r="149" spans="1:105" ht="11.45" customHeight="1" x14ac:dyDescent="0.25">
      <c r="A149" s="157" t="s">
        <v>113</v>
      </c>
      <c r="B149" s="103">
        <f t="shared" ref="B149:K149" si="49">IF(B31=0,0,B31/B$17)</f>
        <v>1.1554851800097005E-5</v>
      </c>
      <c r="C149" s="103">
        <f t="shared" si="49"/>
        <v>1.8016664029238101E-5</v>
      </c>
      <c r="D149" s="103">
        <f t="shared" si="49"/>
        <v>2.879366674479323E-5</v>
      </c>
      <c r="E149" s="103">
        <f t="shared" si="49"/>
        <v>2.9070281113286662E-5</v>
      </c>
      <c r="F149" s="103">
        <f t="shared" si="49"/>
        <v>1.9704510193979796E-5</v>
      </c>
      <c r="G149" s="103">
        <f t="shared" si="49"/>
        <v>2.6543505018465441E-5</v>
      </c>
      <c r="H149" s="103">
        <f t="shared" si="49"/>
        <v>6.8325870935956364E-5</v>
      </c>
      <c r="I149" s="103">
        <f t="shared" si="49"/>
        <v>9.1575808950710363E-5</v>
      </c>
      <c r="J149" s="103">
        <f t="shared" si="49"/>
        <v>1.6016861789881263E-4</v>
      </c>
      <c r="K149" s="103">
        <f t="shared" si="49"/>
        <v>3.6476924477456252E-4</v>
      </c>
      <c r="L149" s="103">
        <f t="shared" si="46"/>
        <v>5.2324302113106321E-4</v>
      </c>
      <c r="M149" s="103">
        <f t="shared" ref="M149:V149" si="50">IF(M31=0,0,M31/M$17)</f>
        <v>1.004391773450859E-3</v>
      </c>
      <c r="N149" s="103">
        <f t="shared" si="50"/>
        <v>1.0166488843734542E-3</v>
      </c>
      <c r="O149" s="103">
        <f t="shared" si="50"/>
        <v>1.1746035911322753E-3</v>
      </c>
      <c r="P149" s="103">
        <f t="shared" si="50"/>
        <v>1.3702378717488249E-3</v>
      </c>
      <c r="Q149" s="103">
        <f t="shared" si="50"/>
        <v>1.8182000415492853E-3</v>
      </c>
      <c r="R149" s="103">
        <f t="shared" si="50"/>
        <v>3.4467935024069165E-3</v>
      </c>
      <c r="S149" s="103">
        <f t="shared" si="50"/>
        <v>4.10551825329818E-3</v>
      </c>
      <c r="T149" s="103">
        <f t="shared" si="50"/>
        <v>3.4885868267805491E-3</v>
      </c>
      <c r="U149" s="103">
        <f t="shared" si="50"/>
        <v>3.7072762401597612E-3</v>
      </c>
      <c r="V149" s="103">
        <f t="shared" si="50"/>
        <v>4.2717688248526987E-3</v>
      </c>
      <c r="W149" s="103">
        <f t="shared" ref="W149:Y149" si="51">IF(W31=0,0,W31/W$17)</f>
        <v>4.5503530632319414E-3</v>
      </c>
      <c r="X149" s="103">
        <f t="shared" si="51"/>
        <v>4.8124802606114873E-3</v>
      </c>
      <c r="Y149" s="103">
        <f t="shared" si="51"/>
        <v>5.3351211722585919E-3</v>
      </c>
      <c r="DA149" s="191"/>
    </row>
    <row r="150" spans="1:105" ht="11.45" customHeight="1" x14ac:dyDescent="0.25">
      <c r="A150" s="157" t="s">
        <v>115</v>
      </c>
      <c r="B150" s="103">
        <f t="shared" ref="B150:K150" si="52">IF(B32=0,0,B32/B$17)</f>
        <v>0</v>
      </c>
      <c r="C150" s="103">
        <f t="shared" si="52"/>
        <v>0</v>
      </c>
      <c r="D150" s="103">
        <f t="shared" si="52"/>
        <v>0</v>
      </c>
      <c r="E150" s="103">
        <f t="shared" si="52"/>
        <v>0</v>
      </c>
      <c r="F150" s="103">
        <f t="shared" si="52"/>
        <v>0</v>
      </c>
      <c r="G150" s="103">
        <f t="shared" si="52"/>
        <v>0</v>
      </c>
      <c r="H150" s="103">
        <f t="shared" si="52"/>
        <v>0</v>
      </c>
      <c r="I150" s="103">
        <f t="shared" si="52"/>
        <v>0</v>
      </c>
      <c r="J150" s="103">
        <f t="shared" si="52"/>
        <v>0</v>
      </c>
      <c r="K150" s="103">
        <f t="shared" si="52"/>
        <v>0</v>
      </c>
      <c r="L150" s="103">
        <f t="shared" si="46"/>
        <v>0</v>
      </c>
      <c r="M150" s="103">
        <f t="shared" ref="M150:V150" si="53">IF(M32=0,0,M32/M$17)</f>
        <v>0</v>
      </c>
      <c r="N150" s="103">
        <f t="shared" si="53"/>
        <v>0</v>
      </c>
      <c r="O150" s="103">
        <f t="shared" si="53"/>
        <v>0</v>
      </c>
      <c r="P150" s="103">
        <f t="shared" si="53"/>
        <v>0</v>
      </c>
      <c r="Q150" s="103">
        <f t="shared" si="53"/>
        <v>0</v>
      </c>
      <c r="R150" s="103">
        <f t="shared" si="53"/>
        <v>0</v>
      </c>
      <c r="S150" s="103">
        <f t="shared" si="53"/>
        <v>0</v>
      </c>
      <c r="T150" s="103">
        <f t="shared" si="53"/>
        <v>0</v>
      </c>
      <c r="U150" s="103">
        <f t="shared" si="53"/>
        <v>0</v>
      </c>
      <c r="V150" s="103">
        <f t="shared" si="53"/>
        <v>0</v>
      </c>
      <c r="W150" s="103">
        <f t="shared" ref="W150:Y150" si="54">IF(W32=0,0,W32/W$17)</f>
        <v>0</v>
      </c>
      <c r="X150" s="103">
        <f t="shared" si="54"/>
        <v>0</v>
      </c>
      <c r="Y150" s="103">
        <f t="shared" si="54"/>
        <v>0</v>
      </c>
      <c r="DA150" s="191"/>
    </row>
    <row r="151" spans="1:105" ht="11.45" customHeight="1" x14ac:dyDescent="0.25">
      <c r="A151" s="27" t="s">
        <v>34</v>
      </c>
      <c r="B151" s="46">
        <f t="shared" ref="B151:K151" si="55">IF(B33=0,0,B33/B$17)</f>
        <v>0.39516155652563811</v>
      </c>
      <c r="C151" s="46">
        <f t="shared" si="55"/>
        <v>0.39512783394430911</v>
      </c>
      <c r="D151" s="46">
        <f t="shared" si="55"/>
        <v>0.39824675217897937</v>
      </c>
      <c r="E151" s="46">
        <f t="shared" si="55"/>
        <v>0.40600830051917491</v>
      </c>
      <c r="F151" s="46">
        <f t="shared" si="55"/>
        <v>0.41345001250635832</v>
      </c>
      <c r="G151" s="46">
        <f t="shared" si="55"/>
        <v>0.41413244187258624</v>
      </c>
      <c r="H151" s="46">
        <f t="shared" si="55"/>
        <v>0.41765632003038849</v>
      </c>
      <c r="I151" s="46">
        <f t="shared" si="55"/>
        <v>0.41427827622224145</v>
      </c>
      <c r="J151" s="46">
        <f t="shared" si="55"/>
        <v>0.41747336580111288</v>
      </c>
      <c r="K151" s="46">
        <f t="shared" si="55"/>
        <v>0.39800435208732315</v>
      </c>
      <c r="L151" s="46">
        <f t="shared" ref="L151" si="56">IF(L33=0,0,L33/L$17)</f>
        <v>0.4067933188023336</v>
      </c>
      <c r="M151" s="46">
        <f t="shared" ref="M151:V151" si="57">IF(M33=0,0,M33/M$17)</f>
        <v>0.41187327776321742</v>
      </c>
      <c r="N151" s="46">
        <f t="shared" si="57"/>
        <v>0.4111285104872866</v>
      </c>
      <c r="O151" s="46">
        <f t="shared" si="57"/>
        <v>0.39830073920366976</v>
      </c>
      <c r="P151" s="46">
        <f t="shared" si="57"/>
        <v>0.36721558176347174</v>
      </c>
      <c r="Q151" s="46">
        <f t="shared" si="57"/>
        <v>0.3765553948359926</v>
      </c>
      <c r="R151" s="46">
        <f t="shared" si="57"/>
        <v>0.37404934133488005</v>
      </c>
      <c r="S151" s="46">
        <f t="shared" si="57"/>
        <v>0.3881757399279635</v>
      </c>
      <c r="T151" s="46">
        <f t="shared" si="57"/>
        <v>0.40302493668982181</v>
      </c>
      <c r="U151" s="46">
        <f t="shared" si="57"/>
        <v>0.40876122698646938</v>
      </c>
      <c r="V151" s="46">
        <f t="shared" si="57"/>
        <v>0.45512458809165601</v>
      </c>
      <c r="W151" s="46">
        <f t="shared" ref="W151:Y151" si="58">IF(W33=0,0,W33/W$17)</f>
        <v>0.41451313158652425</v>
      </c>
      <c r="X151" s="46">
        <f t="shared" si="58"/>
        <v>0.41012108244328077</v>
      </c>
      <c r="Y151" s="46">
        <f t="shared" si="58"/>
        <v>0.39795221257723262</v>
      </c>
      <c r="DA151" s="211"/>
    </row>
    <row r="152" spans="1:105" ht="11.45" customHeight="1" x14ac:dyDescent="0.25">
      <c r="A152" s="153" t="s">
        <v>153</v>
      </c>
      <c r="B152" s="154">
        <f t="shared" ref="B152:K152" si="59">IF(B34=0,0,B34/B$17)</f>
        <v>0.17938851054719596</v>
      </c>
      <c r="C152" s="154">
        <f t="shared" si="59"/>
        <v>0.18463444214671965</v>
      </c>
      <c r="D152" s="154">
        <f t="shared" si="59"/>
        <v>0.1848768876618356</v>
      </c>
      <c r="E152" s="154">
        <f t="shared" si="59"/>
        <v>0.18853766549653075</v>
      </c>
      <c r="F152" s="154">
        <f t="shared" si="59"/>
        <v>0.19428223392043931</v>
      </c>
      <c r="G152" s="154">
        <f t="shared" si="59"/>
        <v>0.19497674978413412</v>
      </c>
      <c r="H152" s="154">
        <f t="shared" si="59"/>
        <v>0.18762622077313268</v>
      </c>
      <c r="I152" s="154">
        <f t="shared" si="59"/>
        <v>0.18644868313000737</v>
      </c>
      <c r="J152" s="154">
        <f t="shared" si="59"/>
        <v>0.1883859839150191</v>
      </c>
      <c r="K152" s="154">
        <f t="shared" si="59"/>
        <v>0.1828288621021377</v>
      </c>
      <c r="L152" s="154">
        <f t="shared" ref="L152" si="60">IF(L34=0,0,L34/L$17)</f>
        <v>0.18616355280899921</v>
      </c>
      <c r="M152" s="154">
        <f t="shared" ref="M152:V152" si="61">IF(M34=0,0,M34/M$17)</f>
        <v>0.18661854628066082</v>
      </c>
      <c r="N152" s="154">
        <f t="shared" si="61"/>
        <v>0.18425976035735853</v>
      </c>
      <c r="O152" s="154">
        <f t="shared" si="61"/>
        <v>0.18689612464718622</v>
      </c>
      <c r="P152" s="154">
        <f t="shared" si="61"/>
        <v>0.19221589707604522</v>
      </c>
      <c r="Q152" s="154">
        <f t="shared" si="61"/>
        <v>0.20035695700322698</v>
      </c>
      <c r="R152" s="154">
        <f t="shared" si="61"/>
        <v>0.20177185678900025</v>
      </c>
      <c r="S152" s="154">
        <f t="shared" si="61"/>
        <v>0.19374150162916554</v>
      </c>
      <c r="T152" s="154">
        <f t="shared" si="61"/>
        <v>0.18531246260270595</v>
      </c>
      <c r="U152" s="154">
        <f t="shared" si="61"/>
        <v>0.18093725682157741</v>
      </c>
      <c r="V152" s="154">
        <f t="shared" si="61"/>
        <v>0.20624272836448271</v>
      </c>
      <c r="W152" s="154">
        <f t="shared" ref="W152:Y152" si="62">IF(W34=0,0,W34/W$17)</f>
        <v>0.21096282588195167</v>
      </c>
      <c r="X152" s="154">
        <f t="shared" si="62"/>
        <v>0.21065515931976891</v>
      </c>
      <c r="Y152" s="154">
        <f t="shared" si="62"/>
        <v>0.19824319622654016</v>
      </c>
      <c r="DA152" s="212"/>
    </row>
    <row r="153" spans="1:105" ht="11.45" customHeight="1" x14ac:dyDescent="0.25">
      <c r="A153" s="157" t="s">
        <v>110</v>
      </c>
      <c r="B153" s="103">
        <f t="shared" ref="B153:K153" si="63">IF(B35=0,0,B35/B$17)</f>
        <v>6.8024836268355824E-3</v>
      </c>
      <c r="C153" s="103">
        <f t="shared" si="63"/>
        <v>6.1634144919563913E-3</v>
      </c>
      <c r="D153" s="103">
        <f t="shared" si="63"/>
        <v>5.3200103479904134E-3</v>
      </c>
      <c r="E153" s="103">
        <f t="shared" si="63"/>
        <v>4.7027014025880273E-3</v>
      </c>
      <c r="F153" s="103">
        <f t="shared" si="63"/>
        <v>4.2719148235462077E-3</v>
      </c>
      <c r="G153" s="103">
        <f t="shared" si="63"/>
        <v>4.0297535196855026E-3</v>
      </c>
      <c r="H153" s="103">
        <f t="shared" si="63"/>
        <v>3.4865836568889956E-3</v>
      </c>
      <c r="I153" s="103">
        <f t="shared" si="63"/>
        <v>3.2457395153013577E-3</v>
      </c>
      <c r="J153" s="103">
        <f t="shared" si="63"/>
        <v>3.0127134988339652E-3</v>
      </c>
      <c r="K153" s="103">
        <f t="shared" si="63"/>
        <v>2.857360730989052E-3</v>
      </c>
      <c r="L153" s="103">
        <f t="shared" ref="L153" si="64">IF(L35=0,0,L35/L$17)</f>
        <v>2.6333582140762217E-3</v>
      </c>
      <c r="M153" s="103">
        <f t="shared" ref="M153:V153" si="65">IF(M35=0,0,M35/M$17)</f>
        <v>2.4534661762574471E-3</v>
      </c>
      <c r="N153" s="103">
        <f t="shared" si="65"/>
        <v>2.3883503048087789E-3</v>
      </c>
      <c r="O153" s="103">
        <f t="shared" si="65"/>
        <v>2.2481129725141925E-3</v>
      </c>
      <c r="P153" s="103">
        <f t="shared" si="65"/>
        <v>2.4138703909602887E-3</v>
      </c>
      <c r="Q153" s="103">
        <f t="shared" si="65"/>
        <v>2.3715888200131199E-3</v>
      </c>
      <c r="R153" s="103">
        <f t="shared" si="65"/>
        <v>2.3442589092086078E-3</v>
      </c>
      <c r="S153" s="103">
        <f t="shared" si="65"/>
        <v>2.2337477170393935E-3</v>
      </c>
      <c r="T153" s="103">
        <f t="shared" si="65"/>
        <v>2.0687615426467488E-3</v>
      </c>
      <c r="U153" s="103">
        <f t="shared" si="65"/>
        <v>2.1112604762283564E-3</v>
      </c>
      <c r="V153" s="103">
        <f t="shared" si="65"/>
        <v>2.4341063912979304E-3</v>
      </c>
      <c r="W153" s="103">
        <f t="shared" ref="W153:Y153" si="66">IF(W35=0,0,W35/W$17)</f>
        <v>2.6154928266154476E-3</v>
      </c>
      <c r="X153" s="103">
        <f t="shared" si="66"/>
        <v>2.6412851520233138E-3</v>
      </c>
      <c r="Y153" s="103">
        <f t="shared" si="66"/>
        <v>2.6791474040577593E-3</v>
      </c>
      <c r="DA153" s="191"/>
    </row>
    <row r="154" spans="1:105" ht="11.45" customHeight="1" x14ac:dyDescent="0.25">
      <c r="A154" s="157" t="s">
        <v>111</v>
      </c>
      <c r="B154" s="103">
        <f t="shared" ref="B154:K154" si="67">IF(B36=0,0,B36/B$17)</f>
        <v>0.16873536468773651</v>
      </c>
      <c r="C154" s="103">
        <f t="shared" si="67"/>
        <v>0.17466005986734084</v>
      </c>
      <c r="D154" s="103">
        <f t="shared" si="67"/>
        <v>0.17597208443152315</v>
      </c>
      <c r="E154" s="103">
        <f t="shared" si="67"/>
        <v>0.1804445533032259</v>
      </c>
      <c r="F154" s="103">
        <f t="shared" si="67"/>
        <v>0.18676272858958012</v>
      </c>
      <c r="G154" s="103">
        <f t="shared" si="67"/>
        <v>0.18817780007036095</v>
      </c>
      <c r="H154" s="103">
        <f t="shared" si="67"/>
        <v>0.18164809042984398</v>
      </c>
      <c r="I154" s="103">
        <f t="shared" si="67"/>
        <v>0.18062645105329125</v>
      </c>
      <c r="J154" s="103">
        <f t="shared" si="67"/>
        <v>0.18280462667945555</v>
      </c>
      <c r="K154" s="103">
        <f t="shared" si="67"/>
        <v>0.1773432323130012</v>
      </c>
      <c r="L154" s="103">
        <f t="shared" ref="L154" si="68">IF(L36=0,0,L36/L$17)</f>
        <v>0.1809460318681439</v>
      </c>
      <c r="M154" s="103">
        <f t="shared" ref="M154:V154" si="69">IF(M36=0,0,M36/M$17)</f>
        <v>0.18157710056740897</v>
      </c>
      <c r="N154" s="103">
        <f t="shared" si="69"/>
        <v>0.17922003484358701</v>
      </c>
      <c r="O154" s="103">
        <f t="shared" si="69"/>
        <v>0.18184667315756917</v>
      </c>
      <c r="P154" s="103">
        <f t="shared" si="69"/>
        <v>0.18670644655651444</v>
      </c>
      <c r="Q154" s="103">
        <f t="shared" si="69"/>
        <v>0.19488281730675905</v>
      </c>
      <c r="R154" s="103">
        <f t="shared" si="69"/>
        <v>0.19648805015353998</v>
      </c>
      <c r="S154" s="103">
        <f t="shared" si="69"/>
        <v>0.18858179504400044</v>
      </c>
      <c r="T154" s="103">
        <f t="shared" si="69"/>
        <v>0.1801758344208915</v>
      </c>
      <c r="U154" s="103">
        <f t="shared" si="69"/>
        <v>0.17555571820735857</v>
      </c>
      <c r="V154" s="103">
        <f t="shared" si="69"/>
        <v>0.20005511500958179</v>
      </c>
      <c r="W154" s="103">
        <f t="shared" ref="W154:Y154" si="70">IF(W36=0,0,W36/W$17)</f>
        <v>0.2049915808271264</v>
      </c>
      <c r="X154" s="103">
        <f t="shared" si="70"/>
        <v>0.20447169415556532</v>
      </c>
      <c r="Y154" s="103">
        <f t="shared" si="70"/>
        <v>0.19222725111531738</v>
      </c>
      <c r="DA154" s="191"/>
    </row>
    <row r="155" spans="1:105" ht="11.45" customHeight="1" x14ac:dyDescent="0.25">
      <c r="A155" s="157" t="s">
        <v>112</v>
      </c>
      <c r="B155" s="103">
        <f t="shared" ref="B155:K155" si="71">IF(B37=0,0,B37/B$17)</f>
        <v>3.8506622326238897E-3</v>
      </c>
      <c r="C155" s="103">
        <f t="shared" si="71"/>
        <v>3.8109677874224057E-3</v>
      </c>
      <c r="D155" s="103">
        <f t="shared" si="71"/>
        <v>3.5847928823220486E-3</v>
      </c>
      <c r="E155" s="103">
        <f t="shared" si="71"/>
        <v>3.3802023090983061E-3</v>
      </c>
      <c r="F155" s="103">
        <f t="shared" si="71"/>
        <v>3.2194075955490806E-3</v>
      </c>
      <c r="G155" s="103">
        <f t="shared" si="71"/>
        <v>2.7435105150376499E-3</v>
      </c>
      <c r="H155" s="103">
        <f t="shared" si="71"/>
        <v>2.4671993661130893E-3</v>
      </c>
      <c r="I155" s="103">
        <f t="shared" si="71"/>
        <v>2.5191451472761934E-3</v>
      </c>
      <c r="J155" s="103">
        <f t="shared" si="71"/>
        <v>2.5114118718698591E-3</v>
      </c>
      <c r="K155" s="103">
        <f t="shared" si="71"/>
        <v>2.536029801745015E-3</v>
      </c>
      <c r="L155" s="103">
        <f t="shared" ref="L155" si="72">IF(L37=0,0,L37/L$17)</f>
        <v>2.4581223114903917E-3</v>
      </c>
      <c r="M155" s="103">
        <f t="shared" ref="M155:V155" si="73">IF(M37=0,0,M37/M$17)</f>
        <v>2.4282252131509995E-3</v>
      </c>
      <c r="N155" s="103">
        <f t="shared" si="73"/>
        <v>2.4661114381758502E-3</v>
      </c>
      <c r="O155" s="103">
        <f t="shared" si="73"/>
        <v>2.5706482257215934E-3</v>
      </c>
      <c r="P155" s="103">
        <f t="shared" si="73"/>
        <v>2.8035780064561695E-3</v>
      </c>
      <c r="Q155" s="103">
        <f t="shared" si="73"/>
        <v>2.7868282752457393E-3</v>
      </c>
      <c r="R155" s="103">
        <f t="shared" si="73"/>
        <v>2.7583552332228912E-3</v>
      </c>
      <c r="S155" s="103">
        <f t="shared" si="73"/>
        <v>2.6811542712367638E-3</v>
      </c>
      <c r="T155" s="103">
        <f t="shared" si="73"/>
        <v>2.6308476995041243E-3</v>
      </c>
      <c r="U155" s="103">
        <f t="shared" si="73"/>
        <v>2.8079997524536274E-3</v>
      </c>
      <c r="V155" s="103">
        <f t="shared" si="73"/>
        <v>3.2164505509950821E-3</v>
      </c>
      <c r="W155" s="103">
        <f t="shared" ref="W155:Y155" si="74">IF(W37=0,0,W37/W$17)</f>
        <v>2.8491414676283734E-3</v>
      </c>
      <c r="X155" s="103">
        <f t="shared" si="74"/>
        <v>3.066659600093558E-3</v>
      </c>
      <c r="Y155" s="103">
        <f t="shared" si="74"/>
        <v>3.0229825627716804E-3</v>
      </c>
      <c r="DA155" s="191"/>
    </row>
    <row r="156" spans="1:105" ht="11.45" customHeight="1" x14ac:dyDescent="0.25">
      <c r="A156" s="157" t="s">
        <v>113</v>
      </c>
      <c r="B156" s="103">
        <f t="shared" ref="B156:K156" si="75">IF(B38=0,0,B38/B$17)</f>
        <v>0</v>
      </c>
      <c r="C156" s="103">
        <f t="shared" si="75"/>
        <v>0</v>
      </c>
      <c r="D156" s="103">
        <f t="shared" si="75"/>
        <v>0</v>
      </c>
      <c r="E156" s="103">
        <f t="shared" si="75"/>
        <v>1.0208481618543403E-5</v>
      </c>
      <c r="F156" s="103">
        <f t="shared" si="75"/>
        <v>2.8182911763879151E-5</v>
      </c>
      <c r="G156" s="103">
        <f t="shared" si="75"/>
        <v>2.5685679050036523E-5</v>
      </c>
      <c r="H156" s="103">
        <f t="shared" si="75"/>
        <v>2.4347320286590824E-5</v>
      </c>
      <c r="I156" s="103">
        <f t="shared" si="75"/>
        <v>5.7347414138555058E-5</v>
      </c>
      <c r="J156" s="103">
        <f t="shared" si="75"/>
        <v>5.7231864859735526E-5</v>
      </c>
      <c r="K156" s="103">
        <f t="shared" si="75"/>
        <v>9.2239256402408117E-5</v>
      </c>
      <c r="L156" s="103">
        <f t="shared" ref="L156" si="76">IF(L38=0,0,L38/L$17)</f>
        <v>1.2604041528870919E-4</v>
      </c>
      <c r="M156" s="103">
        <f t="shared" ref="M156:V156" si="77">IF(M38=0,0,M38/M$17)</f>
        <v>1.5975432384339642E-4</v>
      </c>
      <c r="N156" s="103">
        <f t="shared" si="77"/>
        <v>1.8526377078690378E-4</v>
      </c>
      <c r="O156" s="103">
        <f t="shared" si="77"/>
        <v>2.3069029138127862E-4</v>
      </c>
      <c r="P156" s="103">
        <f t="shared" si="77"/>
        <v>2.9200212211432102E-4</v>
      </c>
      <c r="Q156" s="103">
        <f t="shared" si="77"/>
        <v>3.1572260120909206E-4</v>
      </c>
      <c r="R156" s="103">
        <f t="shared" si="77"/>
        <v>1.8119249302877571E-4</v>
      </c>
      <c r="S156" s="103">
        <f t="shared" si="77"/>
        <v>2.4480459688892468E-4</v>
      </c>
      <c r="T156" s="103">
        <f t="shared" si="77"/>
        <v>4.370189396635822E-4</v>
      </c>
      <c r="U156" s="103">
        <f t="shared" si="77"/>
        <v>4.6227838553686659E-4</v>
      </c>
      <c r="V156" s="103">
        <f t="shared" si="77"/>
        <v>5.3705641260791588E-4</v>
      </c>
      <c r="W156" s="103">
        <f t="shared" ref="W156:Y156" si="78">IF(W38=0,0,W38/W$17)</f>
        <v>5.0661076058141101E-4</v>
      </c>
      <c r="X156" s="103">
        <f t="shared" si="78"/>
        <v>4.7552041208675768E-4</v>
      </c>
      <c r="Y156" s="103">
        <f t="shared" si="78"/>
        <v>3.1381514439329696E-4</v>
      </c>
      <c r="DA156" s="191"/>
    </row>
    <row r="157" spans="1:105" ht="11.45" customHeight="1" x14ac:dyDescent="0.25">
      <c r="A157" s="157" t="s">
        <v>115</v>
      </c>
      <c r="B157" s="103">
        <f t="shared" ref="B157:K157" si="79">IF(B39=0,0,B39/B$17)</f>
        <v>0</v>
      </c>
      <c r="C157" s="103">
        <f t="shared" si="79"/>
        <v>0</v>
      </c>
      <c r="D157" s="103">
        <f t="shared" si="79"/>
        <v>0</v>
      </c>
      <c r="E157" s="103">
        <f t="shared" si="79"/>
        <v>0</v>
      </c>
      <c r="F157" s="103">
        <f t="shared" si="79"/>
        <v>0</v>
      </c>
      <c r="G157" s="103">
        <f t="shared" si="79"/>
        <v>0</v>
      </c>
      <c r="H157" s="103">
        <f t="shared" si="79"/>
        <v>0</v>
      </c>
      <c r="I157" s="103">
        <f t="shared" si="79"/>
        <v>0</v>
      </c>
      <c r="J157" s="103">
        <f t="shared" si="79"/>
        <v>0</v>
      </c>
      <c r="K157" s="103">
        <f t="shared" si="79"/>
        <v>0</v>
      </c>
      <c r="L157" s="103">
        <f t="shared" ref="L157" si="80">IF(L39=0,0,L39/L$17)</f>
        <v>0</v>
      </c>
      <c r="M157" s="103">
        <f t="shared" ref="M157:V157" si="81">IF(M39=0,0,M39/M$17)</f>
        <v>0</v>
      </c>
      <c r="N157" s="103">
        <f t="shared" si="81"/>
        <v>0</v>
      </c>
      <c r="O157" s="103">
        <f t="shared" si="81"/>
        <v>0</v>
      </c>
      <c r="P157" s="103">
        <f t="shared" si="81"/>
        <v>0</v>
      </c>
      <c r="Q157" s="103">
        <f t="shared" si="81"/>
        <v>0</v>
      </c>
      <c r="R157" s="103">
        <f t="shared" si="81"/>
        <v>0</v>
      </c>
      <c r="S157" s="103">
        <f t="shared" si="81"/>
        <v>0</v>
      </c>
      <c r="T157" s="103">
        <f t="shared" si="81"/>
        <v>0</v>
      </c>
      <c r="U157" s="103">
        <f t="shared" si="81"/>
        <v>0</v>
      </c>
      <c r="V157" s="103">
        <f t="shared" si="81"/>
        <v>0</v>
      </c>
      <c r="W157" s="103">
        <f t="shared" ref="W157:Y157" si="82">IF(W39=0,0,W39/W$17)</f>
        <v>0</v>
      </c>
      <c r="X157" s="103">
        <f t="shared" si="82"/>
        <v>0</v>
      </c>
      <c r="Y157" s="103">
        <f t="shared" si="82"/>
        <v>0</v>
      </c>
      <c r="DA157" s="191"/>
    </row>
    <row r="158" spans="1:105" ht="11.45" customHeight="1" x14ac:dyDescent="0.25">
      <c r="A158" s="155" t="s">
        <v>154</v>
      </c>
      <c r="B158" s="156">
        <f t="shared" ref="B158:K158" si="83">IF(B40=0,0,B40/B$17)</f>
        <v>0.21577304597844213</v>
      </c>
      <c r="C158" s="156">
        <f t="shared" si="83"/>
        <v>0.2104933917975895</v>
      </c>
      <c r="D158" s="156">
        <f t="shared" si="83"/>
        <v>0.21336986451714379</v>
      </c>
      <c r="E158" s="156">
        <f t="shared" si="83"/>
        <v>0.21747063502264413</v>
      </c>
      <c r="F158" s="156">
        <f t="shared" si="83"/>
        <v>0.21916777858591904</v>
      </c>
      <c r="G158" s="156">
        <f t="shared" si="83"/>
        <v>0.21915569208845212</v>
      </c>
      <c r="H158" s="156">
        <f t="shared" si="83"/>
        <v>0.23003009925725579</v>
      </c>
      <c r="I158" s="156">
        <f t="shared" si="83"/>
        <v>0.22782959309223411</v>
      </c>
      <c r="J158" s="156">
        <f t="shared" si="83"/>
        <v>0.22908738188609379</v>
      </c>
      <c r="K158" s="156">
        <f t="shared" si="83"/>
        <v>0.21517548998518543</v>
      </c>
      <c r="L158" s="156">
        <f t="shared" ref="L158" si="84">IF(L40=0,0,L40/L$17)</f>
        <v>0.22062976599333439</v>
      </c>
      <c r="M158" s="156">
        <f t="shared" ref="M158:V158" si="85">IF(M40=0,0,M40/M$17)</f>
        <v>0.22525473148255659</v>
      </c>
      <c r="N158" s="156">
        <f t="shared" si="85"/>
        <v>0.22686875012992808</v>
      </c>
      <c r="O158" s="156">
        <f t="shared" si="85"/>
        <v>0.21140461455648354</v>
      </c>
      <c r="P158" s="156">
        <f t="shared" si="85"/>
        <v>0.17499968468742652</v>
      </c>
      <c r="Q158" s="156">
        <f t="shared" si="85"/>
        <v>0.17619843783276562</v>
      </c>
      <c r="R158" s="156">
        <f t="shared" si="85"/>
        <v>0.17227748454587979</v>
      </c>
      <c r="S158" s="156">
        <f t="shared" si="85"/>
        <v>0.19443423829879797</v>
      </c>
      <c r="T158" s="156">
        <f t="shared" si="85"/>
        <v>0.21771247408711583</v>
      </c>
      <c r="U158" s="156">
        <f t="shared" si="85"/>
        <v>0.227823970164892</v>
      </c>
      <c r="V158" s="156">
        <f t="shared" si="85"/>
        <v>0.24888185972717336</v>
      </c>
      <c r="W158" s="156">
        <f t="shared" ref="W158:Y158" si="86">IF(W40=0,0,W40/W$17)</f>
        <v>0.20355030570457261</v>
      </c>
      <c r="X158" s="156">
        <f t="shared" si="86"/>
        <v>0.1994659231235118</v>
      </c>
      <c r="Y158" s="156">
        <f t="shared" si="86"/>
        <v>0.19970901635069244</v>
      </c>
      <c r="DA158" s="213"/>
    </row>
    <row r="159" spans="1:105" ht="11.45" customHeight="1" x14ac:dyDescent="0.25">
      <c r="A159" s="157" t="s">
        <v>27</v>
      </c>
      <c r="B159" s="103">
        <f t="shared" ref="B159:K159" si="87">IF(B41=0,0,B41/B$17)</f>
        <v>0.17669478268981573</v>
      </c>
      <c r="C159" s="103">
        <f t="shared" si="87"/>
        <v>0.16983580251198271</v>
      </c>
      <c r="D159" s="103">
        <f t="shared" si="87"/>
        <v>0.17209846361336667</v>
      </c>
      <c r="E159" s="103">
        <f t="shared" si="87"/>
        <v>0.17591574093290374</v>
      </c>
      <c r="F159" s="103">
        <f t="shared" si="87"/>
        <v>0.17068391017594894</v>
      </c>
      <c r="G159" s="103">
        <f t="shared" si="87"/>
        <v>0.16913982631518229</v>
      </c>
      <c r="H159" s="103">
        <f t="shared" si="87"/>
        <v>0.17499587149355439</v>
      </c>
      <c r="I159" s="103">
        <f t="shared" si="87"/>
        <v>0.17088451511138594</v>
      </c>
      <c r="J159" s="103">
        <f t="shared" si="87"/>
        <v>0.17101523189921705</v>
      </c>
      <c r="K159" s="103">
        <f t="shared" si="87"/>
        <v>0.16348745196106015</v>
      </c>
      <c r="L159" s="103">
        <f t="shared" ref="L159" si="88">IF(L41=0,0,L41/L$17)</f>
        <v>0.15858999704078597</v>
      </c>
      <c r="M159" s="103">
        <f t="shared" ref="M159:V159" si="89">IF(M41=0,0,M41/M$17)</f>
        <v>0.16391730285967485</v>
      </c>
      <c r="N159" s="103">
        <f t="shared" si="89"/>
        <v>0.16373842078475703</v>
      </c>
      <c r="O159" s="103">
        <f t="shared" si="89"/>
        <v>0.15291991311102701</v>
      </c>
      <c r="P159" s="103">
        <f t="shared" si="89"/>
        <v>0.12618577959780655</v>
      </c>
      <c r="Q159" s="103">
        <f t="shared" si="89"/>
        <v>0.12683689938336726</v>
      </c>
      <c r="R159" s="103">
        <f t="shared" si="89"/>
        <v>0.12274570600423064</v>
      </c>
      <c r="S159" s="103">
        <f t="shared" si="89"/>
        <v>0.13566152576900803</v>
      </c>
      <c r="T159" s="103">
        <f t="shared" si="89"/>
        <v>0.15361234600832227</v>
      </c>
      <c r="U159" s="103">
        <f t="shared" si="89"/>
        <v>0.15918731991129353</v>
      </c>
      <c r="V159" s="103">
        <f t="shared" si="89"/>
        <v>0.17350130117439025</v>
      </c>
      <c r="W159" s="103">
        <f t="shared" ref="W159:Y159" si="90">IF(W41=0,0,W41/W$17)</f>
        <v>0.14342792894351411</v>
      </c>
      <c r="X159" s="103">
        <f t="shared" si="90"/>
        <v>0.14035345756582418</v>
      </c>
      <c r="Y159" s="103">
        <f t="shared" si="90"/>
        <v>0.13941652288276521</v>
      </c>
      <c r="DA159" s="191"/>
    </row>
    <row r="160" spans="1:105" ht="11.45" customHeight="1" x14ac:dyDescent="0.25">
      <c r="A160" s="158" t="s">
        <v>116</v>
      </c>
      <c r="B160" s="105">
        <f t="shared" ref="B160:K160" si="91">IF(B42=0,0,B42/B$17)</f>
        <v>3.9078263288626409E-2</v>
      </c>
      <c r="C160" s="105">
        <f t="shared" si="91"/>
        <v>4.0657589285606803E-2</v>
      </c>
      <c r="D160" s="105">
        <f t="shared" si="91"/>
        <v>4.1271400903777108E-2</v>
      </c>
      <c r="E160" s="105">
        <f t="shared" si="91"/>
        <v>4.1554894089740391E-2</v>
      </c>
      <c r="F160" s="105">
        <f t="shared" si="91"/>
        <v>4.8483868409970092E-2</v>
      </c>
      <c r="G160" s="105">
        <f t="shared" si="91"/>
        <v>5.001586577326983E-2</v>
      </c>
      <c r="H160" s="105">
        <f t="shared" si="91"/>
        <v>5.5034227763701385E-2</v>
      </c>
      <c r="I160" s="105">
        <f t="shared" si="91"/>
        <v>5.6945077980848142E-2</v>
      </c>
      <c r="J160" s="105">
        <f t="shared" si="91"/>
        <v>5.807214998687675E-2</v>
      </c>
      <c r="K160" s="105">
        <f t="shared" si="91"/>
        <v>5.1688038024125298E-2</v>
      </c>
      <c r="L160" s="105">
        <f t="shared" ref="L160" si="92">IF(L42=0,0,L42/L$17)</f>
        <v>6.2039768952548445E-2</v>
      </c>
      <c r="M160" s="105">
        <f t="shared" ref="M160:V160" si="93">IF(M42=0,0,M42/M$17)</f>
        <v>6.1337428622881766E-2</v>
      </c>
      <c r="N160" s="105">
        <f t="shared" si="93"/>
        <v>6.313032934517103E-2</v>
      </c>
      <c r="O160" s="105">
        <f t="shared" si="93"/>
        <v>5.8484701445456568E-2</v>
      </c>
      <c r="P160" s="105">
        <f t="shared" si="93"/>
        <v>4.8813905089619969E-2</v>
      </c>
      <c r="Q160" s="105">
        <f t="shared" si="93"/>
        <v>4.9361538449398334E-2</v>
      </c>
      <c r="R160" s="105">
        <f t="shared" si="93"/>
        <v>4.9531778541649168E-2</v>
      </c>
      <c r="S160" s="105">
        <f t="shared" si="93"/>
        <v>5.8772712529789939E-2</v>
      </c>
      <c r="T160" s="105">
        <f t="shared" si="93"/>
        <v>6.4100128078793575E-2</v>
      </c>
      <c r="U160" s="105">
        <f t="shared" si="93"/>
        <v>6.8636650253598483E-2</v>
      </c>
      <c r="V160" s="105">
        <f t="shared" si="93"/>
        <v>7.5380558552783111E-2</v>
      </c>
      <c r="W160" s="105">
        <f t="shared" ref="W160:Y160" si="94">IF(W42=0,0,W42/W$17)</f>
        <v>6.0122376761058513E-2</v>
      </c>
      <c r="X160" s="105">
        <f t="shared" si="94"/>
        <v>5.9112465557687607E-2</v>
      </c>
      <c r="Y160" s="105">
        <f t="shared" si="94"/>
        <v>6.0292493467927227E-2</v>
      </c>
      <c r="DA160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0:Y10" formulaRange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>
    <pageSetUpPr fitToPage="1"/>
  </sheetPr>
  <dimension ref="A1:DA24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836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109</v>
      </c>
      <c r="B3" s="54">
        <f>TrRoad_act!B57</f>
        <v>8134947</v>
      </c>
      <c r="C3" s="54">
        <f>TrRoad_act!C57</f>
        <v>8388448</v>
      </c>
      <c r="D3" s="54">
        <f>TrRoad_act!D57</f>
        <v>8639793</v>
      </c>
      <c r="E3" s="54">
        <f>TrRoad_act!E57</f>
        <v>8833702</v>
      </c>
      <c r="F3" s="54">
        <f>TrRoad_act!F57</f>
        <v>8926982</v>
      </c>
      <c r="G3" s="54">
        <f>TrRoad_act!G57</f>
        <v>9112900</v>
      </c>
      <c r="H3" s="54">
        <f>TrRoad_act!H57</f>
        <v>9348354</v>
      </c>
      <c r="I3" s="54">
        <f>TrRoad_act!I57</f>
        <v>9573112</v>
      </c>
      <c r="J3" s="54">
        <f>TrRoad_act!J57</f>
        <v>9855793</v>
      </c>
      <c r="K3" s="54">
        <f>TrRoad_act!K57</f>
        <v>10124735</v>
      </c>
      <c r="L3" s="54">
        <f>TrRoad_act!L57</f>
        <v>10286701</v>
      </c>
      <c r="M3" s="54">
        <f>TrRoad_act!M57</f>
        <v>10430594</v>
      </c>
      <c r="N3" s="54">
        <f>TrRoad_act!N57</f>
        <v>10572681</v>
      </c>
      <c r="O3" s="54">
        <f>TrRoad_act!O57</f>
        <v>10609470</v>
      </c>
      <c r="P3" s="54">
        <f>TrRoad_act!P57</f>
        <v>10644810</v>
      </c>
      <c r="Q3" s="54">
        <f>TrRoad_act!Q57</f>
        <v>10853946</v>
      </c>
      <c r="R3" s="54">
        <f>TrRoad_act!R57</f>
        <v>11036119</v>
      </c>
      <c r="S3" s="54">
        <f>TrRoad_act!S57</f>
        <v>11258186</v>
      </c>
      <c r="T3" s="54">
        <f>TrRoad_act!T57</f>
        <v>11372618</v>
      </c>
      <c r="U3" s="54">
        <f>TrRoad_act!U57</f>
        <v>11577030</v>
      </c>
      <c r="V3" s="54">
        <f>TrRoad_act!V57</f>
        <v>11761143</v>
      </c>
      <c r="W3" s="54">
        <f>TrRoad_act!W57</f>
        <v>11826747</v>
      </c>
      <c r="X3" s="54">
        <f>TrRoad_act!X57</f>
        <v>11965355</v>
      </c>
      <c r="Y3" s="54">
        <f>TrRoad_act!Y57</f>
        <v>12112250</v>
      </c>
      <c r="DA3" s="172" t="s">
        <v>500</v>
      </c>
    </row>
    <row r="4" spans="1:105" ht="11.45" customHeight="1" x14ac:dyDescent="0.25">
      <c r="A4" s="27" t="s">
        <v>33</v>
      </c>
      <c r="B4" s="28">
        <f>TrRoad_act!B58</f>
        <v>7325168</v>
      </c>
      <c r="C4" s="28">
        <f>TrRoad_act!C58</f>
        <v>7515231</v>
      </c>
      <c r="D4" s="28">
        <f>TrRoad_act!D58</f>
        <v>7724371</v>
      </c>
      <c r="E4" s="28">
        <f>TrRoad_act!E58</f>
        <v>7881896</v>
      </c>
      <c r="F4" s="28">
        <f>TrRoad_act!F58</f>
        <v>7959168</v>
      </c>
      <c r="G4" s="28">
        <f>TrRoad_act!G58</f>
        <v>8116154</v>
      </c>
      <c r="H4" s="28">
        <f>TrRoad_act!H58</f>
        <v>8382991</v>
      </c>
      <c r="I4" s="28">
        <f>TrRoad_act!I58</f>
        <v>8612635</v>
      </c>
      <c r="J4" s="28">
        <f>TrRoad_act!J58</f>
        <v>8882470</v>
      </c>
      <c r="K4" s="28">
        <f>TrRoad_act!K58</f>
        <v>9132806</v>
      </c>
      <c r="L4" s="28">
        <f>TrRoad_act!L58</f>
        <v>9298282</v>
      </c>
      <c r="M4" s="28">
        <f>TrRoad_act!M58</f>
        <v>9455495</v>
      </c>
      <c r="N4" s="28">
        <f>TrRoad_act!N58</f>
        <v>9608186</v>
      </c>
      <c r="O4" s="28">
        <f>TrRoad_act!O58</f>
        <v>9682046</v>
      </c>
      <c r="P4" s="28">
        <f>TrRoad_act!P58</f>
        <v>9719343</v>
      </c>
      <c r="Q4" s="28">
        <f>TrRoad_act!Q58</f>
        <v>9913838</v>
      </c>
      <c r="R4" s="28">
        <f>TrRoad_act!R58</f>
        <v>10066703</v>
      </c>
      <c r="S4" s="28">
        <f>TrRoad_act!S58</f>
        <v>10256227</v>
      </c>
      <c r="T4" s="28">
        <f>TrRoad_act!T58</f>
        <v>10348814</v>
      </c>
      <c r="U4" s="28">
        <f>TrRoad_act!U58</f>
        <v>10524381</v>
      </c>
      <c r="V4" s="28">
        <f>TrRoad_act!V58</f>
        <v>10690052</v>
      </c>
      <c r="W4" s="28">
        <f>TrRoad_act!W58</f>
        <v>10725212</v>
      </c>
      <c r="X4" s="28">
        <f>TrRoad_act!X58</f>
        <v>10841270</v>
      </c>
      <c r="Y4" s="28">
        <f>TrRoad_act!Y58</f>
        <v>10969502</v>
      </c>
      <c r="DA4" s="173" t="s">
        <v>501</v>
      </c>
    </row>
    <row r="5" spans="1:105" ht="11.45" customHeight="1" x14ac:dyDescent="0.25">
      <c r="A5" s="136" t="s">
        <v>173</v>
      </c>
      <c r="B5" s="137">
        <f>TrRoad_act!B59</f>
        <v>970798</v>
      </c>
      <c r="C5" s="137">
        <f>TrRoad_act!C59</f>
        <v>964822</v>
      </c>
      <c r="D5" s="137">
        <f>TrRoad_act!D59</f>
        <v>1002450</v>
      </c>
      <c r="E5" s="137">
        <f>TrRoad_act!E59</f>
        <v>1015567</v>
      </c>
      <c r="F5" s="137">
        <f>TrRoad_act!F59</f>
        <v>1038934</v>
      </c>
      <c r="G5" s="137">
        <f>TrRoad_act!G59</f>
        <v>1112949</v>
      </c>
      <c r="H5" s="137">
        <f>TrRoad_act!H59</f>
        <v>1279703</v>
      </c>
      <c r="I5" s="137">
        <f>TrRoad_act!I59</f>
        <v>1371612</v>
      </c>
      <c r="J5" s="137">
        <f>TrRoad_act!J59</f>
        <v>1479476</v>
      </c>
      <c r="K5" s="137">
        <f>TrRoad_act!K59</f>
        <v>1579143</v>
      </c>
      <c r="L5" s="137">
        <f>TrRoad_act!L59</f>
        <v>1664295</v>
      </c>
      <c r="M5" s="137">
        <f>TrRoad_act!M59</f>
        <v>1708671</v>
      </c>
      <c r="N5" s="137">
        <f>TrRoad_act!N59</f>
        <v>1738488</v>
      </c>
      <c r="O5" s="137">
        <f>TrRoad_act!O59</f>
        <v>1755969</v>
      </c>
      <c r="P5" s="137">
        <f>TrRoad_act!P59</f>
        <v>1777131</v>
      </c>
      <c r="Q5" s="137">
        <f>TrRoad_act!Q59</f>
        <v>1803377</v>
      </c>
      <c r="R5" s="137">
        <f>TrRoad_act!R59</f>
        <v>1834291</v>
      </c>
      <c r="S5" s="137">
        <f>TrRoad_act!S59</f>
        <v>1873161</v>
      </c>
      <c r="T5" s="137">
        <f>TrRoad_act!T59</f>
        <v>1895918</v>
      </c>
      <c r="U5" s="137">
        <f>TrRoad_act!U59</f>
        <v>1929268</v>
      </c>
      <c r="V5" s="137">
        <f>TrRoad_act!V59</f>
        <v>1993077</v>
      </c>
      <c r="W5" s="137">
        <f>TrRoad_act!W59</f>
        <v>1887312</v>
      </c>
      <c r="X5" s="137">
        <f>TrRoad_act!X59</f>
        <v>1913668</v>
      </c>
      <c r="Y5" s="137">
        <f>TrRoad_act!Y59</f>
        <v>1891738</v>
      </c>
      <c r="DA5" s="174" t="s">
        <v>502</v>
      </c>
    </row>
    <row r="6" spans="1:105" ht="11.45" customHeight="1" x14ac:dyDescent="0.25">
      <c r="A6" s="109" t="s">
        <v>20</v>
      </c>
      <c r="B6" s="110">
        <f>TrRoad_act!B60</f>
        <v>6343164</v>
      </c>
      <c r="C6" s="110">
        <f>TrRoad_act!C60</f>
        <v>6539040</v>
      </c>
      <c r="D6" s="110">
        <f>TrRoad_act!D60</f>
        <v>6710595</v>
      </c>
      <c r="E6" s="110">
        <f>TrRoad_act!E60</f>
        <v>6854947</v>
      </c>
      <c r="F6" s="110">
        <f>TrRoad_act!F60</f>
        <v>6908890</v>
      </c>
      <c r="G6" s="110">
        <f>TrRoad_act!G60</f>
        <v>6991974</v>
      </c>
      <c r="H6" s="110">
        <f>TrRoad_act!H60</f>
        <v>7092293</v>
      </c>
      <c r="I6" s="110">
        <f>TrRoad_act!I60</f>
        <v>7230178</v>
      </c>
      <c r="J6" s="110">
        <f>TrRoad_act!J60</f>
        <v>7391903</v>
      </c>
      <c r="K6" s="110">
        <f>TrRoad_act!K60</f>
        <v>7542331</v>
      </c>
      <c r="L6" s="110">
        <f>TrRoad_act!L60</f>
        <v>7622353</v>
      </c>
      <c r="M6" s="110">
        <f>TrRoad_act!M60</f>
        <v>7735547</v>
      </c>
      <c r="N6" s="110">
        <f>TrRoad_act!N60</f>
        <v>7858712</v>
      </c>
      <c r="O6" s="110">
        <f>TrRoad_act!O60</f>
        <v>7915613</v>
      </c>
      <c r="P6" s="110">
        <f>TrRoad_act!P60</f>
        <v>7932290</v>
      </c>
      <c r="Q6" s="110">
        <f>TrRoad_act!Q60</f>
        <v>8100864</v>
      </c>
      <c r="R6" s="110">
        <f>TrRoad_act!R60</f>
        <v>8223001</v>
      </c>
      <c r="S6" s="110">
        <f>TrRoad_act!S60</f>
        <v>8373244</v>
      </c>
      <c r="T6" s="110">
        <f>TrRoad_act!T60</f>
        <v>8442982</v>
      </c>
      <c r="U6" s="110">
        <f>TrRoad_act!U60</f>
        <v>8584391</v>
      </c>
      <c r="V6" s="110">
        <f>TrRoad_act!V60</f>
        <v>8686419</v>
      </c>
      <c r="W6" s="110">
        <f>TrRoad_act!W60</f>
        <v>8827709</v>
      </c>
      <c r="X6" s="110">
        <f>TrRoad_act!X60</f>
        <v>8917107</v>
      </c>
      <c r="Y6" s="110">
        <f>TrRoad_act!Y60</f>
        <v>9067393</v>
      </c>
      <c r="DA6" s="176" t="s">
        <v>503</v>
      </c>
    </row>
    <row r="7" spans="1:105" ht="11.45" customHeight="1" x14ac:dyDescent="0.25">
      <c r="A7" s="111" t="s">
        <v>110</v>
      </c>
      <c r="B7" s="84">
        <f>TrRoad_act!B61</f>
        <v>5048616</v>
      </c>
      <c r="C7" s="84">
        <f>TrRoad_act!C61</f>
        <v>5178493</v>
      </c>
      <c r="D7" s="84">
        <f>TrRoad_act!D61</f>
        <v>5310422</v>
      </c>
      <c r="E7" s="84">
        <f>TrRoad_act!E61</f>
        <v>5420603</v>
      </c>
      <c r="F7" s="84">
        <f>TrRoad_act!F61</f>
        <v>5455377</v>
      </c>
      <c r="G7" s="84">
        <f>TrRoad_act!G61</f>
        <v>5515708</v>
      </c>
      <c r="H7" s="84">
        <f>TrRoad_act!H61</f>
        <v>5578392</v>
      </c>
      <c r="I7" s="84">
        <f>TrRoad_act!I61</f>
        <v>5677085</v>
      </c>
      <c r="J7" s="84">
        <f>TrRoad_act!J61</f>
        <v>5832044</v>
      </c>
      <c r="K7" s="84">
        <f>TrRoad_act!K61</f>
        <v>5980613</v>
      </c>
      <c r="L7" s="84">
        <f>TrRoad_act!L61</f>
        <v>6082240</v>
      </c>
      <c r="M7" s="84">
        <f>TrRoad_act!M61</f>
        <v>6193380</v>
      </c>
      <c r="N7" s="84">
        <f>TrRoad_act!N61</f>
        <v>6314739</v>
      </c>
      <c r="O7" s="84">
        <f>TrRoad_act!O61</f>
        <v>6362086</v>
      </c>
      <c r="P7" s="84">
        <f>TrRoad_act!P61</f>
        <v>6383710</v>
      </c>
      <c r="Q7" s="84">
        <f>TrRoad_act!Q61</f>
        <v>6495615</v>
      </c>
      <c r="R7" s="84">
        <f>TrRoad_act!R61</f>
        <v>6630603</v>
      </c>
      <c r="S7" s="84">
        <f>TrRoad_act!S61</f>
        <v>6787939</v>
      </c>
      <c r="T7" s="84">
        <f>TrRoad_act!T61</f>
        <v>6890413</v>
      </c>
      <c r="U7" s="84">
        <f>TrRoad_act!U61</f>
        <v>7045184</v>
      </c>
      <c r="V7" s="84">
        <f>TrRoad_act!V61</f>
        <v>7184763</v>
      </c>
      <c r="W7" s="84">
        <f>TrRoad_act!W61</f>
        <v>7318356</v>
      </c>
      <c r="X7" s="84">
        <f>TrRoad_act!X61</f>
        <v>7381778</v>
      </c>
      <c r="Y7" s="84">
        <f>TrRoad_act!Y61</f>
        <v>7443996</v>
      </c>
      <c r="DA7" s="171" t="s">
        <v>504</v>
      </c>
    </row>
    <row r="8" spans="1:105" ht="11.45" customHeight="1" x14ac:dyDescent="0.25">
      <c r="A8" s="111" t="s">
        <v>111</v>
      </c>
      <c r="B8" s="84">
        <f>TrRoad_act!B62</f>
        <v>822548</v>
      </c>
      <c r="C8" s="84">
        <f>TrRoad_act!C62</f>
        <v>880670</v>
      </c>
      <c r="D8" s="84">
        <f>TrRoad_act!D62</f>
        <v>930610</v>
      </c>
      <c r="E8" s="84">
        <f>TrRoad_act!E62</f>
        <v>984768</v>
      </c>
      <c r="F8" s="84">
        <f>TrRoad_act!F62</f>
        <v>1025903</v>
      </c>
      <c r="G8" s="84">
        <f>TrRoad_act!G62</f>
        <v>1072336</v>
      </c>
      <c r="H8" s="84">
        <f>TrRoad_act!H62</f>
        <v>1135051</v>
      </c>
      <c r="I8" s="84">
        <f>TrRoad_act!I62</f>
        <v>1200360</v>
      </c>
      <c r="J8" s="84">
        <f>TrRoad_act!J62</f>
        <v>1233887</v>
      </c>
      <c r="K8" s="84">
        <f>TrRoad_act!K62</f>
        <v>1262700</v>
      </c>
      <c r="L8" s="84">
        <f>TrRoad_act!L62</f>
        <v>1266982</v>
      </c>
      <c r="M8" s="84">
        <f>TrRoad_act!M62</f>
        <v>1299185</v>
      </c>
      <c r="N8" s="84">
        <f>TrRoad_act!N62</f>
        <v>1328046</v>
      </c>
      <c r="O8" s="84">
        <f>TrRoad_act!O62</f>
        <v>1316034</v>
      </c>
      <c r="P8" s="84">
        <f>TrRoad_act!P62</f>
        <v>1308715</v>
      </c>
      <c r="Q8" s="84">
        <f>TrRoad_act!Q62</f>
        <v>1339163</v>
      </c>
      <c r="R8" s="84">
        <f>TrRoad_act!R62</f>
        <v>1336750</v>
      </c>
      <c r="S8" s="84">
        <f>TrRoad_act!S62</f>
        <v>1330834</v>
      </c>
      <c r="T8" s="84">
        <f>TrRoad_act!T62</f>
        <v>1284620</v>
      </c>
      <c r="U8" s="84">
        <f>TrRoad_act!U62</f>
        <v>1201485</v>
      </c>
      <c r="V8" s="84">
        <f>TrRoad_act!V62</f>
        <v>1095198</v>
      </c>
      <c r="W8" s="84">
        <f>TrRoad_act!W62</f>
        <v>1010944</v>
      </c>
      <c r="X8" s="84">
        <f>TrRoad_act!X62</f>
        <v>907603</v>
      </c>
      <c r="Y8" s="84">
        <f>TrRoad_act!Y62</f>
        <v>811292</v>
      </c>
      <c r="DA8" s="171" t="s">
        <v>505</v>
      </c>
    </row>
    <row r="9" spans="1:105" ht="11.45" customHeight="1" x14ac:dyDescent="0.25">
      <c r="A9" s="111" t="s">
        <v>112</v>
      </c>
      <c r="B9" s="84">
        <f>TrRoad_act!B63</f>
        <v>472000</v>
      </c>
      <c r="C9" s="84">
        <f>TrRoad_act!C63</f>
        <v>479877</v>
      </c>
      <c r="D9" s="84">
        <f>TrRoad_act!D63</f>
        <v>469563</v>
      </c>
      <c r="E9" s="84">
        <f>TrRoad_act!E63</f>
        <v>449576</v>
      </c>
      <c r="F9" s="84">
        <f>TrRoad_act!F63</f>
        <v>427610</v>
      </c>
      <c r="G9" s="84">
        <f>TrRoad_act!G63</f>
        <v>403930</v>
      </c>
      <c r="H9" s="84">
        <f>TrRoad_act!H63</f>
        <v>378850</v>
      </c>
      <c r="I9" s="84">
        <f>TrRoad_act!I63</f>
        <v>352733</v>
      </c>
      <c r="J9" s="84">
        <f>TrRoad_act!J63</f>
        <v>325972</v>
      </c>
      <c r="K9" s="84">
        <f>TrRoad_act!K63</f>
        <v>298990</v>
      </c>
      <c r="L9" s="84">
        <f>TrRoad_act!L63</f>
        <v>272905</v>
      </c>
      <c r="M9" s="84">
        <f>TrRoad_act!M63</f>
        <v>241445</v>
      </c>
      <c r="N9" s="84">
        <f>TrRoad_act!N63</f>
        <v>203851</v>
      </c>
      <c r="O9" s="84">
        <f>TrRoad_act!O63</f>
        <v>202322</v>
      </c>
      <c r="P9" s="84">
        <f>TrRoad_act!P63</f>
        <v>186366</v>
      </c>
      <c r="Q9" s="84">
        <f>TrRoad_act!Q63</f>
        <v>168234</v>
      </c>
      <c r="R9" s="84">
        <f>TrRoad_act!R63</f>
        <v>143542</v>
      </c>
      <c r="S9" s="84">
        <f>TrRoad_act!S63</f>
        <v>132989</v>
      </c>
      <c r="T9" s="84">
        <f>TrRoad_act!T63</f>
        <v>119489</v>
      </c>
      <c r="U9" s="84">
        <f>TrRoad_act!U63</f>
        <v>130637</v>
      </c>
      <c r="V9" s="84">
        <f>TrRoad_act!V63</f>
        <v>123694</v>
      </c>
      <c r="W9" s="84">
        <f>TrRoad_act!W63</f>
        <v>108602</v>
      </c>
      <c r="X9" s="84">
        <f>TrRoad_act!X63</f>
        <v>104946</v>
      </c>
      <c r="Y9" s="84">
        <f>TrRoad_act!Y63</f>
        <v>103267</v>
      </c>
      <c r="DA9" s="171" t="s">
        <v>506</v>
      </c>
    </row>
    <row r="10" spans="1:105" ht="11.45" customHeight="1" x14ac:dyDescent="0.25">
      <c r="A10" s="111" t="s">
        <v>113</v>
      </c>
      <c r="B10" s="84">
        <f>TrRoad_act!B64</f>
        <v>0</v>
      </c>
      <c r="C10" s="84">
        <f>TrRoad_act!C64</f>
        <v>0</v>
      </c>
      <c r="D10" s="84">
        <f>TrRoad_act!D64</f>
        <v>0</v>
      </c>
      <c r="E10" s="84">
        <f>TrRoad_act!E64</f>
        <v>0</v>
      </c>
      <c r="F10" s="84">
        <f>TrRoad_act!F64</f>
        <v>0</v>
      </c>
      <c r="G10" s="84">
        <f>TrRoad_act!G64</f>
        <v>0</v>
      </c>
      <c r="H10" s="84">
        <f>TrRoad_act!H64</f>
        <v>0</v>
      </c>
      <c r="I10" s="84">
        <f>TrRoad_act!I64</f>
        <v>0</v>
      </c>
      <c r="J10" s="84">
        <f>TrRoad_act!J64</f>
        <v>0</v>
      </c>
      <c r="K10" s="84">
        <f>TrRoad_act!K64</f>
        <v>0</v>
      </c>
      <c r="L10" s="84">
        <f>TrRoad_act!L64</f>
        <v>140</v>
      </c>
      <c r="M10" s="84">
        <f>TrRoad_act!M64</f>
        <v>673</v>
      </c>
      <c r="N10" s="84">
        <f>TrRoad_act!N64</f>
        <v>5650</v>
      </c>
      <c r="O10" s="84">
        <f>TrRoad_act!O64</f>
        <v>6498</v>
      </c>
      <c r="P10" s="84">
        <f>TrRoad_act!P64</f>
        <v>9737</v>
      </c>
      <c r="Q10" s="84">
        <f>TrRoad_act!Q64</f>
        <v>10321</v>
      </c>
      <c r="R10" s="84">
        <f>TrRoad_act!R64</f>
        <v>3148</v>
      </c>
      <c r="S10" s="84">
        <f>TrRoad_act!S64</f>
        <v>3637</v>
      </c>
      <c r="T10" s="84">
        <f>TrRoad_act!T64</f>
        <v>10241</v>
      </c>
      <c r="U10" s="84">
        <f>TrRoad_act!U64</f>
        <v>10227</v>
      </c>
      <c r="V10" s="84">
        <f>TrRoad_act!V64</f>
        <v>9869</v>
      </c>
      <c r="W10" s="84">
        <f>TrRoad_act!W64</f>
        <v>8472</v>
      </c>
      <c r="X10" s="84">
        <f>TrRoad_act!X64</f>
        <v>7538</v>
      </c>
      <c r="Y10" s="84">
        <f>TrRoad_act!Y64</f>
        <v>2742</v>
      </c>
      <c r="DA10" s="171" t="s">
        <v>507</v>
      </c>
    </row>
    <row r="11" spans="1:105" ht="11.45" customHeight="1" x14ac:dyDescent="0.25">
      <c r="A11" s="111" t="s">
        <v>114</v>
      </c>
      <c r="B11" s="84">
        <f>TrRoad_act!B65</f>
        <v>0</v>
      </c>
      <c r="C11" s="84">
        <f>TrRoad_act!C65</f>
        <v>0</v>
      </c>
      <c r="D11" s="84">
        <f>TrRoad_act!D65</f>
        <v>0</v>
      </c>
      <c r="E11" s="84">
        <f>TrRoad_act!E65</f>
        <v>0</v>
      </c>
      <c r="F11" s="84">
        <f>TrRoad_act!F65</f>
        <v>0</v>
      </c>
      <c r="G11" s="84">
        <f>TrRoad_act!G65</f>
        <v>0</v>
      </c>
      <c r="H11" s="84">
        <f>TrRoad_act!H65</f>
        <v>0</v>
      </c>
      <c r="I11" s="84">
        <f>TrRoad_act!I65</f>
        <v>0</v>
      </c>
      <c r="J11" s="84">
        <f>TrRoad_act!J65</f>
        <v>0</v>
      </c>
      <c r="K11" s="84">
        <f>TrRoad_act!K65</f>
        <v>0</v>
      </c>
      <c r="L11" s="84">
        <f>TrRoad_act!L65</f>
        <v>0</v>
      </c>
      <c r="M11" s="84">
        <f>TrRoad_act!M65</f>
        <v>15</v>
      </c>
      <c r="N11" s="84">
        <f>TrRoad_act!N65</f>
        <v>4326</v>
      </c>
      <c r="O11" s="84">
        <f>TrRoad_act!O65</f>
        <v>24512</v>
      </c>
      <c r="P11" s="84">
        <f>TrRoad_act!P65</f>
        <v>36937</v>
      </c>
      <c r="Q11" s="84">
        <f>TrRoad_act!Q65</f>
        <v>78163</v>
      </c>
      <c r="R11" s="84">
        <f>TrRoad_act!R65</f>
        <v>96156</v>
      </c>
      <c r="S11" s="84">
        <f>TrRoad_act!S65</f>
        <v>97047</v>
      </c>
      <c r="T11" s="84">
        <f>TrRoad_act!T65</f>
        <v>94719</v>
      </c>
      <c r="U11" s="84">
        <f>TrRoad_act!U65</f>
        <v>91850</v>
      </c>
      <c r="V11" s="84">
        <f>TrRoad_act!V65</f>
        <v>100371</v>
      </c>
      <c r="W11" s="84">
        <f>TrRoad_act!W65</f>
        <v>137673</v>
      </c>
      <c r="X11" s="84">
        <f>TrRoad_act!X65</f>
        <v>186947</v>
      </c>
      <c r="Y11" s="84">
        <f>TrRoad_act!Y65</f>
        <v>263687</v>
      </c>
      <c r="DA11" s="171" t="s">
        <v>508</v>
      </c>
    </row>
    <row r="12" spans="1:105" ht="11.45" customHeight="1" x14ac:dyDescent="0.25">
      <c r="A12" s="111" t="s">
        <v>115</v>
      </c>
      <c r="B12" s="84">
        <f>TrRoad_act!B66</f>
        <v>0</v>
      </c>
      <c r="C12" s="84">
        <f>TrRoad_act!C66</f>
        <v>0</v>
      </c>
      <c r="D12" s="84">
        <f>TrRoad_act!D66</f>
        <v>0</v>
      </c>
      <c r="E12" s="84">
        <f>TrRoad_act!E66</f>
        <v>0</v>
      </c>
      <c r="F12" s="84">
        <f>TrRoad_act!F66</f>
        <v>0</v>
      </c>
      <c r="G12" s="84">
        <f>TrRoad_act!G66</f>
        <v>0</v>
      </c>
      <c r="H12" s="84">
        <f>TrRoad_act!H66</f>
        <v>0</v>
      </c>
      <c r="I12" s="84">
        <f>TrRoad_act!I66</f>
        <v>0</v>
      </c>
      <c r="J12" s="84">
        <f>TrRoad_act!J66</f>
        <v>0</v>
      </c>
      <c r="K12" s="84">
        <f>TrRoad_act!K66</f>
        <v>28</v>
      </c>
      <c r="L12" s="84">
        <f>TrRoad_act!L66</f>
        <v>86</v>
      </c>
      <c r="M12" s="84">
        <f>TrRoad_act!M66</f>
        <v>849</v>
      </c>
      <c r="N12" s="84">
        <f>TrRoad_act!N66</f>
        <v>2100</v>
      </c>
      <c r="O12" s="84">
        <f>TrRoad_act!O66</f>
        <v>4161</v>
      </c>
      <c r="P12" s="84">
        <f>TrRoad_act!P66</f>
        <v>6825</v>
      </c>
      <c r="Q12" s="84">
        <f>TrRoad_act!Q66</f>
        <v>9368</v>
      </c>
      <c r="R12" s="84">
        <f>TrRoad_act!R66</f>
        <v>12802</v>
      </c>
      <c r="S12" s="84">
        <f>TrRoad_act!S66</f>
        <v>20798</v>
      </c>
      <c r="T12" s="84">
        <f>TrRoad_act!T66</f>
        <v>43500</v>
      </c>
      <c r="U12" s="84">
        <f>TrRoad_act!U66</f>
        <v>105008</v>
      </c>
      <c r="V12" s="84">
        <f>TrRoad_act!V66</f>
        <v>172524</v>
      </c>
      <c r="W12" s="84">
        <f>TrRoad_act!W66</f>
        <v>243662</v>
      </c>
      <c r="X12" s="84">
        <f>TrRoad_act!X66</f>
        <v>328295</v>
      </c>
      <c r="Y12" s="84">
        <f>TrRoad_act!Y66</f>
        <v>442409</v>
      </c>
      <c r="DA12" s="171" t="s">
        <v>509</v>
      </c>
    </row>
    <row r="13" spans="1:105" ht="11.45" customHeight="1" x14ac:dyDescent="0.25">
      <c r="A13" s="109" t="s">
        <v>21</v>
      </c>
      <c r="B13" s="110">
        <f>TrRoad_act!B67</f>
        <v>11206</v>
      </c>
      <c r="C13" s="110">
        <f>TrRoad_act!C67</f>
        <v>11369</v>
      </c>
      <c r="D13" s="110">
        <f>TrRoad_act!D67</f>
        <v>11326</v>
      </c>
      <c r="E13" s="110">
        <f>TrRoad_act!E67</f>
        <v>11382</v>
      </c>
      <c r="F13" s="110">
        <f>TrRoad_act!F67</f>
        <v>11344</v>
      </c>
      <c r="G13" s="110">
        <f>TrRoad_act!G67</f>
        <v>11231</v>
      </c>
      <c r="H13" s="110">
        <f>TrRoad_act!H67</f>
        <v>10995</v>
      </c>
      <c r="I13" s="110">
        <f>TrRoad_act!I67</f>
        <v>10845</v>
      </c>
      <c r="J13" s="110">
        <f>TrRoad_act!J67</f>
        <v>11091</v>
      </c>
      <c r="K13" s="110">
        <f>TrRoad_act!K67</f>
        <v>11332</v>
      </c>
      <c r="L13" s="110">
        <f>TrRoad_act!L67</f>
        <v>11634</v>
      </c>
      <c r="M13" s="110">
        <f>TrRoad_act!M67</f>
        <v>11277</v>
      </c>
      <c r="N13" s="110">
        <f>TrRoad_act!N67</f>
        <v>10986</v>
      </c>
      <c r="O13" s="110">
        <f>TrRoad_act!O67</f>
        <v>10464</v>
      </c>
      <c r="P13" s="110">
        <f>TrRoad_act!P67</f>
        <v>9922</v>
      </c>
      <c r="Q13" s="110">
        <f>TrRoad_act!Q67</f>
        <v>9597</v>
      </c>
      <c r="R13" s="110">
        <f>TrRoad_act!R67</f>
        <v>9411</v>
      </c>
      <c r="S13" s="110">
        <f>TrRoad_act!S67</f>
        <v>9822</v>
      </c>
      <c r="T13" s="110">
        <f>TrRoad_act!T67</f>
        <v>9914</v>
      </c>
      <c r="U13" s="110">
        <f>TrRoad_act!U67</f>
        <v>10722</v>
      </c>
      <c r="V13" s="110">
        <f>TrRoad_act!V67</f>
        <v>10556</v>
      </c>
      <c r="W13" s="110">
        <f>TrRoad_act!W67</f>
        <v>10191</v>
      </c>
      <c r="X13" s="110">
        <f>TrRoad_act!X67</f>
        <v>10495</v>
      </c>
      <c r="Y13" s="110">
        <f>TrRoad_act!Y67</f>
        <v>10371</v>
      </c>
      <c r="DA13" s="176" t="s">
        <v>510</v>
      </c>
    </row>
    <row r="14" spans="1:105" ht="11.45" customHeight="1" x14ac:dyDescent="0.25">
      <c r="A14" s="111" t="s">
        <v>110</v>
      </c>
      <c r="B14" s="102">
        <f>TrRoad_act!B68</f>
        <v>14</v>
      </c>
      <c r="C14" s="102">
        <f>TrRoad_act!C68</f>
        <v>18</v>
      </c>
      <c r="D14" s="102">
        <f>TrRoad_act!D68</f>
        <v>22</v>
      </c>
      <c r="E14" s="102">
        <f>TrRoad_act!E68</f>
        <v>26</v>
      </c>
      <c r="F14" s="102">
        <f>TrRoad_act!F68</f>
        <v>25</v>
      </c>
      <c r="G14" s="102">
        <f>TrRoad_act!G68</f>
        <v>27</v>
      </c>
      <c r="H14" s="102">
        <f>TrRoad_act!H68</f>
        <v>28</v>
      </c>
      <c r="I14" s="102">
        <f>TrRoad_act!I68</f>
        <v>30</v>
      </c>
      <c r="J14" s="102">
        <f>TrRoad_act!J68</f>
        <v>30</v>
      </c>
      <c r="K14" s="102">
        <f>TrRoad_act!K68</f>
        <v>31</v>
      </c>
      <c r="L14" s="102">
        <f>TrRoad_act!L68</f>
        <v>34</v>
      </c>
      <c r="M14" s="102">
        <f>TrRoad_act!M68</f>
        <v>28</v>
      </c>
      <c r="N14" s="102">
        <f>TrRoad_act!N68</f>
        <v>17</v>
      </c>
      <c r="O14" s="102">
        <f>TrRoad_act!O68</f>
        <v>15</v>
      </c>
      <c r="P14" s="102">
        <f>TrRoad_act!P68</f>
        <v>14</v>
      </c>
      <c r="Q14" s="102">
        <f>TrRoad_act!Q68</f>
        <v>23</v>
      </c>
      <c r="R14" s="102">
        <f>TrRoad_act!R68</f>
        <v>28</v>
      </c>
      <c r="S14" s="102">
        <f>TrRoad_act!S68</f>
        <v>25</v>
      </c>
      <c r="T14" s="102">
        <f>TrRoad_act!T68</f>
        <v>23</v>
      </c>
      <c r="U14" s="102">
        <f>TrRoad_act!U68</f>
        <v>113</v>
      </c>
      <c r="V14" s="102">
        <f>TrRoad_act!V68</f>
        <v>109</v>
      </c>
      <c r="W14" s="102">
        <f>TrRoad_act!W68</f>
        <v>126</v>
      </c>
      <c r="X14" s="102">
        <f>TrRoad_act!X68</f>
        <v>155</v>
      </c>
      <c r="Y14" s="102">
        <f>TrRoad_act!Y68</f>
        <v>156</v>
      </c>
      <c r="DA14" s="175" t="s">
        <v>511</v>
      </c>
    </row>
    <row r="15" spans="1:105" ht="11.45" customHeight="1" x14ac:dyDescent="0.25">
      <c r="A15" s="111" t="s">
        <v>111</v>
      </c>
      <c r="B15" s="102">
        <f>TrRoad_act!B69</f>
        <v>10950</v>
      </c>
      <c r="C15" s="102">
        <f>TrRoad_act!C69</f>
        <v>11120</v>
      </c>
      <c r="D15" s="102">
        <f>TrRoad_act!D69</f>
        <v>11081</v>
      </c>
      <c r="E15" s="102">
        <f>TrRoad_act!E69</f>
        <v>11153</v>
      </c>
      <c r="F15" s="102">
        <f>TrRoad_act!F69</f>
        <v>11125</v>
      </c>
      <c r="G15" s="102">
        <f>TrRoad_act!G69</f>
        <v>10974</v>
      </c>
      <c r="H15" s="102">
        <f>TrRoad_act!H69</f>
        <v>10733</v>
      </c>
      <c r="I15" s="102">
        <f>TrRoad_act!I69</f>
        <v>10577</v>
      </c>
      <c r="J15" s="102">
        <f>TrRoad_act!J69</f>
        <v>10787</v>
      </c>
      <c r="K15" s="102">
        <f>TrRoad_act!K69</f>
        <v>10895</v>
      </c>
      <c r="L15" s="102">
        <f>TrRoad_act!L69</f>
        <v>11077</v>
      </c>
      <c r="M15" s="102">
        <f>TrRoad_act!M69</f>
        <v>10489</v>
      </c>
      <c r="N15" s="102">
        <f>TrRoad_act!N69</f>
        <v>10013</v>
      </c>
      <c r="O15" s="102">
        <f>TrRoad_act!O69</f>
        <v>8795</v>
      </c>
      <c r="P15" s="102">
        <f>TrRoad_act!P69</f>
        <v>8214</v>
      </c>
      <c r="Q15" s="102">
        <f>TrRoad_act!Q69</f>
        <v>7753</v>
      </c>
      <c r="R15" s="102">
        <f>TrRoad_act!R69</f>
        <v>7331</v>
      </c>
      <c r="S15" s="102">
        <f>TrRoad_act!S69</f>
        <v>7489</v>
      </c>
      <c r="T15" s="102">
        <f>TrRoad_act!T69</f>
        <v>7340</v>
      </c>
      <c r="U15" s="102">
        <f>TrRoad_act!U69</f>
        <v>7463</v>
      </c>
      <c r="V15" s="102">
        <f>TrRoad_act!V69</f>
        <v>6597</v>
      </c>
      <c r="W15" s="102">
        <f>TrRoad_act!W69</f>
        <v>5902</v>
      </c>
      <c r="X15" s="102">
        <f>TrRoad_act!X69</f>
        <v>6038</v>
      </c>
      <c r="Y15" s="102">
        <f>TrRoad_act!Y69</f>
        <v>5857</v>
      </c>
      <c r="DA15" s="175" t="s">
        <v>512</v>
      </c>
    </row>
    <row r="16" spans="1:105" ht="11.45" customHeight="1" x14ac:dyDescent="0.25">
      <c r="A16" s="111" t="s">
        <v>112</v>
      </c>
      <c r="B16" s="102">
        <f>TrRoad_act!B70</f>
        <v>186</v>
      </c>
      <c r="C16" s="102">
        <f>TrRoad_act!C70</f>
        <v>178</v>
      </c>
      <c r="D16" s="102">
        <f>TrRoad_act!D70</f>
        <v>155</v>
      </c>
      <c r="E16" s="102">
        <f>TrRoad_act!E70</f>
        <v>144</v>
      </c>
      <c r="F16" s="102">
        <f>TrRoad_act!F70</f>
        <v>125</v>
      </c>
      <c r="G16" s="102">
        <f>TrRoad_act!G70</f>
        <v>155</v>
      </c>
      <c r="H16" s="102">
        <f>TrRoad_act!H70</f>
        <v>127</v>
      </c>
      <c r="I16" s="102">
        <f>TrRoad_act!I70</f>
        <v>113</v>
      </c>
      <c r="J16" s="102">
        <f>TrRoad_act!J70</f>
        <v>112</v>
      </c>
      <c r="K16" s="102">
        <f>TrRoad_act!K70</f>
        <v>105</v>
      </c>
      <c r="L16" s="102">
        <f>TrRoad_act!L70</f>
        <v>105</v>
      </c>
      <c r="M16" s="102">
        <f>TrRoad_act!M70</f>
        <v>101</v>
      </c>
      <c r="N16" s="102">
        <f>TrRoad_act!N70</f>
        <v>98</v>
      </c>
      <c r="O16" s="102">
        <f>TrRoad_act!O70</f>
        <v>97</v>
      </c>
      <c r="P16" s="102">
        <f>TrRoad_act!P70</f>
        <v>95</v>
      </c>
      <c r="Q16" s="102">
        <f>TrRoad_act!Q70</f>
        <v>95</v>
      </c>
      <c r="R16" s="102">
        <f>TrRoad_act!R70</f>
        <v>94</v>
      </c>
      <c r="S16" s="102">
        <f>TrRoad_act!S70</f>
        <v>91</v>
      </c>
      <c r="T16" s="102">
        <f>TrRoad_act!T70</f>
        <v>89</v>
      </c>
      <c r="U16" s="102">
        <f>TrRoad_act!U70</f>
        <v>89</v>
      </c>
      <c r="V16" s="102">
        <f>TrRoad_act!V70</f>
        <v>86</v>
      </c>
      <c r="W16" s="102">
        <f>TrRoad_act!W70</f>
        <v>84</v>
      </c>
      <c r="X16" s="102">
        <f>TrRoad_act!X70</f>
        <v>81</v>
      </c>
      <c r="Y16" s="102">
        <f>TrRoad_act!Y70</f>
        <v>79</v>
      </c>
      <c r="DA16" s="175" t="s">
        <v>513</v>
      </c>
    </row>
    <row r="17" spans="1:105" ht="11.45" customHeight="1" x14ac:dyDescent="0.25">
      <c r="A17" s="111" t="s">
        <v>113</v>
      </c>
      <c r="B17" s="102">
        <f>TrRoad_act!B71</f>
        <v>6</v>
      </c>
      <c r="C17" s="102">
        <f>TrRoad_act!C71</f>
        <v>9</v>
      </c>
      <c r="D17" s="102">
        <f>TrRoad_act!D71</f>
        <v>18</v>
      </c>
      <c r="E17" s="102">
        <f>TrRoad_act!E71</f>
        <v>16</v>
      </c>
      <c r="F17" s="102">
        <f>TrRoad_act!F71</f>
        <v>15</v>
      </c>
      <c r="G17" s="102">
        <f>TrRoad_act!G71</f>
        <v>19</v>
      </c>
      <c r="H17" s="102">
        <f>TrRoad_act!H71</f>
        <v>50</v>
      </c>
      <c r="I17" s="102">
        <f>TrRoad_act!I71</f>
        <v>68</v>
      </c>
      <c r="J17" s="102">
        <f>TrRoad_act!J71</f>
        <v>115</v>
      </c>
      <c r="K17" s="102">
        <f>TrRoad_act!K71</f>
        <v>244</v>
      </c>
      <c r="L17" s="102">
        <f>TrRoad_act!L71</f>
        <v>328</v>
      </c>
      <c r="M17" s="102">
        <f>TrRoad_act!M71</f>
        <v>573</v>
      </c>
      <c r="N17" s="102">
        <f>TrRoad_act!N71</f>
        <v>771</v>
      </c>
      <c r="O17" s="102">
        <f>TrRoad_act!O71</f>
        <v>1474</v>
      </c>
      <c r="P17" s="102">
        <f>TrRoad_act!P71</f>
        <v>1519</v>
      </c>
      <c r="Q17" s="102">
        <f>TrRoad_act!Q71</f>
        <v>1632</v>
      </c>
      <c r="R17" s="102">
        <f>TrRoad_act!R71</f>
        <v>1803</v>
      </c>
      <c r="S17" s="102">
        <f>TrRoad_act!S71</f>
        <v>1922</v>
      </c>
      <c r="T17" s="102">
        <f>TrRoad_act!T71</f>
        <v>2062</v>
      </c>
      <c r="U17" s="102">
        <f>TrRoad_act!U71</f>
        <v>2282</v>
      </c>
      <c r="V17" s="102">
        <f>TrRoad_act!V71</f>
        <v>2558</v>
      </c>
      <c r="W17" s="102">
        <f>TrRoad_act!W71</f>
        <v>2728</v>
      </c>
      <c r="X17" s="102">
        <f>TrRoad_act!X71</f>
        <v>2777</v>
      </c>
      <c r="Y17" s="102">
        <f>TrRoad_act!Y71</f>
        <v>2693</v>
      </c>
      <c r="DA17" s="175" t="s">
        <v>514</v>
      </c>
    </row>
    <row r="18" spans="1:105" ht="11.45" customHeight="1" x14ac:dyDescent="0.25">
      <c r="A18" s="111" t="s">
        <v>115</v>
      </c>
      <c r="B18" s="102">
        <f>TrRoad_act!B72</f>
        <v>50</v>
      </c>
      <c r="C18" s="102">
        <f>TrRoad_act!C72</f>
        <v>44</v>
      </c>
      <c r="D18" s="102">
        <f>TrRoad_act!D72</f>
        <v>50</v>
      </c>
      <c r="E18" s="102">
        <f>TrRoad_act!E72</f>
        <v>43</v>
      </c>
      <c r="F18" s="102">
        <f>TrRoad_act!F72</f>
        <v>54</v>
      </c>
      <c r="G18" s="102">
        <f>TrRoad_act!G72</f>
        <v>56</v>
      </c>
      <c r="H18" s="102">
        <f>TrRoad_act!H72</f>
        <v>57</v>
      </c>
      <c r="I18" s="102">
        <f>TrRoad_act!I72</f>
        <v>57</v>
      </c>
      <c r="J18" s="102">
        <f>TrRoad_act!J72</f>
        <v>47</v>
      </c>
      <c r="K18" s="102">
        <f>TrRoad_act!K72</f>
        <v>57</v>
      </c>
      <c r="L18" s="102">
        <f>TrRoad_act!L72</f>
        <v>90</v>
      </c>
      <c r="M18" s="102">
        <f>TrRoad_act!M72</f>
        <v>86</v>
      </c>
      <c r="N18" s="102">
        <f>TrRoad_act!N72</f>
        <v>87</v>
      </c>
      <c r="O18" s="102">
        <f>TrRoad_act!O72</f>
        <v>83</v>
      </c>
      <c r="P18" s="102">
        <f>TrRoad_act!P72</f>
        <v>80</v>
      </c>
      <c r="Q18" s="102">
        <f>TrRoad_act!Q72</f>
        <v>94</v>
      </c>
      <c r="R18" s="102">
        <f>TrRoad_act!R72</f>
        <v>155</v>
      </c>
      <c r="S18" s="102">
        <f>TrRoad_act!S72</f>
        <v>295</v>
      </c>
      <c r="T18" s="102">
        <f>TrRoad_act!T72</f>
        <v>400</v>
      </c>
      <c r="U18" s="102">
        <f>TrRoad_act!U72</f>
        <v>775</v>
      </c>
      <c r="V18" s="102">
        <f>TrRoad_act!V72</f>
        <v>1206</v>
      </c>
      <c r="W18" s="102">
        <f>TrRoad_act!W72</f>
        <v>1351</v>
      </c>
      <c r="X18" s="102">
        <f>TrRoad_act!X72</f>
        <v>1444</v>
      </c>
      <c r="Y18" s="102">
        <f>TrRoad_act!Y72</f>
        <v>1586</v>
      </c>
      <c r="DA18" s="175" t="s">
        <v>515</v>
      </c>
    </row>
    <row r="19" spans="1:105" ht="11.45" customHeight="1" x14ac:dyDescent="0.25">
      <c r="A19" s="27" t="s">
        <v>34</v>
      </c>
      <c r="B19" s="28">
        <f>TrRoad_act!B73</f>
        <v>809779</v>
      </c>
      <c r="C19" s="28">
        <f>TrRoad_act!C73</f>
        <v>873217</v>
      </c>
      <c r="D19" s="28">
        <f>TrRoad_act!D73</f>
        <v>915422</v>
      </c>
      <c r="E19" s="28">
        <f>TrRoad_act!E73</f>
        <v>951806</v>
      </c>
      <c r="F19" s="28">
        <f>TrRoad_act!F73</f>
        <v>967814</v>
      </c>
      <c r="G19" s="28">
        <f>TrRoad_act!G73</f>
        <v>996746</v>
      </c>
      <c r="H19" s="28">
        <f>TrRoad_act!H73</f>
        <v>965363</v>
      </c>
      <c r="I19" s="28">
        <f>TrRoad_act!I73</f>
        <v>960477</v>
      </c>
      <c r="J19" s="28">
        <f>TrRoad_act!J73</f>
        <v>973323</v>
      </c>
      <c r="K19" s="28">
        <f>TrRoad_act!K73</f>
        <v>991929</v>
      </c>
      <c r="L19" s="28">
        <f>TrRoad_act!L73</f>
        <v>988419</v>
      </c>
      <c r="M19" s="28">
        <f>TrRoad_act!M73</f>
        <v>975099</v>
      </c>
      <c r="N19" s="28">
        <f>TrRoad_act!N73</f>
        <v>964495</v>
      </c>
      <c r="O19" s="28">
        <f>TrRoad_act!O73</f>
        <v>927424</v>
      </c>
      <c r="P19" s="28">
        <f>TrRoad_act!P73</f>
        <v>925467</v>
      </c>
      <c r="Q19" s="28">
        <f>TrRoad_act!Q73</f>
        <v>940108</v>
      </c>
      <c r="R19" s="28">
        <f>TrRoad_act!R73</f>
        <v>969416</v>
      </c>
      <c r="S19" s="28">
        <f>TrRoad_act!S73</f>
        <v>1001959</v>
      </c>
      <c r="T19" s="28">
        <f>TrRoad_act!T73</f>
        <v>1023804</v>
      </c>
      <c r="U19" s="28">
        <f>TrRoad_act!U73</f>
        <v>1052649</v>
      </c>
      <c r="V19" s="28">
        <f>TrRoad_act!V73</f>
        <v>1071091</v>
      </c>
      <c r="W19" s="28">
        <f>TrRoad_act!W73</f>
        <v>1101535</v>
      </c>
      <c r="X19" s="28">
        <f>TrRoad_act!X73</f>
        <v>1124085</v>
      </c>
      <c r="Y19" s="28">
        <f>TrRoad_act!Y73</f>
        <v>1142748</v>
      </c>
      <c r="DA19" s="173" t="s">
        <v>516</v>
      </c>
    </row>
    <row r="20" spans="1:105" ht="11.45" customHeight="1" x14ac:dyDescent="0.25">
      <c r="A20" s="136" t="s">
        <v>153</v>
      </c>
      <c r="B20" s="137">
        <f>TrRoad_act!B74</f>
        <v>696135</v>
      </c>
      <c r="C20" s="137">
        <f>TrRoad_act!C74</f>
        <v>755776</v>
      </c>
      <c r="D20" s="137">
        <f>TrRoad_act!D74</f>
        <v>797594</v>
      </c>
      <c r="E20" s="137">
        <f>TrRoad_act!E74</f>
        <v>835710</v>
      </c>
      <c r="F20" s="137">
        <f>TrRoad_act!F74</f>
        <v>866753</v>
      </c>
      <c r="G20" s="137">
        <f>TrRoad_act!G74</f>
        <v>893455</v>
      </c>
      <c r="H20" s="137">
        <f>TrRoad_act!H74</f>
        <v>862974</v>
      </c>
      <c r="I20" s="137">
        <f>TrRoad_act!I74</f>
        <v>849348</v>
      </c>
      <c r="J20" s="137">
        <f>TrRoad_act!J74</f>
        <v>862303</v>
      </c>
      <c r="K20" s="137">
        <f>TrRoad_act!K74</f>
        <v>876170</v>
      </c>
      <c r="L20" s="137">
        <f>TrRoad_act!L74</f>
        <v>872355</v>
      </c>
      <c r="M20" s="137">
        <f>TrRoad_act!M74</f>
        <v>861250</v>
      </c>
      <c r="N20" s="137">
        <f>TrRoad_act!N74</f>
        <v>849666</v>
      </c>
      <c r="O20" s="137">
        <f>TrRoad_act!O74</f>
        <v>815169</v>
      </c>
      <c r="P20" s="137">
        <f>TrRoad_act!P74</f>
        <v>814954</v>
      </c>
      <c r="Q20" s="137">
        <f>TrRoad_act!Q74</f>
        <v>828383</v>
      </c>
      <c r="R20" s="137">
        <f>TrRoad_act!R74</f>
        <v>852632</v>
      </c>
      <c r="S20" s="137">
        <f>TrRoad_act!S74</f>
        <v>883350</v>
      </c>
      <c r="T20" s="137">
        <f>TrRoad_act!T74</f>
        <v>903005</v>
      </c>
      <c r="U20" s="137">
        <f>TrRoad_act!U74</f>
        <v>927251</v>
      </c>
      <c r="V20" s="137">
        <f>TrRoad_act!V74</f>
        <v>945433</v>
      </c>
      <c r="W20" s="137">
        <f>TrRoad_act!W74</f>
        <v>974792</v>
      </c>
      <c r="X20" s="137">
        <f>TrRoad_act!X74</f>
        <v>989841</v>
      </c>
      <c r="Y20" s="137">
        <f>TrRoad_act!Y74</f>
        <v>1006477</v>
      </c>
      <c r="DA20" s="174" t="s">
        <v>517</v>
      </c>
    </row>
    <row r="21" spans="1:105" ht="11.45" customHeight="1" x14ac:dyDescent="0.25">
      <c r="A21" s="111" t="s">
        <v>110</v>
      </c>
      <c r="B21" s="84">
        <f>TrRoad_act!B75</f>
        <v>71434</v>
      </c>
      <c r="C21" s="84">
        <f>TrRoad_act!C75</f>
        <v>65762</v>
      </c>
      <c r="D21" s="84">
        <f>TrRoad_act!D75</f>
        <v>60062</v>
      </c>
      <c r="E21" s="84">
        <f>TrRoad_act!E75</f>
        <v>54833</v>
      </c>
      <c r="F21" s="84">
        <f>TrRoad_act!F75</f>
        <v>49915</v>
      </c>
      <c r="G21" s="84">
        <f>TrRoad_act!G75</f>
        <v>47861</v>
      </c>
      <c r="H21" s="84">
        <f>TrRoad_act!H75</f>
        <v>42439</v>
      </c>
      <c r="I21" s="84">
        <f>TrRoad_act!I75</f>
        <v>37753</v>
      </c>
      <c r="J21" s="84">
        <f>TrRoad_act!J75</f>
        <v>35284</v>
      </c>
      <c r="K21" s="84">
        <f>TrRoad_act!K75</f>
        <v>33640</v>
      </c>
      <c r="L21" s="84">
        <f>TrRoad_act!L75</f>
        <v>31768</v>
      </c>
      <c r="M21" s="84">
        <f>TrRoad_act!M75</f>
        <v>30049</v>
      </c>
      <c r="N21" s="84">
        <f>TrRoad_act!N75</f>
        <v>28582</v>
      </c>
      <c r="O21" s="84">
        <f>TrRoad_act!O75</f>
        <v>25686</v>
      </c>
      <c r="P21" s="84">
        <f>TrRoad_act!P75</f>
        <v>25372</v>
      </c>
      <c r="Q21" s="84">
        <f>TrRoad_act!Q75</f>
        <v>25464</v>
      </c>
      <c r="R21" s="84">
        <f>TrRoad_act!R75</f>
        <v>26137</v>
      </c>
      <c r="S21" s="84">
        <f>TrRoad_act!S75</f>
        <v>27022</v>
      </c>
      <c r="T21" s="84">
        <f>TrRoad_act!T75</f>
        <v>26291</v>
      </c>
      <c r="U21" s="84">
        <f>TrRoad_act!U75</f>
        <v>28026</v>
      </c>
      <c r="V21" s="84">
        <f>TrRoad_act!V75</f>
        <v>30127</v>
      </c>
      <c r="W21" s="84">
        <f>TrRoad_act!W75</f>
        <v>33036</v>
      </c>
      <c r="X21" s="84">
        <f>TrRoad_act!X75</f>
        <v>35203</v>
      </c>
      <c r="Y21" s="84">
        <f>TrRoad_act!Y75</f>
        <v>37799</v>
      </c>
      <c r="DA21" s="171" t="s">
        <v>518</v>
      </c>
    </row>
    <row r="22" spans="1:105" ht="11.45" customHeight="1" x14ac:dyDescent="0.25">
      <c r="A22" s="111" t="s">
        <v>111</v>
      </c>
      <c r="B22" s="84">
        <f>TrRoad_act!B76</f>
        <v>601332</v>
      </c>
      <c r="C22" s="84">
        <f>TrRoad_act!C76</f>
        <v>666498</v>
      </c>
      <c r="D22" s="84">
        <f>TrRoad_act!D76</f>
        <v>714126</v>
      </c>
      <c r="E22" s="84">
        <f>TrRoad_act!E76</f>
        <v>757999</v>
      </c>
      <c r="F22" s="84">
        <f>TrRoad_act!F76</f>
        <v>794846</v>
      </c>
      <c r="G22" s="84">
        <f>TrRoad_act!G76</f>
        <v>826524</v>
      </c>
      <c r="H22" s="84">
        <f>TrRoad_act!H76</f>
        <v>803023</v>
      </c>
      <c r="I22" s="84">
        <f>TrRoad_act!I76</f>
        <v>794504</v>
      </c>
      <c r="J22" s="84">
        <f>TrRoad_act!J76</f>
        <v>809945</v>
      </c>
      <c r="K22" s="84">
        <f>TrRoad_act!K76</f>
        <v>825102</v>
      </c>
      <c r="L22" s="84">
        <f>TrRoad_act!L76</f>
        <v>823018</v>
      </c>
      <c r="M22" s="84">
        <f>TrRoad_act!M76</f>
        <v>813346</v>
      </c>
      <c r="N22" s="84">
        <f>TrRoad_act!N76</f>
        <v>802792</v>
      </c>
      <c r="O22" s="84">
        <f>TrRoad_act!O76</f>
        <v>770747</v>
      </c>
      <c r="P22" s="84">
        <f>TrRoad_act!P76</f>
        <v>770207</v>
      </c>
      <c r="Q22" s="84">
        <f>TrRoad_act!Q76</f>
        <v>783272</v>
      </c>
      <c r="R22" s="84">
        <f>TrRoad_act!R76</f>
        <v>807639</v>
      </c>
      <c r="S22" s="84">
        <f>TrRoad_act!S76</f>
        <v>835674</v>
      </c>
      <c r="T22" s="84">
        <f>TrRoad_act!T76</f>
        <v>851922</v>
      </c>
      <c r="U22" s="84">
        <f>TrRoad_act!U76</f>
        <v>868043</v>
      </c>
      <c r="V22" s="84">
        <f>TrRoad_act!V76</f>
        <v>881474</v>
      </c>
      <c r="W22" s="84">
        <f>TrRoad_act!W76</f>
        <v>907555</v>
      </c>
      <c r="X22" s="84">
        <f>TrRoad_act!X76</f>
        <v>914224</v>
      </c>
      <c r="Y22" s="84">
        <f>TrRoad_act!Y76</f>
        <v>919240</v>
      </c>
      <c r="DA22" s="171" t="s">
        <v>519</v>
      </c>
    </row>
    <row r="23" spans="1:105" ht="11.45" customHeight="1" x14ac:dyDescent="0.25">
      <c r="A23" s="111" t="s">
        <v>112</v>
      </c>
      <c r="B23" s="84">
        <f>TrRoad_act!B77</f>
        <v>23369</v>
      </c>
      <c r="C23" s="84">
        <f>TrRoad_act!C77</f>
        <v>23516</v>
      </c>
      <c r="D23" s="84">
        <f>TrRoad_act!D77</f>
        <v>23406</v>
      </c>
      <c r="E23" s="84">
        <f>TrRoad_act!E77</f>
        <v>22794</v>
      </c>
      <c r="F23" s="84">
        <f>TrRoad_act!F77</f>
        <v>21756</v>
      </c>
      <c r="G23" s="84">
        <f>TrRoad_act!G77</f>
        <v>18847</v>
      </c>
      <c r="H23" s="84">
        <f>TrRoad_act!H77</f>
        <v>17292</v>
      </c>
      <c r="I23" s="84">
        <f>TrRoad_act!I77</f>
        <v>16591</v>
      </c>
      <c r="J23" s="84">
        <f>TrRoad_act!J77</f>
        <v>16574</v>
      </c>
      <c r="K23" s="84">
        <f>TrRoad_act!K77</f>
        <v>16585</v>
      </c>
      <c r="L23" s="84">
        <f>TrRoad_act!L77</f>
        <v>16379</v>
      </c>
      <c r="M23" s="84">
        <f>TrRoad_act!M77</f>
        <v>16293</v>
      </c>
      <c r="N23" s="84">
        <f>TrRoad_act!N77</f>
        <v>16094</v>
      </c>
      <c r="O23" s="84">
        <f>TrRoad_act!O77</f>
        <v>15894</v>
      </c>
      <c r="P23" s="84">
        <f>TrRoad_act!P77</f>
        <v>15605</v>
      </c>
      <c r="Q23" s="84">
        <f>TrRoad_act!Q77</f>
        <v>15468</v>
      </c>
      <c r="R23" s="84">
        <f>TrRoad_act!R77</f>
        <v>15720</v>
      </c>
      <c r="S23" s="84">
        <f>TrRoad_act!S77</f>
        <v>16306</v>
      </c>
      <c r="T23" s="84">
        <f>TrRoad_act!T77</f>
        <v>17579</v>
      </c>
      <c r="U23" s="84">
        <f>TrRoad_act!U77</f>
        <v>22533</v>
      </c>
      <c r="V23" s="84">
        <f>TrRoad_act!V77</f>
        <v>23460</v>
      </c>
      <c r="W23" s="84">
        <f>TrRoad_act!W77</f>
        <v>21081</v>
      </c>
      <c r="X23" s="84">
        <f>TrRoad_act!X77</f>
        <v>22749</v>
      </c>
      <c r="Y23" s="84">
        <f>TrRoad_act!Y77</f>
        <v>23112</v>
      </c>
      <c r="DA23" s="171" t="s">
        <v>520</v>
      </c>
    </row>
    <row r="24" spans="1:105" ht="11.45" customHeight="1" x14ac:dyDescent="0.25">
      <c r="A24" s="111" t="s">
        <v>113</v>
      </c>
      <c r="B24" s="84">
        <f>TrRoad_act!B78</f>
        <v>0</v>
      </c>
      <c r="C24" s="84">
        <f>TrRoad_act!C78</f>
        <v>0</v>
      </c>
      <c r="D24" s="84">
        <f>TrRoad_act!D78</f>
        <v>0</v>
      </c>
      <c r="E24" s="84">
        <f>TrRoad_act!E78</f>
        <v>84</v>
      </c>
      <c r="F24" s="84">
        <f>TrRoad_act!F78</f>
        <v>236</v>
      </c>
      <c r="G24" s="84">
        <f>TrRoad_act!G78</f>
        <v>223</v>
      </c>
      <c r="H24" s="84">
        <f>TrRoad_act!H78</f>
        <v>220</v>
      </c>
      <c r="I24" s="84">
        <f>TrRoad_act!I78</f>
        <v>500</v>
      </c>
      <c r="J24" s="84">
        <f>TrRoad_act!J78</f>
        <v>500</v>
      </c>
      <c r="K24" s="84">
        <f>TrRoad_act!K78</f>
        <v>843</v>
      </c>
      <c r="L24" s="84">
        <f>TrRoad_act!L78</f>
        <v>1190</v>
      </c>
      <c r="M24" s="84">
        <f>TrRoad_act!M78</f>
        <v>1546</v>
      </c>
      <c r="N24" s="84">
        <f>TrRoad_act!N78</f>
        <v>1803</v>
      </c>
      <c r="O24" s="84">
        <f>TrRoad_act!O78</f>
        <v>2173</v>
      </c>
      <c r="P24" s="84">
        <f>TrRoad_act!P78</f>
        <v>2512</v>
      </c>
      <c r="Q24" s="84">
        <f>TrRoad_act!Q78</f>
        <v>2719</v>
      </c>
      <c r="R24" s="84">
        <f>TrRoad_act!R78</f>
        <v>1590</v>
      </c>
      <c r="S24" s="84">
        <f>TrRoad_act!S78</f>
        <v>2192</v>
      </c>
      <c r="T24" s="84">
        <f>TrRoad_act!T78</f>
        <v>4100</v>
      </c>
      <c r="U24" s="84">
        <f>TrRoad_act!U78</f>
        <v>4306</v>
      </c>
      <c r="V24" s="84">
        <f>TrRoad_act!V78</f>
        <v>4434</v>
      </c>
      <c r="W24" s="84">
        <f>TrRoad_act!W78</f>
        <v>4142</v>
      </c>
      <c r="X24" s="84">
        <f>TrRoad_act!X78</f>
        <v>3972</v>
      </c>
      <c r="Y24" s="84">
        <f>TrRoad_act!Y78</f>
        <v>2773</v>
      </c>
      <c r="DA24" s="171" t="s">
        <v>521</v>
      </c>
    </row>
    <row r="25" spans="1:105" ht="11.45" customHeight="1" x14ac:dyDescent="0.25">
      <c r="A25" s="111" t="s">
        <v>115</v>
      </c>
      <c r="B25" s="84">
        <f>TrRoad_act!B79</f>
        <v>0</v>
      </c>
      <c r="C25" s="84">
        <f>TrRoad_act!C79</f>
        <v>0</v>
      </c>
      <c r="D25" s="84">
        <f>TrRoad_act!D79</f>
        <v>0</v>
      </c>
      <c r="E25" s="84">
        <f>TrRoad_act!E79</f>
        <v>0</v>
      </c>
      <c r="F25" s="84">
        <f>TrRoad_act!F79</f>
        <v>0</v>
      </c>
      <c r="G25" s="84">
        <f>TrRoad_act!G79</f>
        <v>0</v>
      </c>
      <c r="H25" s="84">
        <f>TrRoad_act!H79</f>
        <v>0</v>
      </c>
      <c r="I25" s="84">
        <f>TrRoad_act!I79</f>
        <v>0</v>
      </c>
      <c r="J25" s="84">
        <f>TrRoad_act!J79</f>
        <v>0</v>
      </c>
      <c r="K25" s="84">
        <f>TrRoad_act!K79</f>
        <v>0</v>
      </c>
      <c r="L25" s="84">
        <f>TrRoad_act!L79</f>
        <v>0</v>
      </c>
      <c r="M25" s="84">
        <f>TrRoad_act!M79</f>
        <v>16</v>
      </c>
      <c r="N25" s="84">
        <f>TrRoad_act!N79</f>
        <v>395</v>
      </c>
      <c r="O25" s="84">
        <f>TrRoad_act!O79</f>
        <v>669</v>
      </c>
      <c r="P25" s="84">
        <f>TrRoad_act!P79</f>
        <v>1258</v>
      </c>
      <c r="Q25" s="84">
        <f>TrRoad_act!Q79</f>
        <v>1460</v>
      </c>
      <c r="R25" s="84">
        <f>TrRoad_act!R79</f>
        <v>1546</v>
      </c>
      <c r="S25" s="84">
        <f>TrRoad_act!S79</f>
        <v>2156</v>
      </c>
      <c r="T25" s="84">
        <f>TrRoad_act!T79</f>
        <v>3113</v>
      </c>
      <c r="U25" s="84">
        <f>TrRoad_act!U79</f>
        <v>4343</v>
      </c>
      <c r="V25" s="84">
        <f>TrRoad_act!V79</f>
        <v>5938</v>
      </c>
      <c r="W25" s="84">
        <f>TrRoad_act!W79</f>
        <v>8978</v>
      </c>
      <c r="X25" s="84">
        <f>TrRoad_act!X79</f>
        <v>13693</v>
      </c>
      <c r="Y25" s="84">
        <f>TrRoad_act!Y79</f>
        <v>23553</v>
      </c>
      <c r="DA25" s="171" t="s">
        <v>522</v>
      </c>
    </row>
    <row r="26" spans="1:105" ht="11.45" customHeight="1" x14ac:dyDescent="0.25">
      <c r="A26" s="109" t="s">
        <v>154</v>
      </c>
      <c r="B26" s="110">
        <f>TrRoad_act!B80</f>
        <v>113644</v>
      </c>
      <c r="C26" s="110">
        <f>TrRoad_act!C80</f>
        <v>117441</v>
      </c>
      <c r="D26" s="110">
        <f>TrRoad_act!D80</f>
        <v>117828</v>
      </c>
      <c r="E26" s="110">
        <f>TrRoad_act!E80</f>
        <v>116096</v>
      </c>
      <c r="F26" s="110">
        <f>TrRoad_act!F80</f>
        <v>101061</v>
      </c>
      <c r="G26" s="110">
        <f>TrRoad_act!G80</f>
        <v>103291</v>
      </c>
      <c r="H26" s="110">
        <f>TrRoad_act!H80</f>
        <v>102389</v>
      </c>
      <c r="I26" s="110">
        <f>TrRoad_act!I80</f>
        <v>111129</v>
      </c>
      <c r="J26" s="110">
        <f>TrRoad_act!J80</f>
        <v>111020</v>
      </c>
      <c r="K26" s="110">
        <f>TrRoad_act!K80</f>
        <v>115759</v>
      </c>
      <c r="L26" s="110">
        <f>TrRoad_act!L80</f>
        <v>116064</v>
      </c>
      <c r="M26" s="110">
        <f>TrRoad_act!M80</f>
        <v>113849</v>
      </c>
      <c r="N26" s="110">
        <f>TrRoad_act!N80</f>
        <v>114829</v>
      </c>
      <c r="O26" s="110">
        <f>TrRoad_act!O80</f>
        <v>112255</v>
      </c>
      <c r="P26" s="110">
        <f>TrRoad_act!P80</f>
        <v>110513</v>
      </c>
      <c r="Q26" s="110">
        <f>TrRoad_act!Q80</f>
        <v>111725</v>
      </c>
      <c r="R26" s="110">
        <f>TrRoad_act!R80</f>
        <v>116784</v>
      </c>
      <c r="S26" s="110">
        <f>TrRoad_act!S80</f>
        <v>118609</v>
      </c>
      <c r="T26" s="110">
        <f>TrRoad_act!T80</f>
        <v>120799</v>
      </c>
      <c r="U26" s="110">
        <f>TrRoad_act!U80</f>
        <v>125398</v>
      </c>
      <c r="V26" s="110">
        <f>TrRoad_act!V80</f>
        <v>125658</v>
      </c>
      <c r="W26" s="110">
        <f>TrRoad_act!W80</f>
        <v>126743</v>
      </c>
      <c r="X26" s="110">
        <f>TrRoad_act!X80</f>
        <v>134244</v>
      </c>
      <c r="Y26" s="110">
        <f>TrRoad_act!Y80</f>
        <v>136271</v>
      </c>
      <c r="DA26" s="176" t="s">
        <v>837</v>
      </c>
    </row>
    <row r="27" spans="1:105" ht="11.45" customHeight="1" x14ac:dyDescent="0.25">
      <c r="A27" s="128" t="s">
        <v>27</v>
      </c>
      <c r="B27" s="102">
        <f>TrRoad_act!B81</f>
        <v>102971</v>
      </c>
      <c r="C27" s="102">
        <f>TrRoad_act!C81</f>
        <v>105998</v>
      </c>
      <c r="D27" s="102">
        <f>TrRoad_act!D81</f>
        <v>105790</v>
      </c>
      <c r="E27" s="102">
        <f>TrRoad_act!E81</f>
        <v>103792</v>
      </c>
      <c r="F27" s="102">
        <f>TrRoad_act!F81</f>
        <v>86513</v>
      </c>
      <c r="G27" s="102">
        <f>TrRoad_act!G81</f>
        <v>88232</v>
      </c>
      <c r="H27" s="102">
        <f>TrRoad_act!H81</f>
        <v>86461</v>
      </c>
      <c r="I27" s="102">
        <f>TrRoad_act!I81</f>
        <v>95044</v>
      </c>
      <c r="J27" s="102">
        <f>TrRoad_act!J81</f>
        <v>94652</v>
      </c>
      <c r="K27" s="102">
        <f>TrRoad_act!K81</f>
        <v>100642</v>
      </c>
      <c r="L27" s="102">
        <f>TrRoad_act!L81</f>
        <v>100210</v>
      </c>
      <c r="M27" s="102">
        <f>TrRoad_act!M81</f>
        <v>98186</v>
      </c>
      <c r="N27" s="102">
        <f>TrRoad_act!N81</f>
        <v>99526</v>
      </c>
      <c r="O27" s="102">
        <f>TrRoad_act!O81</f>
        <v>96659</v>
      </c>
      <c r="P27" s="102">
        <f>TrRoad_act!P81</f>
        <v>94462</v>
      </c>
      <c r="Q27" s="102">
        <f>TrRoad_act!Q81</f>
        <v>95313</v>
      </c>
      <c r="R27" s="102">
        <f>TrRoad_act!R81</f>
        <v>99257</v>
      </c>
      <c r="S27" s="102">
        <f>TrRoad_act!S81</f>
        <v>100902</v>
      </c>
      <c r="T27" s="102">
        <f>TrRoad_act!T81</f>
        <v>103468</v>
      </c>
      <c r="U27" s="102">
        <f>TrRoad_act!U81</f>
        <v>107272</v>
      </c>
      <c r="V27" s="102">
        <f>TrRoad_act!V81</f>
        <v>107033</v>
      </c>
      <c r="W27" s="102">
        <f>TrRoad_act!W81</f>
        <v>108176</v>
      </c>
      <c r="X27" s="102">
        <f>TrRoad_act!X81</f>
        <v>116100</v>
      </c>
      <c r="Y27" s="102">
        <f>TrRoad_act!Y81</f>
        <v>118744</v>
      </c>
      <c r="DA27" s="175" t="s">
        <v>524</v>
      </c>
    </row>
    <row r="28" spans="1:105" ht="11.45" customHeight="1" x14ac:dyDescent="0.25">
      <c r="A28" s="138" t="s">
        <v>116</v>
      </c>
      <c r="B28" s="86">
        <f>TrRoad_act!B82</f>
        <v>10673</v>
      </c>
      <c r="C28" s="86">
        <f>TrRoad_act!C82</f>
        <v>11443</v>
      </c>
      <c r="D28" s="86">
        <f>TrRoad_act!D82</f>
        <v>12038</v>
      </c>
      <c r="E28" s="86">
        <f>TrRoad_act!E82</f>
        <v>12304</v>
      </c>
      <c r="F28" s="86">
        <f>TrRoad_act!F82</f>
        <v>14548</v>
      </c>
      <c r="G28" s="86">
        <f>TrRoad_act!G82</f>
        <v>15059</v>
      </c>
      <c r="H28" s="86">
        <f>TrRoad_act!H82</f>
        <v>15928</v>
      </c>
      <c r="I28" s="86">
        <f>TrRoad_act!I82</f>
        <v>16085</v>
      </c>
      <c r="J28" s="86">
        <f>TrRoad_act!J82</f>
        <v>16368</v>
      </c>
      <c r="K28" s="86">
        <f>TrRoad_act!K82</f>
        <v>15117</v>
      </c>
      <c r="L28" s="86">
        <f>TrRoad_act!L82</f>
        <v>15854</v>
      </c>
      <c r="M28" s="86">
        <f>TrRoad_act!M82</f>
        <v>15663</v>
      </c>
      <c r="N28" s="86">
        <f>TrRoad_act!N82</f>
        <v>15303</v>
      </c>
      <c r="O28" s="86">
        <f>TrRoad_act!O82</f>
        <v>15596</v>
      </c>
      <c r="P28" s="86">
        <f>TrRoad_act!P82</f>
        <v>16051</v>
      </c>
      <c r="Q28" s="86">
        <f>TrRoad_act!Q82</f>
        <v>16412</v>
      </c>
      <c r="R28" s="86">
        <f>TrRoad_act!R82</f>
        <v>17527</v>
      </c>
      <c r="S28" s="86">
        <f>TrRoad_act!S82</f>
        <v>17707</v>
      </c>
      <c r="T28" s="86">
        <f>TrRoad_act!T82</f>
        <v>17331</v>
      </c>
      <c r="U28" s="86">
        <f>TrRoad_act!U82</f>
        <v>18126</v>
      </c>
      <c r="V28" s="86">
        <f>TrRoad_act!V82</f>
        <v>18625</v>
      </c>
      <c r="W28" s="86">
        <f>TrRoad_act!W82</f>
        <v>18567</v>
      </c>
      <c r="X28" s="86">
        <f>TrRoad_act!X82</f>
        <v>18144</v>
      </c>
      <c r="Y28" s="86">
        <f>TrRoad_act!Y82</f>
        <v>17527</v>
      </c>
      <c r="DA28" s="178" t="s">
        <v>525</v>
      </c>
    </row>
    <row r="29" spans="1:105" ht="11.45" customHeight="1" x14ac:dyDescent="0.25">
      <c r="A29" s="106"/>
      <c r="B29" s="106"/>
      <c r="C29" s="106"/>
      <c r="D29" s="106"/>
      <c r="E29" s="106"/>
      <c r="F29" s="106"/>
      <c r="G29" s="106"/>
      <c r="H29" s="106"/>
      <c r="I29" s="106"/>
      <c r="J29" s="106"/>
      <c r="K29" s="106"/>
      <c r="L29" s="106"/>
      <c r="M29" s="106"/>
      <c r="N29" s="106"/>
      <c r="O29" s="106"/>
      <c r="P29" s="106"/>
      <c r="Q29" s="106"/>
      <c r="R29" s="106"/>
      <c r="S29" s="106"/>
      <c r="T29" s="106"/>
      <c r="U29" s="106"/>
      <c r="V29" s="106"/>
      <c r="W29" s="106"/>
      <c r="X29" s="106"/>
      <c r="Y29" s="106"/>
      <c r="DA29" s="171"/>
    </row>
    <row r="30" spans="1:105" ht="11.45" customHeight="1" x14ac:dyDescent="0.25">
      <c r="A30" s="53" t="s">
        <v>117</v>
      </c>
      <c r="B30" s="54">
        <f>TrRoad_act!B111</f>
        <v>742663</v>
      </c>
      <c r="C30" s="54">
        <f>TrRoad_act!C111</f>
        <v>719210</v>
      </c>
      <c r="D30" s="54">
        <f>TrRoad_act!D111</f>
        <v>692477</v>
      </c>
      <c r="E30" s="54">
        <f>TrRoad_act!E111</f>
        <v>633892</v>
      </c>
      <c r="F30" s="54">
        <f>TrRoad_act!F111</f>
        <v>628988</v>
      </c>
      <c r="G30" s="54">
        <f>TrRoad_act!G111</f>
        <v>707007</v>
      </c>
      <c r="H30" s="54">
        <f>TrRoad_act!H111</f>
        <v>835010</v>
      </c>
      <c r="I30" s="54">
        <f>TrRoad_act!I111</f>
        <v>748436</v>
      </c>
      <c r="J30" s="54">
        <f>TrRoad_act!J111</f>
        <v>785285</v>
      </c>
      <c r="K30" s="54">
        <f>TrRoad_act!K111</f>
        <v>773851</v>
      </c>
      <c r="L30" s="54">
        <f>TrRoad_act!L111</f>
        <v>746294</v>
      </c>
      <c r="M30" s="54">
        <f>TrRoad_act!M111</f>
        <v>767770</v>
      </c>
      <c r="N30" s="54">
        <f>TrRoad_act!N111</f>
        <v>730883</v>
      </c>
      <c r="O30" s="54">
        <f>TrRoad_act!O111</f>
        <v>644272</v>
      </c>
      <c r="P30" s="54">
        <f>TrRoad_act!P111</f>
        <v>571581</v>
      </c>
      <c r="Q30" s="54">
        <f>TrRoad_act!Q111</f>
        <v>676731</v>
      </c>
      <c r="R30" s="54">
        <f>TrRoad_act!R111</f>
        <v>612540</v>
      </c>
      <c r="S30" s="54">
        <f>TrRoad_act!S111</f>
        <v>646732</v>
      </c>
      <c r="T30" s="54">
        <f>TrRoad_act!T111</f>
        <v>635655</v>
      </c>
      <c r="U30" s="54">
        <f>TrRoad_act!U111</f>
        <v>690606</v>
      </c>
      <c r="V30" s="54">
        <f>TrRoad_act!V111</f>
        <v>739316</v>
      </c>
      <c r="W30" s="54">
        <f>TrRoad_act!W111</f>
        <v>803894</v>
      </c>
      <c r="X30" s="54">
        <f>TrRoad_act!X111</f>
        <v>882587</v>
      </c>
      <c r="Y30" s="54">
        <f>TrRoad_act!Y111</f>
        <v>882540</v>
      </c>
      <c r="DA30" s="172" t="s">
        <v>526</v>
      </c>
    </row>
    <row r="31" spans="1:105" ht="11.45" customHeight="1" x14ac:dyDescent="0.25">
      <c r="A31" s="27" t="s">
        <v>33</v>
      </c>
      <c r="B31" s="28">
        <f>TrRoad_act!B112</f>
        <v>631783</v>
      </c>
      <c r="C31" s="28">
        <f>TrRoad_act!C112</f>
        <v>611398</v>
      </c>
      <c r="D31" s="28">
        <f>TrRoad_act!D112</f>
        <v>597807</v>
      </c>
      <c r="E31" s="28">
        <f>TrRoad_act!E112</f>
        <v>544806</v>
      </c>
      <c r="F31" s="28">
        <f>TrRoad_act!F112</f>
        <v>544510</v>
      </c>
      <c r="G31" s="28">
        <f>TrRoad_act!G112</f>
        <v>612200</v>
      </c>
      <c r="H31" s="28">
        <f>TrRoad_act!H112</f>
        <v>760961</v>
      </c>
      <c r="I31" s="28">
        <f>TrRoad_act!I112</f>
        <v>671929</v>
      </c>
      <c r="J31" s="28">
        <f>TrRoad_act!J112</f>
        <v>695192</v>
      </c>
      <c r="K31" s="28">
        <f>TrRoad_act!K112</f>
        <v>679326</v>
      </c>
      <c r="L31" s="28">
        <f>TrRoad_act!L112</f>
        <v>684665</v>
      </c>
      <c r="M31" s="28">
        <f>TrRoad_act!M112</f>
        <v>702279</v>
      </c>
      <c r="N31" s="28">
        <f>TrRoad_act!N112</f>
        <v>663408</v>
      </c>
      <c r="O31" s="28">
        <f>TrRoad_act!O112</f>
        <v>580582</v>
      </c>
      <c r="P31" s="28">
        <f>TrRoad_act!P112</f>
        <v>507697</v>
      </c>
      <c r="Q31" s="28">
        <f>TrRoad_act!Q112</f>
        <v>608671</v>
      </c>
      <c r="R31" s="28">
        <f>TrRoad_act!R112</f>
        <v>528274</v>
      </c>
      <c r="S31" s="28">
        <f>TrRoad_act!S112</f>
        <v>559590</v>
      </c>
      <c r="T31" s="28">
        <f>TrRoad_act!T112</f>
        <v>543782</v>
      </c>
      <c r="U31" s="28">
        <f>TrRoad_act!U112</f>
        <v>594891</v>
      </c>
      <c r="V31" s="28">
        <f>TrRoad_act!V112</f>
        <v>665537</v>
      </c>
      <c r="W31" s="28">
        <f>TrRoad_act!W112</f>
        <v>725496</v>
      </c>
      <c r="X31" s="28">
        <f>TrRoad_act!X112</f>
        <v>785868</v>
      </c>
      <c r="Y31" s="28">
        <f>TrRoad_act!Y112</f>
        <v>783240</v>
      </c>
      <c r="DA31" s="173" t="s">
        <v>527</v>
      </c>
    </row>
    <row r="32" spans="1:105" ht="11.45" customHeight="1" x14ac:dyDescent="0.25">
      <c r="A32" s="136" t="s">
        <v>173</v>
      </c>
      <c r="B32" s="137">
        <f>TrRoad_act!B113</f>
        <v>30420</v>
      </c>
      <c r="C32" s="137">
        <f>TrRoad_act!C113</f>
        <v>27221</v>
      </c>
      <c r="D32" s="137">
        <f>TrRoad_act!D113</f>
        <v>80755</v>
      </c>
      <c r="E32" s="137">
        <f>TrRoad_act!E113</f>
        <v>43639</v>
      </c>
      <c r="F32" s="137">
        <f>TrRoad_act!F113</f>
        <v>59832</v>
      </c>
      <c r="G32" s="137">
        <f>TrRoad_act!G113</f>
        <v>138878</v>
      </c>
      <c r="H32" s="137">
        <f>TrRoad_act!H113</f>
        <v>284344</v>
      </c>
      <c r="I32" s="137">
        <f>TrRoad_act!I113</f>
        <v>172213</v>
      </c>
      <c r="J32" s="137">
        <f>TrRoad_act!J113</f>
        <v>199079</v>
      </c>
      <c r="K32" s="137">
        <f>TrRoad_act!K113</f>
        <v>188881</v>
      </c>
      <c r="L32" s="137">
        <f>TrRoad_act!L113</f>
        <v>168700</v>
      </c>
      <c r="M32" s="137">
        <f>TrRoad_act!M113</f>
        <v>107477</v>
      </c>
      <c r="N32" s="137">
        <f>TrRoad_act!N113</f>
        <v>85943</v>
      </c>
      <c r="O32" s="137">
        <f>TrRoad_act!O113</f>
        <v>67515</v>
      </c>
      <c r="P32" s="137">
        <f>TrRoad_act!P113</f>
        <v>73628</v>
      </c>
      <c r="Q32" s="137">
        <f>TrRoad_act!Q113</f>
        <v>82000</v>
      </c>
      <c r="R32" s="137">
        <f>TrRoad_act!R113</f>
        <v>89846</v>
      </c>
      <c r="S32" s="137">
        <f>TrRoad_act!S113</f>
        <v>102895</v>
      </c>
      <c r="T32" s="137">
        <f>TrRoad_act!T113</f>
        <v>78824</v>
      </c>
      <c r="U32" s="137">
        <f>TrRoad_act!U113</f>
        <v>95773</v>
      </c>
      <c r="V32" s="137">
        <f>TrRoad_act!V113</f>
        <v>143759</v>
      </c>
      <c r="W32" s="137">
        <f>TrRoad_act!W113</f>
        <v>25023</v>
      </c>
      <c r="X32" s="137">
        <f>TrRoad_act!X113</f>
        <v>84732</v>
      </c>
      <c r="Y32" s="137">
        <f>TrRoad_act!Y113</f>
        <v>29295</v>
      </c>
      <c r="DA32" s="174" t="s">
        <v>528</v>
      </c>
    </row>
    <row r="33" spans="1:105" ht="11.45" customHeight="1" x14ac:dyDescent="0.25">
      <c r="A33" s="109" t="s">
        <v>20</v>
      </c>
      <c r="B33" s="110">
        <f>TrRoad_act!B114</f>
        <v>600451</v>
      </c>
      <c r="C33" s="110">
        <f>TrRoad_act!C114</f>
        <v>583333</v>
      </c>
      <c r="D33" s="110">
        <f>TrRoad_act!D114</f>
        <v>516357</v>
      </c>
      <c r="E33" s="110">
        <f>TrRoad_act!E114</f>
        <v>500289</v>
      </c>
      <c r="F33" s="110">
        <f>TrRoad_act!F114</f>
        <v>483745</v>
      </c>
      <c r="G33" s="110">
        <f>TrRoad_act!G114</f>
        <v>472187</v>
      </c>
      <c r="H33" s="110">
        <f>TrRoad_act!H114</f>
        <v>475825</v>
      </c>
      <c r="I33" s="110">
        <f>TrRoad_act!I114</f>
        <v>498567</v>
      </c>
      <c r="J33" s="110">
        <f>TrRoad_act!J114</f>
        <v>494904</v>
      </c>
      <c r="K33" s="110">
        <f>TrRoad_act!K114</f>
        <v>489283</v>
      </c>
      <c r="L33" s="110">
        <f>TrRoad_act!L114</f>
        <v>515393</v>
      </c>
      <c r="M33" s="110">
        <f>TrRoad_act!M114</f>
        <v>594557</v>
      </c>
      <c r="N33" s="110">
        <f>TrRoad_act!N114</f>
        <v>576681</v>
      </c>
      <c r="O33" s="110">
        <f>TrRoad_act!O114</f>
        <v>511783</v>
      </c>
      <c r="P33" s="110">
        <f>TrRoad_act!P114</f>
        <v>433400</v>
      </c>
      <c r="Q33" s="110">
        <f>TrRoad_act!Q114</f>
        <v>525935</v>
      </c>
      <c r="R33" s="110">
        <f>TrRoad_act!R114</f>
        <v>437565</v>
      </c>
      <c r="S33" s="110">
        <f>TrRoad_act!S114</f>
        <v>455808</v>
      </c>
      <c r="T33" s="110">
        <f>TrRoad_act!T114</f>
        <v>464113</v>
      </c>
      <c r="U33" s="110">
        <f>TrRoad_act!U114</f>
        <v>497705</v>
      </c>
      <c r="V33" s="110">
        <f>TrRoad_act!V114</f>
        <v>520416</v>
      </c>
      <c r="W33" s="110">
        <f>TrRoad_act!W114</f>
        <v>699515</v>
      </c>
      <c r="X33" s="110">
        <f>TrRoad_act!X114</f>
        <v>700377</v>
      </c>
      <c r="Y33" s="110">
        <f>TrRoad_act!Y114</f>
        <v>753167</v>
      </c>
      <c r="DA33" s="176" t="s">
        <v>529</v>
      </c>
    </row>
    <row r="34" spans="1:105" ht="11.45" customHeight="1" x14ac:dyDescent="0.25">
      <c r="A34" s="111" t="s">
        <v>110</v>
      </c>
      <c r="B34" s="84">
        <f>TrRoad_act!B115</f>
        <v>465217</v>
      </c>
      <c r="C34" s="84">
        <f>TrRoad_act!C115</f>
        <v>442153</v>
      </c>
      <c r="D34" s="84">
        <f>TrRoad_act!D115</f>
        <v>391072</v>
      </c>
      <c r="E34" s="84">
        <f>TrRoad_act!E115</f>
        <v>373513</v>
      </c>
      <c r="F34" s="84">
        <f>TrRoad_act!F115</f>
        <v>356206</v>
      </c>
      <c r="G34" s="84">
        <f>TrRoad_act!G115</f>
        <v>343127</v>
      </c>
      <c r="H34" s="84">
        <f>TrRoad_act!H115</f>
        <v>345785</v>
      </c>
      <c r="I34" s="84">
        <f>TrRoad_act!I115</f>
        <v>355210</v>
      </c>
      <c r="J34" s="84">
        <f>TrRoad_act!J115</f>
        <v>364582</v>
      </c>
      <c r="K34" s="84">
        <f>TrRoad_act!K115</f>
        <v>384638</v>
      </c>
      <c r="L34" s="84">
        <f>TrRoad_act!L115</f>
        <v>413886</v>
      </c>
      <c r="M34" s="84">
        <f>TrRoad_act!M115</f>
        <v>423429</v>
      </c>
      <c r="N34" s="84">
        <f>TrRoad_act!N115</f>
        <v>389475</v>
      </c>
      <c r="O34" s="84">
        <f>TrRoad_act!O115</f>
        <v>336303</v>
      </c>
      <c r="P34" s="84">
        <f>TrRoad_act!P115</f>
        <v>275422</v>
      </c>
      <c r="Q34" s="84">
        <f>TrRoad_act!Q115</f>
        <v>323552</v>
      </c>
      <c r="R34" s="84">
        <f>TrRoad_act!R115</f>
        <v>321820</v>
      </c>
      <c r="S34" s="84">
        <f>TrRoad_act!S115</f>
        <v>354781</v>
      </c>
      <c r="T34" s="84">
        <f>TrRoad_act!T115</f>
        <v>355874</v>
      </c>
      <c r="U34" s="84">
        <f>TrRoad_act!U115</f>
        <v>371944</v>
      </c>
      <c r="V34" s="84">
        <f>TrRoad_act!V115</f>
        <v>398754</v>
      </c>
      <c r="W34" s="84">
        <f>TrRoad_act!W115</f>
        <v>568591</v>
      </c>
      <c r="X34" s="84">
        <f>TrRoad_act!X115</f>
        <v>547355</v>
      </c>
      <c r="Y34" s="84">
        <f>TrRoad_act!Y115</f>
        <v>543927</v>
      </c>
      <c r="DA34" s="171" t="s">
        <v>530</v>
      </c>
    </row>
    <row r="35" spans="1:105" ht="11.45" customHeight="1" x14ac:dyDescent="0.25">
      <c r="A35" s="111" t="s">
        <v>111</v>
      </c>
      <c r="B35" s="84">
        <f>TrRoad_act!B116</f>
        <v>135234</v>
      </c>
      <c r="C35" s="84">
        <f>TrRoad_act!C116</f>
        <v>133303</v>
      </c>
      <c r="D35" s="84">
        <f>TrRoad_act!D116</f>
        <v>125285</v>
      </c>
      <c r="E35" s="84">
        <f>TrRoad_act!E116</f>
        <v>126776</v>
      </c>
      <c r="F35" s="84">
        <f>TrRoad_act!F116</f>
        <v>127539</v>
      </c>
      <c r="G35" s="84">
        <f>TrRoad_act!G116</f>
        <v>129060</v>
      </c>
      <c r="H35" s="84">
        <f>TrRoad_act!H116</f>
        <v>130040</v>
      </c>
      <c r="I35" s="84">
        <f>TrRoad_act!I116</f>
        <v>143357</v>
      </c>
      <c r="J35" s="84">
        <f>TrRoad_act!J116</f>
        <v>130322</v>
      </c>
      <c r="K35" s="84">
        <f>TrRoad_act!K116</f>
        <v>104617</v>
      </c>
      <c r="L35" s="84">
        <f>TrRoad_act!L116</f>
        <v>100591</v>
      </c>
      <c r="M35" s="84">
        <f>TrRoad_act!M116</f>
        <v>161679</v>
      </c>
      <c r="N35" s="84">
        <f>TrRoad_act!N116</f>
        <v>167732</v>
      </c>
      <c r="O35" s="84">
        <f>TrRoad_act!O116</f>
        <v>146699</v>
      </c>
      <c r="P35" s="84">
        <f>TrRoad_act!P116</f>
        <v>128687</v>
      </c>
      <c r="Q35" s="84">
        <f>TrRoad_act!Q116</f>
        <v>156039</v>
      </c>
      <c r="R35" s="84">
        <f>TrRoad_act!R116</f>
        <v>91260</v>
      </c>
      <c r="S35" s="84">
        <f>TrRoad_act!S116</f>
        <v>88719</v>
      </c>
      <c r="T35" s="84">
        <f>TrRoad_act!T116</f>
        <v>72759</v>
      </c>
      <c r="U35" s="84">
        <f>TrRoad_act!U116</f>
        <v>47436</v>
      </c>
      <c r="V35" s="84">
        <f>TrRoad_act!V116</f>
        <v>26397</v>
      </c>
      <c r="W35" s="84">
        <f>TrRoad_act!W116</f>
        <v>19254</v>
      </c>
      <c r="X35" s="84">
        <f>TrRoad_act!X116</f>
        <v>15491</v>
      </c>
      <c r="Y35" s="84">
        <f>TrRoad_act!Y116</f>
        <v>13484</v>
      </c>
      <c r="DA35" s="171" t="s">
        <v>531</v>
      </c>
    </row>
    <row r="36" spans="1:105" ht="11.45" customHeight="1" x14ac:dyDescent="0.25">
      <c r="A36" s="111" t="s">
        <v>112</v>
      </c>
      <c r="B36" s="84">
        <f>TrRoad_act!B117</f>
        <v>0</v>
      </c>
      <c r="C36" s="84">
        <f>TrRoad_act!C117</f>
        <v>7877</v>
      </c>
      <c r="D36" s="84">
        <f>TrRoad_act!D117</f>
        <v>0</v>
      </c>
      <c r="E36" s="84">
        <f>TrRoad_act!E117</f>
        <v>0</v>
      </c>
      <c r="F36" s="84">
        <f>TrRoad_act!F117</f>
        <v>0</v>
      </c>
      <c r="G36" s="84">
        <f>TrRoad_act!G117</f>
        <v>0</v>
      </c>
      <c r="H36" s="84">
        <f>TrRoad_act!H117</f>
        <v>0</v>
      </c>
      <c r="I36" s="84">
        <f>TrRoad_act!I117</f>
        <v>0</v>
      </c>
      <c r="J36" s="84">
        <f>TrRoad_act!J117</f>
        <v>0</v>
      </c>
      <c r="K36" s="84">
        <f>TrRoad_act!K117</f>
        <v>0</v>
      </c>
      <c r="L36" s="84">
        <f>TrRoad_act!L117</f>
        <v>690</v>
      </c>
      <c r="M36" s="84">
        <f>TrRoad_act!M117</f>
        <v>7912</v>
      </c>
      <c r="N36" s="84">
        <f>TrRoad_act!N117</f>
        <v>8918</v>
      </c>
      <c r="O36" s="84">
        <f>TrRoad_act!O117</f>
        <v>4623</v>
      </c>
      <c r="P36" s="84">
        <f>TrRoad_act!P117</f>
        <v>1206</v>
      </c>
      <c r="Q36" s="84">
        <f>TrRoad_act!Q117</f>
        <v>518</v>
      </c>
      <c r="R36" s="84">
        <f>TrRoad_act!R117</f>
        <v>982</v>
      </c>
      <c r="S36" s="84">
        <f>TrRoad_act!S117</f>
        <v>1286</v>
      </c>
      <c r="T36" s="84">
        <f>TrRoad_act!T117</f>
        <v>1015</v>
      </c>
      <c r="U36" s="84">
        <f>TrRoad_act!U117</f>
        <v>11403</v>
      </c>
      <c r="V36" s="84">
        <f>TrRoad_act!V117</f>
        <v>2062</v>
      </c>
      <c r="W36" s="84">
        <f>TrRoad_act!W117</f>
        <v>2229</v>
      </c>
      <c r="X36" s="84">
        <f>TrRoad_act!X117</f>
        <v>2285</v>
      </c>
      <c r="Y36" s="84">
        <f>TrRoad_act!Y117</f>
        <v>3098</v>
      </c>
      <c r="DA36" s="171" t="s">
        <v>532</v>
      </c>
    </row>
    <row r="37" spans="1:105" ht="11.45" customHeight="1" x14ac:dyDescent="0.25">
      <c r="A37" s="111" t="s">
        <v>113</v>
      </c>
      <c r="B37" s="84">
        <f>TrRoad_act!B118</f>
        <v>0</v>
      </c>
      <c r="C37" s="84">
        <f>TrRoad_act!C118</f>
        <v>0</v>
      </c>
      <c r="D37" s="84">
        <f>TrRoad_act!D118</f>
        <v>0</v>
      </c>
      <c r="E37" s="84">
        <f>TrRoad_act!E118</f>
        <v>0</v>
      </c>
      <c r="F37" s="84">
        <f>TrRoad_act!F118</f>
        <v>0</v>
      </c>
      <c r="G37" s="84">
        <f>TrRoad_act!G118</f>
        <v>0</v>
      </c>
      <c r="H37" s="84">
        <f>TrRoad_act!H118</f>
        <v>0</v>
      </c>
      <c r="I37" s="84">
        <f>TrRoad_act!I118</f>
        <v>0</v>
      </c>
      <c r="J37" s="84">
        <f>TrRoad_act!J118</f>
        <v>0</v>
      </c>
      <c r="K37" s="84">
        <f>TrRoad_act!K118</f>
        <v>0</v>
      </c>
      <c r="L37" s="84">
        <f>TrRoad_act!L118</f>
        <v>140</v>
      </c>
      <c r="M37" s="84">
        <f>TrRoad_act!M118</f>
        <v>673</v>
      </c>
      <c r="N37" s="84">
        <f>TrRoad_act!N118</f>
        <v>4978</v>
      </c>
      <c r="O37" s="84">
        <f>TrRoad_act!O118</f>
        <v>852</v>
      </c>
      <c r="P37" s="84">
        <f>TrRoad_act!P118</f>
        <v>3248</v>
      </c>
      <c r="Q37" s="84">
        <f>TrRoad_act!Q118</f>
        <v>755</v>
      </c>
      <c r="R37" s="84">
        <f>TrRoad_act!R118</f>
        <v>659</v>
      </c>
      <c r="S37" s="84">
        <f>TrRoad_act!S118</f>
        <v>1268</v>
      </c>
      <c r="T37" s="84">
        <f>TrRoad_act!T118</f>
        <v>6654</v>
      </c>
      <c r="U37" s="84">
        <f>TrRoad_act!U118</f>
        <v>295</v>
      </c>
      <c r="V37" s="84">
        <f>TrRoad_act!V118</f>
        <v>60</v>
      </c>
      <c r="W37" s="84">
        <f>TrRoad_act!W118</f>
        <v>39</v>
      </c>
      <c r="X37" s="84">
        <f>TrRoad_act!X118</f>
        <v>17</v>
      </c>
      <c r="Y37" s="84">
        <f>TrRoad_act!Y118</f>
        <v>6</v>
      </c>
      <c r="DA37" s="171" t="s">
        <v>533</v>
      </c>
    </row>
    <row r="38" spans="1:105" ht="11.45" customHeight="1" x14ac:dyDescent="0.25">
      <c r="A38" s="111" t="s">
        <v>114</v>
      </c>
      <c r="B38" s="84">
        <f>TrRoad_act!B119</f>
        <v>0</v>
      </c>
      <c r="C38" s="84">
        <f>TrRoad_act!C119</f>
        <v>0</v>
      </c>
      <c r="D38" s="84">
        <f>TrRoad_act!D119</f>
        <v>0</v>
      </c>
      <c r="E38" s="84">
        <f>TrRoad_act!E119</f>
        <v>0</v>
      </c>
      <c r="F38" s="84">
        <f>TrRoad_act!F119</f>
        <v>0</v>
      </c>
      <c r="G38" s="84">
        <f>TrRoad_act!G119</f>
        <v>0</v>
      </c>
      <c r="H38" s="84">
        <f>TrRoad_act!H119</f>
        <v>0</v>
      </c>
      <c r="I38" s="84">
        <f>TrRoad_act!I119</f>
        <v>0</v>
      </c>
      <c r="J38" s="84">
        <f>TrRoad_act!J119</f>
        <v>0</v>
      </c>
      <c r="K38" s="84">
        <f>TrRoad_act!K119</f>
        <v>0</v>
      </c>
      <c r="L38" s="84">
        <f>TrRoad_act!L119</f>
        <v>0</v>
      </c>
      <c r="M38" s="84">
        <f>TrRoad_act!M119</f>
        <v>15</v>
      </c>
      <c r="N38" s="84">
        <f>TrRoad_act!N119</f>
        <v>4326</v>
      </c>
      <c r="O38" s="84">
        <f>TrRoad_act!O119</f>
        <v>20188</v>
      </c>
      <c r="P38" s="84">
        <f>TrRoad_act!P119</f>
        <v>21279</v>
      </c>
      <c r="Q38" s="84">
        <f>TrRoad_act!Q119</f>
        <v>41274</v>
      </c>
      <c r="R38" s="84">
        <f>TrRoad_act!R119</f>
        <v>18775</v>
      </c>
      <c r="S38" s="84">
        <f>TrRoad_act!S119</f>
        <v>1165</v>
      </c>
      <c r="T38" s="84">
        <f>TrRoad_act!T119</f>
        <v>3584</v>
      </c>
      <c r="U38" s="84">
        <f>TrRoad_act!U119</f>
        <v>4931</v>
      </c>
      <c r="V38" s="84">
        <f>TrRoad_act!V119</f>
        <v>20014</v>
      </c>
      <c r="W38" s="84">
        <f>TrRoad_act!W119</f>
        <v>37957</v>
      </c>
      <c r="X38" s="84">
        <f>TrRoad_act!X119</f>
        <v>50080</v>
      </c>
      <c r="Y38" s="84">
        <f>TrRoad_act!Y119</f>
        <v>77735</v>
      </c>
      <c r="DA38" s="171" t="s">
        <v>534</v>
      </c>
    </row>
    <row r="39" spans="1:105" ht="11.45" customHeight="1" x14ac:dyDescent="0.25">
      <c r="A39" s="111" t="s">
        <v>115</v>
      </c>
      <c r="B39" s="84">
        <f>TrRoad_act!B120</f>
        <v>0</v>
      </c>
      <c r="C39" s="84">
        <f>TrRoad_act!C120</f>
        <v>0</v>
      </c>
      <c r="D39" s="84">
        <f>TrRoad_act!D120</f>
        <v>0</v>
      </c>
      <c r="E39" s="84">
        <f>TrRoad_act!E120</f>
        <v>0</v>
      </c>
      <c r="F39" s="84">
        <f>TrRoad_act!F120</f>
        <v>0</v>
      </c>
      <c r="G39" s="84">
        <f>TrRoad_act!G120</f>
        <v>0</v>
      </c>
      <c r="H39" s="84">
        <f>TrRoad_act!H120</f>
        <v>0</v>
      </c>
      <c r="I39" s="84">
        <f>TrRoad_act!I120</f>
        <v>0</v>
      </c>
      <c r="J39" s="84">
        <f>TrRoad_act!J120</f>
        <v>0</v>
      </c>
      <c r="K39" s="84">
        <f>TrRoad_act!K120</f>
        <v>28</v>
      </c>
      <c r="L39" s="84">
        <f>TrRoad_act!L120</f>
        <v>86</v>
      </c>
      <c r="M39" s="84">
        <f>TrRoad_act!M120</f>
        <v>849</v>
      </c>
      <c r="N39" s="84">
        <f>TrRoad_act!N120</f>
        <v>1252</v>
      </c>
      <c r="O39" s="84">
        <f>TrRoad_act!O120</f>
        <v>3118</v>
      </c>
      <c r="P39" s="84">
        <f>TrRoad_act!P120</f>
        <v>3558</v>
      </c>
      <c r="Q39" s="84">
        <f>TrRoad_act!Q120</f>
        <v>3797</v>
      </c>
      <c r="R39" s="84">
        <f>TrRoad_act!R120</f>
        <v>4069</v>
      </c>
      <c r="S39" s="84">
        <f>TrRoad_act!S120</f>
        <v>8589</v>
      </c>
      <c r="T39" s="84">
        <f>TrRoad_act!T120</f>
        <v>24227</v>
      </c>
      <c r="U39" s="84">
        <f>TrRoad_act!U120</f>
        <v>61696</v>
      </c>
      <c r="V39" s="84">
        <f>TrRoad_act!V120</f>
        <v>73129</v>
      </c>
      <c r="W39" s="84">
        <f>TrRoad_act!W120</f>
        <v>71445</v>
      </c>
      <c r="X39" s="84">
        <f>TrRoad_act!X120</f>
        <v>85149</v>
      </c>
      <c r="Y39" s="84">
        <f>TrRoad_act!Y120</f>
        <v>114917</v>
      </c>
      <c r="DA39" s="171" t="s">
        <v>535</v>
      </c>
    </row>
    <row r="40" spans="1:105" ht="11.45" customHeight="1" x14ac:dyDescent="0.25">
      <c r="A40" s="109" t="s">
        <v>21</v>
      </c>
      <c r="B40" s="110">
        <f>TrRoad_act!B121</f>
        <v>912</v>
      </c>
      <c r="C40" s="110">
        <f>TrRoad_act!C121</f>
        <v>844</v>
      </c>
      <c r="D40" s="110">
        <f>TrRoad_act!D121</f>
        <v>695</v>
      </c>
      <c r="E40" s="110">
        <f>TrRoad_act!E121</f>
        <v>878</v>
      </c>
      <c r="F40" s="110">
        <f>TrRoad_act!F121</f>
        <v>933</v>
      </c>
      <c r="G40" s="110">
        <f>TrRoad_act!G121</f>
        <v>1135</v>
      </c>
      <c r="H40" s="110">
        <f>TrRoad_act!H121</f>
        <v>792</v>
      </c>
      <c r="I40" s="110">
        <f>TrRoad_act!I121</f>
        <v>1149</v>
      </c>
      <c r="J40" s="110">
        <f>TrRoad_act!J121</f>
        <v>1209</v>
      </c>
      <c r="K40" s="110">
        <f>TrRoad_act!K121</f>
        <v>1162</v>
      </c>
      <c r="L40" s="110">
        <f>TrRoad_act!L121</f>
        <v>572</v>
      </c>
      <c r="M40" s="110">
        <f>TrRoad_act!M121</f>
        <v>245</v>
      </c>
      <c r="N40" s="110">
        <f>TrRoad_act!N121</f>
        <v>784</v>
      </c>
      <c r="O40" s="110">
        <f>TrRoad_act!O121</f>
        <v>1284</v>
      </c>
      <c r="P40" s="110">
        <f>TrRoad_act!P121</f>
        <v>669</v>
      </c>
      <c r="Q40" s="110">
        <f>TrRoad_act!Q121</f>
        <v>736</v>
      </c>
      <c r="R40" s="110">
        <f>TrRoad_act!R121</f>
        <v>863</v>
      </c>
      <c r="S40" s="110">
        <f>TrRoad_act!S121</f>
        <v>887</v>
      </c>
      <c r="T40" s="110">
        <f>TrRoad_act!T121</f>
        <v>845</v>
      </c>
      <c r="U40" s="110">
        <f>TrRoad_act!U121</f>
        <v>1413</v>
      </c>
      <c r="V40" s="110">
        <f>TrRoad_act!V121</f>
        <v>1362</v>
      </c>
      <c r="W40" s="110">
        <f>TrRoad_act!W121</f>
        <v>958</v>
      </c>
      <c r="X40" s="110">
        <f>TrRoad_act!X121</f>
        <v>759</v>
      </c>
      <c r="Y40" s="110">
        <f>TrRoad_act!Y121</f>
        <v>778</v>
      </c>
      <c r="DA40" s="176" t="s">
        <v>536</v>
      </c>
    </row>
    <row r="41" spans="1:105" ht="11.45" customHeight="1" x14ac:dyDescent="0.25">
      <c r="A41" s="111" t="s">
        <v>110</v>
      </c>
      <c r="B41" s="102">
        <f>TrRoad_act!B122</f>
        <v>0</v>
      </c>
      <c r="C41" s="102">
        <f>TrRoad_act!C122</f>
        <v>4</v>
      </c>
      <c r="D41" s="102">
        <f>TrRoad_act!D122</f>
        <v>4</v>
      </c>
      <c r="E41" s="102">
        <f>TrRoad_act!E122</f>
        <v>4</v>
      </c>
      <c r="F41" s="102">
        <f>TrRoad_act!F122</f>
        <v>0</v>
      </c>
      <c r="G41" s="102">
        <f>TrRoad_act!G122</f>
        <v>2</v>
      </c>
      <c r="H41" s="102">
        <f>TrRoad_act!H122</f>
        <v>1</v>
      </c>
      <c r="I41" s="102">
        <f>TrRoad_act!I122</f>
        <v>2</v>
      </c>
      <c r="J41" s="102">
        <f>TrRoad_act!J122</f>
        <v>0</v>
      </c>
      <c r="K41" s="102">
        <f>TrRoad_act!K122</f>
        <v>1</v>
      </c>
      <c r="L41" s="102">
        <f>TrRoad_act!L122</f>
        <v>3</v>
      </c>
      <c r="M41" s="102">
        <f>TrRoad_act!M122</f>
        <v>0</v>
      </c>
      <c r="N41" s="102">
        <f>TrRoad_act!N122</f>
        <v>0</v>
      </c>
      <c r="O41" s="102">
        <f>TrRoad_act!O122</f>
        <v>0</v>
      </c>
      <c r="P41" s="102">
        <f>TrRoad_act!P122</f>
        <v>0</v>
      </c>
      <c r="Q41" s="102">
        <f>TrRoad_act!Q122</f>
        <v>9</v>
      </c>
      <c r="R41" s="102">
        <f>TrRoad_act!R122</f>
        <v>5</v>
      </c>
      <c r="S41" s="102">
        <f>TrRoad_act!S122</f>
        <v>0</v>
      </c>
      <c r="T41" s="102">
        <f>TrRoad_act!T122</f>
        <v>0</v>
      </c>
      <c r="U41" s="102">
        <f>TrRoad_act!U122</f>
        <v>90</v>
      </c>
      <c r="V41" s="102">
        <f>TrRoad_act!V122</f>
        <v>0</v>
      </c>
      <c r="W41" s="102">
        <f>TrRoad_act!W122</f>
        <v>17</v>
      </c>
      <c r="X41" s="102">
        <f>TrRoad_act!X122</f>
        <v>29</v>
      </c>
      <c r="Y41" s="102">
        <f>TrRoad_act!Y122</f>
        <v>1</v>
      </c>
      <c r="DA41" s="175" t="s">
        <v>537</v>
      </c>
    </row>
    <row r="42" spans="1:105" ht="11.45" customHeight="1" x14ac:dyDescent="0.25">
      <c r="A42" s="111" t="s">
        <v>111</v>
      </c>
      <c r="B42" s="102">
        <f>TrRoad_act!B123</f>
        <v>912</v>
      </c>
      <c r="C42" s="102">
        <f>TrRoad_act!C123</f>
        <v>837</v>
      </c>
      <c r="D42" s="102">
        <f>TrRoad_act!D123</f>
        <v>676</v>
      </c>
      <c r="E42" s="102">
        <f>TrRoad_act!E123</f>
        <v>874</v>
      </c>
      <c r="F42" s="102">
        <f>TrRoad_act!F123</f>
        <v>922</v>
      </c>
      <c r="G42" s="102">
        <f>TrRoad_act!G123</f>
        <v>1097</v>
      </c>
      <c r="H42" s="102">
        <f>TrRoad_act!H123</f>
        <v>759</v>
      </c>
      <c r="I42" s="102">
        <f>TrRoad_act!I123</f>
        <v>1129</v>
      </c>
      <c r="J42" s="102">
        <f>TrRoad_act!J123</f>
        <v>1162</v>
      </c>
      <c r="K42" s="102">
        <f>TrRoad_act!K123</f>
        <v>1021</v>
      </c>
      <c r="L42" s="102">
        <f>TrRoad_act!L123</f>
        <v>451</v>
      </c>
      <c r="M42" s="102">
        <f>TrRoad_act!M123</f>
        <v>0</v>
      </c>
      <c r="N42" s="102">
        <f>TrRoad_act!N123</f>
        <v>584</v>
      </c>
      <c r="O42" s="102">
        <f>TrRoad_act!O123</f>
        <v>562</v>
      </c>
      <c r="P42" s="102">
        <f>TrRoad_act!P123</f>
        <v>619</v>
      </c>
      <c r="Q42" s="102">
        <f>TrRoad_act!Q123</f>
        <v>599</v>
      </c>
      <c r="R42" s="102">
        <f>TrRoad_act!R123</f>
        <v>563</v>
      </c>
      <c r="S42" s="102">
        <f>TrRoad_act!S123</f>
        <v>627</v>
      </c>
      <c r="T42" s="102">
        <f>TrRoad_act!T123</f>
        <v>561</v>
      </c>
      <c r="U42" s="102">
        <f>TrRoad_act!U123</f>
        <v>692</v>
      </c>
      <c r="V42" s="102">
        <f>TrRoad_act!V123</f>
        <v>640</v>
      </c>
      <c r="W42" s="102">
        <f>TrRoad_act!W123</f>
        <v>603</v>
      </c>
      <c r="X42" s="102">
        <f>TrRoad_act!X123</f>
        <v>580</v>
      </c>
      <c r="Y42" s="102">
        <f>TrRoad_act!Y123</f>
        <v>599</v>
      </c>
      <c r="DA42" s="175" t="s">
        <v>538</v>
      </c>
    </row>
    <row r="43" spans="1:105" ht="11.45" customHeight="1" x14ac:dyDescent="0.25">
      <c r="A43" s="111" t="s">
        <v>112</v>
      </c>
      <c r="B43" s="102">
        <f>TrRoad_act!B124</f>
        <v>0</v>
      </c>
      <c r="C43" s="102">
        <f>TrRoad_act!C124</f>
        <v>0</v>
      </c>
      <c r="D43" s="102">
        <f>TrRoad_act!D124</f>
        <v>0</v>
      </c>
      <c r="E43" s="102">
        <f>TrRoad_act!E124</f>
        <v>0</v>
      </c>
      <c r="F43" s="102">
        <f>TrRoad_act!F124</f>
        <v>0</v>
      </c>
      <c r="G43" s="102">
        <f>TrRoad_act!G124</f>
        <v>30</v>
      </c>
      <c r="H43" s="102">
        <f>TrRoad_act!H124</f>
        <v>0</v>
      </c>
      <c r="I43" s="102">
        <f>TrRoad_act!I124</f>
        <v>0</v>
      </c>
      <c r="J43" s="102">
        <f>TrRoad_act!J124</f>
        <v>0</v>
      </c>
      <c r="K43" s="102">
        <f>TrRoad_act!K124</f>
        <v>0</v>
      </c>
      <c r="L43" s="102">
        <f>TrRoad_act!L124</f>
        <v>0</v>
      </c>
      <c r="M43" s="102">
        <f>TrRoad_act!M124</f>
        <v>0</v>
      </c>
      <c r="N43" s="102">
        <f>TrRoad_act!N124</f>
        <v>0</v>
      </c>
      <c r="O43" s="102">
        <f>TrRoad_act!O124</f>
        <v>0</v>
      </c>
      <c r="P43" s="102">
        <f>TrRoad_act!P124</f>
        <v>0</v>
      </c>
      <c r="Q43" s="102">
        <f>TrRoad_act!Q124</f>
        <v>0</v>
      </c>
      <c r="R43" s="102">
        <f>TrRoad_act!R124</f>
        <v>0</v>
      </c>
      <c r="S43" s="102">
        <f>TrRoad_act!S124</f>
        <v>0</v>
      </c>
      <c r="T43" s="102">
        <f>TrRoad_act!T124</f>
        <v>0</v>
      </c>
      <c r="U43" s="102">
        <f>TrRoad_act!U124</f>
        <v>0</v>
      </c>
      <c r="V43" s="102">
        <f>TrRoad_act!V124</f>
        <v>0</v>
      </c>
      <c r="W43" s="102">
        <f>TrRoad_act!W124</f>
        <v>0</v>
      </c>
      <c r="X43" s="102">
        <f>TrRoad_act!X124</f>
        <v>0</v>
      </c>
      <c r="Y43" s="102">
        <f>TrRoad_act!Y124</f>
        <v>0</v>
      </c>
      <c r="DA43" s="175" t="s">
        <v>539</v>
      </c>
    </row>
    <row r="44" spans="1:105" ht="11.45" customHeight="1" x14ac:dyDescent="0.25">
      <c r="A44" s="111" t="s">
        <v>113</v>
      </c>
      <c r="B44" s="102">
        <f>TrRoad_act!B125</f>
        <v>0</v>
      </c>
      <c r="C44" s="102">
        <f>TrRoad_act!C125</f>
        <v>3</v>
      </c>
      <c r="D44" s="102">
        <f>TrRoad_act!D125</f>
        <v>9</v>
      </c>
      <c r="E44" s="102">
        <f>TrRoad_act!E125</f>
        <v>0</v>
      </c>
      <c r="F44" s="102">
        <f>TrRoad_act!F125</f>
        <v>0</v>
      </c>
      <c r="G44" s="102">
        <f>TrRoad_act!G125</f>
        <v>4</v>
      </c>
      <c r="H44" s="102">
        <f>TrRoad_act!H125</f>
        <v>31</v>
      </c>
      <c r="I44" s="102">
        <f>TrRoad_act!I125</f>
        <v>18</v>
      </c>
      <c r="J44" s="102">
        <f>TrRoad_act!J125</f>
        <v>47</v>
      </c>
      <c r="K44" s="102">
        <f>TrRoad_act!K125</f>
        <v>129</v>
      </c>
      <c r="L44" s="102">
        <f>TrRoad_act!L125</f>
        <v>84</v>
      </c>
      <c r="M44" s="102">
        <f>TrRoad_act!M125</f>
        <v>245</v>
      </c>
      <c r="N44" s="102">
        <f>TrRoad_act!N125</f>
        <v>198</v>
      </c>
      <c r="O44" s="102">
        <f>TrRoad_act!O125</f>
        <v>703</v>
      </c>
      <c r="P44" s="102">
        <f>TrRoad_act!P125</f>
        <v>45</v>
      </c>
      <c r="Q44" s="102">
        <f>TrRoad_act!Q125</f>
        <v>113</v>
      </c>
      <c r="R44" s="102">
        <f>TrRoad_act!R125</f>
        <v>171</v>
      </c>
      <c r="S44" s="102">
        <f>TrRoad_act!S125</f>
        <v>119</v>
      </c>
      <c r="T44" s="102">
        <f>TrRoad_act!T125</f>
        <v>140</v>
      </c>
      <c r="U44" s="102">
        <f>TrRoad_act!U125</f>
        <v>220</v>
      </c>
      <c r="V44" s="102">
        <f>TrRoad_act!V125</f>
        <v>276</v>
      </c>
      <c r="W44" s="102">
        <f>TrRoad_act!W125</f>
        <v>170</v>
      </c>
      <c r="X44" s="102">
        <f>TrRoad_act!X125</f>
        <v>49</v>
      </c>
      <c r="Y44" s="102">
        <f>TrRoad_act!Y125</f>
        <v>0</v>
      </c>
      <c r="DA44" s="175" t="s">
        <v>540</v>
      </c>
    </row>
    <row r="45" spans="1:105" ht="11.45" customHeight="1" x14ac:dyDescent="0.25">
      <c r="A45" s="111" t="s">
        <v>115</v>
      </c>
      <c r="B45" s="102">
        <f>TrRoad_act!B126</f>
        <v>0</v>
      </c>
      <c r="C45" s="102">
        <f>TrRoad_act!C126</f>
        <v>0</v>
      </c>
      <c r="D45" s="102">
        <f>TrRoad_act!D126</f>
        <v>6</v>
      </c>
      <c r="E45" s="102">
        <f>TrRoad_act!E126</f>
        <v>0</v>
      </c>
      <c r="F45" s="102">
        <f>TrRoad_act!F126</f>
        <v>11</v>
      </c>
      <c r="G45" s="102">
        <f>TrRoad_act!G126</f>
        <v>2</v>
      </c>
      <c r="H45" s="102">
        <f>TrRoad_act!H126</f>
        <v>1</v>
      </c>
      <c r="I45" s="102">
        <f>TrRoad_act!I126</f>
        <v>0</v>
      </c>
      <c r="J45" s="102">
        <f>TrRoad_act!J126</f>
        <v>0</v>
      </c>
      <c r="K45" s="102">
        <f>TrRoad_act!K126</f>
        <v>11</v>
      </c>
      <c r="L45" s="102">
        <f>TrRoad_act!L126</f>
        <v>34</v>
      </c>
      <c r="M45" s="102">
        <f>TrRoad_act!M126</f>
        <v>0</v>
      </c>
      <c r="N45" s="102">
        <f>TrRoad_act!N126</f>
        <v>2</v>
      </c>
      <c r="O45" s="102">
        <f>TrRoad_act!O126</f>
        <v>19</v>
      </c>
      <c r="P45" s="102">
        <f>TrRoad_act!P126</f>
        <v>5</v>
      </c>
      <c r="Q45" s="102">
        <f>TrRoad_act!Q126</f>
        <v>15</v>
      </c>
      <c r="R45" s="102">
        <f>TrRoad_act!R126</f>
        <v>124</v>
      </c>
      <c r="S45" s="102">
        <f>TrRoad_act!S126</f>
        <v>141</v>
      </c>
      <c r="T45" s="102">
        <f>TrRoad_act!T126</f>
        <v>144</v>
      </c>
      <c r="U45" s="102">
        <f>TrRoad_act!U126</f>
        <v>411</v>
      </c>
      <c r="V45" s="102">
        <f>TrRoad_act!V126</f>
        <v>446</v>
      </c>
      <c r="W45" s="102">
        <f>TrRoad_act!W126</f>
        <v>168</v>
      </c>
      <c r="X45" s="102">
        <f>TrRoad_act!X126</f>
        <v>101</v>
      </c>
      <c r="Y45" s="102">
        <f>TrRoad_act!Y126</f>
        <v>178</v>
      </c>
      <c r="DA45" s="175" t="s">
        <v>541</v>
      </c>
    </row>
    <row r="46" spans="1:105" ht="11.45" customHeight="1" x14ac:dyDescent="0.25">
      <c r="A46" s="27" t="s">
        <v>34</v>
      </c>
      <c r="B46" s="28">
        <f>TrRoad_act!B127</f>
        <v>110880</v>
      </c>
      <c r="C46" s="28">
        <f>TrRoad_act!C127</f>
        <v>107812</v>
      </c>
      <c r="D46" s="28">
        <f>TrRoad_act!D127</f>
        <v>94670</v>
      </c>
      <c r="E46" s="28">
        <f>TrRoad_act!E127</f>
        <v>89086</v>
      </c>
      <c r="F46" s="28">
        <f>TrRoad_act!F127</f>
        <v>84478</v>
      </c>
      <c r="G46" s="28">
        <f>TrRoad_act!G127</f>
        <v>94807</v>
      </c>
      <c r="H46" s="28">
        <f>TrRoad_act!H127</f>
        <v>74049</v>
      </c>
      <c r="I46" s="28">
        <f>TrRoad_act!I127</f>
        <v>76507</v>
      </c>
      <c r="J46" s="28">
        <f>TrRoad_act!J127</f>
        <v>90093</v>
      </c>
      <c r="K46" s="28">
        <f>TrRoad_act!K127</f>
        <v>94525</v>
      </c>
      <c r="L46" s="28">
        <f>TrRoad_act!L127</f>
        <v>61629</v>
      </c>
      <c r="M46" s="28">
        <f>TrRoad_act!M127</f>
        <v>65491</v>
      </c>
      <c r="N46" s="28">
        <f>TrRoad_act!N127</f>
        <v>67475</v>
      </c>
      <c r="O46" s="28">
        <f>TrRoad_act!O127</f>
        <v>63690</v>
      </c>
      <c r="P46" s="28">
        <f>TrRoad_act!P127</f>
        <v>63884</v>
      </c>
      <c r="Q46" s="28">
        <f>TrRoad_act!Q127</f>
        <v>68060</v>
      </c>
      <c r="R46" s="28">
        <f>TrRoad_act!R127</f>
        <v>84266</v>
      </c>
      <c r="S46" s="28">
        <f>TrRoad_act!S127</f>
        <v>87142</v>
      </c>
      <c r="T46" s="28">
        <f>TrRoad_act!T127</f>
        <v>91873</v>
      </c>
      <c r="U46" s="28">
        <f>TrRoad_act!U127</f>
        <v>95715</v>
      </c>
      <c r="V46" s="28">
        <f>TrRoad_act!V127</f>
        <v>73779</v>
      </c>
      <c r="W46" s="28">
        <f>TrRoad_act!W127</f>
        <v>78398</v>
      </c>
      <c r="X46" s="28">
        <f>TrRoad_act!X127</f>
        <v>96719</v>
      </c>
      <c r="Y46" s="28">
        <f>TrRoad_act!Y127</f>
        <v>99300</v>
      </c>
      <c r="DA46" s="173" t="s">
        <v>542</v>
      </c>
    </row>
    <row r="47" spans="1:105" ht="11.45" customHeight="1" x14ac:dyDescent="0.25">
      <c r="A47" s="136" t="s">
        <v>153</v>
      </c>
      <c r="B47" s="137">
        <f>TrRoad_act!B128</f>
        <v>98472</v>
      </c>
      <c r="C47" s="137">
        <f>TrRoad_act!C128</f>
        <v>95049</v>
      </c>
      <c r="D47" s="137">
        <f>TrRoad_act!D128</f>
        <v>82359</v>
      </c>
      <c r="E47" s="137">
        <f>TrRoad_act!E128</f>
        <v>79201</v>
      </c>
      <c r="F47" s="137">
        <f>TrRoad_act!F128</f>
        <v>74435</v>
      </c>
      <c r="G47" s="137">
        <f>TrRoad_act!G128</f>
        <v>85626</v>
      </c>
      <c r="H47" s="137">
        <f>TrRoad_act!H128</f>
        <v>64408</v>
      </c>
      <c r="I47" s="137">
        <f>TrRoad_act!I128</f>
        <v>63733</v>
      </c>
      <c r="J47" s="137">
        <f>TrRoad_act!J128</f>
        <v>79533</v>
      </c>
      <c r="K47" s="137">
        <f>TrRoad_act!K128</f>
        <v>83074</v>
      </c>
      <c r="L47" s="137">
        <f>TrRoad_act!L128</f>
        <v>52137</v>
      </c>
      <c r="M47" s="137">
        <f>TrRoad_act!M128</f>
        <v>58293</v>
      </c>
      <c r="N47" s="137">
        <f>TrRoad_act!N128</f>
        <v>58883</v>
      </c>
      <c r="O47" s="137">
        <f>TrRoad_act!O128</f>
        <v>54785</v>
      </c>
      <c r="P47" s="137">
        <f>TrRoad_act!P128</f>
        <v>54525</v>
      </c>
      <c r="Q47" s="137">
        <f>TrRoad_act!Q128</f>
        <v>60224</v>
      </c>
      <c r="R47" s="137">
        <f>TrRoad_act!R128</f>
        <v>73275</v>
      </c>
      <c r="S47" s="137">
        <f>TrRoad_act!S128</f>
        <v>76074</v>
      </c>
      <c r="T47" s="137">
        <f>TrRoad_act!T128</f>
        <v>81688</v>
      </c>
      <c r="U47" s="137">
        <f>TrRoad_act!U128</f>
        <v>82409</v>
      </c>
      <c r="V47" s="137">
        <f>TrRoad_act!V128</f>
        <v>62619</v>
      </c>
      <c r="W47" s="137">
        <f>TrRoad_act!W128</f>
        <v>65007</v>
      </c>
      <c r="X47" s="137">
        <f>TrRoad_act!X128</f>
        <v>82822</v>
      </c>
      <c r="Y47" s="137">
        <f>TrRoad_act!Y128</f>
        <v>87110</v>
      </c>
      <c r="DA47" s="174" t="s">
        <v>543</v>
      </c>
    </row>
    <row r="48" spans="1:105" ht="11.45" customHeight="1" x14ac:dyDescent="0.25">
      <c r="A48" s="111" t="s">
        <v>110</v>
      </c>
      <c r="B48" s="84">
        <f>TrRoad_act!B129</f>
        <v>0</v>
      </c>
      <c r="C48" s="84">
        <f>TrRoad_act!C129</f>
        <v>0</v>
      </c>
      <c r="D48" s="84">
        <f>TrRoad_act!D129</f>
        <v>0</v>
      </c>
      <c r="E48" s="84">
        <f>TrRoad_act!E129</f>
        <v>0</v>
      </c>
      <c r="F48" s="84">
        <f>TrRoad_act!F129</f>
        <v>0</v>
      </c>
      <c r="G48" s="84">
        <f>TrRoad_act!G129</f>
        <v>0</v>
      </c>
      <c r="H48" s="84">
        <f>TrRoad_act!H129</f>
        <v>0</v>
      </c>
      <c r="I48" s="84">
        <f>TrRoad_act!I129</f>
        <v>0</v>
      </c>
      <c r="J48" s="84">
        <f>TrRoad_act!J129</f>
        <v>0</v>
      </c>
      <c r="K48" s="84">
        <f>TrRoad_act!K129</f>
        <v>1267</v>
      </c>
      <c r="L48" s="84">
        <f>TrRoad_act!L129</f>
        <v>2787</v>
      </c>
      <c r="M48" s="84">
        <f>TrRoad_act!M129</f>
        <v>2694</v>
      </c>
      <c r="N48" s="84">
        <f>TrRoad_act!N129</f>
        <v>2645</v>
      </c>
      <c r="O48" s="84">
        <f>TrRoad_act!O129</f>
        <v>872</v>
      </c>
      <c r="P48" s="84">
        <f>TrRoad_act!P129</f>
        <v>3084</v>
      </c>
      <c r="Q48" s="84">
        <f>TrRoad_act!Q129</f>
        <v>3113</v>
      </c>
      <c r="R48" s="84">
        <f>TrRoad_act!R129</f>
        <v>3334</v>
      </c>
      <c r="S48" s="84">
        <f>TrRoad_act!S129</f>
        <v>3224</v>
      </c>
      <c r="T48" s="84">
        <f>TrRoad_act!T129</f>
        <v>1525</v>
      </c>
      <c r="U48" s="84">
        <f>TrRoad_act!U129</f>
        <v>3400</v>
      </c>
      <c r="V48" s="84">
        <f>TrRoad_act!V129</f>
        <v>2936</v>
      </c>
      <c r="W48" s="84">
        <f>TrRoad_act!W129</f>
        <v>4529</v>
      </c>
      <c r="X48" s="84">
        <f>TrRoad_act!X129</f>
        <v>5993</v>
      </c>
      <c r="Y48" s="84">
        <f>TrRoad_act!Y129</f>
        <v>3583</v>
      </c>
      <c r="DA48" s="171" t="s">
        <v>544</v>
      </c>
    </row>
    <row r="49" spans="1:105" ht="11.45" customHeight="1" x14ac:dyDescent="0.25">
      <c r="A49" s="111" t="s">
        <v>111</v>
      </c>
      <c r="B49" s="84">
        <f>TrRoad_act!B130</f>
        <v>98472</v>
      </c>
      <c r="C49" s="84">
        <f>TrRoad_act!C130</f>
        <v>94902</v>
      </c>
      <c r="D49" s="84">
        <f>TrRoad_act!D130</f>
        <v>82359</v>
      </c>
      <c r="E49" s="84">
        <f>TrRoad_act!E130</f>
        <v>79117</v>
      </c>
      <c r="F49" s="84">
        <f>TrRoad_act!F130</f>
        <v>74283</v>
      </c>
      <c r="G49" s="84">
        <f>TrRoad_act!G130</f>
        <v>85626</v>
      </c>
      <c r="H49" s="84">
        <f>TrRoad_act!H130</f>
        <v>64408</v>
      </c>
      <c r="I49" s="84">
        <f>TrRoad_act!I130</f>
        <v>63453</v>
      </c>
      <c r="J49" s="84">
        <f>TrRoad_act!J130</f>
        <v>79533</v>
      </c>
      <c r="K49" s="84">
        <f>TrRoad_act!K130</f>
        <v>81453</v>
      </c>
      <c r="L49" s="84">
        <f>TrRoad_act!L130</f>
        <v>48615</v>
      </c>
      <c r="M49" s="84">
        <f>TrRoad_act!M130</f>
        <v>54716</v>
      </c>
      <c r="N49" s="84">
        <f>TrRoad_act!N130</f>
        <v>54848</v>
      </c>
      <c r="O49" s="84">
        <f>TrRoad_act!O130</f>
        <v>52758</v>
      </c>
      <c r="P49" s="84">
        <f>TrRoad_act!P130</f>
        <v>49679</v>
      </c>
      <c r="Q49" s="84">
        <f>TrRoad_act!Q130</f>
        <v>55959</v>
      </c>
      <c r="R49" s="84">
        <f>TrRoad_act!R130</f>
        <v>68347</v>
      </c>
      <c r="S49" s="84">
        <f>TrRoad_act!S130</f>
        <v>70654</v>
      </c>
      <c r="T49" s="84">
        <f>TrRoad_act!T130</f>
        <v>75831</v>
      </c>
      <c r="U49" s="84">
        <f>TrRoad_act!U130</f>
        <v>72219</v>
      </c>
      <c r="V49" s="84">
        <f>TrRoad_act!V130</f>
        <v>56772</v>
      </c>
      <c r="W49" s="84">
        <f>TrRoad_act!W130</f>
        <v>56575</v>
      </c>
      <c r="X49" s="84">
        <f>TrRoad_act!X130</f>
        <v>70162</v>
      </c>
      <c r="Y49" s="84">
        <f>TrRoad_act!Y130</f>
        <v>72716</v>
      </c>
      <c r="DA49" s="171" t="s">
        <v>545</v>
      </c>
    </row>
    <row r="50" spans="1:105" ht="11.45" customHeight="1" x14ac:dyDescent="0.25">
      <c r="A50" s="111" t="s">
        <v>112</v>
      </c>
      <c r="B50" s="84">
        <f>TrRoad_act!B131</f>
        <v>0</v>
      </c>
      <c r="C50" s="84">
        <f>TrRoad_act!C131</f>
        <v>147</v>
      </c>
      <c r="D50" s="84">
        <f>TrRoad_act!D131</f>
        <v>0</v>
      </c>
      <c r="E50" s="84">
        <f>TrRoad_act!E131</f>
        <v>0</v>
      </c>
      <c r="F50" s="84">
        <f>TrRoad_act!F131</f>
        <v>0</v>
      </c>
      <c r="G50" s="84">
        <f>TrRoad_act!G131</f>
        <v>0</v>
      </c>
      <c r="H50" s="84">
        <f>TrRoad_act!H131</f>
        <v>0</v>
      </c>
      <c r="I50" s="84">
        <f>TrRoad_act!I131</f>
        <v>0</v>
      </c>
      <c r="J50" s="84">
        <f>TrRoad_act!J131</f>
        <v>0</v>
      </c>
      <c r="K50" s="84">
        <f>TrRoad_act!K131</f>
        <v>11</v>
      </c>
      <c r="L50" s="84">
        <f>TrRoad_act!L131</f>
        <v>388</v>
      </c>
      <c r="M50" s="84">
        <f>TrRoad_act!M131</f>
        <v>511</v>
      </c>
      <c r="N50" s="84">
        <f>TrRoad_act!N131</f>
        <v>597</v>
      </c>
      <c r="O50" s="84">
        <f>TrRoad_act!O131</f>
        <v>501</v>
      </c>
      <c r="P50" s="84">
        <f>TrRoad_act!P131</f>
        <v>781</v>
      </c>
      <c r="Q50" s="84">
        <f>TrRoad_act!Q131</f>
        <v>654</v>
      </c>
      <c r="R50" s="84">
        <f>TrRoad_act!R131</f>
        <v>693</v>
      </c>
      <c r="S50" s="84">
        <f>TrRoad_act!S131</f>
        <v>952</v>
      </c>
      <c r="T50" s="84">
        <f>TrRoad_act!T131</f>
        <v>1426</v>
      </c>
      <c r="U50" s="84">
        <f>TrRoad_act!U131</f>
        <v>5086</v>
      </c>
      <c r="V50" s="84">
        <f>TrRoad_act!V131</f>
        <v>984</v>
      </c>
      <c r="W50" s="84">
        <f>TrRoad_act!W131</f>
        <v>722</v>
      </c>
      <c r="X50" s="84">
        <f>TrRoad_act!X131</f>
        <v>1824</v>
      </c>
      <c r="Y50" s="84">
        <f>TrRoad_act!Y131</f>
        <v>871</v>
      </c>
      <c r="DA50" s="171" t="s">
        <v>546</v>
      </c>
    </row>
    <row r="51" spans="1:105" ht="11.45" customHeight="1" x14ac:dyDescent="0.25">
      <c r="A51" s="111" t="s">
        <v>113</v>
      </c>
      <c r="B51" s="84">
        <f>TrRoad_act!B132</f>
        <v>0</v>
      </c>
      <c r="C51" s="84">
        <f>TrRoad_act!C132</f>
        <v>0</v>
      </c>
      <c r="D51" s="84">
        <f>TrRoad_act!D132</f>
        <v>0</v>
      </c>
      <c r="E51" s="84">
        <f>TrRoad_act!E132</f>
        <v>84</v>
      </c>
      <c r="F51" s="84">
        <f>TrRoad_act!F132</f>
        <v>152</v>
      </c>
      <c r="G51" s="84">
        <f>TrRoad_act!G132</f>
        <v>0</v>
      </c>
      <c r="H51" s="84">
        <f>TrRoad_act!H132</f>
        <v>0</v>
      </c>
      <c r="I51" s="84">
        <f>TrRoad_act!I132</f>
        <v>280</v>
      </c>
      <c r="J51" s="84">
        <f>TrRoad_act!J132</f>
        <v>0</v>
      </c>
      <c r="K51" s="84">
        <f>TrRoad_act!K132</f>
        <v>343</v>
      </c>
      <c r="L51" s="84">
        <f>TrRoad_act!L132</f>
        <v>347</v>
      </c>
      <c r="M51" s="84">
        <f>TrRoad_act!M132</f>
        <v>356</v>
      </c>
      <c r="N51" s="84">
        <f>TrRoad_act!N132</f>
        <v>398</v>
      </c>
      <c r="O51" s="84">
        <f>TrRoad_act!O132</f>
        <v>380</v>
      </c>
      <c r="P51" s="84">
        <f>TrRoad_act!P132</f>
        <v>391</v>
      </c>
      <c r="Q51" s="84">
        <f>TrRoad_act!Q132</f>
        <v>226</v>
      </c>
      <c r="R51" s="84">
        <f>TrRoad_act!R132</f>
        <v>604</v>
      </c>
      <c r="S51" s="84">
        <f>TrRoad_act!S132</f>
        <v>627</v>
      </c>
      <c r="T51" s="84">
        <f>TrRoad_act!T132</f>
        <v>1938</v>
      </c>
      <c r="U51" s="84">
        <f>TrRoad_act!U132</f>
        <v>459</v>
      </c>
      <c r="V51" s="84">
        <f>TrRoad_act!V132</f>
        <v>311</v>
      </c>
      <c r="W51" s="84">
        <f>TrRoad_act!W132</f>
        <v>112</v>
      </c>
      <c r="X51" s="84">
        <f>TrRoad_act!X132</f>
        <v>88</v>
      </c>
      <c r="Y51" s="84">
        <f>TrRoad_act!Y132</f>
        <v>23</v>
      </c>
      <c r="DA51" s="171" t="s">
        <v>547</v>
      </c>
    </row>
    <row r="52" spans="1:105" ht="11.45" customHeight="1" x14ac:dyDescent="0.25">
      <c r="A52" s="111" t="s">
        <v>115</v>
      </c>
      <c r="B52" s="84">
        <f>TrRoad_act!B133</f>
        <v>0</v>
      </c>
      <c r="C52" s="84">
        <f>TrRoad_act!C133</f>
        <v>0</v>
      </c>
      <c r="D52" s="84">
        <f>TrRoad_act!D133</f>
        <v>0</v>
      </c>
      <c r="E52" s="84">
        <f>TrRoad_act!E133</f>
        <v>0</v>
      </c>
      <c r="F52" s="84">
        <f>TrRoad_act!F133</f>
        <v>0</v>
      </c>
      <c r="G52" s="84">
        <f>TrRoad_act!G133</f>
        <v>0</v>
      </c>
      <c r="H52" s="84">
        <f>TrRoad_act!H133</f>
        <v>0</v>
      </c>
      <c r="I52" s="84">
        <f>TrRoad_act!I133</f>
        <v>0</v>
      </c>
      <c r="J52" s="84">
        <f>TrRoad_act!J133</f>
        <v>0</v>
      </c>
      <c r="K52" s="84">
        <f>TrRoad_act!K133</f>
        <v>0</v>
      </c>
      <c r="L52" s="84">
        <f>TrRoad_act!L133</f>
        <v>0</v>
      </c>
      <c r="M52" s="84">
        <f>TrRoad_act!M133</f>
        <v>16</v>
      </c>
      <c r="N52" s="84">
        <f>TrRoad_act!N133</f>
        <v>395</v>
      </c>
      <c r="O52" s="84">
        <f>TrRoad_act!O133</f>
        <v>274</v>
      </c>
      <c r="P52" s="84">
        <f>TrRoad_act!P133</f>
        <v>590</v>
      </c>
      <c r="Q52" s="84">
        <f>TrRoad_act!Q133</f>
        <v>272</v>
      </c>
      <c r="R52" s="84">
        <f>TrRoad_act!R133</f>
        <v>297</v>
      </c>
      <c r="S52" s="84">
        <f>TrRoad_act!S133</f>
        <v>617</v>
      </c>
      <c r="T52" s="84">
        <f>TrRoad_act!T133</f>
        <v>968</v>
      </c>
      <c r="U52" s="84">
        <f>TrRoad_act!U133</f>
        <v>1245</v>
      </c>
      <c r="V52" s="84">
        <f>TrRoad_act!V133</f>
        <v>1616</v>
      </c>
      <c r="W52" s="84">
        <f>TrRoad_act!W133</f>
        <v>3069</v>
      </c>
      <c r="X52" s="84">
        <f>TrRoad_act!X133</f>
        <v>4755</v>
      </c>
      <c r="Y52" s="84">
        <f>TrRoad_act!Y133</f>
        <v>9917</v>
      </c>
      <c r="DA52" s="171" t="s">
        <v>548</v>
      </c>
    </row>
    <row r="53" spans="1:105" ht="11.45" customHeight="1" x14ac:dyDescent="0.25">
      <c r="A53" s="109" t="s">
        <v>154</v>
      </c>
      <c r="B53" s="110">
        <f>TrRoad_act!B134</f>
        <v>12408</v>
      </c>
      <c r="C53" s="110">
        <f>TrRoad_act!C134</f>
        <v>12763</v>
      </c>
      <c r="D53" s="110">
        <f>TrRoad_act!D134</f>
        <v>12311</v>
      </c>
      <c r="E53" s="110">
        <f>TrRoad_act!E134</f>
        <v>9885</v>
      </c>
      <c r="F53" s="110">
        <f>TrRoad_act!F134</f>
        <v>10043</v>
      </c>
      <c r="G53" s="110">
        <f>TrRoad_act!G134</f>
        <v>9181</v>
      </c>
      <c r="H53" s="110">
        <f>TrRoad_act!H134</f>
        <v>9641</v>
      </c>
      <c r="I53" s="110">
        <f>TrRoad_act!I134</f>
        <v>12774</v>
      </c>
      <c r="J53" s="110">
        <f>TrRoad_act!J134</f>
        <v>10560</v>
      </c>
      <c r="K53" s="110">
        <f>TrRoad_act!K134</f>
        <v>11451</v>
      </c>
      <c r="L53" s="110">
        <f>TrRoad_act!L134</f>
        <v>9492</v>
      </c>
      <c r="M53" s="110">
        <f>TrRoad_act!M134</f>
        <v>7198</v>
      </c>
      <c r="N53" s="110">
        <f>TrRoad_act!N134</f>
        <v>8592</v>
      </c>
      <c r="O53" s="110">
        <f>TrRoad_act!O134</f>
        <v>8905</v>
      </c>
      <c r="P53" s="110">
        <f>TrRoad_act!P134</f>
        <v>9359</v>
      </c>
      <c r="Q53" s="110">
        <f>TrRoad_act!Q134</f>
        <v>7836</v>
      </c>
      <c r="R53" s="110">
        <f>TrRoad_act!R134</f>
        <v>10991</v>
      </c>
      <c r="S53" s="110">
        <f>TrRoad_act!S134</f>
        <v>11068</v>
      </c>
      <c r="T53" s="110">
        <f>TrRoad_act!T134</f>
        <v>10185</v>
      </c>
      <c r="U53" s="110">
        <f>TrRoad_act!U134</f>
        <v>13306</v>
      </c>
      <c r="V53" s="110">
        <f>TrRoad_act!V134</f>
        <v>11160</v>
      </c>
      <c r="W53" s="110">
        <f>TrRoad_act!W134</f>
        <v>13391</v>
      </c>
      <c r="X53" s="110">
        <f>TrRoad_act!X134</f>
        <v>13897</v>
      </c>
      <c r="Y53" s="110">
        <f>TrRoad_act!Y134</f>
        <v>12190</v>
      </c>
      <c r="DA53" s="176" t="s">
        <v>549</v>
      </c>
    </row>
    <row r="54" spans="1:105" ht="11.45" customHeight="1" x14ac:dyDescent="0.25">
      <c r="A54" s="128" t="s">
        <v>27</v>
      </c>
      <c r="B54" s="102">
        <f>TrRoad_act!B135</f>
        <v>11341</v>
      </c>
      <c r="C54" s="102">
        <f>TrRoad_act!C135</f>
        <v>11526</v>
      </c>
      <c r="D54" s="102">
        <f>TrRoad_act!D135</f>
        <v>11149</v>
      </c>
      <c r="E54" s="102">
        <f>TrRoad_act!E135</f>
        <v>8951</v>
      </c>
      <c r="F54" s="102">
        <f>TrRoad_act!F135</f>
        <v>7033</v>
      </c>
      <c r="G54" s="102">
        <f>TrRoad_act!G135</f>
        <v>7790</v>
      </c>
      <c r="H54" s="102">
        <f>TrRoad_act!H135</f>
        <v>7787</v>
      </c>
      <c r="I54" s="102">
        <f>TrRoad_act!I135</f>
        <v>11530</v>
      </c>
      <c r="J54" s="102">
        <f>TrRoad_act!J135</f>
        <v>9104</v>
      </c>
      <c r="K54" s="102">
        <f>TrRoad_act!K135</f>
        <v>11451</v>
      </c>
      <c r="L54" s="102">
        <f>TrRoad_act!L135</f>
        <v>7464</v>
      </c>
      <c r="M54" s="102">
        <f>TrRoad_act!M135</f>
        <v>6071</v>
      </c>
      <c r="N54" s="102">
        <f>TrRoad_act!N135</f>
        <v>7622</v>
      </c>
      <c r="O54" s="102">
        <f>TrRoad_act!O135</f>
        <v>7290</v>
      </c>
      <c r="P54" s="102">
        <f>TrRoad_act!P135</f>
        <v>7604</v>
      </c>
      <c r="Q54" s="102">
        <f>TrRoad_act!Q135</f>
        <v>6186</v>
      </c>
      <c r="R54" s="102">
        <f>TrRoad_act!R135</f>
        <v>8558</v>
      </c>
      <c r="S54" s="102">
        <f>TrRoad_act!S135</f>
        <v>9539</v>
      </c>
      <c r="T54" s="102">
        <f>TrRoad_act!T135</f>
        <v>9177</v>
      </c>
      <c r="U54" s="102">
        <f>TrRoad_act!U135</f>
        <v>11093</v>
      </c>
      <c r="V54" s="102">
        <f>TrRoad_act!V135</f>
        <v>9220</v>
      </c>
      <c r="W54" s="102">
        <f>TrRoad_act!W135</f>
        <v>11992</v>
      </c>
      <c r="X54" s="102">
        <f>TrRoad_act!X135</f>
        <v>12847</v>
      </c>
      <c r="Y54" s="102">
        <f>TrRoad_act!Y135</f>
        <v>11329</v>
      </c>
      <c r="DA54" s="175" t="s">
        <v>550</v>
      </c>
    </row>
    <row r="55" spans="1:105" ht="11.45" customHeight="1" x14ac:dyDescent="0.25">
      <c r="A55" s="138" t="s">
        <v>116</v>
      </c>
      <c r="B55" s="86">
        <f>TrRoad_act!B136</f>
        <v>1067</v>
      </c>
      <c r="C55" s="86">
        <f>TrRoad_act!C136</f>
        <v>1237</v>
      </c>
      <c r="D55" s="86">
        <f>TrRoad_act!D136</f>
        <v>1162</v>
      </c>
      <c r="E55" s="86">
        <f>TrRoad_act!E136</f>
        <v>934</v>
      </c>
      <c r="F55" s="86">
        <f>TrRoad_act!F136</f>
        <v>3010</v>
      </c>
      <c r="G55" s="86">
        <f>TrRoad_act!G136</f>
        <v>1391</v>
      </c>
      <c r="H55" s="86">
        <f>TrRoad_act!H136</f>
        <v>1854</v>
      </c>
      <c r="I55" s="86">
        <f>TrRoad_act!I136</f>
        <v>1244</v>
      </c>
      <c r="J55" s="86">
        <f>TrRoad_act!J136</f>
        <v>1456</v>
      </c>
      <c r="K55" s="86">
        <f>TrRoad_act!K136</f>
        <v>0</v>
      </c>
      <c r="L55" s="86">
        <f>TrRoad_act!L136</f>
        <v>2028</v>
      </c>
      <c r="M55" s="86">
        <f>TrRoad_act!M136</f>
        <v>1127</v>
      </c>
      <c r="N55" s="86">
        <f>TrRoad_act!N136</f>
        <v>970</v>
      </c>
      <c r="O55" s="86">
        <f>TrRoad_act!O136</f>
        <v>1615</v>
      </c>
      <c r="P55" s="86">
        <f>TrRoad_act!P136</f>
        <v>1755</v>
      </c>
      <c r="Q55" s="86">
        <f>TrRoad_act!Q136</f>
        <v>1650</v>
      </c>
      <c r="R55" s="86">
        <f>TrRoad_act!R136</f>
        <v>2433</v>
      </c>
      <c r="S55" s="86">
        <f>TrRoad_act!S136</f>
        <v>1529</v>
      </c>
      <c r="T55" s="86">
        <f>TrRoad_act!T136</f>
        <v>1008</v>
      </c>
      <c r="U55" s="86">
        <f>TrRoad_act!U136</f>
        <v>2213</v>
      </c>
      <c r="V55" s="86">
        <f>TrRoad_act!V136</f>
        <v>1940</v>
      </c>
      <c r="W55" s="86">
        <f>TrRoad_act!W136</f>
        <v>1399</v>
      </c>
      <c r="X55" s="86">
        <f>TrRoad_act!X136</f>
        <v>1050</v>
      </c>
      <c r="Y55" s="86">
        <f>TrRoad_act!Y136</f>
        <v>861</v>
      </c>
      <c r="DA55" s="178" t="s">
        <v>551</v>
      </c>
    </row>
    <row r="56" spans="1:105" x14ac:dyDescent="0.25">
      <c r="A56" s="106"/>
      <c r="B56" s="106"/>
      <c r="C56" s="106"/>
      <c r="D56" s="106"/>
      <c r="E56" s="106"/>
      <c r="F56" s="106"/>
      <c r="G56" s="106"/>
      <c r="H56" s="106"/>
      <c r="I56" s="106"/>
      <c r="J56" s="106"/>
      <c r="K56" s="106"/>
      <c r="L56" s="106"/>
      <c r="M56" s="106"/>
      <c r="N56" s="106"/>
      <c r="O56" s="106"/>
      <c r="P56" s="106"/>
      <c r="Q56" s="106"/>
      <c r="R56" s="106"/>
      <c r="S56" s="106"/>
      <c r="T56" s="106"/>
      <c r="U56" s="106"/>
      <c r="V56" s="106"/>
      <c r="W56" s="106"/>
      <c r="X56" s="106"/>
      <c r="Y56" s="106"/>
      <c r="DA56" s="171"/>
    </row>
    <row r="57" spans="1:105" ht="11.45" customHeight="1" x14ac:dyDescent="0.25">
      <c r="A57" s="148"/>
      <c r="B57" s="231">
        <v>2020</v>
      </c>
      <c r="C57" s="231"/>
      <c r="D57" s="231"/>
      <c r="E57" s="231"/>
      <c r="F57" s="231"/>
      <c r="G57" s="231"/>
      <c r="H57" s="231"/>
      <c r="I57" s="231"/>
      <c r="J57" s="231"/>
      <c r="K57" s="231"/>
      <c r="L57" s="231"/>
      <c r="M57" s="231"/>
      <c r="N57" s="231"/>
      <c r="O57" s="231"/>
      <c r="P57" s="231"/>
      <c r="Q57" s="231"/>
      <c r="R57" s="231"/>
      <c r="S57" s="231"/>
      <c r="T57" s="231"/>
      <c r="U57" s="231"/>
      <c r="V57" s="231"/>
      <c r="W57" s="168"/>
      <c r="X57" s="168"/>
      <c r="Y57" s="168"/>
      <c r="DA57" s="209"/>
    </row>
    <row r="58" spans="1:105" ht="11.45" customHeight="1" x14ac:dyDescent="0.25">
      <c r="A58" s="149" t="s">
        <v>118</v>
      </c>
      <c r="B58" s="147" t="s">
        <v>119</v>
      </c>
      <c r="C58" s="147">
        <v>2001</v>
      </c>
      <c r="D58" s="147">
        <v>2002</v>
      </c>
      <c r="E58" s="147">
        <v>2003</v>
      </c>
      <c r="F58" s="147">
        <v>2004</v>
      </c>
      <c r="G58" s="147">
        <v>2005</v>
      </c>
      <c r="H58" s="147">
        <v>2006</v>
      </c>
      <c r="I58" s="147">
        <v>2007</v>
      </c>
      <c r="J58" s="147">
        <v>2008</v>
      </c>
      <c r="K58" s="147">
        <v>2009</v>
      </c>
      <c r="L58" s="147">
        <v>2010</v>
      </c>
      <c r="M58" s="147">
        <v>2011</v>
      </c>
      <c r="N58" s="147">
        <v>2012</v>
      </c>
      <c r="O58" s="147">
        <v>2013</v>
      </c>
      <c r="P58" s="147">
        <v>2014</v>
      </c>
      <c r="Q58" s="147">
        <v>2015</v>
      </c>
      <c r="R58" s="147">
        <v>2016</v>
      </c>
      <c r="S58" s="147">
        <v>2017</v>
      </c>
      <c r="T58" s="147">
        <v>2018</v>
      </c>
      <c r="U58" s="147">
        <v>2019</v>
      </c>
      <c r="V58" s="147">
        <v>2020</v>
      </c>
      <c r="W58" s="147">
        <v>2021</v>
      </c>
      <c r="X58" s="147">
        <v>2021</v>
      </c>
      <c r="Y58" s="147">
        <v>2021</v>
      </c>
      <c r="DA58" s="210"/>
    </row>
    <row r="59" spans="1:105" ht="11.45" customHeight="1" x14ac:dyDescent="0.25">
      <c r="A59" s="53" t="s">
        <v>151</v>
      </c>
      <c r="B59" s="54">
        <f t="shared" ref="B59:K59" si="0">B60+B75</f>
        <v>608306</v>
      </c>
      <c r="C59" s="54">
        <f t="shared" si="0"/>
        <v>154662</v>
      </c>
      <c r="D59" s="54">
        <f t="shared" si="0"/>
        <v>180634</v>
      </c>
      <c r="E59" s="54">
        <f t="shared" si="0"/>
        <v>183532</v>
      </c>
      <c r="F59" s="54">
        <f t="shared" si="0"/>
        <v>204690</v>
      </c>
      <c r="G59" s="54">
        <f t="shared" si="0"/>
        <v>287718</v>
      </c>
      <c r="H59" s="54">
        <f t="shared" si="0"/>
        <v>402148</v>
      </c>
      <c r="I59" s="54">
        <f t="shared" si="0"/>
        <v>361280</v>
      </c>
      <c r="J59" s="54">
        <f t="shared" si="0"/>
        <v>423339</v>
      </c>
      <c r="K59" s="54">
        <f t="shared" si="0"/>
        <v>483087</v>
      </c>
      <c r="L59" s="54">
        <f t="shared" ref="L59" si="1">L60+L75</f>
        <v>505737</v>
      </c>
      <c r="M59" s="54">
        <f t="shared" ref="M59:V59" si="2">M60+M75</f>
        <v>529746</v>
      </c>
      <c r="N59" s="54">
        <f t="shared" si="2"/>
        <v>525675</v>
      </c>
      <c r="O59" s="54">
        <f t="shared" si="2"/>
        <v>484398</v>
      </c>
      <c r="P59" s="54">
        <f t="shared" si="2"/>
        <v>460271</v>
      </c>
      <c r="Q59" s="54">
        <f t="shared" si="2"/>
        <v>579682</v>
      </c>
      <c r="R59" s="54">
        <f t="shared" si="2"/>
        <v>554755</v>
      </c>
      <c r="S59" s="54">
        <f t="shared" si="2"/>
        <v>604543</v>
      </c>
      <c r="T59" s="54">
        <f t="shared" si="2"/>
        <v>606408</v>
      </c>
      <c r="U59" s="54">
        <f t="shared" si="2"/>
        <v>675640</v>
      </c>
      <c r="V59" s="54">
        <f t="shared" si="2"/>
        <v>731352</v>
      </c>
      <c r="W59" s="54">
        <f t="shared" ref="W59:Y59" si="3">W60+W75</f>
        <v>800352</v>
      </c>
      <c r="X59" s="54">
        <f t="shared" si="3"/>
        <v>881755</v>
      </c>
      <c r="Y59" s="54">
        <f t="shared" si="3"/>
        <v>882540</v>
      </c>
      <c r="DA59" s="172" t="s">
        <v>838</v>
      </c>
    </row>
    <row r="60" spans="1:105" ht="11.45" customHeight="1" x14ac:dyDescent="0.25">
      <c r="A60" s="27" t="s">
        <v>33</v>
      </c>
      <c r="B60" s="28">
        <f t="shared" ref="B60:K60" si="4">B61+B62+B69</f>
        <v>600878</v>
      </c>
      <c r="C60" s="28">
        <f t="shared" si="4"/>
        <v>154584</v>
      </c>
      <c r="D60" s="28">
        <f t="shared" si="4"/>
        <v>180634</v>
      </c>
      <c r="E60" s="28">
        <f t="shared" si="4"/>
        <v>183532</v>
      </c>
      <c r="F60" s="28">
        <f t="shared" si="4"/>
        <v>203170</v>
      </c>
      <c r="G60" s="28">
        <f t="shared" si="4"/>
        <v>263085</v>
      </c>
      <c r="H60" s="28">
        <f t="shared" si="4"/>
        <v>379835</v>
      </c>
      <c r="I60" s="28">
        <f t="shared" si="4"/>
        <v>335347</v>
      </c>
      <c r="J60" s="28">
        <f t="shared" si="4"/>
        <v>383028</v>
      </c>
      <c r="K60" s="28">
        <f t="shared" si="4"/>
        <v>434116</v>
      </c>
      <c r="L60" s="28">
        <f t="shared" ref="L60" si="5">L61+L62+L69</f>
        <v>470438</v>
      </c>
      <c r="M60" s="28">
        <f t="shared" ref="M60:V60" si="6">M61+M62+M69</f>
        <v>486696</v>
      </c>
      <c r="N60" s="28">
        <f t="shared" si="6"/>
        <v>477483</v>
      </c>
      <c r="O60" s="28">
        <f t="shared" si="6"/>
        <v>435391</v>
      </c>
      <c r="P60" s="28">
        <f t="shared" si="6"/>
        <v>407964</v>
      </c>
      <c r="Q60" s="28">
        <f t="shared" si="6"/>
        <v>520886</v>
      </c>
      <c r="R60" s="28">
        <f t="shared" si="6"/>
        <v>479255</v>
      </c>
      <c r="S60" s="28">
        <f t="shared" si="6"/>
        <v>523687</v>
      </c>
      <c r="T60" s="28">
        <f t="shared" si="6"/>
        <v>518297</v>
      </c>
      <c r="U60" s="28">
        <f t="shared" si="6"/>
        <v>582170</v>
      </c>
      <c r="V60" s="28">
        <f t="shared" si="6"/>
        <v>658449</v>
      </c>
      <c r="W60" s="28">
        <f t="shared" ref="W60:Y60" si="7">W61+W62+W69</f>
        <v>722245</v>
      </c>
      <c r="X60" s="28">
        <f t="shared" si="7"/>
        <v>785092</v>
      </c>
      <c r="Y60" s="28">
        <f t="shared" si="7"/>
        <v>783240</v>
      </c>
      <c r="DA60" s="173" t="s">
        <v>839</v>
      </c>
    </row>
    <row r="61" spans="1:105" ht="11.45" customHeight="1" x14ac:dyDescent="0.25">
      <c r="A61" s="136" t="s">
        <v>173</v>
      </c>
      <c r="B61" s="137">
        <v>0</v>
      </c>
      <c r="C61" s="137">
        <v>0</v>
      </c>
      <c r="D61" s="137">
        <v>29829</v>
      </c>
      <c r="E61" s="137">
        <v>22960</v>
      </c>
      <c r="F61" s="137">
        <v>33915</v>
      </c>
      <c r="G61" s="137">
        <v>84315</v>
      </c>
      <c r="H61" s="137">
        <v>183868</v>
      </c>
      <c r="I61" s="137">
        <v>117982</v>
      </c>
      <c r="J61" s="137">
        <v>143769</v>
      </c>
      <c r="K61" s="137">
        <v>143096</v>
      </c>
      <c r="L61" s="137">
        <v>133465</v>
      </c>
      <c r="M61" s="137">
        <v>88406</v>
      </c>
      <c r="N61" s="137">
        <v>73197</v>
      </c>
      <c r="O61" s="137">
        <v>59304</v>
      </c>
      <c r="P61" s="137">
        <v>66450</v>
      </c>
      <c r="Q61" s="137">
        <v>75767</v>
      </c>
      <c r="R61" s="137">
        <v>84704</v>
      </c>
      <c r="S61" s="137">
        <v>98657</v>
      </c>
      <c r="T61" s="137">
        <v>76628</v>
      </c>
      <c r="U61" s="137">
        <v>94121</v>
      </c>
      <c r="V61" s="137">
        <v>142426</v>
      </c>
      <c r="W61" s="137">
        <v>24927</v>
      </c>
      <c r="X61" s="137">
        <v>84657</v>
      </c>
      <c r="Y61" s="137">
        <v>29295</v>
      </c>
      <c r="DA61" s="174" t="s">
        <v>840</v>
      </c>
    </row>
    <row r="62" spans="1:105" ht="11.45" customHeight="1" x14ac:dyDescent="0.25">
      <c r="A62" s="109" t="s">
        <v>20</v>
      </c>
      <c r="B62" s="110">
        <f t="shared" ref="B62:K62" si="8">SUM(B63:B68)</f>
        <v>600824</v>
      </c>
      <c r="C62" s="110">
        <f t="shared" si="8"/>
        <v>154582</v>
      </c>
      <c r="D62" s="110">
        <f t="shared" si="8"/>
        <v>150797</v>
      </c>
      <c r="E62" s="110">
        <f t="shared" si="8"/>
        <v>160572</v>
      </c>
      <c r="F62" s="110">
        <f t="shared" si="8"/>
        <v>169255</v>
      </c>
      <c r="G62" s="110">
        <f t="shared" si="8"/>
        <v>178739</v>
      </c>
      <c r="H62" s="110">
        <f t="shared" si="8"/>
        <v>195939</v>
      </c>
      <c r="I62" s="110">
        <f t="shared" si="8"/>
        <v>217348</v>
      </c>
      <c r="J62" s="110">
        <f t="shared" si="8"/>
        <v>239216</v>
      </c>
      <c r="K62" s="110">
        <f t="shared" si="8"/>
        <v>290899</v>
      </c>
      <c r="L62" s="110">
        <f t="shared" ref="L62" si="9">SUM(L63:L68)</f>
        <v>336891</v>
      </c>
      <c r="M62" s="110">
        <f t="shared" ref="M62:V62" si="10">SUM(M63:M68)</f>
        <v>398058</v>
      </c>
      <c r="N62" s="110">
        <f t="shared" si="10"/>
        <v>404097</v>
      </c>
      <c r="O62" s="110">
        <f t="shared" si="10"/>
        <v>375176</v>
      </c>
      <c r="P62" s="110">
        <f t="shared" si="10"/>
        <v>341049</v>
      </c>
      <c r="Q62" s="110">
        <f t="shared" si="10"/>
        <v>444526</v>
      </c>
      <c r="R62" s="110">
        <f t="shared" si="10"/>
        <v>393854</v>
      </c>
      <c r="S62" s="110">
        <f t="shared" si="10"/>
        <v>424202</v>
      </c>
      <c r="T62" s="110">
        <f t="shared" si="10"/>
        <v>440848</v>
      </c>
      <c r="U62" s="110">
        <f t="shared" si="10"/>
        <v>486652</v>
      </c>
      <c r="V62" s="110">
        <f t="shared" si="10"/>
        <v>514666</v>
      </c>
      <c r="W62" s="110">
        <f t="shared" ref="W62:Y62" si="11">SUM(W63:W68)</f>
        <v>696360</v>
      </c>
      <c r="X62" s="110">
        <f t="shared" si="11"/>
        <v>699676</v>
      </c>
      <c r="Y62" s="110">
        <f t="shared" si="11"/>
        <v>753167</v>
      </c>
      <c r="DA62" s="176" t="s">
        <v>841</v>
      </c>
    </row>
    <row r="63" spans="1:105" ht="11.45" customHeight="1" x14ac:dyDescent="0.25">
      <c r="A63" s="111" t="s">
        <v>110</v>
      </c>
      <c r="B63" s="84">
        <v>544606</v>
      </c>
      <c r="C63" s="84">
        <v>151541</v>
      </c>
      <c r="D63" s="84">
        <v>150797</v>
      </c>
      <c r="E63" s="84">
        <v>160572</v>
      </c>
      <c r="F63" s="84">
        <v>169255</v>
      </c>
      <c r="G63" s="84">
        <v>178739</v>
      </c>
      <c r="H63" s="84">
        <v>195939</v>
      </c>
      <c r="I63" s="84">
        <v>217348</v>
      </c>
      <c r="J63" s="84">
        <v>239216</v>
      </c>
      <c r="K63" s="84">
        <v>268843</v>
      </c>
      <c r="L63" s="84">
        <v>306237</v>
      </c>
      <c r="M63" s="84">
        <v>329692</v>
      </c>
      <c r="N63" s="84">
        <v>317332</v>
      </c>
      <c r="O63" s="84">
        <v>285204</v>
      </c>
      <c r="P63" s="84">
        <v>241891</v>
      </c>
      <c r="Q63" s="84">
        <v>292877</v>
      </c>
      <c r="R63" s="84">
        <v>298889</v>
      </c>
      <c r="S63" s="84">
        <v>336635</v>
      </c>
      <c r="T63" s="84">
        <v>343595</v>
      </c>
      <c r="U63" s="84">
        <v>364026</v>
      </c>
      <c r="V63" s="84">
        <v>394202</v>
      </c>
      <c r="W63" s="84">
        <v>565884</v>
      </c>
      <c r="X63" s="84">
        <v>546749</v>
      </c>
      <c r="Y63" s="84">
        <v>543927</v>
      </c>
      <c r="DA63" s="171" t="s">
        <v>842</v>
      </c>
    </row>
    <row r="64" spans="1:105" ht="11.45" customHeight="1" x14ac:dyDescent="0.25">
      <c r="A64" s="111" t="s">
        <v>111</v>
      </c>
      <c r="B64" s="84">
        <v>0</v>
      </c>
      <c r="C64" s="84">
        <v>0</v>
      </c>
      <c r="D64" s="84">
        <v>0</v>
      </c>
      <c r="E64" s="84">
        <v>0</v>
      </c>
      <c r="F64" s="84">
        <v>0</v>
      </c>
      <c r="G64" s="84">
        <v>0</v>
      </c>
      <c r="H64" s="84">
        <v>0</v>
      </c>
      <c r="I64" s="84">
        <v>0</v>
      </c>
      <c r="J64" s="84">
        <v>0</v>
      </c>
      <c r="K64" s="84">
        <v>22056</v>
      </c>
      <c r="L64" s="84">
        <v>30122</v>
      </c>
      <c r="M64" s="84">
        <v>61987</v>
      </c>
      <c r="N64" s="84">
        <v>79279</v>
      </c>
      <c r="O64" s="84">
        <v>82643</v>
      </c>
      <c r="P64" s="84">
        <v>83845</v>
      </c>
      <c r="Q64" s="84">
        <v>114473</v>
      </c>
      <c r="R64" s="84">
        <v>73615</v>
      </c>
      <c r="S64" s="84">
        <v>77061</v>
      </c>
      <c r="T64" s="84">
        <v>66823</v>
      </c>
      <c r="U64" s="84">
        <v>45342</v>
      </c>
      <c r="V64" s="84">
        <v>25903</v>
      </c>
      <c r="W64" s="84">
        <v>19168</v>
      </c>
      <c r="X64" s="84">
        <v>15491</v>
      </c>
      <c r="Y64" s="84">
        <v>13484</v>
      </c>
      <c r="DA64" s="171" t="s">
        <v>843</v>
      </c>
    </row>
    <row r="65" spans="1:105" ht="11.45" customHeight="1" x14ac:dyDescent="0.25">
      <c r="A65" s="111" t="s">
        <v>112</v>
      </c>
      <c r="B65" s="84">
        <v>56218</v>
      </c>
      <c r="C65" s="84">
        <v>3041</v>
      </c>
      <c r="D65" s="84">
        <v>0</v>
      </c>
      <c r="E65" s="84">
        <v>0</v>
      </c>
      <c r="F65" s="84">
        <v>0</v>
      </c>
      <c r="G65" s="84">
        <v>0</v>
      </c>
      <c r="H65" s="84">
        <v>0</v>
      </c>
      <c r="I65" s="84">
        <v>0</v>
      </c>
      <c r="J65" s="84">
        <v>0</v>
      </c>
      <c r="K65" s="84">
        <v>0</v>
      </c>
      <c r="L65" s="84">
        <v>532</v>
      </c>
      <c r="M65" s="84">
        <v>6379</v>
      </c>
      <c r="N65" s="84">
        <v>7486</v>
      </c>
      <c r="O65" s="84">
        <v>4021</v>
      </c>
      <c r="P65" s="84">
        <v>1082</v>
      </c>
      <c r="Q65" s="84">
        <v>477</v>
      </c>
      <c r="R65" s="84">
        <v>925</v>
      </c>
      <c r="S65" s="84">
        <v>1234</v>
      </c>
      <c r="T65" s="84">
        <v>989</v>
      </c>
      <c r="U65" s="84">
        <v>11231</v>
      </c>
      <c r="V65" s="84">
        <v>2047</v>
      </c>
      <c r="W65" s="84">
        <v>2223</v>
      </c>
      <c r="X65" s="84">
        <v>2284</v>
      </c>
      <c r="Y65" s="84">
        <v>3098</v>
      </c>
      <c r="DA65" s="171" t="s">
        <v>844</v>
      </c>
    </row>
    <row r="66" spans="1:105" ht="11.45" customHeight="1" x14ac:dyDescent="0.25">
      <c r="A66" s="111" t="s">
        <v>113</v>
      </c>
      <c r="B66" s="84">
        <v>0</v>
      </c>
      <c r="C66" s="84">
        <v>0</v>
      </c>
      <c r="D66" s="84">
        <v>0</v>
      </c>
      <c r="E66" s="84">
        <v>0</v>
      </c>
      <c r="F66" s="84">
        <v>0</v>
      </c>
      <c r="G66" s="84">
        <v>0</v>
      </c>
      <c r="H66" s="84">
        <v>0</v>
      </c>
      <c r="I66" s="84">
        <v>0</v>
      </c>
      <c r="J66" s="84">
        <v>0</v>
      </c>
      <c r="K66" s="84">
        <v>0</v>
      </c>
      <c r="L66" s="84">
        <v>0</v>
      </c>
      <c r="M66" s="84">
        <v>0</v>
      </c>
      <c r="N66" s="84">
        <v>0</v>
      </c>
      <c r="O66" s="84">
        <v>0</v>
      </c>
      <c r="P66" s="84">
        <v>0</v>
      </c>
      <c r="Q66" s="84">
        <v>0</v>
      </c>
      <c r="R66" s="84">
        <v>0</v>
      </c>
      <c r="S66" s="84">
        <v>0</v>
      </c>
      <c r="T66" s="84">
        <v>2347</v>
      </c>
      <c r="U66" s="84">
        <v>274</v>
      </c>
      <c r="V66" s="84">
        <v>59</v>
      </c>
      <c r="W66" s="84">
        <v>39</v>
      </c>
      <c r="X66" s="84">
        <v>17</v>
      </c>
      <c r="Y66" s="84">
        <v>6</v>
      </c>
      <c r="DA66" s="171" t="s">
        <v>845</v>
      </c>
    </row>
    <row r="67" spans="1:105" ht="11.45" customHeight="1" x14ac:dyDescent="0.25">
      <c r="A67" s="111" t="s">
        <v>114</v>
      </c>
      <c r="B67" s="84">
        <v>0</v>
      </c>
      <c r="C67" s="84">
        <v>0</v>
      </c>
      <c r="D67" s="84">
        <v>0</v>
      </c>
      <c r="E67" s="84">
        <v>0</v>
      </c>
      <c r="F67" s="84">
        <v>0</v>
      </c>
      <c r="G67" s="84">
        <v>0</v>
      </c>
      <c r="H67" s="84">
        <v>0</v>
      </c>
      <c r="I67" s="84">
        <v>0</v>
      </c>
      <c r="J67" s="84">
        <v>0</v>
      </c>
      <c r="K67" s="84">
        <v>0</v>
      </c>
      <c r="L67" s="84">
        <v>0</v>
      </c>
      <c r="M67" s="84">
        <v>0</v>
      </c>
      <c r="N67" s="84">
        <v>0</v>
      </c>
      <c r="O67" s="84">
        <v>3308</v>
      </c>
      <c r="P67" s="84">
        <v>14231</v>
      </c>
      <c r="Q67" s="84">
        <v>34819</v>
      </c>
      <c r="R67" s="84">
        <v>16842</v>
      </c>
      <c r="S67" s="84">
        <v>1082</v>
      </c>
      <c r="T67" s="84">
        <v>3416</v>
      </c>
      <c r="U67" s="84">
        <v>4791</v>
      </c>
      <c r="V67" s="84">
        <v>19715</v>
      </c>
      <c r="W67" s="84">
        <v>37732</v>
      </c>
      <c r="X67" s="84">
        <v>50016</v>
      </c>
      <c r="Y67" s="84">
        <v>77735</v>
      </c>
      <c r="DA67" s="171" t="s">
        <v>846</v>
      </c>
    </row>
    <row r="68" spans="1:105" ht="11.45" customHeight="1" x14ac:dyDescent="0.25">
      <c r="A68" s="111" t="s">
        <v>115</v>
      </c>
      <c r="B68" s="84">
        <v>0</v>
      </c>
      <c r="C68" s="84">
        <v>0</v>
      </c>
      <c r="D68" s="84">
        <v>0</v>
      </c>
      <c r="E68" s="84">
        <v>0</v>
      </c>
      <c r="F68" s="84">
        <v>0</v>
      </c>
      <c r="G68" s="84">
        <v>0</v>
      </c>
      <c r="H68" s="84">
        <v>0</v>
      </c>
      <c r="I68" s="84">
        <v>0</v>
      </c>
      <c r="J68" s="84">
        <v>0</v>
      </c>
      <c r="K68" s="84">
        <v>0</v>
      </c>
      <c r="L68" s="84">
        <v>0</v>
      </c>
      <c r="M68" s="84">
        <v>0</v>
      </c>
      <c r="N68" s="84">
        <v>0</v>
      </c>
      <c r="O68" s="84">
        <v>0</v>
      </c>
      <c r="P68" s="84">
        <v>0</v>
      </c>
      <c r="Q68" s="84">
        <v>1880</v>
      </c>
      <c r="R68" s="84">
        <v>3583</v>
      </c>
      <c r="S68" s="84">
        <v>8190</v>
      </c>
      <c r="T68" s="84">
        <v>23678</v>
      </c>
      <c r="U68" s="84">
        <v>60988</v>
      </c>
      <c r="V68" s="84">
        <v>72740</v>
      </c>
      <c r="W68" s="84">
        <v>71314</v>
      </c>
      <c r="X68" s="84">
        <v>85119</v>
      </c>
      <c r="Y68" s="84">
        <v>114917</v>
      </c>
      <c r="DA68" s="171" t="s">
        <v>847</v>
      </c>
    </row>
    <row r="69" spans="1:105" ht="11.45" customHeight="1" x14ac:dyDescent="0.25">
      <c r="A69" s="109" t="s">
        <v>21</v>
      </c>
      <c r="B69" s="110">
        <f t="shared" ref="B69:K69" si="12">SUM(B70:B74)</f>
        <v>54</v>
      </c>
      <c r="C69" s="110">
        <f t="shared" si="12"/>
        <v>2</v>
      </c>
      <c r="D69" s="110">
        <f t="shared" si="12"/>
        <v>8</v>
      </c>
      <c r="E69" s="110">
        <f t="shared" si="12"/>
        <v>0</v>
      </c>
      <c r="F69" s="110">
        <f t="shared" si="12"/>
        <v>0</v>
      </c>
      <c r="G69" s="110">
        <f t="shared" si="12"/>
        <v>31</v>
      </c>
      <c r="H69" s="110">
        <f t="shared" si="12"/>
        <v>28</v>
      </c>
      <c r="I69" s="110">
        <f t="shared" si="12"/>
        <v>17</v>
      </c>
      <c r="J69" s="110">
        <f t="shared" si="12"/>
        <v>43</v>
      </c>
      <c r="K69" s="110">
        <f t="shared" si="12"/>
        <v>121</v>
      </c>
      <c r="L69" s="110">
        <f t="shared" ref="L69" si="13">SUM(L70:L74)</f>
        <v>82</v>
      </c>
      <c r="M69" s="110">
        <f t="shared" ref="M69:V69" si="14">SUM(M70:M74)</f>
        <v>232</v>
      </c>
      <c r="N69" s="110">
        <f t="shared" si="14"/>
        <v>189</v>
      </c>
      <c r="O69" s="110">
        <f t="shared" si="14"/>
        <v>911</v>
      </c>
      <c r="P69" s="110">
        <f t="shared" si="14"/>
        <v>465</v>
      </c>
      <c r="Q69" s="110">
        <f t="shared" si="14"/>
        <v>593</v>
      </c>
      <c r="R69" s="110">
        <f t="shared" si="14"/>
        <v>697</v>
      </c>
      <c r="S69" s="110">
        <f t="shared" si="14"/>
        <v>828</v>
      </c>
      <c r="T69" s="110">
        <f t="shared" si="14"/>
        <v>821</v>
      </c>
      <c r="U69" s="110">
        <f t="shared" si="14"/>
        <v>1397</v>
      </c>
      <c r="V69" s="110">
        <f t="shared" si="14"/>
        <v>1357</v>
      </c>
      <c r="W69" s="110">
        <f t="shared" ref="W69:Y69" si="15">SUM(W70:W74)</f>
        <v>958</v>
      </c>
      <c r="X69" s="110">
        <f t="shared" si="15"/>
        <v>759</v>
      </c>
      <c r="Y69" s="110">
        <f t="shared" si="15"/>
        <v>778</v>
      </c>
      <c r="DA69" s="176" t="s">
        <v>848</v>
      </c>
    </row>
    <row r="70" spans="1:105" ht="11.45" customHeight="1" x14ac:dyDescent="0.25">
      <c r="A70" s="111" t="s">
        <v>110</v>
      </c>
      <c r="B70" s="102">
        <v>0</v>
      </c>
      <c r="C70" s="102">
        <v>0</v>
      </c>
      <c r="D70" s="102">
        <v>0</v>
      </c>
      <c r="E70" s="102">
        <v>0</v>
      </c>
      <c r="F70" s="102">
        <v>0</v>
      </c>
      <c r="G70" s="102">
        <v>0</v>
      </c>
      <c r="H70" s="102">
        <v>0</v>
      </c>
      <c r="I70" s="102">
        <v>1</v>
      </c>
      <c r="J70" s="102">
        <v>0</v>
      </c>
      <c r="K70" s="102">
        <v>1</v>
      </c>
      <c r="L70" s="102">
        <v>3</v>
      </c>
      <c r="M70" s="102">
        <v>0</v>
      </c>
      <c r="N70" s="102">
        <v>0</v>
      </c>
      <c r="O70" s="102">
        <v>0</v>
      </c>
      <c r="P70" s="102">
        <v>0</v>
      </c>
      <c r="Q70" s="102">
        <v>9</v>
      </c>
      <c r="R70" s="102">
        <v>5</v>
      </c>
      <c r="S70" s="102">
        <v>0</v>
      </c>
      <c r="T70" s="102">
        <v>0</v>
      </c>
      <c r="U70" s="102">
        <v>90</v>
      </c>
      <c r="V70" s="102">
        <v>0</v>
      </c>
      <c r="W70" s="102">
        <v>17</v>
      </c>
      <c r="X70" s="102">
        <v>29</v>
      </c>
      <c r="Y70" s="102">
        <v>1</v>
      </c>
      <c r="DA70" s="175" t="s">
        <v>849</v>
      </c>
    </row>
    <row r="71" spans="1:105" ht="11.45" customHeight="1" x14ac:dyDescent="0.25">
      <c r="A71" s="111" t="s">
        <v>111</v>
      </c>
      <c r="B71" s="102">
        <v>0</v>
      </c>
      <c r="C71" s="102">
        <v>0</v>
      </c>
      <c r="D71" s="102">
        <v>0</v>
      </c>
      <c r="E71" s="102">
        <v>0</v>
      </c>
      <c r="F71" s="102">
        <v>0</v>
      </c>
      <c r="G71" s="102">
        <v>0</v>
      </c>
      <c r="H71" s="102">
        <v>0</v>
      </c>
      <c r="I71" s="102">
        <v>0</v>
      </c>
      <c r="J71" s="102">
        <v>0</v>
      </c>
      <c r="K71" s="102">
        <v>0</v>
      </c>
      <c r="L71" s="102">
        <v>0</v>
      </c>
      <c r="M71" s="102">
        <v>0</v>
      </c>
      <c r="N71" s="102">
        <v>0</v>
      </c>
      <c r="O71" s="102">
        <v>233</v>
      </c>
      <c r="P71" s="102">
        <v>421</v>
      </c>
      <c r="Q71" s="102">
        <v>474</v>
      </c>
      <c r="R71" s="102">
        <v>493</v>
      </c>
      <c r="S71" s="102">
        <v>586</v>
      </c>
      <c r="T71" s="102">
        <v>545</v>
      </c>
      <c r="U71" s="102">
        <v>685</v>
      </c>
      <c r="V71" s="102">
        <v>638</v>
      </c>
      <c r="W71" s="102">
        <v>603</v>
      </c>
      <c r="X71" s="102">
        <v>580</v>
      </c>
      <c r="Y71" s="102">
        <v>599</v>
      </c>
      <c r="DA71" s="175" t="s">
        <v>850</v>
      </c>
    </row>
    <row r="72" spans="1:105" ht="11.45" customHeight="1" x14ac:dyDescent="0.25">
      <c r="A72" s="111" t="s">
        <v>112</v>
      </c>
      <c r="B72" s="102">
        <v>52</v>
      </c>
      <c r="C72" s="102">
        <v>0</v>
      </c>
      <c r="D72" s="102">
        <v>0</v>
      </c>
      <c r="E72" s="102">
        <v>0</v>
      </c>
      <c r="F72" s="102">
        <v>0</v>
      </c>
      <c r="G72" s="102">
        <v>27</v>
      </c>
      <c r="H72" s="102">
        <v>0</v>
      </c>
      <c r="I72" s="102">
        <v>0</v>
      </c>
      <c r="J72" s="102">
        <v>0</v>
      </c>
      <c r="K72" s="102">
        <v>0</v>
      </c>
      <c r="L72" s="102">
        <v>0</v>
      </c>
      <c r="M72" s="102">
        <v>0</v>
      </c>
      <c r="N72" s="102">
        <v>0</v>
      </c>
      <c r="O72" s="102">
        <v>0</v>
      </c>
      <c r="P72" s="102">
        <v>0</v>
      </c>
      <c r="Q72" s="102">
        <v>0</v>
      </c>
      <c r="R72" s="102">
        <v>0</v>
      </c>
      <c r="S72" s="102">
        <v>0</v>
      </c>
      <c r="T72" s="102">
        <v>0</v>
      </c>
      <c r="U72" s="102">
        <v>0</v>
      </c>
      <c r="V72" s="102">
        <v>0</v>
      </c>
      <c r="W72" s="102">
        <v>0</v>
      </c>
      <c r="X72" s="102">
        <v>0</v>
      </c>
      <c r="Y72" s="102">
        <v>0</v>
      </c>
      <c r="DA72" s="175" t="s">
        <v>851</v>
      </c>
    </row>
    <row r="73" spans="1:105" ht="11.45" customHeight="1" x14ac:dyDescent="0.25">
      <c r="A73" s="111" t="s">
        <v>113</v>
      </c>
      <c r="B73" s="102">
        <v>2</v>
      </c>
      <c r="C73" s="102">
        <v>2</v>
      </c>
      <c r="D73" s="102">
        <v>8</v>
      </c>
      <c r="E73" s="102">
        <v>0</v>
      </c>
      <c r="F73" s="102">
        <v>0</v>
      </c>
      <c r="G73" s="102">
        <v>4</v>
      </c>
      <c r="H73" s="102">
        <v>28</v>
      </c>
      <c r="I73" s="102">
        <v>16</v>
      </c>
      <c r="J73" s="102">
        <v>43</v>
      </c>
      <c r="K73" s="102">
        <v>120</v>
      </c>
      <c r="L73" s="102">
        <v>79</v>
      </c>
      <c r="M73" s="102">
        <v>232</v>
      </c>
      <c r="N73" s="102">
        <v>189</v>
      </c>
      <c r="O73" s="102">
        <v>678</v>
      </c>
      <c r="P73" s="102">
        <v>44</v>
      </c>
      <c r="Q73" s="102">
        <v>110</v>
      </c>
      <c r="R73" s="102">
        <v>168</v>
      </c>
      <c r="S73" s="102">
        <v>118</v>
      </c>
      <c r="T73" s="102">
        <v>139</v>
      </c>
      <c r="U73" s="102">
        <v>219</v>
      </c>
      <c r="V73" s="102">
        <v>275</v>
      </c>
      <c r="W73" s="102">
        <v>170</v>
      </c>
      <c r="X73" s="102">
        <v>49</v>
      </c>
      <c r="Y73" s="102">
        <v>0</v>
      </c>
      <c r="DA73" s="175" t="s">
        <v>852</v>
      </c>
    </row>
    <row r="74" spans="1:105" ht="11.45" customHeight="1" x14ac:dyDescent="0.25">
      <c r="A74" s="111" t="s">
        <v>115</v>
      </c>
      <c r="B74" s="102">
        <v>0</v>
      </c>
      <c r="C74" s="102">
        <v>0</v>
      </c>
      <c r="D74" s="102">
        <v>0</v>
      </c>
      <c r="E74" s="102">
        <v>0</v>
      </c>
      <c r="F74" s="102">
        <v>0</v>
      </c>
      <c r="G74" s="102">
        <v>0</v>
      </c>
      <c r="H74" s="102">
        <v>0</v>
      </c>
      <c r="I74" s="102">
        <v>0</v>
      </c>
      <c r="J74" s="102">
        <v>0</v>
      </c>
      <c r="K74" s="102">
        <v>0</v>
      </c>
      <c r="L74" s="102">
        <v>0</v>
      </c>
      <c r="M74" s="102">
        <v>0</v>
      </c>
      <c r="N74" s="102">
        <v>0</v>
      </c>
      <c r="O74" s="102">
        <v>0</v>
      </c>
      <c r="P74" s="102">
        <v>0</v>
      </c>
      <c r="Q74" s="102">
        <v>0</v>
      </c>
      <c r="R74" s="102">
        <v>31</v>
      </c>
      <c r="S74" s="102">
        <v>124</v>
      </c>
      <c r="T74" s="102">
        <v>137</v>
      </c>
      <c r="U74" s="102">
        <v>403</v>
      </c>
      <c r="V74" s="102">
        <v>444</v>
      </c>
      <c r="W74" s="102">
        <v>168</v>
      </c>
      <c r="X74" s="102">
        <v>101</v>
      </c>
      <c r="Y74" s="102">
        <v>178</v>
      </c>
      <c r="DA74" s="175" t="s">
        <v>853</v>
      </c>
    </row>
    <row r="75" spans="1:105" ht="11.45" customHeight="1" x14ac:dyDescent="0.25">
      <c r="A75" s="27" t="s">
        <v>34</v>
      </c>
      <c r="B75" s="28">
        <f t="shared" ref="B75:K75" si="16">B76+B82</f>
        <v>7428</v>
      </c>
      <c r="C75" s="28">
        <f t="shared" si="16"/>
        <v>78</v>
      </c>
      <c r="D75" s="28">
        <f t="shared" si="16"/>
        <v>0</v>
      </c>
      <c r="E75" s="28">
        <f t="shared" si="16"/>
        <v>0</v>
      </c>
      <c r="F75" s="28">
        <f t="shared" si="16"/>
        <v>1520</v>
      </c>
      <c r="G75" s="28">
        <f t="shared" si="16"/>
        <v>24633</v>
      </c>
      <c r="H75" s="28">
        <f t="shared" si="16"/>
        <v>22313</v>
      </c>
      <c r="I75" s="28">
        <f t="shared" si="16"/>
        <v>25933</v>
      </c>
      <c r="J75" s="28">
        <f t="shared" si="16"/>
        <v>40311</v>
      </c>
      <c r="K75" s="28">
        <f t="shared" si="16"/>
        <v>48971</v>
      </c>
      <c r="L75" s="28">
        <f t="shared" ref="L75" si="17">L76+L82</f>
        <v>35299</v>
      </c>
      <c r="M75" s="28">
        <f t="shared" ref="M75:V75" si="18">M76+M82</f>
        <v>43050</v>
      </c>
      <c r="N75" s="28">
        <f t="shared" si="18"/>
        <v>48192</v>
      </c>
      <c r="O75" s="28">
        <f t="shared" si="18"/>
        <v>49007</v>
      </c>
      <c r="P75" s="28">
        <f t="shared" si="18"/>
        <v>52307</v>
      </c>
      <c r="Q75" s="28">
        <f t="shared" si="18"/>
        <v>58796</v>
      </c>
      <c r="R75" s="28">
        <f t="shared" si="18"/>
        <v>75500</v>
      </c>
      <c r="S75" s="28">
        <f t="shared" si="18"/>
        <v>80856</v>
      </c>
      <c r="T75" s="28">
        <f t="shared" si="18"/>
        <v>88111</v>
      </c>
      <c r="U75" s="28">
        <f t="shared" si="18"/>
        <v>93470</v>
      </c>
      <c r="V75" s="28">
        <f t="shared" si="18"/>
        <v>72903</v>
      </c>
      <c r="W75" s="28">
        <f t="shared" ref="W75:Y75" si="19">W76+W82</f>
        <v>78107</v>
      </c>
      <c r="X75" s="28">
        <f t="shared" si="19"/>
        <v>96663</v>
      </c>
      <c r="Y75" s="28">
        <f t="shared" si="19"/>
        <v>99300</v>
      </c>
      <c r="DA75" s="173" t="s">
        <v>854</v>
      </c>
    </row>
    <row r="76" spans="1:105" ht="11.45" customHeight="1" x14ac:dyDescent="0.25">
      <c r="A76" s="136" t="s">
        <v>153</v>
      </c>
      <c r="B76" s="137">
        <f t="shared" ref="B76:K76" si="20">SUM(B77:B81)</f>
        <v>7428</v>
      </c>
      <c r="C76" s="137">
        <f t="shared" si="20"/>
        <v>78</v>
      </c>
      <c r="D76" s="137">
        <f t="shared" si="20"/>
        <v>0</v>
      </c>
      <c r="E76" s="137">
        <f t="shared" si="20"/>
        <v>0</v>
      </c>
      <c r="F76" s="137">
        <f t="shared" si="20"/>
        <v>1520</v>
      </c>
      <c r="G76" s="137">
        <f t="shared" si="20"/>
        <v>24633</v>
      </c>
      <c r="H76" s="137">
        <f t="shared" si="20"/>
        <v>22313</v>
      </c>
      <c r="I76" s="137">
        <f t="shared" si="20"/>
        <v>25933</v>
      </c>
      <c r="J76" s="137">
        <f t="shared" si="20"/>
        <v>37627</v>
      </c>
      <c r="K76" s="137">
        <f t="shared" si="20"/>
        <v>43848</v>
      </c>
      <c r="L76" s="137">
        <f t="shared" ref="L76" si="21">SUM(L77:L81)</f>
        <v>30081</v>
      </c>
      <c r="M76" s="137">
        <f t="shared" ref="M76:V76" si="22">SUM(M77:M81)</f>
        <v>38608</v>
      </c>
      <c r="N76" s="137">
        <f t="shared" si="22"/>
        <v>42300</v>
      </c>
      <c r="O76" s="137">
        <f t="shared" si="22"/>
        <v>42389</v>
      </c>
      <c r="P76" s="137">
        <f t="shared" si="22"/>
        <v>44863</v>
      </c>
      <c r="Q76" s="137">
        <f t="shared" si="22"/>
        <v>52233</v>
      </c>
      <c r="R76" s="137">
        <f t="shared" si="22"/>
        <v>65905</v>
      </c>
      <c r="S76" s="137">
        <f t="shared" si="22"/>
        <v>70712</v>
      </c>
      <c r="T76" s="137">
        <f t="shared" si="22"/>
        <v>78463</v>
      </c>
      <c r="U76" s="137">
        <f t="shared" si="22"/>
        <v>80723</v>
      </c>
      <c r="V76" s="137">
        <f t="shared" si="22"/>
        <v>62047</v>
      </c>
      <c r="W76" s="137">
        <f t="shared" ref="W76:Y76" si="23">SUM(W77:W81)</f>
        <v>64853</v>
      </c>
      <c r="X76" s="137">
        <f t="shared" si="23"/>
        <v>82810</v>
      </c>
      <c r="Y76" s="137">
        <f t="shared" si="23"/>
        <v>87110</v>
      </c>
      <c r="DA76" s="174" t="s">
        <v>855</v>
      </c>
    </row>
    <row r="77" spans="1:105" ht="11.45" customHeight="1" x14ac:dyDescent="0.25">
      <c r="A77" s="111" t="s">
        <v>110</v>
      </c>
      <c r="B77" s="84">
        <v>0</v>
      </c>
      <c r="C77" s="84">
        <v>0</v>
      </c>
      <c r="D77" s="84">
        <v>0</v>
      </c>
      <c r="E77" s="84">
        <v>0</v>
      </c>
      <c r="F77" s="84">
        <v>0</v>
      </c>
      <c r="G77" s="84">
        <v>0</v>
      </c>
      <c r="H77" s="84">
        <v>0</v>
      </c>
      <c r="I77" s="84">
        <v>0</v>
      </c>
      <c r="J77" s="84">
        <v>0</v>
      </c>
      <c r="K77" s="84">
        <v>0</v>
      </c>
      <c r="L77" s="84">
        <v>459</v>
      </c>
      <c r="M77" s="84">
        <v>1791</v>
      </c>
      <c r="N77" s="84">
        <v>1911</v>
      </c>
      <c r="O77" s="84">
        <v>676</v>
      </c>
      <c r="P77" s="84">
        <v>2539</v>
      </c>
      <c r="Q77" s="84">
        <v>2693</v>
      </c>
      <c r="R77" s="84">
        <v>3004</v>
      </c>
      <c r="S77" s="84">
        <v>3002</v>
      </c>
      <c r="T77" s="84">
        <v>1456</v>
      </c>
      <c r="U77" s="84">
        <v>3308</v>
      </c>
      <c r="V77" s="84">
        <v>2893</v>
      </c>
      <c r="W77" s="84">
        <v>4500</v>
      </c>
      <c r="X77" s="84">
        <v>5984</v>
      </c>
      <c r="Y77" s="84">
        <v>3583</v>
      </c>
      <c r="DA77" s="171" t="s">
        <v>856</v>
      </c>
    </row>
    <row r="78" spans="1:105" ht="11.45" customHeight="1" x14ac:dyDescent="0.25">
      <c r="A78" s="111" t="s">
        <v>111</v>
      </c>
      <c r="B78" s="84">
        <v>0</v>
      </c>
      <c r="C78" s="84">
        <v>0</v>
      </c>
      <c r="D78" s="84">
        <v>0</v>
      </c>
      <c r="E78" s="84">
        <v>0</v>
      </c>
      <c r="F78" s="84">
        <v>1520</v>
      </c>
      <c r="G78" s="84">
        <v>24633</v>
      </c>
      <c r="H78" s="84">
        <v>22313</v>
      </c>
      <c r="I78" s="84">
        <v>25933</v>
      </c>
      <c r="J78" s="84">
        <v>37627</v>
      </c>
      <c r="K78" s="84">
        <v>43838</v>
      </c>
      <c r="L78" s="84">
        <v>29292</v>
      </c>
      <c r="M78" s="84">
        <v>36370</v>
      </c>
      <c r="N78" s="84">
        <v>39679</v>
      </c>
      <c r="O78" s="84">
        <v>41030</v>
      </c>
      <c r="P78" s="84">
        <v>41067</v>
      </c>
      <c r="Q78" s="84">
        <v>48665</v>
      </c>
      <c r="R78" s="84">
        <v>61949</v>
      </c>
      <c r="S78" s="84">
        <v>66185</v>
      </c>
      <c r="T78" s="84">
        <v>72859</v>
      </c>
      <c r="U78" s="84">
        <v>70686</v>
      </c>
      <c r="V78" s="84">
        <v>56259</v>
      </c>
      <c r="W78" s="84">
        <v>56458</v>
      </c>
      <c r="X78" s="84">
        <v>70161</v>
      </c>
      <c r="Y78" s="84">
        <v>72716</v>
      </c>
      <c r="DA78" s="171" t="s">
        <v>857</v>
      </c>
    </row>
    <row r="79" spans="1:105" ht="11.45" customHeight="1" x14ac:dyDescent="0.25">
      <c r="A79" s="111" t="s">
        <v>112</v>
      </c>
      <c r="B79" s="84">
        <v>7428</v>
      </c>
      <c r="C79" s="84">
        <v>78</v>
      </c>
      <c r="D79" s="84">
        <v>0</v>
      </c>
      <c r="E79" s="84">
        <v>0</v>
      </c>
      <c r="F79" s="84">
        <v>0</v>
      </c>
      <c r="G79" s="84">
        <v>0</v>
      </c>
      <c r="H79" s="84">
        <v>0</v>
      </c>
      <c r="I79" s="84">
        <v>0</v>
      </c>
      <c r="J79" s="84">
        <v>0</v>
      </c>
      <c r="K79" s="84">
        <v>10</v>
      </c>
      <c r="L79" s="84">
        <v>330</v>
      </c>
      <c r="M79" s="84">
        <v>447</v>
      </c>
      <c r="N79" s="84">
        <v>536</v>
      </c>
      <c r="O79" s="84">
        <v>461</v>
      </c>
      <c r="P79" s="84">
        <v>734</v>
      </c>
      <c r="Q79" s="84">
        <v>626</v>
      </c>
      <c r="R79" s="84">
        <v>672</v>
      </c>
      <c r="S79" s="84">
        <v>932</v>
      </c>
      <c r="T79" s="84">
        <v>1408</v>
      </c>
      <c r="U79" s="84">
        <v>5053</v>
      </c>
      <c r="V79" s="84">
        <v>981</v>
      </c>
      <c r="W79" s="84">
        <v>721</v>
      </c>
      <c r="X79" s="84">
        <v>1824</v>
      </c>
      <c r="Y79" s="84">
        <v>871</v>
      </c>
      <c r="DA79" s="171" t="s">
        <v>858</v>
      </c>
    </row>
    <row r="80" spans="1:105" ht="11.45" customHeight="1" x14ac:dyDescent="0.25">
      <c r="A80" s="111" t="s">
        <v>113</v>
      </c>
      <c r="B80" s="84">
        <v>0</v>
      </c>
      <c r="C80" s="84">
        <v>0</v>
      </c>
      <c r="D80" s="84">
        <v>0</v>
      </c>
      <c r="E80" s="84">
        <v>0</v>
      </c>
      <c r="F80" s="84">
        <v>0</v>
      </c>
      <c r="G80" s="84">
        <v>0</v>
      </c>
      <c r="H80" s="84">
        <v>0</v>
      </c>
      <c r="I80" s="84">
        <v>0</v>
      </c>
      <c r="J80" s="84">
        <v>0</v>
      </c>
      <c r="K80" s="84">
        <v>0</v>
      </c>
      <c r="L80" s="84">
        <v>0</v>
      </c>
      <c r="M80" s="84">
        <v>0</v>
      </c>
      <c r="N80" s="84">
        <v>0</v>
      </c>
      <c r="O80" s="84">
        <v>0</v>
      </c>
      <c r="P80" s="84">
        <v>0</v>
      </c>
      <c r="Q80" s="84">
        <v>0</v>
      </c>
      <c r="R80" s="84">
        <v>0</v>
      </c>
      <c r="S80" s="84">
        <v>0</v>
      </c>
      <c r="T80" s="84">
        <v>1795</v>
      </c>
      <c r="U80" s="84">
        <v>447</v>
      </c>
      <c r="V80" s="84">
        <v>308</v>
      </c>
      <c r="W80" s="84">
        <v>112</v>
      </c>
      <c r="X80" s="84">
        <v>88</v>
      </c>
      <c r="Y80" s="84">
        <v>23</v>
      </c>
      <c r="DA80" s="171" t="s">
        <v>859</v>
      </c>
    </row>
    <row r="81" spans="1:105" ht="11.45" customHeight="1" x14ac:dyDescent="0.25">
      <c r="A81" s="111" t="s">
        <v>115</v>
      </c>
      <c r="B81" s="84">
        <v>0</v>
      </c>
      <c r="C81" s="84">
        <v>0</v>
      </c>
      <c r="D81" s="84">
        <v>0</v>
      </c>
      <c r="E81" s="84">
        <v>0</v>
      </c>
      <c r="F81" s="84">
        <v>0</v>
      </c>
      <c r="G81" s="84">
        <v>0</v>
      </c>
      <c r="H81" s="84">
        <v>0</v>
      </c>
      <c r="I81" s="84">
        <v>0</v>
      </c>
      <c r="J81" s="84">
        <v>0</v>
      </c>
      <c r="K81" s="84">
        <v>0</v>
      </c>
      <c r="L81" s="84">
        <v>0</v>
      </c>
      <c r="M81" s="84">
        <v>0</v>
      </c>
      <c r="N81" s="84">
        <v>174</v>
      </c>
      <c r="O81" s="84">
        <v>222</v>
      </c>
      <c r="P81" s="84">
        <v>523</v>
      </c>
      <c r="Q81" s="84">
        <v>249</v>
      </c>
      <c r="R81" s="84">
        <v>280</v>
      </c>
      <c r="S81" s="84">
        <v>593</v>
      </c>
      <c r="T81" s="84">
        <v>945</v>
      </c>
      <c r="U81" s="84">
        <v>1229</v>
      </c>
      <c r="V81" s="84">
        <v>1606</v>
      </c>
      <c r="W81" s="84">
        <v>3062</v>
      </c>
      <c r="X81" s="84">
        <v>4753</v>
      </c>
      <c r="Y81" s="84">
        <v>9917</v>
      </c>
      <c r="DA81" s="171" t="s">
        <v>860</v>
      </c>
    </row>
    <row r="82" spans="1:105" ht="11.45" customHeight="1" x14ac:dyDescent="0.25">
      <c r="A82" s="109" t="s">
        <v>154</v>
      </c>
      <c r="B82" s="110">
        <f t="shared" ref="B82:K82" si="24">SUM(B83:B84)</f>
        <v>0</v>
      </c>
      <c r="C82" s="110">
        <f t="shared" si="24"/>
        <v>0</v>
      </c>
      <c r="D82" s="110">
        <f t="shared" si="24"/>
        <v>0</v>
      </c>
      <c r="E82" s="110">
        <f t="shared" si="24"/>
        <v>0</v>
      </c>
      <c r="F82" s="110">
        <f t="shared" si="24"/>
        <v>0</v>
      </c>
      <c r="G82" s="110">
        <f t="shared" si="24"/>
        <v>0</v>
      </c>
      <c r="H82" s="110">
        <f t="shared" si="24"/>
        <v>0</v>
      </c>
      <c r="I82" s="110">
        <f t="shared" si="24"/>
        <v>0</v>
      </c>
      <c r="J82" s="110">
        <f t="shared" si="24"/>
        <v>2684</v>
      </c>
      <c r="K82" s="110">
        <f t="shared" si="24"/>
        <v>5123</v>
      </c>
      <c r="L82" s="110">
        <f t="shared" ref="L82" si="25">SUM(L83:L84)</f>
        <v>5218</v>
      </c>
      <c r="M82" s="110">
        <f t="shared" ref="M82:V82" si="26">SUM(M83:M84)</f>
        <v>4442</v>
      </c>
      <c r="N82" s="110">
        <f t="shared" si="26"/>
        <v>5892</v>
      </c>
      <c r="O82" s="110">
        <f t="shared" si="26"/>
        <v>6618</v>
      </c>
      <c r="P82" s="110">
        <f t="shared" si="26"/>
        <v>7444</v>
      </c>
      <c r="Q82" s="110">
        <f t="shared" si="26"/>
        <v>6563</v>
      </c>
      <c r="R82" s="110">
        <f t="shared" si="26"/>
        <v>9595</v>
      </c>
      <c r="S82" s="110">
        <f t="shared" si="26"/>
        <v>10144</v>
      </c>
      <c r="T82" s="110">
        <f t="shared" si="26"/>
        <v>9648</v>
      </c>
      <c r="U82" s="110">
        <f t="shared" si="26"/>
        <v>12747</v>
      </c>
      <c r="V82" s="110">
        <f t="shared" si="26"/>
        <v>10856</v>
      </c>
      <c r="W82" s="110">
        <f t="shared" ref="W82:Y82" si="27">SUM(W83:W84)</f>
        <v>13254</v>
      </c>
      <c r="X82" s="110">
        <f t="shared" si="27"/>
        <v>13853</v>
      </c>
      <c r="Y82" s="110">
        <f t="shared" si="27"/>
        <v>12190</v>
      </c>
      <c r="DA82" s="176" t="s">
        <v>861</v>
      </c>
    </row>
    <row r="83" spans="1:105" ht="11.45" customHeight="1" x14ac:dyDescent="0.25">
      <c r="A83" s="128" t="s">
        <v>27</v>
      </c>
      <c r="B83" s="102">
        <v>0</v>
      </c>
      <c r="C83" s="102">
        <v>0</v>
      </c>
      <c r="D83" s="102">
        <v>0</v>
      </c>
      <c r="E83" s="102">
        <v>0</v>
      </c>
      <c r="F83" s="102">
        <v>0</v>
      </c>
      <c r="G83" s="102">
        <v>0</v>
      </c>
      <c r="H83" s="102">
        <v>0</v>
      </c>
      <c r="I83" s="102">
        <v>0</v>
      </c>
      <c r="J83" s="102">
        <v>1956</v>
      </c>
      <c r="K83" s="102">
        <v>5123</v>
      </c>
      <c r="L83" s="102">
        <v>3978</v>
      </c>
      <c r="M83" s="102">
        <v>3729</v>
      </c>
      <c r="N83" s="102">
        <v>5253</v>
      </c>
      <c r="O83" s="102">
        <v>5514</v>
      </c>
      <c r="P83" s="102">
        <v>6198</v>
      </c>
      <c r="Q83" s="102">
        <v>5348</v>
      </c>
      <c r="R83" s="102">
        <v>7744</v>
      </c>
      <c r="S83" s="102">
        <v>8936</v>
      </c>
      <c r="T83" s="102">
        <v>8822</v>
      </c>
      <c r="U83" s="102">
        <v>10862</v>
      </c>
      <c r="V83" s="102">
        <v>9138</v>
      </c>
      <c r="W83" s="102">
        <v>11967</v>
      </c>
      <c r="X83" s="102">
        <v>12847</v>
      </c>
      <c r="Y83" s="102">
        <v>11329</v>
      </c>
      <c r="DA83" s="175" t="s">
        <v>862</v>
      </c>
    </row>
    <row r="84" spans="1:105" ht="11.45" customHeight="1" x14ac:dyDescent="0.25">
      <c r="A84" s="138" t="s">
        <v>116</v>
      </c>
      <c r="B84" s="86">
        <v>0</v>
      </c>
      <c r="C84" s="86">
        <v>0</v>
      </c>
      <c r="D84" s="86">
        <v>0</v>
      </c>
      <c r="E84" s="86">
        <v>0</v>
      </c>
      <c r="F84" s="86">
        <v>0</v>
      </c>
      <c r="G84" s="86">
        <v>0</v>
      </c>
      <c r="H84" s="86">
        <v>0</v>
      </c>
      <c r="I84" s="86">
        <v>0</v>
      </c>
      <c r="J84" s="86">
        <v>728</v>
      </c>
      <c r="K84" s="86">
        <v>0</v>
      </c>
      <c r="L84" s="86">
        <v>1240</v>
      </c>
      <c r="M84" s="86">
        <v>713</v>
      </c>
      <c r="N84" s="86">
        <v>639</v>
      </c>
      <c r="O84" s="86">
        <v>1104</v>
      </c>
      <c r="P84" s="86">
        <v>1246</v>
      </c>
      <c r="Q84" s="86">
        <v>1215</v>
      </c>
      <c r="R84" s="86">
        <v>1851</v>
      </c>
      <c r="S84" s="86">
        <v>1208</v>
      </c>
      <c r="T84" s="86">
        <v>826</v>
      </c>
      <c r="U84" s="86">
        <v>1885</v>
      </c>
      <c r="V84" s="86">
        <v>1718</v>
      </c>
      <c r="W84" s="86">
        <v>1287</v>
      </c>
      <c r="X84" s="86">
        <v>1006</v>
      </c>
      <c r="Y84" s="86">
        <v>861</v>
      </c>
      <c r="DA84" s="178" t="s">
        <v>863</v>
      </c>
    </row>
    <row r="85" spans="1:105" x14ac:dyDescent="0.25">
      <c r="A85" s="106"/>
      <c r="B85" s="106"/>
      <c r="C85" s="106"/>
      <c r="D85" s="106"/>
      <c r="E85" s="106"/>
      <c r="F85" s="106"/>
      <c r="G85" s="106"/>
      <c r="H85" s="106"/>
      <c r="I85" s="106"/>
      <c r="J85" s="106"/>
      <c r="K85" s="106"/>
      <c r="L85" s="106"/>
      <c r="M85" s="106"/>
      <c r="N85" s="106"/>
      <c r="O85" s="106"/>
      <c r="P85" s="106"/>
      <c r="Q85" s="106"/>
      <c r="R85" s="106"/>
      <c r="S85" s="106"/>
      <c r="T85" s="106"/>
      <c r="U85" s="106"/>
      <c r="V85" s="106"/>
      <c r="W85" s="106"/>
      <c r="X85" s="106"/>
      <c r="Y85" s="106"/>
      <c r="DA85" s="171"/>
    </row>
    <row r="86" spans="1:105" ht="11.45" customHeight="1" x14ac:dyDescent="0.25">
      <c r="A86" s="68" t="s">
        <v>36</v>
      </c>
      <c r="B86" s="69"/>
      <c r="C86" s="69"/>
      <c r="D86" s="69"/>
      <c r="E86" s="69"/>
      <c r="F86" s="69"/>
      <c r="G86" s="69"/>
      <c r="H86" s="69"/>
      <c r="I86" s="69"/>
      <c r="J86" s="69"/>
      <c r="K86" s="69"/>
      <c r="L86" s="69"/>
      <c r="M86" s="69"/>
      <c r="N86" s="69"/>
      <c r="O86" s="69"/>
      <c r="P86" s="69"/>
      <c r="Q86" s="69"/>
      <c r="R86" s="69"/>
      <c r="S86" s="69"/>
      <c r="T86" s="69"/>
      <c r="U86" s="69"/>
      <c r="V86" s="69"/>
      <c r="W86" s="69"/>
      <c r="X86" s="69"/>
      <c r="Y86" s="69"/>
      <c r="DA86" s="179"/>
    </row>
    <row r="87" spans="1:105" x14ac:dyDescent="0.25">
      <c r="A87" s="106"/>
      <c r="B87" s="106"/>
      <c r="C87" s="106"/>
      <c r="D87" s="106"/>
      <c r="E87" s="106"/>
      <c r="F87" s="106"/>
      <c r="G87" s="106"/>
      <c r="H87" s="106"/>
      <c r="I87" s="106"/>
      <c r="J87" s="106"/>
      <c r="K87" s="106"/>
      <c r="L87" s="106"/>
      <c r="M87" s="106"/>
      <c r="N87" s="106"/>
      <c r="O87" s="106"/>
      <c r="P87" s="106"/>
      <c r="Q87" s="106"/>
      <c r="R87" s="106"/>
      <c r="S87" s="106"/>
      <c r="T87" s="106"/>
      <c r="U87" s="106"/>
      <c r="V87" s="106"/>
      <c r="W87" s="106"/>
      <c r="X87" s="106"/>
      <c r="Y87" s="106"/>
      <c r="DA87" s="171"/>
    </row>
    <row r="88" spans="1:105" ht="11.45" customHeight="1" x14ac:dyDescent="0.25">
      <c r="A88" s="53" t="s">
        <v>120</v>
      </c>
      <c r="B88" s="79"/>
      <c r="C88" s="79"/>
      <c r="D88" s="79"/>
      <c r="E88" s="79"/>
      <c r="F88" s="79"/>
      <c r="G88" s="79"/>
      <c r="H88" s="79"/>
      <c r="I88" s="79"/>
      <c r="J88" s="79"/>
      <c r="K88" s="79"/>
      <c r="L88" s="79"/>
      <c r="M88" s="79"/>
      <c r="N88" s="79"/>
      <c r="O88" s="79"/>
      <c r="P88" s="79"/>
      <c r="Q88" s="79"/>
      <c r="R88" s="79"/>
      <c r="S88" s="79"/>
      <c r="T88" s="79"/>
      <c r="U88" s="79"/>
      <c r="V88" s="79"/>
      <c r="W88" s="79"/>
      <c r="X88" s="79"/>
      <c r="Y88" s="79"/>
      <c r="DA88" s="172"/>
    </row>
    <row r="89" spans="1:105" ht="11.45" customHeight="1" x14ac:dyDescent="0.25">
      <c r="A89" s="27" t="s">
        <v>33</v>
      </c>
      <c r="B89" s="32"/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DA89" s="173"/>
    </row>
    <row r="90" spans="1:105" ht="11.45" customHeight="1" x14ac:dyDescent="0.25">
      <c r="A90" s="136" t="s">
        <v>173</v>
      </c>
      <c r="B90" s="141">
        <v>3.9915776124817768</v>
      </c>
      <c r="C90" s="141">
        <v>3.9757837782883341</v>
      </c>
      <c r="D90" s="141">
        <v>3.9284649726576117</v>
      </c>
      <c r="E90" s="141">
        <v>3.9036119226352417</v>
      </c>
      <c r="F90" s="141">
        <v>3.8712817194927687</v>
      </c>
      <c r="G90" s="141">
        <v>3.8052505398506202</v>
      </c>
      <c r="H90" s="141">
        <v>3.6775128515624549</v>
      </c>
      <c r="I90" s="141">
        <v>3.606858684990732</v>
      </c>
      <c r="J90" s="141">
        <v>3.5181869050164614</v>
      </c>
      <c r="K90" s="141">
        <v>3.4238548228131149</v>
      </c>
      <c r="L90" s="141">
        <v>3.3369281903050716</v>
      </c>
      <c r="M90" s="141">
        <v>3.2740272840228126</v>
      </c>
      <c r="N90" s="141">
        <v>3.2355742146670625</v>
      </c>
      <c r="O90" s="141">
        <v>3.1798055006658275</v>
      </c>
      <c r="P90" s="141">
        <v>3.1207948913174448</v>
      </c>
      <c r="Q90" s="141">
        <v>3.0732889369298038</v>
      </c>
      <c r="R90" s="141">
        <v>2.9988583441107668</v>
      </c>
      <c r="S90" s="141">
        <v>2.9415853107683567</v>
      </c>
      <c r="T90" s="141">
        <v>2.8977254348136094</v>
      </c>
      <c r="U90" s="141">
        <v>2.8242742309991682</v>
      </c>
      <c r="V90" s="141">
        <v>2.7544223236155156</v>
      </c>
      <c r="W90" s="141">
        <v>2.697754428297821</v>
      </c>
      <c r="X90" s="141">
        <v>2.6611213433978276</v>
      </c>
      <c r="Y90" s="141">
        <v>2.6423744675291294</v>
      </c>
      <c r="DA90" s="174" t="s">
        <v>864</v>
      </c>
    </row>
    <row r="91" spans="1:105" ht="11.45" customHeight="1" x14ac:dyDescent="0.25">
      <c r="A91" s="109" t="s">
        <v>20</v>
      </c>
      <c r="B91" s="130">
        <v>8.1151539841427418</v>
      </c>
      <c r="C91" s="130">
        <v>7.9192649262682133</v>
      </c>
      <c r="D91" s="130">
        <v>7.8388465069825406</v>
      </c>
      <c r="E91" s="130">
        <v>7.7650393068889469</v>
      </c>
      <c r="F91" s="130">
        <v>7.6907509603262065</v>
      </c>
      <c r="G91" s="130">
        <v>7.6273325266965797</v>
      </c>
      <c r="H91" s="130">
        <v>7.5520709129881354</v>
      </c>
      <c r="I91" s="130">
        <v>7.4774579759930182</v>
      </c>
      <c r="J91" s="130">
        <v>7.4101995309757678</v>
      </c>
      <c r="K91" s="130">
        <v>7.3251979066716659</v>
      </c>
      <c r="L91" s="130">
        <v>7.2070363952706051</v>
      </c>
      <c r="M91" s="130">
        <v>7.0693589433440582</v>
      </c>
      <c r="N91" s="130">
        <v>6.9333585783061009</v>
      </c>
      <c r="O91" s="130">
        <v>6.7774213198361295</v>
      </c>
      <c r="P91" s="130">
        <v>6.6702556160726436</v>
      </c>
      <c r="Q91" s="130">
        <v>6.5254238766367463</v>
      </c>
      <c r="R91" s="130">
        <v>6.4178218727086866</v>
      </c>
      <c r="S91" s="130">
        <v>6.3114296308981919</v>
      </c>
      <c r="T91" s="130">
        <v>6.1976729785236557</v>
      </c>
      <c r="U91" s="130">
        <v>6.0716033380417285</v>
      </c>
      <c r="V91" s="130">
        <v>5.9359682645762915</v>
      </c>
      <c r="W91" s="130">
        <v>5.7515847621502898</v>
      </c>
      <c r="X91" s="130">
        <v>5.5608934139313062</v>
      </c>
      <c r="Y91" s="130">
        <v>5.3552688349743542</v>
      </c>
      <c r="DA91" s="176" t="s">
        <v>865</v>
      </c>
    </row>
    <row r="92" spans="1:105" ht="11.45" customHeight="1" x14ac:dyDescent="0.25">
      <c r="A92" s="111" t="s">
        <v>110</v>
      </c>
      <c r="B92" s="96">
        <v>8.4703631968783242</v>
      </c>
      <c r="C92" s="96">
        <v>8.2316252374439269</v>
      </c>
      <c r="D92" s="96">
        <v>8.1307025654364882</v>
      </c>
      <c r="E92" s="96">
        <v>8.0408467761678999</v>
      </c>
      <c r="F92" s="96">
        <v>7.956393339082263</v>
      </c>
      <c r="G92" s="96">
        <v>7.8818554725808765</v>
      </c>
      <c r="H92" s="96">
        <v>7.79507252072505</v>
      </c>
      <c r="I92" s="96">
        <v>7.7069168363355249</v>
      </c>
      <c r="J92" s="96">
        <v>7.6120850533303415</v>
      </c>
      <c r="K92" s="96">
        <v>7.4901846308424531</v>
      </c>
      <c r="L92" s="96">
        <v>7.3371147263444811</v>
      </c>
      <c r="M92" s="96">
        <v>7.1799242348734449</v>
      </c>
      <c r="N92" s="96">
        <v>7.0260573414460969</v>
      </c>
      <c r="O92" s="96">
        <v>6.858201463082807</v>
      </c>
      <c r="P92" s="96">
        <v>6.7412179594734161</v>
      </c>
      <c r="Q92" s="96">
        <v>6.6068521914016154</v>
      </c>
      <c r="R92" s="96">
        <v>6.4753903203533358</v>
      </c>
      <c r="S92" s="96">
        <v>6.3382705030226703</v>
      </c>
      <c r="T92" s="96">
        <v>6.2077643868001138</v>
      </c>
      <c r="U92" s="96">
        <v>6.0836345857510068</v>
      </c>
      <c r="V92" s="96">
        <v>5.9512666020495066</v>
      </c>
      <c r="W92" s="96">
        <v>5.7675531065777035</v>
      </c>
      <c r="X92" s="96">
        <v>5.6021754441336409</v>
      </c>
      <c r="Y92" s="96">
        <v>5.4592258451982216</v>
      </c>
      <c r="DA92" s="171" t="s">
        <v>866</v>
      </c>
    </row>
    <row r="93" spans="1:105" ht="11.45" customHeight="1" x14ac:dyDescent="0.25">
      <c r="A93" s="111" t="s">
        <v>111</v>
      </c>
      <c r="B93" s="96">
        <v>6.9231403532158264</v>
      </c>
      <c r="C93" s="96">
        <v>6.5361932919499885</v>
      </c>
      <c r="D93" s="96">
        <v>6.4299796211840166</v>
      </c>
      <c r="E93" s="96">
        <v>6.3494489426747638</v>
      </c>
      <c r="F93" s="96">
        <v>6.2784383928272565</v>
      </c>
      <c r="G93" s="96">
        <v>6.2140488219876273</v>
      </c>
      <c r="H93" s="96">
        <v>6.1815168312210842</v>
      </c>
      <c r="I93" s="96">
        <v>6.1564520982594644</v>
      </c>
      <c r="J93" s="96">
        <v>6.1104867370503486</v>
      </c>
      <c r="K93" s="96">
        <v>6.0608847940547834</v>
      </c>
      <c r="L93" s="96">
        <v>5.9917019962971718</v>
      </c>
      <c r="M93" s="96">
        <v>5.8007546184123759</v>
      </c>
      <c r="N93" s="96">
        <v>5.6343773994770059</v>
      </c>
      <c r="O93" s="96">
        <v>5.4914346886431318</v>
      </c>
      <c r="P93" s="96">
        <v>5.333877907063683</v>
      </c>
      <c r="Q93" s="96">
        <v>5.1495279816339057</v>
      </c>
      <c r="R93" s="96">
        <v>5.0790089250085071</v>
      </c>
      <c r="S93" s="96">
        <v>5.0142309121282285</v>
      </c>
      <c r="T93" s="96">
        <v>4.9277132368101846</v>
      </c>
      <c r="U93" s="96">
        <v>4.8372264693790479</v>
      </c>
      <c r="V93" s="96">
        <v>4.7427583601913348</v>
      </c>
      <c r="W93" s="96">
        <v>4.7374445331748483</v>
      </c>
      <c r="X93" s="96">
        <v>4.7225261131812193</v>
      </c>
      <c r="Y93" s="96">
        <v>4.6669643106472041</v>
      </c>
      <c r="DA93" s="171" t="s">
        <v>867</v>
      </c>
    </row>
    <row r="94" spans="1:105" ht="11.45" customHeight="1" x14ac:dyDescent="0.25">
      <c r="A94" s="111" t="s">
        <v>112</v>
      </c>
      <c r="B94" s="96">
        <v>6.3930639700059055</v>
      </c>
      <c r="C94" s="96">
        <v>6.3722793692050592</v>
      </c>
      <c r="D94" s="96">
        <v>6.371884384404936</v>
      </c>
      <c r="E94" s="96">
        <v>6.3711027329117167</v>
      </c>
      <c r="F94" s="96">
        <v>6.3702186529422784</v>
      </c>
      <c r="G94" s="96">
        <v>6.3692362564070892</v>
      </c>
      <c r="H94" s="96">
        <v>6.3681538031358871</v>
      </c>
      <c r="I94" s="96">
        <v>6.3669737881727775</v>
      </c>
      <c r="J94" s="96">
        <v>6.3656937337121517</v>
      </c>
      <c r="K94" s="96">
        <v>6.3637734987649344</v>
      </c>
      <c r="L94" s="96">
        <v>6.3558518870685958</v>
      </c>
      <c r="M94" s="96">
        <v>6.2738086625475979</v>
      </c>
      <c r="N94" s="96">
        <v>6.1427356452080986</v>
      </c>
      <c r="O94" s="96">
        <v>6.1149380772584196</v>
      </c>
      <c r="P94" s="96">
        <v>6.0809223536704469</v>
      </c>
      <c r="Q94" s="96">
        <v>6.0461623640066753</v>
      </c>
      <c r="R94" s="96">
        <v>5.9752232820676365</v>
      </c>
      <c r="S94" s="96">
        <v>5.9228890732336064</v>
      </c>
      <c r="T94" s="96">
        <v>5.8567114454952094</v>
      </c>
      <c r="U94" s="96">
        <v>5.6928606045539221</v>
      </c>
      <c r="V94" s="96">
        <v>5.6321576684541483</v>
      </c>
      <c r="W94" s="96">
        <v>5.5302981029108498</v>
      </c>
      <c r="X94" s="96">
        <v>5.4629867042540692</v>
      </c>
      <c r="Y94" s="96">
        <v>5.3843723909184451</v>
      </c>
      <c r="DA94" s="171" t="s">
        <v>868</v>
      </c>
    </row>
    <row r="95" spans="1:105" ht="11.45" customHeight="1" x14ac:dyDescent="0.25">
      <c r="A95" s="111" t="s">
        <v>113</v>
      </c>
      <c r="B95" s="96">
        <v>0</v>
      </c>
      <c r="C95" s="96">
        <v>0</v>
      </c>
      <c r="D95" s="96">
        <v>0</v>
      </c>
      <c r="E95" s="96">
        <v>0</v>
      </c>
      <c r="F95" s="96">
        <v>0</v>
      </c>
      <c r="G95" s="96">
        <v>0</v>
      </c>
      <c r="H95" s="96">
        <v>0</v>
      </c>
      <c r="I95" s="96">
        <v>0</v>
      </c>
      <c r="J95" s="96">
        <v>0</v>
      </c>
      <c r="K95" s="96">
        <v>0</v>
      </c>
      <c r="L95" s="96">
        <v>7.5010086070677753</v>
      </c>
      <c r="M95" s="96">
        <v>7.4314587411888704</v>
      </c>
      <c r="N95" s="96">
        <v>6.8931810849125519</v>
      </c>
      <c r="O95" s="96">
        <v>6.6430611412887073</v>
      </c>
      <c r="P95" s="96">
        <v>5.9737846628431512</v>
      </c>
      <c r="Q95" s="96">
        <v>5.9193167485995035</v>
      </c>
      <c r="R95" s="96">
        <v>5.0770275966645553</v>
      </c>
      <c r="S95" s="96">
        <v>6.0504988827691433</v>
      </c>
      <c r="T95" s="96">
        <v>6.7618712643772652</v>
      </c>
      <c r="U95" s="96">
        <v>6.7923691156162525</v>
      </c>
      <c r="V95" s="96">
        <v>6.847310978761703</v>
      </c>
      <c r="W95" s="96">
        <v>7.0329139372435181</v>
      </c>
      <c r="X95" s="96">
        <v>7.0618697557655929</v>
      </c>
      <c r="Y95" s="96">
        <v>6.8742545553553986</v>
      </c>
      <c r="DA95" s="171" t="s">
        <v>869</v>
      </c>
    </row>
    <row r="96" spans="1:105" ht="11.45" customHeight="1" x14ac:dyDescent="0.25">
      <c r="A96" s="111" t="s">
        <v>114</v>
      </c>
      <c r="B96" s="96">
        <v>0</v>
      </c>
      <c r="C96" s="96">
        <v>0</v>
      </c>
      <c r="D96" s="96">
        <v>0</v>
      </c>
      <c r="E96" s="96">
        <v>0</v>
      </c>
      <c r="F96" s="96">
        <v>0</v>
      </c>
      <c r="G96" s="96">
        <v>0</v>
      </c>
      <c r="H96" s="96">
        <v>0</v>
      </c>
      <c r="I96" s="96">
        <v>0</v>
      </c>
      <c r="J96" s="96">
        <v>0</v>
      </c>
      <c r="K96" s="96">
        <v>0</v>
      </c>
      <c r="L96" s="96">
        <v>0</v>
      </c>
      <c r="M96" s="96">
        <v>3.2250164422161824</v>
      </c>
      <c r="N96" s="96">
        <v>2.3560874955760851</v>
      </c>
      <c r="O96" s="96">
        <v>2.5383531129029144</v>
      </c>
      <c r="P96" s="96">
        <v>3.249929408333065</v>
      </c>
      <c r="Q96" s="96">
        <v>3.0367055223980288</v>
      </c>
      <c r="R96" s="96">
        <v>2.9826753840098901</v>
      </c>
      <c r="S96" s="96">
        <v>2.9826533409944669</v>
      </c>
      <c r="T96" s="96">
        <v>2.9979533063509343</v>
      </c>
      <c r="U96" s="96">
        <v>3.0130668120917519</v>
      </c>
      <c r="V96" s="96">
        <v>3.1402099592380419</v>
      </c>
      <c r="W96" s="96">
        <v>3.0656597398046568</v>
      </c>
      <c r="X96" s="96">
        <v>2.9744442737566712</v>
      </c>
      <c r="Y96" s="96">
        <v>2.8532926499417823</v>
      </c>
      <c r="DA96" s="171" t="s">
        <v>870</v>
      </c>
    </row>
    <row r="97" spans="1:105" ht="11.45" customHeight="1" x14ac:dyDescent="0.25">
      <c r="A97" s="111" t="s">
        <v>115</v>
      </c>
      <c r="B97" s="96">
        <v>0</v>
      </c>
      <c r="C97" s="96">
        <v>0</v>
      </c>
      <c r="D97" s="96">
        <v>0</v>
      </c>
      <c r="E97" s="96">
        <v>0</v>
      </c>
      <c r="F97" s="96">
        <v>0</v>
      </c>
      <c r="G97" s="96">
        <v>0</v>
      </c>
      <c r="H97" s="96">
        <v>0</v>
      </c>
      <c r="I97" s="96">
        <v>0</v>
      </c>
      <c r="J97" s="96">
        <v>0</v>
      </c>
      <c r="K97" s="96">
        <v>1.6544713297474181</v>
      </c>
      <c r="L97" s="96">
        <v>1.6312876182287188</v>
      </c>
      <c r="M97" s="96">
        <v>1.6312876182287186</v>
      </c>
      <c r="N97" s="96">
        <v>1.5393166243570853</v>
      </c>
      <c r="O97" s="96">
        <v>1.4317991974262922</v>
      </c>
      <c r="P97" s="96">
        <v>1.4071592448649934</v>
      </c>
      <c r="Q97" s="96">
        <v>1.464414991382651</v>
      </c>
      <c r="R97" s="96">
        <v>1.4602518636957311</v>
      </c>
      <c r="S97" s="96">
        <v>1.4127915279949135</v>
      </c>
      <c r="T97" s="96">
        <v>1.5165536206383483</v>
      </c>
      <c r="U97" s="96">
        <v>1.4864234098013132</v>
      </c>
      <c r="V97" s="96">
        <v>1.4656959888719003</v>
      </c>
      <c r="W97" s="96">
        <v>1.4758802925399084</v>
      </c>
      <c r="X97" s="96">
        <v>1.4782326919093598</v>
      </c>
      <c r="Y97" s="96">
        <v>1.4685988466106015</v>
      </c>
      <c r="DA97" s="171" t="s">
        <v>871</v>
      </c>
    </row>
    <row r="98" spans="1:105" ht="11.45" customHeight="1" x14ac:dyDescent="0.25">
      <c r="A98" s="109" t="s">
        <v>21</v>
      </c>
      <c r="B98" s="130">
        <v>55.498079181591393</v>
      </c>
      <c r="C98" s="130">
        <v>54.421515596870158</v>
      </c>
      <c r="D98" s="130">
        <v>53.965598414210781</v>
      </c>
      <c r="E98" s="130">
        <v>53.43815379696003</v>
      </c>
      <c r="F98" s="130">
        <v>52.849170194071135</v>
      </c>
      <c r="G98" s="130">
        <v>52.082303270839169</v>
      </c>
      <c r="H98" s="130">
        <v>51.511092741282205</v>
      </c>
      <c r="I98" s="130">
        <v>50.733011432863684</v>
      </c>
      <c r="J98" s="130">
        <v>50.053088691542193</v>
      </c>
      <c r="K98" s="130">
        <v>49.313755235384242</v>
      </c>
      <c r="L98" s="130">
        <v>48.951966362091376</v>
      </c>
      <c r="M98" s="130">
        <v>48.558153662262107</v>
      </c>
      <c r="N98" s="130">
        <v>47.876336136371641</v>
      </c>
      <c r="O98" s="130">
        <v>46.33544108323678</v>
      </c>
      <c r="P98" s="130">
        <v>45.680881652644011</v>
      </c>
      <c r="Q98" s="130">
        <v>44.812866882170198</v>
      </c>
      <c r="R98" s="130">
        <v>43.892495828871979</v>
      </c>
      <c r="S98" s="130">
        <v>43.135905054388452</v>
      </c>
      <c r="T98" s="130">
        <v>42.289727599855333</v>
      </c>
      <c r="U98" s="130">
        <v>40.550826906196491</v>
      </c>
      <c r="V98" s="130">
        <v>38.260870289955143</v>
      </c>
      <c r="W98" s="130">
        <v>36.519978723523707</v>
      </c>
      <c r="X98" s="130">
        <v>35.674727416902506</v>
      </c>
      <c r="Y98" s="130">
        <v>34.47875448659719</v>
      </c>
      <c r="DA98" s="176" t="s">
        <v>872</v>
      </c>
    </row>
    <row r="99" spans="1:105" ht="11.45" customHeight="1" x14ac:dyDescent="0.25">
      <c r="A99" s="111" t="s">
        <v>110</v>
      </c>
      <c r="B99" s="97">
        <v>16.914499697415149</v>
      </c>
      <c r="C99" s="97">
        <v>16.178226045417894</v>
      </c>
      <c r="D99" s="97">
        <v>15.717462765710231</v>
      </c>
      <c r="E99" s="97">
        <v>15.421342406354727</v>
      </c>
      <c r="F99" s="97">
        <v>15.383079283009035</v>
      </c>
      <c r="G99" s="97">
        <v>15.267732173768572</v>
      </c>
      <c r="H99" s="97">
        <v>15.197955754694682</v>
      </c>
      <c r="I99" s="97">
        <v>15.05522983661513</v>
      </c>
      <c r="J99" s="97">
        <v>15.055229836615135</v>
      </c>
      <c r="K99" s="97">
        <v>14.92877503521834</v>
      </c>
      <c r="L99" s="97">
        <v>14.544245809789569</v>
      </c>
      <c r="M99" s="97">
        <v>14.235213115064122</v>
      </c>
      <c r="N99" s="97">
        <v>13.493149181239172</v>
      </c>
      <c r="O99" s="97">
        <v>13.403267979121328</v>
      </c>
      <c r="P99" s="97">
        <v>13.35302108675616</v>
      </c>
      <c r="Q99" s="97">
        <v>11.938593729585772</v>
      </c>
      <c r="R99" s="97">
        <v>11.554984419943917</v>
      </c>
      <c r="S99" s="97">
        <v>11.333192148768394</v>
      </c>
      <c r="T99" s="97">
        <v>11.151827426588511</v>
      </c>
      <c r="U99" s="97">
        <v>9.8539792538176307</v>
      </c>
      <c r="V99" s="97">
        <v>9.7606788141934633</v>
      </c>
      <c r="W99" s="97">
        <v>9.6894414484519213</v>
      </c>
      <c r="X99" s="97">
        <v>9.5743266133287079</v>
      </c>
      <c r="Y99" s="97">
        <v>9.5700776657790101</v>
      </c>
      <c r="DA99" s="175" t="s">
        <v>873</v>
      </c>
    </row>
    <row r="100" spans="1:105" ht="11.45" customHeight="1" x14ac:dyDescent="0.25">
      <c r="A100" s="111" t="s">
        <v>111</v>
      </c>
      <c r="B100" s="97">
        <v>55.884457951791198</v>
      </c>
      <c r="C100" s="97">
        <v>54.395235118247506</v>
      </c>
      <c r="D100" s="97">
        <v>53.835622932629008</v>
      </c>
      <c r="E100" s="97">
        <v>53.170118426573922</v>
      </c>
      <c r="F100" s="97">
        <v>52.502332882749542</v>
      </c>
      <c r="G100" s="97">
        <v>51.748387624367361</v>
      </c>
      <c r="H100" s="97">
        <v>51.201766659279713</v>
      </c>
      <c r="I100" s="97">
        <v>50.481995224845285</v>
      </c>
      <c r="J100" s="97">
        <v>49.863968483859615</v>
      </c>
      <c r="K100" s="97">
        <v>49.306760033956074</v>
      </c>
      <c r="L100" s="97">
        <v>49.099772293179974</v>
      </c>
      <c r="M100" s="97">
        <v>48.975008669399372</v>
      </c>
      <c r="N100" s="97">
        <v>48.480126620002821</v>
      </c>
      <c r="O100" s="97">
        <v>47.760104921897337</v>
      </c>
      <c r="P100" s="97">
        <v>47.16139496415876</v>
      </c>
      <c r="Q100" s="97">
        <v>46.471299431465241</v>
      </c>
      <c r="R100" s="97">
        <v>45.829218240746847</v>
      </c>
      <c r="S100" s="97">
        <v>45.257073894342518</v>
      </c>
      <c r="T100" s="97">
        <v>44.553778538986997</v>
      </c>
      <c r="U100" s="97">
        <v>43.637487571242488</v>
      </c>
      <c r="V100" s="97">
        <v>42.094640182548673</v>
      </c>
      <c r="W100" s="97">
        <v>40.388978645468065</v>
      </c>
      <c r="X100" s="97">
        <v>39.238806324010014</v>
      </c>
      <c r="Y100" s="97">
        <v>37.728641863565301</v>
      </c>
      <c r="DA100" s="175" t="s">
        <v>874</v>
      </c>
    </row>
    <row r="101" spans="1:105" ht="11.45" customHeight="1" x14ac:dyDescent="0.25">
      <c r="A101" s="111" t="s">
        <v>112</v>
      </c>
      <c r="B101" s="97">
        <v>42.818971967672425</v>
      </c>
      <c r="C101" s="97">
        <v>42.818971967672432</v>
      </c>
      <c r="D101" s="97">
        <v>42.818971967672425</v>
      </c>
      <c r="E101" s="97">
        <v>42.818971967672432</v>
      </c>
      <c r="F101" s="97">
        <v>42.818971967672418</v>
      </c>
      <c r="G101" s="97">
        <v>41.752947488186017</v>
      </c>
      <c r="H101" s="97">
        <v>41.597571501515574</v>
      </c>
      <c r="I101" s="97">
        <v>41.476393662048892</v>
      </c>
      <c r="J101" s="97">
        <v>41.466563003251501</v>
      </c>
      <c r="K101" s="97">
        <v>41.390003566603013</v>
      </c>
      <c r="L101" s="97">
        <v>41.390003566603013</v>
      </c>
      <c r="M101" s="97">
        <v>41.342500754862542</v>
      </c>
      <c r="N101" s="97">
        <v>41.304255981646527</v>
      </c>
      <c r="O101" s="97">
        <v>41.291731097909746</v>
      </c>
      <c r="P101" s="97">
        <v>41.263977227357614</v>
      </c>
      <c r="Q101" s="97">
        <v>41.263977227357607</v>
      </c>
      <c r="R101" s="97">
        <v>41.295872423165982</v>
      </c>
      <c r="S101" s="97">
        <v>41.253697136378328</v>
      </c>
      <c r="T101" s="97">
        <v>41.223505359411398</v>
      </c>
      <c r="U101" s="97">
        <v>41.223505359411398</v>
      </c>
      <c r="V101" s="97">
        <v>41.223313115613315</v>
      </c>
      <c r="W101" s="97">
        <v>41.190782268810771</v>
      </c>
      <c r="X101" s="97">
        <v>41.14071634498324</v>
      </c>
      <c r="Y101" s="97">
        <v>41.156745149514279</v>
      </c>
      <c r="DA101" s="175" t="s">
        <v>875</v>
      </c>
    </row>
    <row r="102" spans="1:105" ht="11.45" customHeight="1" x14ac:dyDescent="0.25">
      <c r="A102" s="111" t="s">
        <v>113</v>
      </c>
      <c r="B102" s="97">
        <v>44.691820608560349</v>
      </c>
      <c r="C102" s="97">
        <v>43.0226495037315</v>
      </c>
      <c r="D102" s="97">
        <v>41.597098947195782</v>
      </c>
      <c r="E102" s="97">
        <v>41.376180563571459</v>
      </c>
      <c r="F102" s="97">
        <v>41.209356250154364</v>
      </c>
      <c r="G102" s="97">
        <v>41.035156715292061</v>
      </c>
      <c r="H102" s="97">
        <v>40.485918966087674</v>
      </c>
      <c r="I102" s="97">
        <v>40.364641909538015</v>
      </c>
      <c r="J102" s="97">
        <v>40.041675086005633</v>
      </c>
      <c r="K102" s="97">
        <v>39.494702059223513</v>
      </c>
      <c r="L102" s="97">
        <v>39.275167527612666</v>
      </c>
      <c r="M102" s="97">
        <v>38.804835926750968</v>
      </c>
      <c r="N102" s="97">
        <v>38.46213791042554</v>
      </c>
      <c r="O102" s="97">
        <v>37.595736142482174</v>
      </c>
      <c r="P102" s="97">
        <v>37.56536688683925</v>
      </c>
      <c r="Q102" s="97">
        <v>37.443818596176698</v>
      </c>
      <c r="R102" s="97">
        <v>37.240914027993469</v>
      </c>
      <c r="S102" s="97">
        <v>37.098956933696826</v>
      </c>
      <c r="T102" s="97">
        <v>36.934579235055566</v>
      </c>
      <c r="U102" s="97">
        <v>36.698774672172569</v>
      </c>
      <c r="V102" s="97">
        <v>36.446630824429448</v>
      </c>
      <c r="W102" s="97">
        <v>36.309014231989543</v>
      </c>
      <c r="X102" s="97">
        <v>36.269619899220906</v>
      </c>
      <c r="Y102" s="97">
        <v>36.233175168025305</v>
      </c>
      <c r="DA102" s="175" t="s">
        <v>876</v>
      </c>
    </row>
    <row r="103" spans="1:105" ht="11.45" customHeight="1" x14ac:dyDescent="0.25">
      <c r="A103" s="111" t="s">
        <v>115</v>
      </c>
      <c r="B103" s="97">
        <v>30.14756062794531</v>
      </c>
      <c r="C103" s="97">
        <v>30.147560627945307</v>
      </c>
      <c r="D103" s="97">
        <v>29.186682526960379</v>
      </c>
      <c r="E103" s="97">
        <v>29.069934305002505</v>
      </c>
      <c r="F103" s="97">
        <v>27.672402327911552</v>
      </c>
      <c r="G103" s="97">
        <v>27.477245073760326</v>
      </c>
      <c r="H103" s="97">
        <v>27.377477224407599</v>
      </c>
      <c r="I103" s="97">
        <v>27.377477224407599</v>
      </c>
      <c r="J103" s="97">
        <v>26.97655229098428</v>
      </c>
      <c r="K103" s="97">
        <v>25.817564396232036</v>
      </c>
      <c r="L103" s="97">
        <v>24.262811968457303</v>
      </c>
      <c r="M103" s="97">
        <v>24.111588732368055</v>
      </c>
      <c r="N103" s="97">
        <v>24.007297224986107</v>
      </c>
      <c r="O103" s="97">
        <v>22.548579457166412</v>
      </c>
      <c r="P103" s="97">
        <v>22.36585439011402</v>
      </c>
      <c r="Q103" s="97">
        <v>22.201589536295554</v>
      </c>
      <c r="R103" s="97">
        <v>21.301937875786624</v>
      </c>
      <c r="S103" s="97">
        <v>21.10437434907902</v>
      </c>
      <c r="T103" s="97">
        <v>20.846167284742645</v>
      </c>
      <c r="U103" s="97">
        <v>20.401328150244595</v>
      </c>
      <c r="V103" s="97">
        <v>20.071853638784873</v>
      </c>
      <c r="W103" s="97">
        <v>19.919689971115233</v>
      </c>
      <c r="X103" s="97">
        <v>19.804274819814797</v>
      </c>
      <c r="Y103" s="97">
        <v>19.54568940990648</v>
      </c>
      <c r="DA103" s="175" t="s">
        <v>877</v>
      </c>
    </row>
    <row r="104" spans="1:105" ht="11.45" customHeight="1" x14ac:dyDescent="0.25">
      <c r="A104" s="27" t="s">
        <v>34</v>
      </c>
      <c r="B104" s="32"/>
      <c r="C104" s="32"/>
      <c r="D104" s="32"/>
      <c r="E104" s="32"/>
      <c r="F104" s="32"/>
      <c r="G104" s="32"/>
      <c r="H104" s="32"/>
      <c r="I104" s="32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2"/>
      <c r="V104" s="32"/>
      <c r="W104" s="32"/>
      <c r="X104" s="32"/>
      <c r="Y104" s="32"/>
      <c r="DA104" s="173"/>
    </row>
    <row r="105" spans="1:105" ht="11.45" customHeight="1" x14ac:dyDescent="0.25">
      <c r="A105" s="136" t="s">
        <v>153</v>
      </c>
      <c r="B105" s="141">
        <v>10.742466719294866</v>
      </c>
      <c r="C105" s="141">
        <v>10.286126007807251</v>
      </c>
      <c r="D105" s="141">
        <v>10.133746483272212</v>
      </c>
      <c r="E105" s="141">
        <v>10.003321325030974</v>
      </c>
      <c r="F105" s="141">
        <v>9.8887380252282728</v>
      </c>
      <c r="G105" s="141">
        <v>9.7360516182795358</v>
      </c>
      <c r="H105" s="141">
        <v>9.6015532526951528</v>
      </c>
      <c r="I105" s="141">
        <v>9.4951234150155503</v>
      </c>
      <c r="J105" s="141">
        <v>9.3911895623316912</v>
      </c>
      <c r="K105" s="141">
        <v>9.2710850172224841</v>
      </c>
      <c r="L105" s="141">
        <v>9.2670239215584314</v>
      </c>
      <c r="M105" s="141">
        <v>9.1956219054504853</v>
      </c>
      <c r="N105" s="141">
        <v>9.0742555806383738</v>
      </c>
      <c r="O105" s="141">
        <v>8.9501761236578261</v>
      </c>
      <c r="P105" s="141">
        <v>8.7970082206619011</v>
      </c>
      <c r="Q105" s="141">
        <v>8.6266279013285221</v>
      </c>
      <c r="R105" s="141">
        <v>8.405610009903743</v>
      </c>
      <c r="S105" s="141">
        <v>8.1800902346043003</v>
      </c>
      <c r="T105" s="141">
        <v>7.939773134611861</v>
      </c>
      <c r="U105" s="141">
        <v>7.7237136396215842</v>
      </c>
      <c r="V105" s="141">
        <v>7.6058138590410325</v>
      </c>
      <c r="W105" s="141">
        <v>7.455807260019788</v>
      </c>
      <c r="X105" s="141">
        <v>7.2782914826490144</v>
      </c>
      <c r="Y105" s="141">
        <v>7.0526035619538296</v>
      </c>
      <c r="DA105" s="174" t="s">
        <v>878</v>
      </c>
    </row>
    <row r="106" spans="1:105" ht="11.45" customHeight="1" x14ac:dyDescent="0.25">
      <c r="A106" s="111" t="s">
        <v>110</v>
      </c>
      <c r="B106" s="96">
        <v>10.91044754025901</v>
      </c>
      <c r="C106" s="96">
        <v>10.91044754025901</v>
      </c>
      <c r="D106" s="96">
        <v>10.91044754025901</v>
      </c>
      <c r="E106" s="96">
        <v>10.91044754025901</v>
      </c>
      <c r="F106" s="96">
        <v>10.91044754025901</v>
      </c>
      <c r="G106" s="96">
        <v>10.91044754025901</v>
      </c>
      <c r="H106" s="96">
        <v>10.910447540259009</v>
      </c>
      <c r="I106" s="96">
        <v>10.910447540259009</v>
      </c>
      <c r="J106" s="96">
        <v>10.91044754025901</v>
      </c>
      <c r="K106" s="96">
        <v>10.817762818060285</v>
      </c>
      <c r="L106" s="96">
        <v>10.587416070368722</v>
      </c>
      <c r="M106" s="96">
        <v>10.346480705161145</v>
      </c>
      <c r="N106" s="96">
        <v>10.031444372586934</v>
      </c>
      <c r="O106" s="96">
        <v>9.833919739502937</v>
      </c>
      <c r="P106" s="96">
        <v>9.3929622489157492</v>
      </c>
      <c r="Q106" s="96">
        <v>8.9736418967914577</v>
      </c>
      <c r="R106" s="96">
        <v>8.5584969335762153</v>
      </c>
      <c r="S106" s="96">
        <v>8.1741880348545202</v>
      </c>
      <c r="T106" s="96">
        <v>7.9419137652574046</v>
      </c>
      <c r="U106" s="96">
        <v>7.6428821263286331</v>
      </c>
      <c r="V106" s="96">
        <v>7.4075674034491801</v>
      </c>
      <c r="W106" s="96">
        <v>7.0454749309342706</v>
      </c>
      <c r="X106" s="96">
        <v>6.6161116978194849</v>
      </c>
      <c r="Y106" s="96">
        <v>6.5350594403361475</v>
      </c>
      <c r="DA106" s="171" t="s">
        <v>879</v>
      </c>
    </row>
    <row r="107" spans="1:105" ht="11.45" customHeight="1" x14ac:dyDescent="0.25">
      <c r="A107" s="111" t="s">
        <v>111</v>
      </c>
      <c r="B107" s="96">
        <v>10.370601142176421</v>
      </c>
      <c r="C107" s="96">
        <v>9.7666873454657921</v>
      </c>
      <c r="D107" s="96">
        <v>9.616870603262516</v>
      </c>
      <c r="E107" s="96">
        <v>9.5061761155517868</v>
      </c>
      <c r="F107" s="96">
        <v>9.4196822250732861</v>
      </c>
      <c r="G107" s="96">
        <v>9.3191382042452382</v>
      </c>
      <c r="H107" s="96">
        <v>9.2273092244875059</v>
      </c>
      <c r="I107" s="96">
        <v>9.1536550624570019</v>
      </c>
      <c r="J107" s="96">
        <v>9.0747358764875461</v>
      </c>
      <c r="K107" s="96">
        <v>8.9798068403492461</v>
      </c>
      <c r="L107" s="96">
        <v>8.9891719579443556</v>
      </c>
      <c r="M107" s="96">
        <v>8.9493094086161644</v>
      </c>
      <c r="N107" s="96">
        <v>8.8124710620982416</v>
      </c>
      <c r="O107" s="96">
        <v>8.6584582087112398</v>
      </c>
      <c r="P107" s="96">
        <v>8.4976713557905903</v>
      </c>
      <c r="Q107" s="96">
        <v>8.3145878367342334</v>
      </c>
      <c r="R107" s="96">
        <v>8.0640604739332211</v>
      </c>
      <c r="S107" s="96">
        <v>7.8215948255406236</v>
      </c>
      <c r="T107" s="96">
        <v>7.5779397900569778</v>
      </c>
      <c r="U107" s="96">
        <v>7.3674194960377006</v>
      </c>
      <c r="V107" s="96">
        <v>7.255422074180542</v>
      </c>
      <c r="W107" s="96">
        <v>7.1673696266846854</v>
      </c>
      <c r="X107" s="96">
        <v>7.0210002472187929</v>
      </c>
      <c r="Y107" s="96">
        <v>6.8609851760309963</v>
      </c>
      <c r="DA107" s="171" t="s">
        <v>880</v>
      </c>
    </row>
    <row r="108" spans="1:105" ht="11.45" customHeight="1" x14ac:dyDescent="0.25">
      <c r="A108" s="111" t="s">
        <v>112</v>
      </c>
      <c r="B108" s="96">
        <v>19.797844752374431</v>
      </c>
      <c r="C108" s="96">
        <v>19.78382543795605</v>
      </c>
      <c r="D108" s="96">
        <v>19.783766905288186</v>
      </c>
      <c r="E108" s="96">
        <v>19.783428197725659</v>
      </c>
      <c r="F108" s="96">
        <v>19.782910656945432</v>
      </c>
      <c r="G108" s="96">
        <v>19.781190529590649</v>
      </c>
      <c r="H108" s="96">
        <v>19.780086824310157</v>
      </c>
      <c r="I108" s="96">
        <v>19.77953055202773</v>
      </c>
      <c r="J108" s="96">
        <v>19.779512861184973</v>
      </c>
      <c r="K108" s="96">
        <v>19.775004130413325</v>
      </c>
      <c r="L108" s="96">
        <v>19.538608096375086</v>
      </c>
      <c r="M108" s="96">
        <v>19.249974235892708</v>
      </c>
      <c r="N108" s="96">
        <v>18.902196955045149</v>
      </c>
      <c r="O108" s="96">
        <v>18.692148389869143</v>
      </c>
      <c r="P108" s="96">
        <v>18.30657354729383</v>
      </c>
      <c r="Q108" s="96">
        <v>17.961192651668711</v>
      </c>
      <c r="R108" s="96">
        <v>17.558993627581014</v>
      </c>
      <c r="S108" s="96">
        <v>17.100365725080238</v>
      </c>
      <c r="T108" s="96">
        <v>15.77634610987776</v>
      </c>
      <c r="U108" s="96">
        <v>12.989042095242077</v>
      </c>
      <c r="V108" s="96">
        <v>12.744171951777741</v>
      </c>
      <c r="W108" s="96">
        <v>12.1884884600991</v>
      </c>
      <c r="X108" s="96">
        <v>11.894446825592562</v>
      </c>
      <c r="Y108" s="96">
        <v>11.880573834342448</v>
      </c>
      <c r="DA108" s="171" t="s">
        <v>881</v>
      </c>
    </row>
    <row r="109" spans="1:105" ht="11.45" customHeight="1" x14ac:dyDescent="0.25">
      <c r="A109" s="111" t="s">
        <v>113</v>
      </c>
      <c r="B109" s="96">
        <v>0</v>
      </c>
      <c r="C109" s="96">
        <v>0</v>
      </c>
      <c r="D109" s="96">
        <v>0</v>
      </c>
      <c r="E109" s="96">
        <v>9.961204291761387</v>
      </c>
      <c r="F109" s="96">
        <v>9.961204291761387</v>
      </c>
      <c r="G109" s="96">
        <v>9.961204291761387</v>
      </c>
      <c r="H109" s="96">
        <v>9.9612042917613888</v>
      </c>
      <c r="I109" s="96">
        <v>9.7230311107396759</v>
      </c>
      <c r="J109" s="96">
        <v>9.7230311107396741</v>
      </c>
      <c r="K109" s="96">
        <v>9.2534982345870453</v>
      </c>
      <c r="L109" s="96">
        <v>8.9645142376097944</v>
      </c>
      <c r="M109" s="96">
        <v>8.7872117431793733</v>
      </c>
      <c r="N109" s="96">
        <v>8.4317919149054124</v>
      </c>
      <c r="O109" s="96">
        <v>8.2832679356075793</v>
      </c>
      <c r="P109" s="96">
        <v>8.1243759380064926</v>
      </c>
      <c r="Q109" s="96">
        <v>8.0978498724620067</v>
      </c>
      <c r="R109" s="96">
        <v>7.4761170378872919</v>
      </c>
      <c r="S109" s="96">
        <v>7.4568674007289468</v>
      </c>
      <c r="T109" s="96">
        <v>7.0299155691809361</v>
      </c>
      <c r="U109" s="96">
        <v>6.9920730122309589</v>
      </c>
      <c r="V109" s="96">
        <v>6.9222643255071512</v>
      </c>
      <c r="W109" s="96">
        <v>6.8723048084976375</v>
      </c>
      <c r="X109" s="96">
        <v>6.8012002420493332</v>
      </c>
      <c r="Y109" s="96">
        <v>6.6658089148072515</v>
      </c>
      <c r="DA109" s="171" t="s">
        <v>882</v>
      </c>
    </row>
    <row r="110" spans="1:105" ht="11.45" customHeight="1" x14ac:dyDescent="0.25">
      <c r="A110" s="111" t="s">
        <v>115</v>
      </c>
      <c r="B110" s="96">
        <v>0</v>
      </c>
      <c r="C110" s="96">
        <v>0</v>
      </c>
      <c r="D110" s="96">
        <v>0</v>
      </c>
      <c r="E110" s="96">
        <v>0</v>
      </c>
      <c r="F110" s="96">
        <v>0</v>
      </c>
      <c r="G110" s="96">
        <v>0</v>
      </c>
      <c r="H110" s="96">
        <v>0</v>
      </c>
      <c r="I110" s="96">
        <v>0</v>
      </c>
      <c r="J110" s="96">
        <v>0</v>
      </c>
      <c r="K110" s="96">
        <v>0</v>
      </c>
      <c r="L110" s="96">
        <v>0</v>
      </c>
      <c r="M110" s="96">
        <v>1.3462223264458861</v>
      </c>
      <c r="N110" s="96">
        <v>1.3327601031814273</v>
      </c>
      <c r="O110" s="96">
        <v>1.3300780924020441</v>
      </c>
      <c r="P110" s="96">
        <v>1.3664217478241367</v>
      </c>
      <c r="Q110" s="96">
        <v>1.3798968555919844</v>
      </c>
      <c r="R110" s="96">
        <v>1.3904420742947619</v>
      </c>
      <c r="S110" s="96">
        <v>1.3753285531407957</v>
      </c>
      <c r="T110" s="96">
        <v>1.4644330833685126</v>
      </c>
      <c r="U110" s="96">
        <v>1.5998239583905778</v>
      </c>
      <c r="V110" s="96">
        <v>1.7341995608455798</v>
      </c>
      <c r="W110" s="96">
        <v>1.8912304843988974</v>
      </c>
      <c r="X110" s="96">
        <v>1.974424935255277</v>
      </c>
      <c r="Y110" s="96">
        <v>2.0105106739302632</v>
      </c>
      <c r="DA110" s="171" t="s">
        <v>883</v>
      </c>
    </row>
    <row r="111" spans="1:105" ht="11.45" customHeight="1" x14ac:dyDescent="0.25">
      <c r="A111" s="109" t="s">
        <v>154</v>
      </c>
      <c r="B111" s="130">
        <v>31.196280028605429</v>
      </c>
      <c r="C111" s="130">
        <v>31.022514432887892</v>
      </c>
      <c r="D111" s="130">
        <v>30.840773638683839</v>
      </c>
      <c r="E111" s="130">
        <v>30.663630038193006</v>
      </c>
      <c r="F111" s="130">
        <v>30.495546593672639</v>
      </c>
      <c r="G111" s="130">
        <v>30.27270313154937</v>
      </c>
      <c r="H111" s="130">
        <v>30.006756060544557</v>
      </c>
      <c r="I111" s="130">
        <v>29.706543358888133</v>
      </c>
      <c r="J111" s="130">
        <v>29.33566988685935</v>
      </c>
      <c r="K111" s="130">
        <v>28.897543446014712</v>
      </c>
      <c r="L111" s="130">
        <v>28.532274646772731</v>
      </c>
      <c r="M111" s="130">
        <v>28.278185805149327</v>
      </c>
      <c r="N111" s="130">
        <v>27.920974844007695</v>
      </c>
      <c r="O111" s="130">
        <v>27.501344672894895</v>
      </c>
      <c r="P111" s="130">
        <v>27.022239214073938</v>
      </c>
      <c r="Q111" s="130">
        <v>26.63172255595785</v>
      </c>
      <c r="R111" s="130">
        <v>26.225975904100931</v>
      </c>
      <c r="S111" s="130">
        <v>25.631608262471921</v>
      </c>
      <c r="T111" s="130">
        <v>25.077851307786307</v>
      </c>
      <c r="U111" s="130">
        <v>24.441029928920219</v>
      </c>
      <c r="V111" s="130">
        <v>23.855627050873252</v>
      </c>
      <c r="W111" s="130">
        <v>23.195465079756474</v>
      </c>
      <c r="X111" s="130">
        <v>22.830078131533647</v>
      </c>
      <c r="Y111" s="130">
        <v>22.314708091269672</v>
      </c>
      <c r="DA111" s="176" t="s">
        <v>884</v>
      </c>
    </row>
    <row r="112" spans="1:105" ht="11.45" customHeight="1" x14ac:dyDescent="0.25">
      <c r="A112" s="128" t="s">
        <v>27</v>
      </c>
      <c r="B112" s="97">
        <v>30.621435363039037</v>
      </c>
      <c r="C112" s="97">
        <v>30.444846561004287</v>
      </c>
      <c r="D112" s="97">
        <v>30.24764312165906</v>
      </c>
      <c r="E112" s="97">
        <v>30.055305985200274</v>
      </c>
      <c r="F112" s="97">
        <v>29.715118141366574</v>
      </c>
      <c r="G112" s="97">
        <v>29.493974780197195</v>
      </c>
      <c r="H112" s="97">
        <v>29.187178401933586</v>
      </c>
      <c r="I112" s="97">
        <v>28.952382355552004</v>
      </c>
      <c r="J112" s="97">
        <v>28.561268566399193</v>
      </c>
      <c r="K112" s="97">
        <v>28.178729506211678</v>
      </c>
      <c r="L112" s="97">
        <v>27.803558147292254</v>
      </c>
      <c r="M112" s="97">
        <v>27.565063211446503</v>
      </c>
      <c r="N112" s="97">
        <v>27.239302837600665</v>
      </c>
      <c r="O112" s="97">
        <v>26.808206988484621</v>
      </c>
      <c r="P112" s="97">
        <v>26.301987203299809</v>
      </c>
      <c r="Q112" s="97">
        <v>25.909018115217954</v>
      </c>
      <c r="R112" s="97">
        <v>25.522966630606543</v>
      </c>
      <c r="S112" s="97">
        <v>24.904652245440268</v>
      </c>
      <c r="T112" s="97">
        <v>24.349402738403239</v>
      </c>
      <c r="U112" s="97">
        <v>23.708346472507742</v>
      </c>
      <c r="V112" s="97">
        <v>23.09809804738827</v>
      </c>
      <c r="W112" s="97">
        <v>22.409277561524071</v>
      </c>
      <c r="X112" s="97">
        <v>22.114583947176239</v>
      </c>
      <c r="Y112" s="97">
        <v>21.612843532308553</v>
      </c>
      <c r="DA112" s="175" t="s">
        <v>885</v>
      </c>
    </row>
    <row r="113" spans="1:105" ht="11.45" customHeight="1" x14ac:dyDescent="0.25">
      <c r="A113" s="138" t="s">
        <v>116</v>
      </c>
      <c r="B113" s="98">
        <v>36.742268041163946</v>
      </c>
      <c r="C113" s="98">
        <v>36.373527199113404</v>
      </c>
      <c r="D113" s="98">
        <v>36.053207381502531</v>
      </c>
      <c r="E113" s="98">
        <v>35.795227088601145</v>
      </c>
      <c r="F113" s="98">
        <v>35.136542379646954</v>
      </c>
      <c r="G113" s="98">
        <v>34.835340750017068</v>
      </c>
      <c r="H113" s="98">
        <v>34.455619944344356</v>
      </c>
      <c r="I113" s="98">
        <v>34.162774530854513</v>
      </c>
      <c r="J113" s="98">
        <v>33.813836662531074</v>
      </c>
      <c r="K113" s="98">
        <v>33.683074472650773</v>
      </c>
      <c r="L113" s="98">
        <v>33.138347588171627</v>
      </c>
      <c r="M113" s="98">
        <v>32.748507900872085</v>
      </c>
      <c r="N113" s="98">
        <v>32.354359677678637</v>
      </c>
      <c r="O113" s="98">
        <v>31.797189468830574</v>
      </c>
      <c r="P113" s="98">
        <v>31.261005985100397</v>
      </c>
      <c r="Q113" s="98">
        <v>30.828842246442964</v>
      </c>
      <c r="R113" s="98">
        <v>30.207181555908548</v>
      </c>
      <c r="S113" s="98">
        <v>29.774112132722539</v>
      </c>
      <c r="T113" s="98">
        <v>29.426770387869833</v>
      </c>
      <c r="U113" s="98">
        <v>28.777144887337911</v>
      </c>
      <c r="V113" s="98">
        <v>28.208947954497862</v>
      </c>
      <c r="W113" s="98">
        <v>27.775990795936181</v>
      </c>
      <c r="X113" s="98">
        <v>27.408389132630138</v>
      </c>
      <c r="Y113" s="98">
        <v>27.069783414444153</v>
      </c>
      <c r="DA113" s="178" t="s">
        <v>886</v>
      </c>
    </row>
    <row r="114" spans="1:105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121</v>
      </c>
      <c r="B115" s="59"/>
      <c r="C115" s="59"/>
      <c r="D115" s="59"/>
      <c r="E115" s="59"/>
      <c r="F115" s="59"/>
      <c r="G115" s="59"/>
      <c r="H115" s="59"/>
      <c r="I115" s="5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59"/>
      <c r="W115" s="59"/>
      <c r="X115" s="59"/>
      <c r="Y115" s="59"/>
      <c r="DA115" s="172"/>
    </row>
    <row r="116" spans="1:105" ht="11.45" customHeight="1" x14ac:dyDescent="0.25">
      <c r="A116" s="27" t="s">
        <v>33</v>
      </c>
      <c r="B116" s="47"/>
      <c r="C116" s="47"/>
      <c r="D116" s="47"/>
      <c r="E116" s="47"/>
      <c r="F116" s="47"/>
      <c r="G116" s="47"/>
      <c r="H116" s="47"/>
      <c r="I116" s="47"/>
      <c r="J116" s="47"/>
      <c r="K116" s="47"/>
      <c r="L116" s="47"/>
      <c r="M116" s="47"/>
      <c r="N116" s="47"/>
      <c r="O116" s="47"/>
      <c r="P116" s="47"/>
      <c r="Q116" s="47"/>
      <c r="R116" s="47"/>
      <c r="S116" s="47"/>
      <c r="T116" s="47"/>
      <c r="U116" s="47"/>
      <c r="V116" s="47"/>
      <c r="W116" s="47"/>
      <c r="X116" s="47"/>
      <c r="Y116" s="47"/>
      <c r="DA116" s="173"/>
    </row>
    <row r="117" spans="1:105" ht="11.45" customHeight="1" x14ac:dyDescent="0.25">
      <c r="A117" s="136" t="s">
        <v>173</v>
      </c>
      <c r="B117" s="150">
        <f>IF(TrRoad_act!B59=0,0,TrRoad_ene!B62/TrRoad_tech!B90)</f>
        <v>1.0725000000065619</v>
      </c>
      <c r="C117" s="150">
        <f>IF(TrRoad_act!C59=0,0,TrRoad_ene!C62/TrRoad_tech!C90)</f>
        <v>1.0725955208950757</v>
      </c>
      <c r="D117" s="150">
        <f>IF(TrRoad_act!D59=0,0,TrRoad_ene!D62/TrRoad_tech!D90)</f>
        <v>1.0732285131405057</v>
      </c>
      <c r="E117" s="150">
        <f>IF(TrRoad_act!E59=0,0,TrRoad_ene!E62/TrRoad_tech!E90)</f>
        <v>1.0738084609664695</v>
      </c>
      <c r="F117" s="150">
        <f>IF(TrRoad_act!F59=0,0,TrRoad_ene!F62/TrRoad_tech!F90)</f>
        <v>1.0749750948291841</v>
      </c>
      <c r="G117" s="150">
        <f>IF(TrRoad_act!G59=0,0,TrRoad_ene!G62/TrRoad_tech!G90)</f>
        <v>1.0784796452162524</v>
      </c>
      <c r="H117" s="150">
        <f>IF(TrRoad_act!H59=0,0,TrRoad_ene!H62/TrRoad_tech!H90)</f>
        <v>1.0864681821646267</v>
      </c>
      <c r="I117" s="150">
        <f>IF(TrRoad_act!I59=0,0,TrRoad_ene!I62/TrRoad_tech!I90)</f>
        <v>1.0919956711274348</v>
      </c>
      <c r="J117" s="150">
        <f>IF(TrRoad_act!J59=0,0,TrRoad_ene!J62/TrRoad_tech!J90)</f>
        <v>1.0991162050058449</v>
      </c>
      <c r="K117" s="150">
        <f>IF(TrRoad_act!K59=0,0,TrRoad_ene!K62/TrRoad_tech!K90)</f>
        <v>1.1065751233360239</v>
      </c>
      <c r="L117" s="150">
        <f>IF(TrRoad_act!L59=0,0,TrRoad_ene!L62/TrRoad_tech!L90)</f>
        <v>1.1140981588202834</v>
      </c>
      <c r="M117" s="150">
        <f>IF(TrRoad_act!M59=0,0,TrRoad_ene!M62/TrRoad_tech!M90)</f>
        <v>1.1197548057095661</v>
      </c>
      <c r="N117" s="150">
        <f>IF(TrRoad_act!N59=0,0,TrRoad_ene!N62/TrRoad_tech!N90)</f>
        <v>1.1235765596113809</v>
      </c>
      <c r="O117" s="150">
        <f>IF(TrRoad_act!O59=0,0,TrRoad_ene!O62/TrRoad_tech!O90)</f>
        <v>1.1281979266902951</v>
      </c>
      <c r="P117" s="150">
        <f>IF(TrRoad_act!P59=0,0,TrRoad_ene!P62/TrRoad_tech!P90)</f>
        <v>1.1338081913930071</v>
      </c>
      <c r="Q117" s="150">
        <f>IF(TrRoad_act!Q59=0,0,TrRoad_ene!Q62/TrRoad_tech!Q90)</f>
        <v>1.138537334126944</v>
      </c>
      <c r="R117" s="150">
        <f>IF(TrRoad_act!R59=0,0,TrRoad_ene!R62/TrRoad_tech!R90)</f>
        <v>1.1459927237623833</v>
      </c>
      <c r="S117" s="150">
        <f>IF(TrRoad_act!S59=0,0,TrRoad_ene!S62/TrRoad_tech!S90)</f>
        <v>1.1526177651235476</v>
      </c>
      <c r="T117" s="150">
        <f>IF(TrRoad_act!T59=0,0,TrRoad_ene!T62/TrRoad_tech!T90)</f>
        <v>1.1583194547200504</v>
      </c>
      <c r="U117" s="150">
        <f>IF(TrRoad_act!U59=0,0,TrRoad_ene!U62/TrRoad_tech!U90)</f>
        <v>1.1682762278125927</v>
      </c>
      <c r="V117" s="150">
        <f>IF(TrRoad_act!V59=0,0,TrRoad_ene!V62/TrRoad_tech!V90)</f>
        <v>1.1803107812646572</v>
      </c>
      <c r="W117" s="150">
        <f>IF(TrRoad_act!W59=0,0,TrRoad_ene!W62/TrRoad_tech!W90)</f>
        <v>1.1896333227983078</v>
      </c>
      <c r="X117" s="150">
        <f>IF(TrRoad_act!X59=0,0,TrRoad_ene!X62/TrRoad_tech!X90)</f>
        <v>1.1969680153906435</v>
      </c>
      <c r="Y117" s="150">
        <f>IF(TrRoad_act!Y59=0,0,TrRoad_ene!Y62/TrRoad_tech!Y90)</f>
        <v>1.2005448929094427</v>
      </c>
      <c r="DA117" s="174"/>
    </row>
    <row r="118" spans="1:105" ht="11.45" customHeight="1" x14ac:dyDescent="0.25">
      <c r="A118" s="109" t="s">
        <v>20</v>
      </c>
      <c r="B118" s="151">
        <f>IF(TrRoad_act!B60=0,0,TrRoad_ene!B63/TrRoad_tech!B91)</f>
        <v>0.80258125535880309</v>
      </c>
      <c r="C118" s="151">
        <f>IF(TrRoad_act!C60=0,0,TrRoad_ene!C63/TrRoad_tech!C91)</f>
        <v>0.82040412684240227</v>
      </c>
      <c r="D118" s="151">
        <f>IF(TrRoad_act!D60=0,0,TrRoad_ene!D63/TrRoad_tech!D91)</f>
        <v>0.82897565102578807</v>
      </c>
      <c r="E118" s="151">
        <f>IF(TrRoad_act!E60=0,0,TrRoad_ene!E63/TrRoad_tech!E91)</f>
        <v>0.83203519392941327</v>
      </c>
      <c r="F118" s="151">
        <f>IF(TrRoad_act!F60=0,0,TrRoad_ene!F63/TrRoad_tech!F91)</f>
        <v>0.82401792520660999</v>
      </c>
      <c r="G118" s="151">
        <f>IF(TrRoad_act!G60=0,0,TrRoad_ene!G63/TrRoad_tech!G91)</f>
        <v>0.81999259315693207</v>
      </c>
      <c r="H118" s="151">
        <f>IF(TrRoad_act!H60=0,0,TrRoad_ene!H63/TrRoad_tech!H91)</f>
        <v>0.8414254923317851</v>
      </c>
      <c r="I118" s="151">
        <f>IF(TrRoad_act!I60=0,0,TrRoad_ene!I63/TrRoad_tech!I91)</f>
        <v>0.84251669350395164</v>
      </c>
      <c r="J118" s="151">
        <f>IF(TrRoad_act!J60=0,0,TrRoad_ene!J63/TrRoad_tech!J91)</f>
        <v>0.83615413220936163</v>
      </c>
      <c r="K118" s="151">
        <f>IF(TrRoad_act!K60=0,0,TrRoad_ene!K63/TrRoad_tech!K91)</f>
        <v>0.84237888847319953</v>
      </c>
      <c r="L118" s="151">
        <f>IF(TrRoad_act!L60=0,0,TrRoad_ene!L63/TrRoad_tech!L91)</f>
        <v>0.84969877874199207</v>
      </c>
      <c r="M118" s="151">
        <f>IF(TrRoad_act!M60=0,0,TrRoad_ene!M63/TrRoad_tech!M91)</f>
        <v>0.84967505369679674</v>
      </c>
      <c r="N118" s="151">
        <f>IF(TrRoad_act!N60=0,0,TrRoad_ene!N63/TrRoad_tech!N91)</f>
        <v>0.87075242309834255</v>
      </c>
      <c r="O118" s="151">
        <f>IF(TrRoad_act!O60=0,0,TrRoad_ene!O63/TrRoad_tech!O91)</f>
        <v>0.86758613267026941</v>
      </c>
      <c r="P118" s="151">
        <f>IF(TrRoad_act!P60=0,0,TrRoad_ene!P63/TrRoad_tech!P91)</f>
        <v>0.85067775490101594</v>
      </c>
      <c r="Q118" s="151">
        <f>IF(TrRoad_act!Q60=0,0,TrRoad_ene!Q63/TrRoad_tech!Q91)</f>
        <v>0.84812706589967823</v>
      </c>
      <c r="R118" s="151">
        <f>IF(TrRoad_act!R60=0,0,TrRoad_ene!R63/TrRoad_tech!R91)</f>
        <v>0.84766904463942816</v>
      </c>
      <c r="S118" s="151">
        <f>IF(TrRoad_act!S60=0,0,TrRoad_ene!S63/TrRoad_tech!S91)</f>
        <v>0.86318497347334877</v>
      </c>
      <c r="T118" s="151">
        <f>IF(TrRoad_act!T60=0,0,TrRoad_ene!T63/TrRoad_tech!T91)</f>
        <v>0.87891224727115191</v>
      </c>
      <c r="U118" s="151">
        <f>IF(TrRoad_act!U60=0,0,TrRoad_ene!U63/TrRoad_tech!U91)</f>
        <v>0.88400962726929078</v>
      </c>
      <c r="V118" s="151">
        <f>IF(TrRoad_act!V60=0,0,TrRoad_ene!V63/TrRoad_tech!V91)</f>
        <v>0.87631919177142181</v>
      </c>
      <c r="W118" s="151">
        <f>IF(TrRoad_act!W60=0,0,TrRoad_ene!W63/TrRoad_tech!W91)</f>
        <v>0.93439971878440198</v>
      </c>
      <c r="X118" s="151">
        <f>IF(TrRoad_act!X60=0,0,TrRoad_ene!X63/TrRoad_tech!X91)</f>
        <v>0.89405970057192641</v>
      </c>
      <c r="Y118" s="151">
        <f>IF(TrRoad_act!Y60=0,0,TrRoad_ene!Y63/TrRoad_tech!Y91)</f>
        <v>0.95263018592365978</v>
      </c>
      <c r="DA118" s="176"/>
    </row>
    <row r="119" spans="1:105" ht="11.45" customHeight="1" x14ac:dyDescent="0.25">
      <c r="A119" s="111" t="s">
        <v>110</v>
      </c>
      <c r="B119" s="91">
        <f>IF(TrRoad_act!B61=0,0,TrRoad_ene!B64/TrRoad_tech!B92)</f>
        <v>0.73477035621732523</v>
      </c>
      <c r="C119" s="91">
        <f>IF(TrRoad_act!C61=0,0,TrRoad_ene!C64/TrRoad_tech!C92)</f>
        <v>0.77653739198962923</v>
      </c>
      <c r="D119" s="91">
        <f>IF(TrRoad_act!D61=0,0,TrRoad_ene!D64/TrRoad_tech!D92)</f>
        <v>0.79040489086843846</v>
      </c>
      <c r="E119" s="91">
        <f>IF(TrRoad_act!E61=0,0,TrRoad_ene!E64/TrRoad_tech!E92)</f>
        <v>0.80329983200088584</v>
      </c>
      <c r="F119" s="91">
        <f>IF(TrRoad_act!F61=0,0,TrRoad_ene!F64/TrRoad_tech!F92)</f>
        <v>0.78986863376006422</v>
      </c>
      <c r="G119" s="91">
        <f>IF(TrRoad_act!G61=0,0,TrRoad_ene!G64/TrRoad_tech!G92)</f>
        <v>0.7814701315907514</v>
      </c>
      <c r="H119" s="91">
        <f>IF(TrRoad_act!H61=0,0,TrRoad_ene!H64/TrRoad_tech!H92)</f>
        <v>0.80812772452695458</v>
      </c>
      <c r="I119" s="91">
        <f>IF(TrRoad_act!I61=0,0,TrRoad_ene!I64/TrRoad_tech!I92)</f>
        <v>0.81517470134350101</v>
      </c>
      <c r="J119" s="91">
        <f>IF(TrRoad_act!J61=0,0,TrRoad_ene!J64/TrRoad_tech!J92)</f>
        <v>0.79888488261028179</v>
      </c>
      <c r="K119" s="91">
        <f>IF(TrRoad_act!K61=0,0,TrRoad_ene!K64/TrRoad_tech!K92)</f>
        <v>0.80310964799696227</v>
      </c>
      <c r="L119" s="91">
        <f>IF(TrRoad_act!L61=0,0,TrRoad_ene!L64/TrRoad_tech!L92)</f>
        <v>0.81353606086352359</v>
      </c>
      <c r="M119" s="91">
        <f>IF(TrRoad_act!M61=0,0,TrRoad_ene!M64/TrRoad_tech!M92)</f>
        <v>0.81907388421954586</v>
      </c>
      <c r="N119" s="91">
        <f>IF(TrRoad_act!N61=0,0,TrRoad_ene!N64/TrRoad_tech!N92)</f>
        <v>0.84629759231894597</v>
      </c>
      <c r="O119" s="91">
        <f>IF(TrRoad_act!O61=0,0,TrRoad_ene!O64/TrRoad_tech!O92)</f>
        <v>0.84632238047787756</v>
      </c>
      <c r="P119" s="91">
        <f>IF(TrRoad_act!P61=0,0,TrRoad_ene!P64/TrRoad_tech!P92)</f>
        <v>0.83767732337164003</v>
      </c>
      <c r="Q119" s="91">
        <f>IF(TrRoad_act!Q61=0,0,TrRoad_ene!Q64/TrRoad_tech!Q92)</f>
        <v>0.84209469484622002</v>
      </c>
      <c r="R119" s="91">
        <f>IF(TrRoad_act!R61=0,0,TrRoad_ene!R64/TrRoad_tech!R92)</f>
        <v>0.84190842045206737</v>
      </c>
      <c r="S119" s="91">
        <f>IF(TrRoad_act!S61=0,0,TrRoad_ene!S64/TrRoad_tech!S92)</f>
        <v>0.86849948490190698</v>
      </c>
      <c r="T119" s="91">
        <f>IF(TrRoad_act!T61=0,0,TrRoad_ene!T64/TrRoad_tech!T92)</f>
        <v>0.89389819520314051</v>
      </c>
      <c r="U119" s="91">
        <f>IF(TrRoad_act!U61=0,0,TrRoad_ene!U64/TrRoad_tech!U92)</f>
        <v>0.90920727206683993</v>
      </c>
      <c r="V119" s="91">
        <f>IF(TrRoad_act!V61=0,0,TrRoad_ene!V64/TrRoad_tech!V92)</f>
        <v>0.90042733238119499</v>
      </c>
      <c r="W119" s="91">
        <f>IF(TrRoad_act!W61=0,0,TrRoad_ene!W64/TrRoad_tech!W92)</f>
        <v>0.99060927909581076</v>
      </c>
      <c r="X119" s="91">
        <f>IF(TrRoad_act!X61=0,0,TrRoad_ene!X64/TrRoad_tech!X92)</f>
        <v>0.92708409535511926</v>
      </c>
      <c r="Y119" s="91">
        <f>IF(TrRoad_act!Y61=0,0,TrRoad_ene!Y64/TrRoad_tech!Y92)</f>
        <v>1.0065836380134399</v>
      </c>
      <c r="DA119" s="171"/>
    </row>
    <row r="120" spans="1:105" ht="11.45" customHeight="1" x14ac:dyDescent="0.25">
      <c r="A120" s="111" t="s">
        <v>111</v>
      </c>
      <c r="B120" s="91">
        <f>IF(TrRoad_act!B62=0,0,TrRoad_ene!B65/TrRoad_tech!B93)</f>
        <v>1.0277777777815897</v>
      </c>
      <c r="C120" s="91">
        <f>IF(TrRoad_act!C62=0,0,TrRoad_ene!C65/TrRoad_tech!C93)</f>
        <v>1.027947676645161</v>
      </c>
      <c r="D120" s="91">
        <f>IF(TrRoad_act!D62=0,0,TrRoad_ene!D65/TrRoad_tech!D93)</f>
        <v>1.0282893592911613</v>
      </c>
      <c r="E120" s="91">
        <f>IF(TrRoad_act!E62=0,0,TrRoad_ene!E65/TrRoad_tech!E93)</f>
        <v>1.0288291094233919</v>
      </c>
      <c r="F120" s="91">
        <f>IF(TrRoad_act!F62=0,0,TrRoad_ene!F65/TrRoad_tech!F93)</f>
        <v>1.0295894541560118</v>
      </c>
      <c r="G120" s="91">
        <f>IF(TrRoad_act!G62=0,0,TrRoad_ene!G65/TrRoad_tech!G93)</f>
        <v>1.0305627894238483</v>
      </c>
      <c r="H120" s="91">
        <f>IF(TrRoad_act!H62=0,0,TrRoad_ene!H65/TrRoad_tech!H93)</f>
        <v>1.0317622315126274</v>
      </c>
      <c r="I120" s="91">
        <f>IF(TrRoad_act!I62=0,0,TrRoad_ene!I65/TrRoad_tech!I93)</f>
        <v>1.0333335844326212</v>
      </c>
      <c r="J120" s="91">
        <f>IF(TrRoad_act!J62=0,0,TrRoad_ene!J65/TrRoad_tech!J93)</f>
        <v>1.0350343026064424</v>
      </c>
      <c r="K120" s="91">
        <f>IF(TrRoad_act!K62=0,0,TrRoad_ene!K65/TrRoad_tech!K93)</f>
        <v>1.03658307023901</v>
      </c>
      <c r="L120" s="91">
        <f>IF(TrRoad_act!L62=0,0,TrRoad_ene!L65/TrRoad_tech!L93)</f>
        <v>1.0385393454113152</v>
      </c>
      <c r="M120" s="91">
        <f>IF(TrRoad_act!M62=0,0,TrRoad_ene!M65/TrRoad_tech!M93)</f>
        <v>1.041885357307506</v>
      </c>
      <c r="N120" s="91">
        <f>IF(TrRoad_act!N62=0,0,TrRoad_ene!N65/TrRoad_tech!N93)</f>
        <v>1.0454421966656426</v>
      </c>
      <c r="O120" s="91">
        <f>IF(TrRoad_act!O62=0,0,TrRoad_ene!O65/TrRoad_tech!O93)</f>
        <v>1.0489892465382278</v>
      </c>
      <c r="P120" s="91">
        <f>IF(TrRoad_act!P62=0,0,TrRoad_ene!P65/TrRoad_tech!P93)</f>
        <v>1.0526435215780621</v>
      </c>
      <c r="Q120" s="91">
        <f>IF(TrRoad_act!Q62=0,0,TrRoad_ene!Q65/TrRoad_tech!Q93)</f>
        <v>1.057000736736563</v>
      </c>
      <c r="R120" s="91">
        <f>IF(TrRoad_act!R62=0,0,TrRoad_ene!R65/TrRoad_tech!R93)</f>
        <v>1.059328832087219</v>
      </c>
      <c r="S120" s="91">
        <f>IF(TrRoad_act!S62=0,0,TrRoad_ene!S65/TrRoad_tech!S93)</f>
        <v>1.0619683843003993</v>
      </c>
      <c r="T120" s="91">
        <f>IF(TrRoad_act!T62=0,0,TrRoad_ene!T65/TrRoad_tech!T93)</f>
        <v>1.0653492456585569</v>
      </c>
      <c r="U120" s="91">
        <f>IF(TrRoad_act!U62=0,0,TrRoad_ene!U65/TrRoad_tech!U93)</f>
        <v>1.0684618320112078</v>
      </c>
      <c r="V120" s="91">
        <f>IF(TrRoad_act!V62=0,0,TrRoad_ene!V65/TrRoad_tech!V93)</f>
        <v>1.07137270683232</v>
      </c>
      <c r="W120" s="91">
        <f>IF(TrRoad_act!W62=0,0,TrRoad_ene!W65/TrRoad_tech!W93)</f>
        <v>1.0721237092833746</v>
      </c>
      <c r="X120" s="91">
        <f>IF(TrRoad_act!X62=0,0,TrRoad_ene!X65/TrRoad_tech!X93)</f>
        <v>1.0732989324561482</v>
      </c>
      <c r="Y120" s="91">
        <f>IF(TrRoad_act!Y62=0,0,TrRoad_ene!Y65/TrRoad_tech!Y93)</f>
        <v>1.0758887590971791</v>
      </c>
      <c r="DA120" s="171"/>
    </row>
    <row r="121" spans="1:105" ht="11.45" customHeight="1" x14ac:dyDescent="0.25">
      <c r="A121" s="111" t="s">
        <v>112</v>
      </c>
      <c r="B121" s="91">
        <f>IF(TrRoad_act!B63=0,0,TrRoad_ene!B66/TrRoad_tech!B94)</f>
        <v>1.1178218290807664</v>
      </c>
      <c r="C121" s="91">
        <f>IF(TrRoad_act!C63=0,0,TrRoad_ene!C66/TrRoad_tech!C94)</f>
        <v>1.0484041350158886</v>
      </c>
      <c r="D121" s="91">
        <f>IF(TrRoad_act!D63=0,0,TrRoad_ene!D66/TrRoad_tech!D94)</f>
        <v>1.0551130282645802</v>
      </c>
      <c r="E121" s="91">
        <f>IF(TrRoad_act!E63=0,0,TrRoad_ene!E66/TrRoad_tech!E94)</f>
        <v>0.97529598345759039</v>
      </c>
      <c r="F121" s="91">
        <f>IF(TrRoad_act!F63=0,0,TrRoad_ene!F66/TrRoad_tech!F94)</f>
        <v>0.99269430580871287</v>
      </c>
      <c r="G121" s="91">
        <f>IF(TrRoad_act!G63=0,0,TrRoad_ene!G66/TrRoad_tech!G94)</f>
        <v>1.0260517395915358</v>
      </c>
      <c r="H121" s="91">
        <f>IF(TrRoad_act!H63=0,0,TrRoad_ene!H66/TrRoad_tech!H94)</f>
        <v>1.072082692035931</v>
      </c>
      <c r="I121" s="91">
        <f>IF(TrRoad_act!I63=0,0,TrRoad_ene!I66/TrRoad_tech!I94)</f>
        <v>0.96600227835922692</v>
      </c>
      <c r="J121" s="91">
        <f>IF(TrRoad_act!J63=0,0,TrRoad_ene!J66/TrRoad_tech!J94)</f>
        <v>1.0855619461834762</v>
      </c>
      <c r="K121" s="91">
        <f>IF(TrRoad_act!K63=0,0,TrRoad_ene!K66/TrRoad_tech!K94)</f>
        <v>1.2171867464093482</v>
      </c>
      <c r="L121" s="91">
        <f>IF(TrRoad_act!L63=0,0,TrRoad_ene!L66/TrRoad_tech!L94)</f>
        <v>1.2593701937593746</v>
      </c>
      <c r="M121" s="91">
        <f>IF(TrRoad_act!M63=0,0,TrRoad_ene!M66/TrRoad_tech!M94)</f>
        <v>1.3144344140845863</v>
      </c>
      <c r="N121" s="91">
        <f>IF(TrRoad_act!N63=0,0,TrRoad_ene!N66/TrRoad_tech!N94)</f>
        <v>1.6027647661512441</v>
      </c>
      <c r="O121" s="91">
        <f>IF(TrRoad_act!O63=0,0,TrRoad_ene!O66/TrRoad_tech!O94)</f>
        <v>1.5407088599023286</v>
      </c>
      <c r="P121" s="91">
        <f>IF(TrRoad_act!P63=0,0,TrRoad_ene!P66/TrRoad_tech!P94)</f>
        <v>1.261832942381784</v>
      </c>
      <c r="Q121" s="91">
        <f>IF(TrRoad_act!Q63=0,0,TrRoad_ene!Q66/TrRoad_tech!Q94)</f>
        <v>1.1762442716747006</v>
      </c>
      <c r="R121" s="91">
        <f>IF(TrRoad_act!R63=0,0,TrRoad_ene!R66/TrRoad_tech!R94)</f>
        <v>1.2821219108165207</v>
      </c>
      <c r="S121" s="91">
        <f>IF(TrRoad_act!S63=0,0,TrRoad_ene!S66/TrRoad_tech!S94)</f>
        <v>1.2194980227681336</v>
      </c>
      <c r="T121" s="91">
        <f>IF(TrRoad_act!T63=0,0,TrRoad_ene!T66/TrRoad_tech!T94)</f>
        <v>1.2177429808972198</v>
      </c>
      <c r="U121" s="91">
        <f>IF(TrRoad_act!U63=0,0,TrRoad_ene!U66/TrRoad_tech!U94)</f>
        <v>1.0436657930624125</v>
      </c>
      <c r="V121" s="91">
        <f>IF(TrRoad_act!V63=0,0,TrRoad_ene!V66/TrRoad_tech!V94)</f>
        <v>1.1141478510193461</v>
      </c>
      <c r="W121" s="91">
        <f>IF(TrRoad_act!W63=0,0,TrRoad_ene!W66/TrRoad_tech!W94)</f>
        <v>1.2784700339832866</v>
      </c>
      <c r="X121" s="91">
        <f>IF(TrRoad_act!X63=0,0,TrRoad_ene!X66/TrRoad_tech!X94)</f>
        <v>1.3084610282287905</v>
      </c>
      <c r="Y121" s="91">
        <f>IF(TrRoad_act!Y63=0,0,TrRoad_ene!Y66/TrRoad_tech!Y94)</f>
        <v>1.2125363272828498</v>
      </c>
      <c r="DA121" s="171"/>
    </row>
    <row r="122" spans="1:105" ht="11.45" customHeight="1" x14ac:dyDescent="0.25">
      <c r="A122" s="111" t="s">
        <v>113</v>
      </c>
      <c r="B122" s="91">
        <f>IF(TrRoad_act!B64=0,0,TrRoad_ene!B67/TrRoad_tech!B95)</f>
        <v>0</v>
      </c>
      <c r="C122" s="91">
        <f>IF(TrRoad_act!C64=0,0,TrRoad_ene!C67/TrRoad_tech!C95)</f>
        <v>0</v>
      </c>
      <c r="D122" s="91">
        <f>IF(TrRoad_act!D64=0,0,TrRoad_ene!D67/TrRoad_tech!D95)</f>
        <v>0</v>
      </c>
      <c r="E122" s="91">
        <f>IF(TrRoad_act!E64=0,0,TrRoad_ene!E67/TrRoad_tech!E95)</f>
        <v>0</v>
      </c>
      <c r="F122" s="91">
        <f>IF(TrRoad_act!F64=0,0,TrRoad_ene!F67/TrRoad_tech!F95)</f>
        <v>0</v>
      </c>
      <c r="G122" s="91">
        <f>IF(TrRoad_act!G64=0,0,TrRoad_ene!G67/TrRoad_tech!G95)</f>
        <v>0</v>
      </c>
      <c r="H122" s="91">
        <f>IF(TrRoad_act!H64=0,0,TrRoad_ene!H67/TrRoad_tech!H95)</f>
        <v>0</v>
      </c>
      <c r="I122" s="91">
        <f>IF(TrRoad_act!I64=0,0,TrRoad_ene!I67/TrRoad_tech!I95)</f>
        <v>0</v>
      </c>
      <c r="J122" s="91">
        <f>IF(TrRoad_act!J64=0,0,TrRoad_ene!J67/TrRoad_tech!J95)</f>
        <v>0</v>
      </c>
      <c r="K122" s="91">
        <f>IF(TrRoad_act!K64=0,0,TrRoad_ene!K67/TrRoad_tech!K95)</f>
        <v>0</v>
      </c>
      <c r="L122" s="91">
        <f>IF(TrRoad_act!L64=0,0,TrRoad_ene!L67/TrRoad_tech!L95)</f>
        <v>1.0555555555604399</v>
      </c>
      <c r="M122" s="91">
        <f>IF(TrRoad_act!M64=0,0,TrRoad_ene!M67/TrRoad_tech!M95)</f>
        <v>1.06037037037527</v>
      </c>
      <c r="N122" s="91">
        <f>IF(TrRoad_act!N64=0,0,TrRoad_ene!N67/TrRoad_tech!N95)</f>
        <v>1.0649119276724615</v>
      </c>
      <c r="O122" s="91">
        <f>IF(TrRoad_act!O64=0,0,TrRoad_ene!O67/TrRoad_tech!O95)</f>
        <v>1.0655530020532706</v>
      </c>
      <c r="P122" s="91">
        <f>IF(TrRoad_act!P64=0,0,TrRoad_ene!P67/TrRoad_tech!P95)</f>
        <v>1.0687359644748478</v>
      </c>
      <c r="Q122" s="91">
        <f>IF(TrRoad_act!Q64=0,0,TrRoad_ene!Q67/TrRoad_tech!Q95)</f>
        <v>1.0698851442118342</v>
      </c>
      <c r="R122" s="91">
        <f>IF(TrRoad_act!R64=0,0,TrRoad_ene!R67/TrRoad_tech!R95)</f>
        <v>1.0813726156825401</v>
      </c>
      <c r="S122" s="91">
        <f>IF(TrRoad_act!S64=0,0,TrRoad_ene!S67/TrRoad_tech!S95)</f>
        <v>1.0868198539267859</v>
      </c>
      <c r="T122" s="91">
        <f>IF(TrRoad_act!T64=0,0,TrRoad_ene!T67/TrRoad_tech!T95)</f>
        <v>1.092224337143153</v>
      </c>
      <c r="U122" s="91">
        <f>IF(TrRoad_act!U64=0,0,TrRoad_ene!U67/TrRoad_tech!U95)</f>
        <v>1.0926091632625963</v>
      </c>
      <c r="V122" s="91">
        <f>IF(TrRoad_act!V64=0,0,TrRoad_ene!V67/TrRoad_tech!V95)</f>
        <v>1.0929975737277011</v>
      </c>
      <c r="W122" s="91">
        <f>IF(TrRoad_act!W64=0,0,TrRoad_ene!W67/TrRoad_tech!W95)</f>
        <v>1.0939886865845263</v>
      </c>
      <c r="X122" s="91">
        <f>IF(TrRoad_act!X64=0,0,TrRoad_ene!X67/TrRoad_tech!X95)</f>
        <v>1.0943181341073382</v>
      </c>
      <c r="Y122" s="91">
        <f>IF(TrRoad_act!Y64=0,0,TrRoad_ene!Y67/TrRoad_tech!Y95)</f>
        <v>1.0947783381954141</v>
      </c>
      <c r="DA122" s="171"/>
    </row>
    <row r="123" spans="1:105" ht="11.45" customHeight="1" x14ac:dyDescent="0.25">
      <c r="A123" s="111" t="s">
        <v>114</v>
      </c>
      <c r="B123" s="91">
        <f>IF(TrRoad_act!B65=0,0,TrRoad_ene!B68/TrRoad_tech!B96)</f>
        <v>0</v>
      </c>
      <c r="C123" s="91">
        <f>IF(TrRoad_act!C65=0,0,TrRoad_ene!C68/TrRoad_tech!C96)</f>
        <v>0</v>
      </c>
      <c r="D123" s="91">
        <f>IF(TrRoad_act!D65=0,0,TrRoad_ene!D68/TrRoad_tech!D96)</f>
        <v>0</v>
      </c>
      <c r="E123" s="91">
        <f>IF(TrRoad_act!E65=0,0,TrRoad_ene!E68/TrRoad_tech!E96)</f>
        <v>0</v>
      </c>
      <c r="F123" s="91">
        <f>IF(TrRoad_act!F65=0,0,TrRoad_ene!F68/TrRoad_tech!F96)</f>
        <v>0</v>
      </c>
      <c r="G123" s="91">
        <f>IF(TrRoad_act!G65=0,0,TrRoad_ene!G68/TrRoad_tech!G96)</f>
        <v>0</v>
      </c>
      <c r="H123" s="91">
        <f>IF(TrRoad_act!H65=0,0,TrRoad_ene!H68/TrRoad_tech!H96)</f>
        <v>0</v>
      </c>
      <c r="I123" s="91">
        <f>IF(TrRoad_act!I65=0,0,TrRoad_ene!I68/TrRoad_tech!I96)</f>
        <v>0</v>
      </c>
      <c r="J123" s="91">
        <f>IF(TrRoad_act!J65=0,0,TrRoad_ene!J68/TrRoad_tech!J96)</f>
        <v>0</v>
      </c>
      <c r="K123" s="91">
        <f>IF(TrRoad_act!K65=0,0,TrRoad_ene!K68/TrRoad_tech!K96)</f>
        <v>0</v>
      </c>
      <c r="L123" s="91">
        <f>IF(TrRoad_act!L65=0,0,TrRoad_ene!L68/TrRoad_tech!L96)</f>
        <v>0</v>
      </c>
      <c r="M123" s="91">
        <f>IF(TrRoad_act!M65=0,0,TrRoad_ene!M68/TrRoad_tech!M96)</f>
        <v>0.90617196572193925</v>
      </c>
      <c r="N123" s="91">
        <f>IF(TrRoad_act!N65=0,0,TrRoad_ene!N68/TrRoad_tech!N96)</f>
        <v>0.95754004571399032</v>
      </c>
      <c r="O123" s="91">
        <f>IF(TrRoad_act!O65=0,0,TrRoad_ene!O68/TrRoad_tech!O96)</f>
        <v>0.95906450757794182</v>
      </c>
      <c r="P123" s="91">
        <f>IF(TrRoad_act!P65=0,0,TrRoad_ene!P68/TrRoad_tech!P96)</f>
        <v>0.93851798717765067</v>
      </c>
      <c r="Q123" s="91">
        <f>IF(TrRoad_act!Q65=0,0,TrRoad_ene!Q68/TrRoad_tech!Q96)</f>
        <v>0.94978582848652016</v>
      </c>
      <c r="R123" s="91">
        <f>IF(TrRoad_act!R65=0,0,TrRoad_ene!R68/TrRoad_tech!R96)</f>
        <v>0.94985372635510101</v>
      </c>
      <c r="S123" s="91">
        <f>IF(TrRoad_act!S65=0,0,TrRoad_ene!S68/TrRoad_tech!S96)</f>
        <v>0.96549290842120361</v>
      </c>
      <c r="T123" s="91">
        <f>IF(TrRoad_act!T65=0,0,TrRoad_ene!T68/TrRoad_tech!T96)</f>
        <v>0.98097530753046558</v>
      </c>
      <c r="U123" s="91">
        <f>IF(TrRoad_act!U65=0,0,TrRoad_ene!U68/TrRoad_tech!U96)</f>
        <v>0.99062439851970474</v>
      </c>
      <c r="V123" s="91">
        <f>IF(TrRoad_act!V65=0,0,TrRoad_ene!V68/TrRoad_tech!V96)</f>
        <v>0.98771395231717207</v>
      </c>
      <c r="W123" s="91">
        <f>IF(TrRoad_act!W65=0,0,TrRoad_ene!W68/TrRoad_tech!W96)</f>
        <v>1.0483243743232895</v>
      </c>
      <c r="X123" s="91">
        <f>IF(TrRoad_act!X65=0,0,TrRoad_ene!X68/TrRoad_tech!X96)</f>
        <v>1.016505636619689</v>
      </c>
      <c r="Y123" s="91">
        <f>IF(TrRoad_act!Y65=0,0,TrRoad_ene!Y68/TrRoad_tech!Y96)</f>
        <v>1.0629663658428723</v>
      </c>
      <c r="DA123" s="171"/>
    </row>
    <row r="124" spans="1:105" ht="11.45" customHeight="1" x14ac:dyDescent="0.25">
      <c r="A124" s="111" t="s">
        <v>115</v>
      </c>
      <c r="B124" s="91">
        <f>IF(TrRoad_act!B66=0,0,TrRoad_ene!B69/TrRoad_tech!B97)</f>
        <v>0</v>
      </c>
      <c r="C124" s="91">
        <f>IF(TrRoad_act!C66=0,0,TrRoad_ene!C69/TrRoad_tech!C97)</f>
        <v>0</v>
      </c>
      <c r="D124" s="91">
        <f>IF(TrRoad_act!D66=0,0,TrRoad_ene!D69/TrRoad_tech!D97)</f>
        <v>0</v>
      </c>
      <c r="E124" s="91">
        <f>IF(TrRoad_act!E66=0,0,TrRoad_ene!E69/TrRoad_tech!E97)</f>
        <v>0</v>
      </c>
      <c r="F124" s="91">
        <f>IF(TrRoad_act!F66=0,0,TrRoad_ene!F69/TrRoad_tech!F97)</f>
        <v>0</v>
      </c>
      <c r="G124" s="91">
        <f>IF(TrRoad_act!G66=0,0,TrRoad_ene!G69/TrRoad_tech!G97)</f>
        <v>0</v>
      </c>
      <c r="H124" s="91">
        <f>IF(TrRoad_act!H66=0,0,TrRoad_ene!H69/TrRoad_tech!H97)</f>
        <v>0</v>
      </c>
      <c r="I124" s="91">
        <f>IF(TrRoad_act!I66=0,0,TrRoad_ene!I69/TrRoad_tech!I97)</f>
        <v>0</v>
      </c>
      <c r="J124" s="91">
        <f>IF(TrRoad_act!J66=0,0,TrRoad_ene!J69/TrRoad_tech!J97)</f>
        <v>0</v>
      </c>
      <c r="K124" s="91">
        <f>IF(TrRoad_act!K66=0,0,TrRoad_ene!K69/TrRoad_tech!K97)</f>
        <v>1.0511111111157001</v>
      </c>
      <c r="L124" s="91">
        <f>IF(TrRoad_act!L66=0,0,TrRoad_ene!L69/TrRoad_tech!L97)</f>
        <v>1.0555555555604399</v>
      </c>
      <c r="M124" s="91">
        <f>IF(TrRoad_act!M66=0,0,TrRoad_ene!M69/TrRoad_tech!M97)</f>
        <v>1.0603703703752703</v>
      </c>
      <c r="N124" s="91">
        <f>IF(TrRoad_act!N66=0,0,TrRoad_ene!N69/TrRoad_tech!N97)</f>
        <v>1.0633851081004657</v>
      </c>
      <c r="O124" s="91">
        <f>IF(TrRoad_act!O66=0,0,TrRoad_ene!O69/TrRoad_tech!O97)</f>
        <v>1.0697116674451308</v>
      </c>
      <c r="P124" s="91">
        <f>IF(TrRoad_act!P66=0,0,TrRoad_ene!P69/TrRoad_tech!P97)</f>
        <v>1.0740104322702249</v>
      </c>
      <c r="Q124" s="91">
        <f>IF(TrRoad_act!Q66=0,0,TrRoad_ene!Q69/TrRoad_tech!Q97)</f>
        <v>1.0786235225461276</v>
      </c>
      <c r="R124" s="91">
        <f>IF(TrRoad_act!R66=0,0,TrRoad_ene!R69/TrRoad_tech!R97)</f>
        <v>1.0821030884426379</v>
      </c>
      <c r="S124" s="91">
        <f>IF(TrRoad_act!S66=0,0,TrRoad_ene!S69/TrRoad_tech!S97)</f>
        <v>1.0863401543897784</v>
      </c>
      <c r="T124" s="91">
        <f>IF(TrRoad_act!T66=0,0,TrRoad_ene!T69/TrRoad_tech!T97)</f>
        <v>1.0915825034975486</v>
      </c>
      <c r="U124" s="91">
        <f>IF(TrRoad_act!U66=0,0,TrRoad_ene!U69/TrRoad_tech!U97)</f>
        <v>1.0944932237016638</v>
      </c>
      <c r="V124" s="91">
        <f>IF(TrRoad_act!V66=0,0,TrRoad_ene!V69/TrRoad_tech!V97)</f>
        <v>1.0963137027186654</v>
      </c>
      <c r="W124" s="91">
        <f>IF(TrRoad_act!W66=0,0,TrRoad_ene!W69/TrRoad_tech!W97)</f>
        <v>1.0971572678322683</v>
      </c>
      <c r="X124" s="91">
        <f>IF(TrRoad_act!X66=0,0,TrRoad_ene!X69/TrRoad_tech!X97)</f>
        <v>1.0979029460168983</v>
      </c>
      <c r="Y124" s="91">
        <f>IF(TrRoad_act!Y66=0,0,TrRoad_ene!Y69/TrRoad_tech!Y97)</f>
        <v>1.0986088384069437</v>
      </c>
      <c r="DA124" s="171"/>
    </row>
    <row r="125" spans="1:105" ht="11.45" customHeight="1" x14ac:dyDescent="0.25">
      <c r="A125" s="109" t="s">
        <v>21</v>
      </c>
      <c r="B125" s="151">
        <f>IF(TrRoad_act!B67=0,0,TrRoad_ene!B70/TrRoad_tech!B98)</f>
        <v>1.1018700107141584</v>
      </c>
      <c r="C125" s="151">
        <f>IF(TrRoad_act!C67=0,0,TrRoad_ene!C70/TrRoad_tech!C98)</f>
        <v>1.094543864979584</v>
      </c>
      <c r="D125" s="151">
        <f>IF(TrRoad_act!D67=0,0,TrRoad_ene!D70/TrRoad_tech!D98)</f>
        <v>1.0925168339237576</v>
      </c>
      <c r="E125" s="151">
        <f>IF(TrRoad_act!E67=0,0,TrRoad_ene!E70/TrRoad_tech!E98)</f>
        <v>1.0917122098637482</v>
      </c>
      <c r="F125" s="151">
        <f>IF(TrRoad_act!F67=0,0,TrRoad_ene!F70/TrRoad_tech!F98)</f>
        <v>1.0917910804808064</v>
      </c>
      <c r="G125" s="151">
        <f>IF(TrRoad_act!G67=0,0,TrRoad_ene!G70/TrRoad_tech!G98)</f>
        <v>1.0952806286594536</v>
      </c>
      <c r="H125" s="151">
        <f>IF(TrRoad_act!H67=0,0,TrRoad_ene!H70/TrRoad_tech!H98)</f>
        <v>1.0987812770138954</v>
      </c>
      <c r="I125" s="151">
        <f>IF(TrRoad_act!I67=0,0,TrRoad_ene!I70/TrRoad_tech!I98)</f>
        <v>1.1059084303608944</v>
      </c>
      <c r="J125" s="151">
        <f>IF(TrRoad_act!J67=0,0,TrRoad_ene!J70/TrRoad_tech!J98)</f>
        <v>1.1142687262882707</v>
      </c>
      <c r="K125" s="151">
        <f>IF(TrRoad_act!K67=0,0,TrRoad_ene!K70/TrRoad_tech!K98)</f>
        <v>1.1223066531874188</v>
      </c>
      <c r="L125" s="151">
        <f>IF(TrRoad_act!L67=0,0,TrRoad_ene!L70/TrRoad_tech!L98)</f>
        <v>1.1268728150789207</v>
      </c>
      <c r="M125" s="151">
        <f>IF(TrRoad_act!M67=0,0,TrRoad_ene!M70/TrRoad_tech!M98)</f>
        <v>1.1314560298316556</v>
      </c>
      <c r="N125" s="151">
        <f>IF(TrRoad_act!N67=0,0,TrRoad_ene!N70/TrRoad_tech!N98)</f>
        <v>1.124016054167154</v>
      </c>
      <c r="O125" s="151">
        <f>IF(TrRoad_act!O67=0,0,TrRoad_ene!O70/TrRoad_tech!O98)</f>
        <v>1.0857134740010121</v>
      </c>
      <c r="P125" s="151">
        <f>IF(TrRoad_act!P67=0,0,TrRoad_ene!P70/TrRoad_tech!P98)</f>
        <v>1.0944440320622071</v>
      </c>
      <c r="Q125" s="151">
        <f>IF(TrRoad_act!Q67=0,0,TrRoad_ene!Q70/TrRoad_tech!Q98)</f>
        <v>1.1132777909974239</v>
      </c>
      <c r="R125" s="151">
        <f>IF(TrRoad_act!R67=0,0,TrRoad_ene!R70/TrRoad_tech!R98)</f>
        <v>1.1823920488600204</v>
      </c>
      <c r="S125" s="151">
        <f>IF(TrRoad_act!S67=0,0,TrRoad_ene!S70/TrRoad_tech!S98)</f>
        <v>1.2094082940777069</v>
      </c>
      <c r="T125" s="151">
        <f>IF(TrRoad_act!T67=0,0,TrRoad_ene!T70/TrRoad_tech!T98)</f>
        <v>1.1891220645316563</v>
      </c>
      <c r="U125" s="151">
        <f>IF(TrRoad_act!U67=0,0,TrRoad_ene!U70/TrRoad_tech!U98)</f>
        <v>1.2066666885598192</v>
      </c>
      <c r="V125" s="151">
        <f>IF(TrRoad_act!V67=0,0,TrRoad_ene!V70/TrRoad_tech!V98)</f>
        <v>1.2253502532951706</v>
      </c>
      <c r="W125" s="151">
        <f>IF(TrRoad_act!W67=0,0,TrRoad_ene!W70/TrRoad_tech!W98)</f>
        <v>1.2378077084825412</v>
      </c>
      <c r="X125" s="151">
        <f>IF(TrRoad_act!X67=0,0,TrRoad_ene!X70/TrRoad_tech!X98)</f>
        <v>1.2626619833352664</v>
      </c>
      <c r="Y125" s="151">
        <f>IF(TrRoad_act!Y67=0,0,TrRoad_ene!Y70/TrRoad_tech!Y98)</f>
        <v>1.3237111325888484</v>
      </c>
      <c r="DA125" s="176"/>
    </row>
    <row r="126" spans="1:105" ht="11.45" customHeight="1" x14ac:dyDescent="0.25">
      <c r="A126" s="111" t="s">
        <v>110</v>
      </c>
      <c r="B126" s="93">
        <f>IF(TrRoad_act!B68=0,0,TrRoad_ene!B71/TrRoad_tech!B99)</f>
        <v>1.1000000000067303</v>
      </c>
      <c r="C126" s="93">
        <f>IF(TrRoad_act!C68=0,0,TrRoad_ene!C71/TrRoad_tech!C99)</f>
        <v>1.101033313011289</v>
      </c>
      <c r="D126" s="93">
        <f>IF(TrRoad_act!D68=0,0,TrRoad_ene!D71/TrRoad_tech!D99)</f>
        <v>1.1027691126189294</v>
      </c>
      <c r="E126" s="93">
        <f>IF(TrRoad_act!E68=0,0,TrRoad_ene!E71/TrRoad_tech!E99)</f>
        <v>1.1051279853453775</v>
      </c>
      <c r="F126" s="93">
        <f>IF(TrRoad_act!F68=0,0,TrRoad_ene!F71/TrRoad_tech!F99)</f>
        <v>1.1052724752523913</v>
      </c>
      <c r="G126" s="93">
        <f>IF(TrRoad_act!G68=0,0,TrRoad_ene!G71/TrRoad_tech!G99)</f>
        <v>1.1077921391524388</v>
      </c>
      <c r="H126" s="93">
        <f>IF(TrRoad_act!H68=0,0,TrRoad_ene!H71/TrRoad_tech!H99)</f>
        <v>1.1093619244337267</v>
      </c>
      <c r="I126" s="93">
        <f>IF(TrRoad_act!I68=0,0,TrRoad_ene!I71/TrRoad_tech!I99)</f>
        <v>1.1131620340503914</v>
      </c>
      <c r="J126" s="93">
        <f>IF(TrRoad_act!J68=0,0,TrRoad_ene!J71/TrRoad_tech!J99)</f>
        <v>1.1131620340503909</v>
      </c>
      <c r="K126" s="93">
        <f>IF(TrRoad_act!K68=0,0,TrRoad_ene!K71/TrRoad_tech!K99)</f>
        <v>1.1158659936995798</v>
      </c>
      <c r="L126" s="93">
        <f>IF(TrRoad_act!L68=0,0,TrRoad_ene!L71/TrRoad_tech!L99)</f>
        <v>1.1245084615108816</v>
      </c>
      <c r="M126" s="93">
        <f>IF(TrRoad_act!M68=0,0,TrRoad_ene!M71/TrRoad_tech!M99)</f>
        <v>1.1283052883800475</v>
      </c>
      <c r="N126" s="93">
        <f>IF(TrRoad_act!N68=0,0,TrRoad_ene!N71/TrRoad_tech!N99)</f>
        <v>1.1428069548368318</v>
      </c>
      <c r="O126" s="93">
        <f>IF(TrRoad_act!O68=0,0,TrRoad_ene!O71/TrRoad_tech!O99)</f>
        <v>1.1471839176846625</v>
      </c>
      <c r="P126" s="93">
        <f>IF(TrRoad_act!P68=0,0,TrRoad_ene!P71/TrRoad_tech!P99)</f>
        <v>1.1493023637183823</v>
      </c>
      <c r="Q126" s="93">
        <f>IF(TrRoad_act!Q68=0,0,TrRoad_ene!Q71/TrRoad_tech!Q99)</f>
        <v>1.2110367341065726</v>
      </c>
      <c r="R126" s="93">
        <f>IF(TrRoad_act!R68=0,0,TrRoad_ene!R71/TrRoad_tech!R99)</f>
        <v>1.2309900209259996</v>
      </c>
      <c r="S126" s="93">
        <f>IF(TrRoad_act!S68=0,0,TrRoad_ene!S71/TrRoad_tech!S99)</f>
        <v>1.2435742597175612</v>
      </c>
      <c r="T126" s="93">
        <f>IF(TrRoad_act!T68=0,0,TrRoad_ene!T71/TrRoad_tech!T99)</f>
        <v>1.2531560324573026</v>
      </c>
      <c r="U126" s="93">
        <f>IF(TrRoad_act!U68=0,0,TrRoad_ene!U71/TrRoad_tech!U99)</f>
        <v>1.3297828795527991</v>
      </c>
      <c r="V126" s="93">
        <f>IF(TrRoad_act!V68=0,0,TrRoad_ene!V71/TrRoad_tech!V99)</f>
        <v>1.3360434430217003</v>
      </c>
      <c r="W126" s="93">
        <f>IF(TrRoad_act!W68=0,0,TrRoad_ene!W71/TrRoad_tech!W99)</f>
        <v>1.3390928406324729</v>
      </c>
      <c r="X126" s="93">
        <f>IF(TrRoad_act!X68=0,0,TrRoad_ene!X71/TrRoad_tech!X99)</f>
        <v>1.3433844452497412</v>
      </c>
      <c r="Y126" s="93">
        <f>IF(TrRoad_act!Y68=0,0,TrRoad_ene!Y71/TrRoad_tech!Y99)</f>
        <v>1.3435215436179668</v>
      </c>
      <c r="DA126" s="175"/>
    </row>
    <row r="127" spans="1:105" ht="11.45" customHeight="1" x14ac:dyDescent="0.25">
      <c r="A127" s="111" t="s">
        <v>111</v>
      </c>
      <c r="B127" s="93">
        <f>IF(TrRoad_act!B69=0,0,TrRoad_ene!B72/TrRoad_tech!B100)</f>
        <v>1.1000000000067303</v>
      </c>
      <c r="C127" s="93">
        <f>IF(TrRoad_act!C69=0,0,TrRoad_ene!C72/TrRoad_tech!C100)</f>
        <v>1.1003686098487262</v>
      </c>
      <c r="D127" s="93">
        <f>IF(TrRoad_act!D69=0,0,TrRoad_ene!D72/TrRoad_tech!D100)</f>
        <v>1.1010633647365262</v>
      </c>
      <c r="E127" s="93">
        <f>IF(TrRoad_act!E69=0,0,TrRoad_ene!E72/TrRoad_tech!E100)</f>
        <v>1.1025762875787297</v>
      </c>
      <c r="F127" s="93">
        <f>IF(TrRoad_act!F69=0,0,TrRoad_ene!F72/TrRoad_tech!F100)</f>
        <v>1.1049514095760229</v>
      </c>
      <c r="G127" s="93">
        <f>IF(TrRoad_act!G69=0,0,TrRoad_ene!G72/TrRoad_tech!G100)</f>
        <v>1.1088600084562319</v>
      </c>
      <c r="H127" s="93">
        <f>IF(TrRoad_act!H69=0,0,TrRoad_ene!H72/TrRoad_tech!H100)</f>
        <v>1.1125043804066057</v>
      </c>
      <c r="I127" s="93">
        <f>IF(TrRoad_act!I69=0,0,TrRoad_ene!I72/TrRoad_tech!I100)</f>
        <v>1.119155375785635</v>
      </c>
      <c r="J127" s="93">
        <f>IF(TrRoad_act!J69=0,0,TrRoad_ene!J72/TrRoad_tech!J100)</f>
        <v>1.1267226139199114</v>
      </c>
      <c r="K127" s="93">
        <f>IF(TrRoad_act!K69=0,0,TrRoad_ene!K72/TrRoad_tech!K100)</f>
        <v>1.1344909020629179</v>
      </c>
      <c r="L127" s="93">
        <f>IF(TrRoad_act!L69=0,0,TrRoad_ene!L72/TrRoad_tech!L100)</f>
        <v>1.1382011798193803</v>
      </c>
      <c r="M127" s="93">
        <f>IF(TrRoad_act!M69=0,0,TrRoad_ene!M72/TrRoad_tech!M100)</f>
        <v>1.1394829915373574</v>
      </c>
      <c r="N127" s="93">
        <f>IF(TrRoad_act!N69=0,0,TrRoad_ene!N72/TrRoad_tech!N100)</f>
        <v>1.1484902904609653</v>
      </c>
      <c r="O127" s="93">
        <f>IF(TrRoad_act!O69=0,0,TrRoad_ene!O72/TrRoad_tech!O100)</f>
        <v>1.1616156532845521</v>
      </c>
      <c r="P127" s="93">
        <f>IF(TrRoad_act!P69=0,0,TrRoad_ene!P72/TrRoad_tech!P100)</f>
        <v>1.1762295125764239</v>
      </c>
      <c r="Q127" s="93">
        <f>IF(TrRoad_act!Q69=0,0,TrRoad_ene!Q72/TrRoad_tech!Q100)</f>
        <v>1.1938019977179877</v>
      </c>
      <c r="R127" s="93">
        <f>IF(TrRoad_act!R69=0,0,TrRoad_ene!R72/TrRoad_tech!R100)</f>
        <v>1.2120746169284526</v>
      </c>
      <c r="S127" s="93">
        <f>IF(TrRoad_act!S69=0,0,TrRoad_ene!S72/TrRoad_tech!S100)</f>
        <v>1.2248240593929367</v>
      </c>
      <c r="T127" s="93">
        <f>IF(TrRoad_act!T69=0,0,TrRoad_ene!T72/TrRoad_tech!T100)</f>
        <v>1.2388396688018588</v>
      </c>
      <c r="U127" s="93">
        <f>IF(TrRoad_act!U69=0,0,TrRoad_ene!U72/TrRoad_tech!U100)</f>
        <v>1.2539342313811983</v>
      </c>
      <c r="V127" s="93">
        <f>IF(TrRoad_act!V69=0,0,TrRoad_ene!V72/TrRoad_tech!V100)</f>
        <v>1.2828097926800039</v>
      </c>
      <c r="W127" s="93">
        <f>IF(TrRoad_act!W69=0,0,TrRoad_ene!W72/TrRoad_tech!W100)</f>
        <v>1.3103237565470409</v>
      </c>
      <c r="X127" s="93">
        <f>IF(TrRoad_act!X69=0,0,TrRoad_ene!X72/TrRoad_tech!X100)</f>
        <v>1.3217354143013589</v>
      </c>
      <c r="Y127" s="93">
        <f>IF(TrRoad_act!Y69=0,0,TrRoad_ene!Y72/TrRoad_tech!Y100)</f>
        <v>1.3348435830197996</v>
      </c>
      <c r="DA127" s="175"/>
    </row>
    <row r="128" spans="1:105" ht="11.45" customHeight="1" x14ac:dyDescent="0.25">
      <c r="A128" s="111" t="s">
        <v>112</v>
      </c>
      <c r="B128" s="93">
        <f>IF(TrRoad_act!B70=0,0,TrRoad_ene!B73/TrRoad_tech!B101)</f>
        <v>1.1000000000067303</v>
      </c>
      <c r="C128" s="93">
        <f>IF(TrRoad_act!C70=0,0,TrRoad_ene!C73/TrRoad_tech!C101)</f>
        <v>1.10000000000673</v>
      </c>
      <c r="D128" s="93">
        <f>IF(TrRoad_act!D70=0,0,TrRoad_ene!D73/TrRoad_tech!D101)</f>
        <v>1.10000000000673</v>
      </c>
      <c r="E128" s="93">
        <f>IF(TrRoad_act!E70=0,0,TrRoad_ene!E73/TrRoad_tech!E101)</f>
        <v>1.1000000000067303</v>
      </c>
      <c r="F128" s="93">
        <f>IF(TrRoad_act!F70=0,0,TrRoad_ene!F73/TrRoad_tech!F101)</f>
        <v>1.1000000000067305</v>
      </c>
      <c r="G128" s="93">
        <f>IF(TrRoad_act!G70=0,0,TrRoad_ene!G73/TrRoad_tech!G101)</f>
        <v>1.1083521633017468</v>
      </c>
      <c r="H128" s="93">
        <f>IF(TrRoad_act!H70=0,0,TrRoad_ene!H73/TrRoad_tech!H101)</f>
        <v>1.1096052581885405</v>
      </c>
      <c r="I128" s="93">
        <f>IF(TrRoad_act!I70=0,0,TrRoad_ene!I73/TrRoad_tech!I101)</f>
        <v>1.1105890640705782</v>
      </c>
      <c r="J128" s="93">
        <f>IF(TrRoad_act!J70=0,0,TrRoad_ene!J73/TrRoad_tech!J101)</f>
        <v>1.1106691283445276</v>
      </c>
      <c r="K128" s="93">
        <f>IF(TrRoad_act!K70=0,0,TrRoad_ene!K73/TrRoad_tech!K101)</f>
        <v>1.111293956224864</v>
      </c>
      <c r="L128" s="93">
        <f>IF(TrRoad_act!L70=0,0,TrRoad_ene!L73/TrRoad_tech!L101)</f>
        <v>1.111293956224864</v>
      </c>
      <c r="M128" s="93">
        <f>IF(TrRoad_act!M70=0,0,TrRoad_ene!M73/TrRoad_tech!M101)</f>
        <v>1.1116828063870634</v>
      </c>
      <c r="N128" s="93">
        <f>IF(TrRoad_act!N70=0,0,TrRoad_ene!N73/TrRoad_tech!N101)</f>
        <v>1.1119965217001078</v>
      </c>
      <c r="O128" s="93">
        <f>IF(TrRoad_act!O70=0,0,TrRoad_ene!O73/TrRoad_tech!O101)</f>
        <v>1.112099387494357</v>
      </c>
      <c r="P128" s="93">
        <f>IF(TrRoad_act!P70=0,0,TrRoad_ene!P73/TrRoad_tech!P101)</f>
        <v>1.1123275501469911</v>
      </c>
      <c r="Q128" s="93">
        <f>IF(TrRoad_act!Q70=0,0,TrRoad_ene!Q73/TrRoad_tech!Q101)</f>
        <v>1.1123275501469914</v>
      </c>
      <c r="R128" s="93">
        <f>IF(TrRoad_act!R70=0,0,TrRoad_ene!R73/TrRoad_tech!R101)</f>
        <v>1.1120653682408495</v>
      </c>
      <c r="S128" s="93">
        <f>IF(TrRoad_act!S70=0,0,TrRoad_ene!S73/TrRoad_tech!S101)</f>
        <v>1.1124121399808058</v>
      </c>
      <c r="T128" s="93">
        <f>IF(TrRoad_act!T70=0,0,TrRoad_ene!T73/TrRoad_tech!T101)</f>
        <v>1.1126608172301211</v>
      </c>
      <c r="U128" s="93">
        <f>IF(TrRoad_act!U70=0,0,TrRoad_ene!U73/TrRoad_tech!U101)</f>
        <v>1.1126608172301211</v>
      </c>
      <c r="V128" s="93">
        <f>IF(TrRoad_act!V70=0,0,TrRoad_ene!V73/TrRoad_tech!V101)</f>
        <v>1.1126624018303017</v>
      </c>
      <c r="W128" s="93">
        <f>IF(TrRoad_act!W70=0,0,TrRoad_ene!W73/TrRoad_tech!W101)</f>
        <v>1.1129307555441588</v>
      </c>
      <c r="X128" s="93">
        <f>IF(TrRoad_act!X70=0,0,TrRoad_ene!X73/TrRoad_tech!X101)</f>
        <v>1.1133445889255034</v>
      </c>
      <c r="Y128" s="93">
        <f>IF(TrRoad_act!Y70=0,0,TrRoad_ene!Y73/TrRoad_tech!Y101)</f>
        <v>1.1132119889522887</v>
      </c>
      <c r="DA128" s="175"/>
    </row>
    <row r="129" spans="1:105" ht="11.45" customHeight="1" x14ac:dyDescent="0.25">
      <c r="A129" s="111" t="s">
        <v>113</v>
      </c>
      <c r="B129" s="93">
        <f>IF(TrRoad_act!B71=0,0,TrRoad_ene!B74/TrRoad_tech!B102)</f>
        <v>1.1362502990355523</v>
      </c>
      <c r="C129" s="93">
        <f>IF(TrRoad_act!C71=0,0,TrRoad_ene!C74/TrRoad_tech!C102)</f>
        <v>1.2741794122664747</v>
      </c>
      <c r="D129" s="93">
        <f>IF(TrRoad_act!D71=0,0,TrRoad_ene!D74/TrRoad_tech!D102)</f>
        <v>1.0679560096963561</v>
      </c>
      <c r="E129" s="93">
        <f>IF(TrRoad_act!E71=0,0,TrRoad_ene!E74/TrRoad_tech!E102)</f>
        <v>1.2800194385434678</v>
      </c>
      <c r="F129" s="93">
        <f>IF(TrRoad_act!F71=0,0,TrRoad_ene!F74/TrRoad_tech!F102)</f>
        <v>0.96187478546512761</v>
      </c>
      <c r="G129" s="93">
        <f>IF(TrRoad_act!G71=0,0,TrRoad_ene!G74/TrRoad_tech!G102)</f>
        <v>1.0220002686677498</v>
      </c>
      <c r="H129" s="93">
        <f>IF(TrRoad_act!H71=0,0,TrRoad_ene!H74/TrRoad_tech!H102)</f>
        <v>1.0308096461909011</v>
      </c>
      <c r="I129" s="93">
        <f>IF(TrRoad_act!I71=0,0,TrRoad_ene!I74/TrRoad_tech!I102)</f>
        <v>0.97207528268232979</v>
      </c>
      <c r="J129" s="93">
        <f>IF(TrRoad_act!J71=0,0,TrRoad_ene!J74/TrRoad_tech!J102)</f>
        <v>0.99550499887277744</v>
      </c>
      <c r="K129" s="93">
        <f>IF(TrRoad_act!K71=0,0,TrRoad_ene!K74/TrRoad_tech!K102)</f>
        <v>1.004729505998073</v>
      </c>
      <c r="L129" s="93">
        <f>IF(TrRoad_act!L71=0,0,TrRoad_ene!L74/TrRoad_tech!L102)</f>
        <v>1.0592317089704</v>
      </c>
      <c r="M129" s="93">
        <f>IF(TrRoad_act!M71=0,0,TrRoad_ene!M74/TrRoad_tech!M102)</f>
        <v>1.1474728649886201</v>
      </c>
      <c r="N129" s="93">
        <f>IF(TrRoad_act!N71=0,0,TrRoad_ene!N74/TrRoad_tech!N102)</f>
        <v>0.82547595539106788</v>
      </c>
      <c r="O129" s="93">
        <f>IF(TrRoad_act!O71=0,0,TrRoad_ene!O74/TrRoad_tech!O102)</f>
        <v>0.48059638480042138</v>
      </c>
      <c r="P129" s="93">
        <f>IF(TrRoad_act!P71=0,0,TrRoad_ene!P74/TrRoad_tech!P102)</f>
        <v>0.49388556608242523</v>
      </c>
      <c r="Q129" s="93">
        <f>IF(TrRoad_act!Q71=0,0,TrRoad_ene!Q74/TrRoad_tech!Q102)</f>
        <v>0.59692802431176772</v>
      </c>
      <c r="R129" s="93">
        <f>IF(TrRoad_act!R71=0,0,TrRoad_ene!R74/TrRoad_tech!R102)</f>
        <v>1.0267022511875323</v>
      </c>
      <c r="S129" s="93">
        <f>IF(TrRoad_act!S71=0,0,TrRoad_ene!S74/TrRoad_tech!S102)</f>
        <v>1.1412267364824258</v>
      </c>
      <c r="T129" s="93">
        <f>IF(TrRoad_act!T71=0,0,TrRoad_ene!T74/TrRoad_tech!T102)</f>
        <v>0.96597226301021089</v>
      </c>
      <c r="U129" s="93">
        <f>IF(TrRoad_act!U71=0,0,TrRoad_ene!U74/TrRoad_tech!U102)</f>
        <v>1.023030149428007</v>
      </c>
      <c r="V129" s="93">
        <f>IF(TrRoad_act!V71=0,0,TrRoad_ene!V74/TrRoad_tech!V102)</f>
        <v>1.0701188687729393</v>
      </c>
      <c r="W129" s="93">
        <f>IF(TrRoad_act!W71=0,0,TrRoad_ene!W74/TrRoad_tech!W102)</f>
        <v>1.0950618812773401</v>
      </c>
      <c r="X129" s="93">
        <f>IF(TrRoad_act!X71=0,0,TrRoad_ene!X74/TrRoad_tech!X102)</f>
        <v>1.1856357735101224</v>
      </c>
      <c r="Y129" s="93">
        <f>IF(TrRoad_act!Y71=0,0,TrRoad_ene!Y74/TrRoad_tech!Y102)</f>
        <v>1.418013262446175</v>
      </c>
      <c r="DA129" s="175"/>
    </row>
    <row r="130" spans="1:105" ht="11.45" customHeight="1" x14ac:dyDescent="0.25">
      <c r="A130" s="111" t="s">
        <v>115</v>
      </c>
      <c r="B130" s="93">
        <f>IF(TrRoad_act!B72=0,0,TrRoad_ene!B75/TrRoad_tech!B103)</f>
        <v>1.1000000000067303</v>
      </c>
      <c r="C130" s="93">
        <f>IF(TrRoad_act!C72=0,0,TrRoad_ene!C75/TrRoad_tech!C103)</f>
        <v>1.1000000000067305</v>
      </c>
      <c r="D130" s="93">
        <f>IF(TrRoad_act!D72=0,0,TrRoad_ene!D75/TrRoad_tech!D103)</f>
        <v>1.10128778146187</v>
      </c>
      <c r="E130" s="93">
        <f>IF(TrRoad_act!E72=0,0,TrRoad_ene!E75/TrRoad_tech!E103)</f>
        <v>1.1014500492338253</v>
      </c>
      <c r="F130" s="93">
        <f>IF(TrRoad_act!F72=0,0,TrRoad_ene!F75/TrRoad_tech!F103)</f>
        <v>1.1066601971104801</v>
      </c>
      <c r="G130" s="93">
        <f>IF(TrRoad_act!G72=0,0,TrRoad_ene!G75/TrRoad_tech!G103)</f>
        <v>1.1077634613963721</v>
      </c>
      <c r="H130" s="93">
        <f>IF(TrRoad_act!H72=0,0,TrRoad_ene!H75/TrRoad_tech!H103)</f>
        <v>1.108517169155901</v>
      </c>
      <c r="I130" s="93">
        <f>IF(TrRoad_act!I72=0,0,TrRoad_ene!I75/TrRoad_tech!I103)</f>
        <v>1.108517169155901</v>
      </c>
      <c r="J130" s="93">
        <f>IF(TrRoad_act!J72=0,0,TrRoad_ene!J75/TrRoad_tech!J103)</f>
        <v>1.1098947948228788</v>
      </c>
      <c r="K130" s="93">
        <f>IF(TrRoad_act!K72=0,0,TrRoad_ene!K75/TrRoad_tech!K103)</f>
        <v>1.1269326815232252</v>
      </c>
      <c r="L130" s="93">
        <f>IF(TrRoad_act!L72=0,0,TrRoad_ene!L75/TrRoad_tech!L103)</f>
        <v>1.1579609428509294</v>
      </c>
      <c r="M130" s="93">
        <f>IF(TrRoad_act!M72=0,0,TrRoad_ene!M75/TrRoad_tech!M103)</f>
        <v>1.1598232546729108</v>
      </c>
      <c r="N130" s="93">
        <f>IF(TrRoad_act!N72=0,0,TrRoad_ene!N75/TrRoad_tech!N103)</f>
        <v>1.1623881508520271</v>
      </c>
      <c r="O130" s="93">
        <f>IF(TrRoad_act!O72=0,0,TrRoad_ene!O75/TrRoad_tech!O103)</f>
        <v>1.19940542213983</v>
      </c>
      <c r="P130" s="93">
        <f>IF(TrRoad_act!P72=0,0,TrRoad_ene!P75/TrRoad_tech!P103)</f>
        <v>1.211572624110173</v>
      </c>
      <c r="Q130" s="93">
        <f>IF(TrRoad_act!Q72=0,0,TrRoad_ene!Q75/TrRoad_tech!Q103)</f>
        <v>1.2274073201198616</v>
      </c>
      <c r="R130" s="93">
        <f>IF(TrRoad_act!R72=0,0,TrRoad_ene!R75/TrRoad_tech!R103)</f>
        <v>1.3103462606619873</v>
      </c>
      <c r="S130" s="93">
        <f>IF(TrRoad_act!S72=0,0,TrRoad_ene!S75/TrRoad_tech!S103)</f>
        <v>1.3202347095527156</v>
      </c>
      <c r="T130" s="93">
        <f>IF(TrRoad_act!T72=0,0,TrRoad_ene!T75/TrRoad_tech!T103)</f>
        <v>1.3303065953537145</v>
      </c>
      <c r="U130" s="93">
        <f>IF(TrRoad_act!U72=0,0,TrRoad_ene!U75/TrRoad_tech!U103)</f>
        <v>1.3402539146978691</v>
      </c>
      <c r="V130" s="93">
        <f>IF(TrRoad_act!V72=0,0,TrRoad_ene!V75/TrRoad_tech!V103)</f>
        <v>1.3454401536959748</v>
      </c>
      <c r="W130" s="93">
        <f>IF(TrRoad_act!W72=0,0,TrRoad_ene!W75/TrRoad_tech!W103)</f>
        <v>1.3473541537955693</v>
      </c>
      <c r="X130" s="93">
        <f>IF(TrRoad_act!X72=0,0,TrRoad_ene!X75/TrRoad_tech!X103)</f>
        <v>1.348427358258159</v>
      </c>
      <c r="Y130" s="93">
        <f>IF(TrRoad_act!Y72=0,0,TrRoad_ene!Y75/TrRoad_tech!Y103)</f>
        <v>1.3505331481120293</v>
      </c>
      <c r="DA130" s="175"/>
    </row>
    <row r="131" spans="1:105" ht="11.45" customHeight="1" x14ac:dyDescent="0.25">
      <c r="A131" s="27" t="s">
        <v>34</v>
      </c>
      <c r="B131" s="47"/>
      <c r="C131" s="47"/>
      <c r="D131" s="47"/>
      <c r="E131" s="47"/>
      <c r="F131" s="47"/>
      <c r="G131" s="47"/>
      <c r="H131" s="47"/>
      <c r="I131" s="47"/>
      <c r="J131" s="47"/>
      <c r="K131" s="47"/>
      <c r="L131" s="47"/>
      <c r="M131" s="47"/>
      <c r="N131" s="47"/>
      <c r="O131" s="47"/>
      <c r="P131" s="47"/>
      <c r="Q131" s="47"/>
      <c r="R131" s="47"/>
      <c r="S131" s="47"/>
      <c r="T131" s="47"/>
      <c r="U131" s="47"/>
      <c r="V131" s="47"/>
      <c r="W131" s="47"/>
      <c r="X131" s="47"/>
      <c r="Y131" s="47"/>
      <c r="DA131" s="173"/>
    </row>
    <row r="132" spans="1:105" ht="11.45" customHeight="1" x14ac:dyDescent="0.25">
      <c r="A132" s="136" t="s">
        <v>153</v>
      </c>
      <c r="B132" s="150">
        <f>IF(TrRoad_act!B74=0,0,TrRoad_ene!B77/TrRoad_tech!B105)</f>
        <v>1.0769134310117316</v>
      </c>
      <c r="C132" s="150">
        <f>IF(TrRoad_act!C74=0,0,TrRoad_ene!C77/TrRoad_tech!C105)</f>
        <v>1.061722584810064</v>
      </c>
      <c r="D132" s="150">
        <f>IF(TrRoad_act!D74=0,0,TrRoad_ene!D77/TrRoad_tech!D105)</f>
        <v>1.0611461504421622</v>
      </c>
      <c r="E132" s="150">
        <f>IF(TrRoad_act!E74=0,0,TrRoad_ene!E77/TrRoad_tech!E105)</f>
        <v>1.0626288692160302</v>
      </c>
      <c r="F132" s="150">
        <f>IF(TrRoad_act!F74=0,0,TrRoad_ene!F77/TrRoad_tech!F105)</f>
        <v>1.0655440710142452</v>
      </c>
      <c r="G132" s="150">
        <f>IF(TrRoad_act!G74=0,0,TrRoad_ene!G77/TrRoad_tech!G105)</f>
        <v>1.0712723029541438</v>
      </c>
      <c r="H132" s="150">
        <f>IF(TrRoad_act!H74=0,0,TrRoad_ene!H77/TrRoad_tech!H105)</f>
        <v>1.0773558866225843</v>
      </c>
      <c r="I132" s="150">
        <f>IF(TrRoad_act!I74=0,0,TrRoad_ene!I77/TrRoad_tech!I105)</f>
        <v>1.0839407445809293</v>
      </c>
      <c r="J132" s="150">
        <f>IF(TrRoad_act!J74=0,0,TrRoad_ene!J77/TrRoad_tech!J105)</f>
        <v>1.0911798887018143</v>
      </c>
      <c r="K132" s="150">
        <f>IF(TrRoad_act!K74=0,0,TrRoad_ene!K77/TrRoad_tech!K105)</f>
        <v>1.0997585839905828</v>
      </c>
      <c r="L132" s="150">
        <f>IF(TrRoad_act!L74=0,0,TrRoad_ene!L77/TrRoad_tech!L105)</f>
        <v>1.1019294315534158</v>
      </c>
      <c r="M132" s="150">
        <f>IF(TrRoad_act!M74=0,0,TrRoad_ene!M77/TrRoad_tech!M105)</f>
        <v>1.1079386665303692</v>
      </c>
      <c r="N132" s="150">
        <f>IF(TrRoad_act!N74=0,0,TrRoad_ene!N77/TrRoad_tech!N105)</f>
        <v>1.1132176326340701</v>
      </c>
      <c r="O132" s="150">
        <f>IF(TrRoad_act!O74=0,0,TrRoad_ene!O77/TrRoad_tech!O105)</f>
        <v>1.1187899046174836</v>
      </c>
      <c r="P132" s="150">
        <f>IF(TrRoad_act!P74=0,0,TrRoad_ene!P77/TrRoad_tech!P105)</f>
        <v>1.1263822685057117</v>
      </c>
      <c r="Q132" s="150">
        <f>IF(TrRoad_act!Q74=0,0,TrRoad_ene!Q77/TrRoad_tech!Q105)</f>
        <v>1.1341214491433733</v>
      </c>
      <c r="R132" s="150">
        <f>IF(TrRoad_act!R74=0,0,TrRoad_ene!R77/TrRoad_tech!R105)</f>
        <v>1.1407269221204714</v>
      </c>
      <c r="S132" s="150">
        <f>IF(TrRoad_act!S74=0,0,TrRoad_ene!S77/TrRoad_tech!S105)</f>
        <v>1.1502440550271751</v>
      </c>
      <c r="T132" s="150">
        <f>IF(TrRoad_act!T74=0,0,TrRoad_ene!T77/TrRoad_tech!T105)</f>
        <v>1.1632378279734887</v>
      </c>
      <c r="U132" s="150">
        <f>IF(TrRoad_act!U74=0,0,TrRoad_ene!U77/TrRoad_tech!U105)</f>
        <v>1.1759578330323688</v>
      </c>
      <c r="V132" s="150">
        <f>IF(TrRoad_act!V74=0,0,TrRoad_ene!V77/TrRoad_tech!V105)</f>
        <v>1.1849239910873912</v>
      </c>
      <c r="W132" s="150">
        <f>IF(TrRoad_act!W74=0,0,TrRoad_ene!W77/TrRoad_tech!W105)</f>
        <v>1.200724612862216</v>
      </c>
      <c r="X132" s="150">
        <f>IF(TrRoad_act!X74=0,0,TrRoad_ene!X77/TrRoad_tech!X105)</f>
        <v>1.2152482485305667</v>
      </c>
      <c r="Y132" s="150">
        <f>IF(TrRoad_act!Y74=0,0,TrRoad_ene!Y77/TrRoad_tech!Y105)</f>
        <v>1.2367227069391833</v>
      </c>
      <c r="DA132" s="174"/>
    </row>
    <row r="133" spans="1:105" ht="11.45" customHeight="1" x14ac:dyDescent="0.25">
      <c r="A133" s="111" t="s">
        <v>110</v>
      </c>
      <c r="B133" s="91">
        <f>IF(TrRoad_act!B75=0,0,TrRoad_ene!B78/TrRoad_tech!B106)</f>
        <v>1.1000000000067303</v>
      </c>
      <c r="C133" s="91">
        <f>IF(TrRoad_act!C75=0,0,TrRoad_ene!C78/TrRoad_tech!C106)</f>
        <v>1.10000000000673</v>
      </c>
      <c r="D133" s="91">
        <f>IF(TrRoad_act!D75=0,0,TrRoad_ene!D78/TrRoad_tech!D106)</f>
        <v>1.10000000000673</v>
      </c>
      <c r="E133" s="91">
        <f>IF(TrRoad_act!E75=0,0,TrRoad_ene!E78/TrRoad_tech!E106)</f>
        <v>1.10000000000673</v>
      </c>
      <c r="F133" s="91">
        <f>IF(TrRoad_act!F75=0,0,TrRoad_ene!F78/TrRoad_tech!F106)</f>
        <v>1.10000000000673</v>
      </c>
      <c r="G133" s="91">
        <f>IF(TrRoad_act!G75=0,0,TrRoad_ene!G78/TrRoad_tech!G106)</f>
        <v>1.1000000000067305</v>
      </c>
      <c r="H133" s="91">
        <f>IF(TrRoad_act!H75=0,0,TrRoad_ene!H78/TrRoad_tech!H106)</f>
        <v>1.1000000000067303</v>
      </c>
      <c r="I133" s="91">
        <f>IF(TrRoad_act!I75=0,0,TrRoad_ene!I78/TrRoad_tech!I106)</f>
        <v>1.1000000000067303</v>
      </c>
      <c r="J133" s="91">
        <f>IF(TrRoad_act!J75=0,0,TrRoad_ene!J78/TrRoad_tech!J106)</f>
        <v>1.1000000000067303</v>
      </c>
      <c r="K133" s="91">
        <f>IF(TrRoad_act!K75=0,0,TrRoad_ene!K78/TrRoad_tech!K106)</f>
        <v>1.101575520580776</v>
      </c>
      <c r="L133" s="91">
        <f>IF(TrRoad_act!L75=0,0,TrRoad_ene!L78/TrRoad_tech!L106)</f>
        <v>1.1057043724508502</v>
      </c>
      <c r="M133" s="91">
        <f>IF(TrRoad_act!M75=0,0,TrRoad_ene!M78/TrRoad_tech!M106)</f>
        <v>1.1110062288142519</v>
      </c>
      <c r="N133" s="91">
        <f>IF(TrRoad_act!N75=0,0,TrRoad_ene!N78/TrRoad_tech!N106)</f>
        <v>1.1185886631363955</v>
      </c>
      <c r="O133" s="91">
        <f>IF(TrRoad_act!O75=0,0,TrRoad_ene!O78/TrRoad_tech!O106)</f>
        <v>1.1241944676542965</v>
      </c>
      <c r="P133" s="91">
        <f>IF(TrRoad_act!P75=0,0,TrRoad_ene!P78/TrRoad_tech!P106)</f>
        <v>1.1363233617846695</v>
      </c>
      <c r="Q133" s="91">
        <f>IF(TrRoad_act!Q75=0,0,TrRoad_ene!Q78/TrRoad_tech!Q106)</f>
        <v>1.1494621972601176</v>
      </c>
      <c r="R133" s="91">
        <f>IF(TrRoad_act!R75=0,0,TrRoad_ene!R78/TrRoad_tech!R106)</f>
        <v>1.1637128934322496</v>
      </c>
      <c r="S133" s="91">
        <f>IF(TrRoad_act!S75=0,0,TrRoad_ene!S78/TrRoad_tech!S106)</f>
        <v>1.1778455685281051</v>
      </c>
      <c r="T133" s="91">
        <f>IF(TrRoad_act!T75=0,0,TrRoad_ene!T78/TrRoad_tech!T106)</f>
        <v>1.1894599474040308</v>
      </c>
      <c r="U133" s="91">
        <f>IF(TrRoad_act!U75=0,0,TrRoad_ene!U78/TrRoad_tech!U106)</f>
        <v>1.2039269748359238</v>
      </c>
      <c r="V133" s="91">
        <f>IF(TrRoad_act!V75=0,0,TrRoad_ene!V78/TrRoad_tech!V106)</f>
        <v>1.2149423921492748</v>
      </c>
      <c r="W133" s="91">
        <f>IF(TrRoad_act!W75=0,0,TrRoad_ene!W78/TrRoad_tech!W106)</f>
        <v>1.234011407123585</v>
      </c>
      <c r="X133" s="91">
        <f>IF(TrRoad_act!X75=0,0,TrRoad_ene!X78/TrRoad_tech!X106)</f>
        <v>1.2621662981819695</v>
      </c>
      <c r="Y133" s="91">
        <f>IF(TrRoad_act!Y75=0,0,TrRoad_ene!Y78/TrRoad_tech!Y106)</f>
        <v>1.2722968718880834</v>
      </c>
      <c r="DA133" s="171"/>
    </row>
    <row r="134" spans="1:105" ht="11.45" customHeight="1" x14ac:dyDescent="0.25">
      <c r="A134" s="111" t="s">
        <v>111</v>
      </c>
      <c r="B134" s="91">
        <f>IF(TrRoad_act!B76=0,0,TrRoad_ene!B79/TrRoad_tech!B107)</f>
        <v>1.1000000000067305</v>
      </c>
      <c r="C134" s="91">
        <f>IF(TrRoad_act!C76=0,0,TrRoad_ene!C79/TrRoad_tech!C107)</f>
        <v>1.1004057790463269</v>
      </c>
      <c r="D134" s="91">
        <f>IF(TrRoad_act!D76=0,0,TrRoad_ene!D79/TrRoad_tech!D107)</f>
        <v>1.1011517098427552</v>
      </c>
      <c r="E134" s="91">
        <f>IF(TrRoad_act!E76=0,0,TrRoad_ene!E79/TrRoad_tech!E107)</f>
        <v>1.1022830101944734</v>
      </c>
      <c r="F134" s="91">
        <f>IF(TrRoad_act!F76=0,0,TrRoad_ene!F79/TrRoad_tech!F107)</f>
        <v>1.1037715131350028</v>
      </c>
      <c r="G134" s="91">
        <f>IF(TrRoad_act!G76=0,0,TrRoad_ene!G79/TrRoad_tech!G107)</f>
        <v>1.1060094303839079</v>
      </c>
      <c r="H134" s="91">
        <f>IF(TrRoad_act!H76=0,0,TrRoad_ene!H79/TrRoad_tech!H107)</f>
        <v>1.108645757576368</v>
      </c>
      <c r="I134" s="91">
        <f>IF(TrRoad_act!I76=0,0,TrRoad_ene!I79/TrRoad_tech!I107)</f>
        <v>1.1120876387849352</v>
      </c>
      <c r="J134" s="91">
        <f>IF(TrRoad_act!J76=0,0,TrRoad_ene!J79/TrRoad_tech!J107)</f>
        <v>1.1170340595935713</v>
      </c>
      <c r="K134" s="91">
        <f>IF(TrRoad_act!K76=0,0,TrRoad_ene!K79/TrRoad_tech!K107)</f>
        <v>1.1229518201578701</v>
      </c>
      <c r="L134" s="91">
        <f>IF(TrRoad_act!L76=0,0,TrRoad_ene!L79/TrRoad_tech!L107)</f>
        <v>1.1243992639664893</v>
      </c>
      <c r="M134" s="91">
        <f>IF(TrRoad_act!M76=0,0,TrRoad_ene!M79/TrRoad_tech!M107)</f>
        <v>1.12757723120013</v>
      </c>
      <c r="N134" s="91">
        <f>IF(TrRoad_act!N76=0,0,TrRoad_ene!N79/TrRoad_tech!N107)</f>
        <v>1.1357323729664106</v>
      </c>
      <c r="O134" s="91">
        <f>IF(TrRoad_act!O76=0,0,TrRoad_ene!O79/TrRoad_tech!O107)</f>
        <v>1.145973768156139</v>
      </c>
      <c r="P134" s="91">
        <f>IF(TrRoad_act!P76=0,0,TrRoad_ene!P79/TrRoad_tech!P107)</f>
        <v>1.1557892768714211</v>
      </c>
      <c r="Q134" s="91">
        <f>IF(TrRoad_act!Q76=0,0,TrRoad_ene!Q79/TrRoad_tech!Q107)</f>
        <v>1.167092963797477</v>
      </c>
      <c r="R134" s="91">
        <f>IF(TrRoad_act!R76=0,0,TrRoad_ene!R79/TrRoad_tech!R107)</f>
        <v>1.1797184903694549</v>
      </c>
      <c r="S134" s="91">
        <f>IF(TrRoad_act!S76=0,0,TrRoad_ene!S79/TrRoad_tech!S107)</f>
        <v>1.1940622534459573</v>
      </c>
      <c r="T134" s="91">
        <f>IF(TrRoad_act!T76=0,0,TrRoad_ene!T79/TrRoad_tech!T107)</f>
        <v>1.2109538165551212</v>
      </c>
      <c r="U134" s="91">
        <f>IF(TrRoad_act!U76=0,0,TrRoad_ene!U79/TrRoad_tech!U107)</f>
        <v>1.2268105788733554</v>
      </c>
      <c r="V134" s="91">
        <f>IF(TrRoad_act!V76=0,0,TrRoad_ene!V79/TrRoad_tech!V107)</f>
        <v>1.2371808462088709</v>
      </c>
      <c r="W134" s="91">
        <f>IF(TrRoad_act!W76=0,0,TrRoad_ene!W79/TrRoad_tech!W107)</f>
        <v>1.2477453424747924</v>
      </c>
      <c r="X134" s="91">
        <f>IF(TrRoad_act!X76=0,0,TrRoad_ene!X79/TrRoad_tech!X107)</f>
        <v>1.261152858906863</v>
      </c>
      <c r="Y134" s="91">
        <f>IF(TrRoad_act!Y76=0,0,TrRoad_ene!Y79/TrRoad_tech!Y107)</f>
        <v>1.2779389629334754</v>
      </c>
      <c r="DA134" s="171"/>
    </row>
    <row r="135" spans="1:105" ht="11.45" customHeight="1" x14ac:dyDescent="0.25">
      <c r="A135" s="111" t="s">
        <v>112</v>
      </c>
      <c r="B135" s="91">
        <f>IF(TrRoad_act!B77=0,0,TrRoad_ene!B80/TrRoad_tech!B108)</f>
        <v>1.1000000000067303</v>
      </c>
      <c r="C135" s="91">
        <f>IF(TrRoad_act!C77=0,0,TrRoad_ene!C80/TrRoad_tech!C108)</f>
        <v>1.1000008758192352</v>
      </c>
      <c r="D135" s="91">
        <f>IF(TrRoad_act!D77=0,0,TrRoad_ene!D80/TrRoad_tech!D108)</f>
        <v>1.1000008794784812</v>
      </c>
      <c r="E135" s="91">
        <f>IF(TrRoad_act!E77=0,0,TrRoad_ene!E80/TrRoad_tech!E108)</f>
        <v>1.1000009006536517</v>
      </c>
      <c r="F135" s="91">
        <f>IF(TrRoad_act!F77=0,0,TrRoad_ene!F80/TrRoad_tech!F108)</f>
        <v>1.1000009330104381</v>
      </c>
      <c r="G135" s="91">
        <f>IF(TrRoad_act!G77=0,0,TrRoad_ene!G80/TrRoad_tech!G108)</f>
        <v>1.1000010405654219</v>
      </c>
      <c r="H135" s="91">
        <f>IF(TrRoad_act!H77=0,0,TrRoad_ene!H80/TrRoad_tech!H108)</f>
        <v>1.1000011095870263</v>
      </c>
      <c r="I135" s="91">
        <f>IF(TrRoad_act!I77=0,0,TrRoad_ene!I80/TrRoad_tech!I108)</f>
        <v>1.1000011443771363</v>
      </c>
      <c r="J135" s="91">
        <f>IF(TrRoad_act!J77=0,0,TrRoad_ene!J80/TrRoad_tech!J108)</f>
        <v>1.1000011454835803</v>
      </c>
      <c r="K135" s="91">
        <f>IF(TrRoad_act!K77=0,0,TrRoad_ene!K80/TrRoad_tech!K108)</f>
        <v>1.1000258832284291</v>
      </c>
      <c r="L135" s="91">
        <f>IF(TrRoad_act!L77=0,0,TrRoad_ene!L80/TrRoad_tech!L108)</f>
        <v>1.1010749978890435</v>
      </c>
      <c r="M135" s="91">
        <f>IF(TrRoad_act!M77=0,0,TrRoad_ene!M80/TrRoad_tech!M108)</f>
        <v>1.10298552429353</v>
      </c>
      <c r="N135" s="91">
        <f>IF(TrRoad_act!N77=0,0,TrRoad_ene!N80/TrRoad_tech!N108)</f>
        <v>1.1064734332145094</v>
      </c>
      <c r="O135" s="91">
        <f>IF(TrRoad_act!O77=0,0,TrRoad_ene!O80/TrRoad_tech!O108)</f>
        <v>1.1098275581385473</v>
      </c>
      <c r="P135" s="91">
        <f>IF(TrRoad_act!P77=0,0,TrRoad_ene!P80/TrRoad_tech!P108)</f>
        <v>1.1159532004995789</v>
      </c>
      <c r="Q135" s="91">
        <f>IF(TrRoad_act!Q77=0,0,TrRoad_ene!Q80/TrRoad_tech!Q108)</f>
        <v>1.1218186243321357</v>
      </c>
      <c r="R135" s="91">
        <f>IF(TrRoad_act!R77=0,0,TrRoad_ene!R80/TrRoad_tech!R108)</f>
        <v>1.1280074137247815</v>
      </c>
      <c r="S135" s="91">
        <f>IF(TrRoad_act!S77=0,0,TrRoad_ene!S80/TrRoad_tech!S108)</f>
        <v>1.1372297263991777</v>
      </c>
      <c r="T135" s="91">
        <f>IF(TrRoad_act!T77=0,0,TrRoad_ene!T80/TrRoad_tech!T108)</f>
        <v>1.1454668634890037</v>
      </c>
      <c r="U135" s="91">
        <f>IF(TrRoad_act!U77=0,0,TrRoad_ene!U80/TrRoad_tech!U108)</f>
        <v>1.1719409604024575</v>
      </c>
      <c r="V135" s="91">
        <f>IF(TrRoad_act!V77=0,0,TrRoad_ene!V80/TrRoad_tech!V108)</f>
        <v>1.1780981093628871</v>
      </c>
      <c r="W135" s="91">
        <f>IF(TrRoad_act!W77=0,0,TrRoad_ene!W80/TrRoad_tech!W108)</f>
        <v>1.1971985958516718</v>
      </c>
      <c r="X135" s="91">
        <f>IF(TrRoad_act!X77=0,0,TrRoad_ene!X80/TrRoad_tech!X108)</f>
        <v>1.2117738234381481</v>
      </c>
      <c r="Y135" s="91">
        <f>IF(TrRoad_act!Y77=0,0,TrRoad_ene!Y80/TrRoad_tech!Y108)</f>
        <v>1.2229233159892723</v>
      </c>
      <c r="DA135" s="171"/>
    </row>
    <row r="136" spans="1:105" ht="11.45" customHeight="1" x14ac:dyDescent="0.25">
      <c r="A136" s="111" t="s">
        <v>113</v>
      </c>
      <c r="B136" s="91">
        <f>IF(TrRoad_act!B78=0,0,TrRoad_ene!B81/TrRoad_tech!B109)</f>
        <v>0</v>
      </c>
      <c r="C136" s="91">
        <f>IF(TrRoad_act!C78=0,0,TrRoad_ene!C81/TrRoad_tech!C109)</f>
        <v>0</v>
      </c>
      <c r="D136" s="91">
        <f>IF(TrRoad_act!D78=0,0,TrRoad_ene!D81/TrRoad_tech!D109)</f>
        <v>0</v>
      </c>
      <c r="E136" s="91">
        <f>IF(TrRoad_act!E78=0,0,TrRoad_ene!E81/TrRoad_tech!E109)</f>
        <v>1.1160000000058972</v>
      </c>
      <c r="F136" s="91">
        <f>IF(TrRoad_act!F78=0,0,TrRoad_ene!F81/TrRoad_tech!F109)</f>
        <v>1.1212196351318426</v>
      </c>
      <c r="G136" s="91">
        <f>IF(TrRoad_act!G78=0,0,TrRoad_ene!G81/TrRoad_tech!G109)</f>
        <v>1.1214809478140704</v>
      </c>
      <c r="H136" s="91">
        <f>IF(TrRoad_act!H78=0,0,TrRoad_ene!H81/TrRoad_tech!H109)</f>
        <v>1.121517950140555</v>
      </c>
      <c r="I136" s="91">
        <f>IF(TrRoad_act!I78=0,0,TrRoad_ene!I81/TrRoad_tech!I109)</f>
        <v>1.141508344020769</v>
      </c>
      <c r="J136" s="91">
        <f>IF(TrRoad_act!J78=0,0,TrRoad_ene!J81/TrRoad_tech!J109)</f>
        <v>1.1415083440207696</v>
      </c>
      <c r="K136" s="91">
        <f>IF(TrRoad_act!K78=0,0,TrRoad_ene!K81/TrRoad_tech!K109)</f>
        <v>1.1588836311495814</v>
      </c>
      <c r="L136" s="91">
        <f>IF(TrRoad_act!L78=0,0,TrRoad_ene!L81/TrRoad_tech!L109)</f>
        <v>1.1709130762857007</v>
      </c>
      <c r="M136" s="91">
        <f>IF(TrRoad_act!M78=0,0,TrRoad_ene!M81/TrRoad_tech!M109)</f>
        <v>1.1818578761340224</v>
      </c>
      <c r="N136" s="91">
        <f>IF(TrRoad_act!N78=0,0,TrRoad_ene!N81/TrRoad_tech!N109)</f>
        <v>1.1974285551062338</v>
      </c>
      <c r="O136" s="91">
        <f>IF(TrRoad_act!O78=0,0,TrRoad_ene!O81/TrRoad_tech!O109)</f>
        <v>1.2079181338778919</v>
      </c>
      <c r="P136" s="91">
        <f>IF(TrRoad_act!P78=0,0,TrRoad_ene!P81/TrRoad_tech!P109)</f>
        <v>1.2203724279959918</v>
      </c>
      <c r="Q136" s="91">
        <f>IF(TrRoad_act!Q78=0,0,TrRoad_ene!Q81/TrRoad_tech!Q109)</f>
        <v>1.2278322474968524</v>
      </c>
      <c r="R136" s="91">
        <f>IF(TrRoad_act!R78=0,0,TrRoad_ene!R81/TrRoad_tech!R109)</f>
        <v>1.2912612857382129</v>
      </c>
      <c r="S136" s="91">
        <f>IF(TrRoad_act!S78=0,0,TrRoad_ene!S81/TrRoad_tech!S109)</f>
        <v>1.3034891268878255</v>
      </c>
      <c r="T136" s="91">
        <f>IF(TrRoad_act!T78=0,0,TrRoad_ene!T81/TrRoad_tech!T109)</f>
        <v>1.3209531506263885</v>
      </c>
      <c r="U136" s="91">
        <f>IF(TrRoad_act!U78=0,0,TrRoad_ene!U81/TrRoad_tech!U109)</f>
        <v>1.32747211309582</v>
      </c>
      <c r="V136" s="91">
        <f>IF(TrRoad_act!V78=0,0,TrRoad_ene!V81/TrRoad_tech!V109)</f>
        <v>1.3315370438149257</v>
      </c>
      <c r="W136" s="91">
        <f>IF(TrRoad_act!W78=0,0,TrRoad_ene!W81/TrRoad_tech!W109)</f>
        <v>1.336604303371667</v>
      </c>
      <c r="X136" s="91">
        <f>IF(TrRoad_act!X78=0,0,TrRoad_ene!X81/TrRoad_tech!X109)</f>
        <v>1.3388673617598319</v>
      </c>
      <c r="Y136" s="91">
        <f>IF(TrRoad_act!Y78=0,0,TrRoad_ene!Y81/TrRoad_tech!Y109)</f>
        <v>1.34482316103871</v>
      </c>
      <c r="DA136" s="171"/>
    </row>
    <row r="137" spans="1:105" ht="11.45" customHeight="1" x14ac:dyDescent="0.25">
      <c r="A137" s="111" t="s">
        <v>115</v>
      </c>
      <c r="B137" s="91">
        <f>IF(TrRoad_act!B79=0,0,TrRoad_ene!B82/TrRoad_tech!B110)</f>
        <v>0</v>
      </c>
      <c r="C137" s="91">
        <f>IF(TrRoad_act!C79=0,0,TrRoad_ene!C82/TrRoad_tech!C110)</f>
        <v>0</v>
      </c>
      <c r="D137" s="91">
        <f>IF(TrRoad_act!D79=0,0,TrRoad_ene!D82/TrRoad_tech!D110)</f>
        <v>0</v>
      </c>
      <c r="E137" s="91">
        <f>IF(TrRoad_act!E79=0,0,TrRoad_ene!E82/TrRoad_tech!E110)</f>
        <v>0</v>
      </c>
      <c r="F137" s="91">
        <f>IF(TrRoad_act!F79=0,0,TrRoad_ene!F82/TrRoad_tech!F110)</f>
        <v>0</v>
      </c>
      <c r="G137" s="91">
        <f>IF(TrRoad_act!G79=0,0,TrRoad_ene!G82/TrRoad_tech!G110)</f>
        <v>0</v>
      </c>
      <c r="H137" s="91">
        <f>IF(TrRoad_act!H79=0,0,TrRoad_ene!H82/TrRoad_tech!H110)</f>
        <v>0</v>
      </c>
      <c r="I137" s="91">
        <f>IF(TrRoad_act!I79=0,0,TrRoad_ene!I82/TrRoad_tech!I110)</f>
        <v>0</v>
      </c>
      <c r="J137" s="91">
        <f>IF(TrRoad_act!J79=0,0,TrRoad_ene!J82/TrRoad_tech!J110)</f>
        <v>0</v>
      </c>
      <c r="K137" s="91">
        <f>IF(TrRoad_act!K79=0,0,TrRoad_ene!K82/TrRoad_tech!K110)</f>
        <v>0</v>
      </c>
      <c r="L137" s="91">
        <f>IF(TrRoad_act!L79=0,0,TrRoad_ene!L82/TrRoad_tech!L110)</f>
        <v>0</v>
      </c>
      <c r="M137" s="91">
        <f>IF(TrRoad_act!M79=0,0,TrRoad_ene!M82/TrRoad_tech!M110)</f>
        <v>1.2173333333398659</v>
      </c>
      <c r="N137" s="91">
        <f>IF(TrRoad_act!N79=0,0,TrRoad_ene!N82/TrRoad_tech!N110)</f>
        <v>1.2360000000066977</v>
      </c>
      <c r="O137" s="91">
        <f>IF(TrRoad_act!O79=0,0,TrRoad_ene!O82/TrRoad_tech!O110)</f>
        <v>1.2443463442407814</v>
      </c>
      <c r="P137" s="91">
        <f>IF(TrRoad_act!P79=0,0,TrRoad_ene!P82/TrRoad_tech!P110)</f>
        <v>1.260756333985718</v>
      </c>
      <c r="Q137" s="91">
        <f>IF(TrRoad_act!Q79=0,0,TrRoad_ene!Q82/TrRoad_tech!Q110)</f>
        <v>1.2696713335617291</v>
      </c>
      <c r="R137" s="91">
        <f>IF(TrRoad_act!R79=0,0,TrRoad_ene!R82/TrRoad_tech!R110)</f>
        <v>1.2827045197846518</v>
      </c>
      <c r="S137" s="91">
        <f>IF(TrRoad_act!S79=0,0,TrRoad_ene!S82/TrRoad_tech!S110)</f>
        <v>1.2971012475596815</v>
      </c>
      <c r="T137" s="91">
        <f>IF(TrRoad_act!T79=0,0,TrRoad_ene!T82/TrRoad_tech!T110)</f>
        <v>1.3132807457634679</v>
      </c>
      <c r="U137" s="91">
        <f>IF(TrRoad_act!U79=0,0,TrRoad_ene!U82/TrRoad_tech!U110)</f>
        <v>1.326000591302948</v>
      </c>
      <c r="V137" s="91">
        <f>IF(TrRoad_act!V79=0,0,TrRoad_ene!V82/TrRoad_tech!V110)</f>
        <v>1.3356313675873634</v>
      </c>
      <c r="W137" s="91">
        <f>IF(TrRoad_act!W79=0,0,TrRoad_ene!W82/TrRoad_tech!W110)</f>
        <v>1.3449329787767541</v>
      </c>
      <c r="X137" s="91">
        <f>IF(TrRoad_act!X79=0,0,TrRoad_ene!X82/TrRoad_tech!X110)</f>
        <v>1.3513225729402074</v>
      </c>
      <c r="Y137" s="91">
        <f>IF(TrRoad_act!Y79=0,0,TrRoad_ene!Y82/TrRoad_tech!Y110)</f>
        <v>1.356800692799621</v>
      </c>
      <c r="DA137" s="171"/>
    </row>
    <row r="138" spans="1:105" ht="11.45" customHeight="1" x14ac:dyDescent="0.25">
      <c r="A138" s="109" t="s">
        <v>154</v>
      </c>
      <c r="B138" s="151">
        <f>IF(TrRoad_act!B80=0,0,TrRoad_ene!B83/TrRoad_tech!B111)</f>
        <v>1.1693511997228687</v>
      </c>
      <c r="C138" s="151">
        <f>IF(TrRoad_act!C80=0,0,TrRoad_ene!C83/TrRoad_tech!C111)</f>
        <v>1.1566874035814376</v>
      </c>
      <c r="D138" s="151">
        <f>IF(TrRoad_act!D80=0,0,TrRoad_ene!D83/TrRoad_tech!D111)</f>
        <v>1.1519713164083538</v>
      </c>
      <c r="E138" s="151">
        <f>IF(TrRoad_act!E80=0,0,TrRoad_ene!E83/TrRoad_tech!E111)</f>
        <v>1.1626872168309064</v>
      </c>
      <c r="F138" s="151">
        <f>IF(TrRoad_act!F80=0,0,TrRoad_ene!F83/TrRoad_tech!F111)</f>
        <v>1.1844368744453786</v>
      </c>
      <c r="G138" s="151">
        <f>IF(TrRoad_act!G80=0,0,TrRoad_ene!G83/TrRoad_tech!G111)</f>
        <v>1.1983566644269636</v>
      </c>
      <c r="H138" s="151">
        <f>IF(TrRoad_act!H80=0,0,TrRoad_ene!H83/TrRoad_tech!H111)</f>
        <v>1.2995229704148477</v>
      </c>
      <c r="I138" s="151">
        <f>IF(TrRoad_act!I80=0,0,TrRoad_ene!I83/TrRoad_tech!I111)</f>
        <v>1.3714836533424681</v>
      </c>
      <c r="J138" s="151">
        <f>IF(TrRoad_act!J80=0,0,TrRoad_ene!J83/TrRoad_tech!J111)</f>
        <v>1.3954548794450172</v>
      </c>
      <c r="K138" s="151">
        <f>IF(TrRoad_act!K80=0,0,TrRoad_ene!K83/TrRoad_tech!K111)</f>
        <v>1.3150615870695923</v>
      </c>
      <c r="L138" s="151">
        <f>IF(TrRoad_act!L80=0,0,TrRoad_ene!L83/TrRoad_tech!L111)</f>
        <v>1.5240132540380593</v>
      </c>
      <c r="M138" s="151">
        <f>IF(TrRoad_act!M80=0,0,TrRoad_ene!M83/TrRoad_tech!M111)</f>
        <v>1.562600970594491</v>
      </c>
      <c r="N138" s="151">
        <f>IF(TrRoad_act!N80=0,0,TrRoad_ene!N83/TrRoad_tech!N111)</f>
        <v>1.6039686708957379</v>
      </c>
      <c r="O138" s="151">
        <f>IF(TrRoad_act!O80=0,0,TrRoad_ene!O83/TrRoad_tech!O111)</f>
        <v>1.4049893229954951</v>
      </c>
      <c r="P138" s="151">
        <f>IF(TrRoad_act!P80=0,0,TrRoad_ene!P83/TrRoad_tech!P111)</f>
        <v>1.0715996916974326</v>
      </c>
      <c r="Q138" s="151">
        <f>IF(TrRoad_act!Q80=0,0,TrRoad_ene!Q83/TrRoad_tech!Q111)</f>
        <v>1.0619962779775391</v>
      </c>
      <c r="R138" s="151">
        <f>IF(TrRoad_act!R80=0,0,TrRoad_ene!R83/TrRoad_tech!R111)</f>
        <v>1.0112444404854193</v>
      </c>
      <c r="S138" s="151">
        <f>IF(TrRoad_act!S80=0,0,TrRoad_ene!S83/TrRoad_tech!S111)</f>
        <v>1.261650206248891</v>
      </c>
      <c r="T138" s="151">
        <f>IF(TrRoad_act!T80=0,0,TrRoad_ene!T83/TrRoad_tech!T111)</f>
        <v>1.4720498308494743</v>
      </c>
      <c r="U138" s="151">
        <f>IF(TrRoad_act!U80=0,0,TrRoad_ene!U83/TrRoad_tech!U111)</f>
        <v>1.5479853573410736</v>
      </c>
      <c r="V138" s="151">
        <f>IF(TrRoad_act!V80=0,0,TrRoad_ene!V83/TrRoad_tech!V111)</f>
        <v>1.4182821211624894</v>
      </c>
      <c r="W138" s="151">
        <f>IF(TrRoad_act!W80=0,0,TrRoad_ene!W83/TrRoad_tech!W111)</f>
        <v>1.1776107507950357</v>
      </c>
      <c r="X138" s="151">
        <f>IF(TrRoad_act!X80=0,0,TrRoad_ene!X83/TrRoad_tech!X111)</f>
        <v>1.1794226376337842</v>
      </c>
      <c r="Y138" s="151">
        <f>IF(TrRoad_act!Y80=0,0,TrRoad_ene!Y83/TrRoad_tech!Y111)</f>
        <v>1.3212265276389188</v>
      </c>
      <c r="DA138" s="176"/>
    </row>
    <row r="139" spans="1:105" ht="11.45" customHeight="1" x14ac:dyDescent="0.25">
      <c r="A139" s="128" t="s">
        <v>27</v>
      </c>
      <c r="B139" s="93">
        <f>IF(TrRoad_act!B81=0,0,TrRoad_ene!B84/TrRoad_tech!B112)</f>
        <v>1.1553607738890976</v>
      </c>
      <c r="C139" s="93">
        <f>IF(TrRoad_act!C81=0,0,TrRoad_ene!C84/TrRoad_tech!C112)</f>
        <v>1.1415310172695969</v>
      </c>
      <c r="D139" s="93">
        <f>IF(TrRoad_act!D81=0,0,TrRoad_ene!D84/TrRoad_tech!D112)</f>
        <v>1.1380036662961517</v>
      </c>
      <c r="E139" s="93">
        <f>IF(TrRoad_act!E81=0,0,TrRoad_ene!E84/TrRoad_tech!E112)</f>
        <v>1.1499486472125526</v>
      </c>
      <c r="F139" s="93">
        <f>IF(TrRoad_act!F81=0,0,TrRoad_ene!F84/TrRoad_tech!F112)</f>
        <v>1.1737678485715461</v>
      </c>
      <c r="G139" s="93">
        <f>IF(TrRoad_act!G81=0,0,TrRoad_ene!G84/TrRoad_tech!G112)</f>
        <v>1.1867010690367459</v>
      </c>
      <c r="H139" s="93">
        <f>IF(TrRoad_act!H81=0,0,TrRoad_ene!H84/TrRoad_tech!H112)</f>
        <v>1.2868198695258994</v>
      </c>
      <c r="I139" s="93">
        <f>IF(TrRoad_act!I81=0,0,TrRoad_ene!I84/TrRoad_tech!I112)</f>
        <v>1.3536447642447564</v>
      </c>
      <c r="J139" s="93">
        <f>IF(TrRoad_act!J81=0,0,TrRoad_ene!J84/TrRoad_tech!J112)</f>
        <v>1.3773413528639296</v>
      </c>
      <c r="K139" s="93">
        <f>IF(TrRoad_act!K81=0,0,TrRoad_ene!K84/TrRoad_tech!K112)</f>
        <v>1.2977481243134934</v>
      </c>
      <c r="L139" s="93">
        <f>IF(TrRoad_act!L81=0,0,TrRoad_ene!L84/TrRoad_tech!L112)</f>
        <v>1.495027971609431</v>
      </c>
      <c r="M139" s="93">
        <f>IF(TrRoad_act!M81=0,0,TrRoad_ene!M84/TrRoad_tech!M112)</f>
        <v>1.5354896302366039</v>
      </c>
      <c r="N139" s="93">
        <f>IF(TrRoad_act!N81=0,0,TrRoad_ene!N84/TrRoad_tech!N112)</f>
        <v>1.5737261793933068</v>
      </c>
      <c r="O139" s="93">
        <f>IF(TrRoad_act!O81=0,0,TrRoad_ene!O84/TrRoad_tech!O112)</f>
        <v>1.3800821685870395</v>
      </c>
      <c r="P139" s="93">
        <f>IF(TrRoad_act!P81=0,0,TrRoad_ene!P84/TrRoad_tech!P112)</f>
        <v>1.0530277897005262</v>
      </c>
      <c r="Q139" s="93">
        <f>IF(TrRoad_act!Q81=0,0,TrRoad_ene!Q84/TrRoad_tech!Q112)</f>
        <v>1.0427173169374435</v>
      </c>
      <c r="R139" s="93">
        <f>IF(TrRoad_act!R81=0,0,TrRoad_ene!R84/TrRoad_tech!R112)</f>
        <v>0.99034321762571798</v>
      </c>
      <c r="S139" s="93">
        <f>IF(TrRoad_act!S81=0,0,TrRoad_ene!S84/TrRoad_tech!S112)</f>
        <v>1.2316573030649418</v>
      </c>
      <c r="T139" s="93">
        <f>IF(TrRoad_act!T81=0,0,TrRoad_ene!T84/TrRoad_tech!T112)</f>
        <v>1.4372176464808932</v>
      </c>
      <c r="U139" s="93">
        <f>IF(TrRoad_act!U81=0,0,TrRoad_ene!U84/TrRoad_tech!U112)</f>
        <v>1.5080059773525594</v>
      </c>
      <c r="V139" s="93">
        <f>IF(TrRoad_act!V81=0,0,TrRoad_ene!V84/TrRoad_tech!V112)</f>
        <v>1.3813456118596703</v>
      </c>
      <c r="W139" s="93">
        <f>IF(TrRoad_act!W81=0,0,TrRoad_ene!W84/TrRoad_tech!W112)</f>
        <v>1.14896602653573</v>
      </c>
      <c r="X139" s="93">
        <f>IF(TrRoad_act!X81=0,0,TrRoad_ene!X84/TrRoad_tech!X112)</f>
        <v>1.1472689880848073</v>
      </c>
      <c r="Y139" s="93">
        <f>IF(TrRoad_act!Y81=0,0,TrRoad_ene!Y84/TrRoad_tech!Y112)</f>
        <v>1.2823165946028967</v>
      </c>
      <c r="DA139" s="175"/>
    </row>
    <row r="140" spans="1:105" ht="11.45" customHeight="1" x14ac:dyDescent="0.25">
      <c r="A140" s="138" t="s">
        <v>116</v>
      </c>
      <c r="B140" s="94">
        <f>IF(TrRoad_act!B82=0,0,TrRoad_ene!B85/TrRoad_tech!B113)</f>
        <v>1.1553607738890979</v>
      </c>
      <c r="C140" s="94">
        <f>IF(TrRoad_act!C82=0,0,TrRoad_ene!C85/TrRoad_tech!C113)</f>
        <v>1.1415113909622578</v>
      </c>
      <c r="D140" s="94">
        <f>IF(TrRoad_act!D82=0,0,TrRoad_ene!D85/TrRoad_tech!D113)</f>
        <v>1.1378410195198458</v>
      </c>
      <c r="E140" s="94">
        <f>IF(TrRoad_act!E82=0,0,TrRoad_ene!E85/TrRoad_tech!E113)</f>
        <v>1.1494933339590212</v>
      </c>
      <c r="F140" s="94">
        <f>IF(TrRoad_act!F82=0,0,TrRoad_ene!F85/TrRoad_tech!F113)</f>
        <v>1.1752483370042373</v>
      </c>
      <c r="G140" s="94">
        <f>IF(TrRoad_act!G82=0,0,TrRoad_ene!G85/TrRoad_tech!G113)</f>
        <v>1.1879700510297395</v>
      </c>
      <c r="H140" s="94">
        <f>IF(TrRoad_act!H82=0,0,TrRoad_ene!H85/TrRoad_tech!H113)</f>
        <v>1.2883396629982626</v>
      </c>
      <c r="I140" s="94">
        <f>IF(TrRoad_act!I82=0,0,TrRoad_ene!I85/TrRoad_tech!I113)</f>
        <v>1.3532800238418163</v>
      </c>
      <c r="J140" s="94">
        <f>IF(TrRoad_act!J82=0,0,TrRoad_ene!J85/TrRoad_tech!J113)</f>
        <v>1.3751483403720115</v>
      </c>
      <c r="K140" s="94">
        <f>IF(TrRoad_act!K82=0,0,TrRoad_ene!K85/TrRoad_tech!K113)</f>
        <v>1.2878656822554391</v>
      </c>
      <c r="L140" s="94">
        <f>IF(TrRoad_act!L82=0,0,TrRoad_ene!L85/TrRoad_tech!L113)</f>
        <v>1.487495184486985</v>
      </c>
      <c r="M140" s="94">
        <f>IF(TrRoad_act!M82=0,0,TrRoad_ene!M85/TrRoad_tech!M113)</f>
        <v>1.5290226004583252</v>
      </c>
      <c r="N140" s="94">
        <f>IF(TrRoad_act!N82=0,0,TrRoad_ene!N85/TrRoad_tech!N113)</f>
        <v>1.5658131069759074</v>
      </c>
      <c r="O140" s="94">
        <f>IF(TrRoad_act!O82=0,0,TrRoad_ene!O85/TrRoad_tech!O113)</f>
        <v>1.3746510849195652</v>
      </c>
      <c r="P140" s="94">
        <f>IF(TrRoad_act!P82=0,0,TrRoad_ene!P85/TrRoad_tech!P113)</f>
        <v>1.0497828193155831</v>
      </c>
      <c r="Q140" s="94">
        <f>IF(TrRoad_act!Q82=0,0,TrRoad_ene!Q85/TrRoad_tech!Q113)</f>
        <v>1.0431182751827741</v>
      </c>
      <c r="R140" s="94">
        <f>IF(TrRoad_act!R82=0,0,TrRoad_ene!R85/TrRoad_tech!R113)</f>
        <v>0.99996012009658886</v>
      </c>
      <c r="S140" s="94">
        <f>IF(TrRoad_act!S82=0,0,TrRoad_ene!S85/TrRoad_tech!S113)</f>
        <v>1.2415965595224976</v>
      </c>
      <c r="T140" s="94">
        <f>IF(TrRoad_act!T82=0,0,TrRoad_ene!T85/TrRoad_tech!T113)</f>
        <v>1.4444605659533978</v>
      </c>
      <c r="U140" s="94">
        <f>IF(TrRoad_act!U82=0,0,TrRoad_ene!U85/TrRoad_tech!U113)</f>
        <v>1.5200361095408335</v>
      </c>
      <c r="V140" s="94">
        <f>IF(TrRoad_act!V82=0,0,TrRoad_ene!V85/TrRoad_tech!V113)</f>
        <v>1.3931204487559572</v>
      </c>
      <c r="W140" s="94">
        <f>IF(TrRoad_act!W82=0,0,TrRoad_ene!W85/TrRoad_tech!W113)</f>
        <v>1.1505333231076882</v>
      </c>
      <c r="X140" s="94">
        <f>IF(TrRoad_act!X82=0,0,TrRoad_ene!X85/TrRoad_tech!X113)</f>
        <v>1.1497135471457161</v>
      </c>
      <c r="Y140" s="94">
        <f>IF(TrRoad_act!Y82=0,0,TrRoad_ene!Y85/TrRoad_tech!Y113)</f>
        <v>1.2776354944920476</v>
      </c>
      <c r="DA140" s="178"/>
    </row>
    <row r="141" spans="1:105" x14ac:dyDescent="0.25">
      <c r="A141" s="106"/>
      <c r="B141" s="106"/>
      <c r="C141" s="106"/>
      <c r="D141" s="106"/>
      <c r="E141" s="106"/>
      <c r="F141" s="106"/>
      <c r="G141" s="106"/>
      <c r="H141" s="106"/>
      <c r="I141" s="106"/>
      <c r="J141" s="106"/>
      <c r="K141" s="106"/>
      <c r="L141" s="106"/>
      <c r="M141" s="106"/>
      <c r="N141" s="106"/>
      <c r="O141" s="106"/>
      <c r="P141" s="106"/>
      <c r="Q141" s="106"/>
      <c r="R141" s="106"/>
      <c r="S141" s="106"/>
      <c r="T141" s="106"/>
      <c r="U141" s="106"/>
      <c r="V141" s="106"/>
      <c r="W141" s="106"/>
      <c r="X141" s="106"/>
      <c r="Y141" s="106"/>
      <c r="DA141" s="171"/>
    </row>
    <row r="142" spans="1:105" ht="11.45" customHeight="1" x14ac:dyDescent="0.25">
      <c r="A142" s="53" t="s">
        <v>122</v>
      </c>
      <c r="B142" s="79"/>
      <c r="C142" s="79"/>
      <c r="D142" s="79"/>
      <c r="E142" s="79"/>
      <c r="F142" s="79"/>
      <c r="G142" s="79"/>
      <c r="H142" s="79"/>
      <c r="I142" s="79"/>
      <c r="J142" s="79"/>
      <c r="K142" s="79"/>
      <c r="L142" s="79"/>
      <c r="M142" s="79"/>
      <c r="N142" s="79"/>
      <c r="O142" s="79"/>
      <c r="P142" s="79"/>
      <c r="Q142" s="79"/>
      <c r="R142" s="79"/>
      <c r="S142" s="79"/>
      <c r="T142" s="79"/>
      <c r="U142" s="79"/>
      <c r="V142" s="79"/>
      <c r="W142" s="79"/>
      <c r="X142" s="79"/>
      <c r="Y142" s="79"/>
      <c r="DA142" s="172"/>
    </row>
    <row r="143" spans="1:105" ht="11.45" customHeight="1" x14ac:dyDescent="0.25">
      <c r="A143" s="27" t="s">
        <v>33</v>
      </c>
      <c r="B143" s="32"/>
      <c r="C143" s="32"/>
      <c r="D143" s="32"/>
      <c r="E143" s="32"/>
      <c r="F143" s="32"/>
      <c r="G143" s="32"/>
      <c r="H143" s="32"/>
      <c r="I143" s="32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2"/>
      <c r="V143" s="32"/>
      <c r="W143" s="32"/>
      <c r="X143" s="32"/>
      <c r="Y143" s="32"/>
      <c r="DA143" s="173"/>
    </row>
    <row r="144" spans="1:105" ht="11.45" customHeight="1" x14ac:dyDescent="0.25">
      <c r="A144" s="136" t="s">
        <v>173</v>
      </c>
      <c r="B144" s="141">
        <v>3.4933831041905643</v>
      </c>
      <c r="C144" s="141">
        <v>3.4514344222809599</v>
      </c>
      <c r="D144" s="141">
        <v>3.4054152966505478</v>
      </c>
      <c r="E144" s="141">
        <v>3.4054152966505478</v>
      </c>
      <c r="F144" s="141">
        <v>3.4054152966505478</v>
      </c>
      <c r="G144" s="141">
        <v>3.4054152966505478</v>
      </c>
      <c r="H144" s="141">
        <v>3.3133770453897218</v>
      </c>
      <c r="I144" s="141">
        <v>3.2673579197593092</v>
      </c>
      <c r="J144" s="141">
        <v>3.1293005428680707</v>
      </c>
      <c r="K144" s="141">
        <v>2.9570548812823683</v>
      </c>
      <c r="L144" s="141">
        <v>2.8495051788284309</v>
      </c>
      <c r="M144" s="141">
        <v>2.7202483983203032</v>
      </c>
      <c r="N144" s="141">
        <v>2.537404202209335</v>
      </c>
      <c r="O144" s="141">
        <v>2.3299867335850619</v>
      </c>
      <c r="P144" s="141">
        <v>2.3090245794298672</v>
      </c>
      <c r="Q144" s="141">
        <v>2.1521717183306674</v>
      </c>
      <c r="R144" s="141">
        <v>2.1064619274343537</v>
      </c>
      <c r="S144" s="141">
        <v>2.0698940947173026</v>
      </c>
      <c r="T144" s="141">
        <v>2.0406398285436618</v>
      </c>
      <c r="U144" s="141">
        <v>2.0172364156047493</v>
      </c>
      <c r="V144" s="141">
        <v>1.9985136852536192</v>
      </c>
      <c r="W144" s="141">
        <v>1.9835355009727149</v>
      </c>
      <c r="X144" s="141">
        <v>1.9715529535479916</v>
      </c>
      <c r="Y144" s="141">
        <v>1.9619669156082129</v>
      </c>
      <c r="DA144" s="174" t="s">
        <v>887</v>
      </c>
    </row>
    <row r="145" spans="1:105" ht="11.45" customHeight="1" x14ac:dyDescent="0.25">
      <c r="A145" s="109" t="s">
        <v>20</v>
      </c>
      <c r="B145" s="130">
        <v>7.0408910734856294</v>
      </c>
      <c r="C145" s="130">
        <v>6.9951168508037549</v>
      </c>
      <c r="D145" s="130">
        <v>6.9491503340566636</v>
      </c>
      <c r="E145" s="130">
        <v>6.9445991253457402</v>
      </c>
      <c r="F145" s="130">
        <v>6.9290857692599968</v>
      </c>
      <c r="G145" s="130">
        <v>6.8975701224729118</v>
      </c>
      <c r="H145" s="130">
        <v>6.78492053275074</v>
      </c>
      <c r="I145" s="130">
        <v>6.7042190430659963</v>
      </c>
      <c r="J145" s="130">
        <v>6.4463557859047063</v>
      </c>
      <c r="K145" s="130">
        <v>6.1456428528226299</v>
      </c>
      <c r="L145" s="130">
        <v>5.9286617112127971</v>
      </c>
      <c r="M145" s="130">
        <v>5.4987425334261708</v>
      </c>
      <c r="N145" s="130">
        <v>5.176619820694393</v>
      </c>
      <c r="O145" s="130">
        <v>4.7345601039826226</v>
      </c>
      <c r="P145" s="130">
        <v>4.7361632021620625</v>
      </c>
      <c r="Q145" s="130">
        <v>4.5096452002473306</v>
      </c>
      <c r="R145" s="130">
        <v>4.6748679971906109</v>
      </c>
      <c r="S145" s="130">
        <v>4.7616034296204077</v>
      </c>
      <c r="T145" s="130">
        <v>4.7617071058786262</v>
      </c>
      <c r="U145" s="130">
        <v>4.4305070091975489</v>
      </c>
      <c r="V145" s="130">
        <v>4.198779103353254</v>
      </c>
      <c r="W145" s="130">
        <v>4.0836591778865445</v>
      </c>
      <c r="X145" s="130">
        <v>3.9108493485183469</v>
      </c>
      <c r="Y145" s="130">
        <v>3.7136789544844246</v>
      </c>
      <c r="DA145" s="176" t="s">
        <v>888</v>
      </c>
    </row>
    <row r="146" spans="1:105" ht="11.45" customHeight="1" x14ac:dyDescent="0.25">
      <c r="A146" s="111" t="s">
        <v>110</v>
      </c>
      <c r="B146" s="96">
        <v>7.4131650567942922</v>
      </c>
      <c r="C146" s="96">
        <v>7.3241474788086931</v>
      </c>
      <c r="D146" s="96">
        <v>7.2264921790912453</v>
      </c>
      <c r="E146" s="96">
        <v>7.2264921790912453</v>
      </c>
      <c r="F146" s="96">
        <v>7.2264921790912453</v>
      </c>
      <c r="G146" s="96">
        <v>7.2264921790912453</v>
      </c>
      <c r="H146" s="96">
        <v>7.0311815796563435</v>
      </c>
      <c r="I146" s="96">
        <v>6.9335262799388957</v>
      </c>
      <c r="J146" s="96">
        <v>6.640560380786547</v>
      </c>
      <c r="K146" s="96">
        <v>6.2750449244027848</v>
      </c>
      <c r="L146" s="96">
        <v>6.0459495784030315</v>
      </c>
      <c r="M146" s="96">
        <v>5.7691271829403297</v>
      </c>
      <c r="N146" s="96">
        <v>5.4313130893710238</v>
      </c>
      <c r="O146" s="96">
        <v>5.0077871783612746</v>
      </c>
      <c r="P146" s="96">
        <v>5.0600834118974687</v>
      </c>
      <c r="Q146" s="96">
        <v>4.9152475622187026</v>
      </c>
      <c r="R146" s="96">
        <v>4.8708149898777995</v>
      </c>
      <c r="S146" s="96">
        <v>4.8792933988213676</v>
      </c>
      <c r="T146" s="96">
        <v>4.9499511015195115</v>
      </c>
      <c r="U146" s="96">
        <v>4.8563245125992891</v>
      </c>
      <c r="V146" s="96">
        <v>4.7114198615431526</v>
      </c>
      <c r="W146" s="96">
        <v>4.4705910880603277</v>
      </c>
      <c r="X146" s="96">
        <v>4.369608401227536</v>
      </c>
      <c r="Y146" s="96">
        <v>4.3106611295821118</v>
      </c>
      <c r="DA146" s="171" t="s">
        <v>889</v>
      </c>
    </row>
    <row r="147" spans="1:105" ht="11.45" customHeight="1" x14ac:dyDescent="0.25">
      <c r="A147" s="111" t="s">
        <v>111</v>
      </c>
      <c r="B147" s="96">
        <v>5.9001941231112642</v>
      </c>
      <c r="C147" s="96">
        <v>5.9862959574309214</v>
      </c>
      <c r="D147" s="96">
        <v>6.0834391154641407</v>
      </c>
      <c r="E147" s="96">
        <v>6.1140734723542849</v>
      </c>
      <c r="F147" s="96">
        <v>6.0984539811767426</v>
      </c>
      <c r="G147" s="96">
        <v>6.0230773398812572</v>
      </c>
      <c r="H147" s="96">
        <v>6.1300960471751145</v>
      </c>
      <c r="I147" s="96">
        <v>6.136041530913662</v>
      </c>
      <c r="J147" s="96">
        <v>5.9030591850912524</v>
      </c>
      <c r="K147" s="96">
        <v>5.671081345555157</v>
      </c>
      <c r="L147" s="96">
        <v>5.4532471895381223</v>
      </c>
      <c r="M147" s="96">
        <v>4.8438627777262244</v>
      </c>
      <c r="N147" s="96">
        <v>4.6616081778506455</v>
      </c>
      <c r="O147" s="96">
        <v>4.473992338956112</v>
      </c>
      <c r="P147" s="96">
        <v>4.3016419228526175</v>
      </c>
      <c r="Q147" s="96">
        <v>4.1720320158945157</v>
      </c>
      <c r="R147" s="96">
        <v>4.5189574334766665</v>
      </c>
      <c r="S147" s="96">
        <v>4.6054285115455427</v>
      </c>
      <c r="T147" s="96">
        <v>4.7585526959849487</v>
      </c>
      <c r="U147" s="96">
        <v>4.8111831586409135</v>
      </c>
      <c r="V147" s="96">
        <v>4.5781655457410899</v>
      </c>
      <c r="W147" s="96">
        <v>4.5432910557640476</v>
      </c>
      <c r="X147" s="96">
        <v>4.671079404990139</v>
      </c>
      <c r="Y147" s="96">
        <v>5.2142354969668503</v>
      </c>
      <c r="DA147" s="171" t="s">
        <v>890</v>
      </c>
    </row>
    <row r="148" spans="1:105" ht="11.45" customHeight="1" x14ac:dyDescent="0.25">
      <c r="A148" s="111" t="s">
        <v>112</v>
      </c>
      <c r="B148" s="96">
        <v>0</v>
      </c>
      <c r="C148" s="96">
        <v>5.5982617390875236</v>
      </c>
      <c r="D148" s="96">
        <v>0</v>
      </c>
      <c r="E148" s="96">
        <v>0</v>
      </c>
      <c r="F148" s="96">
        <v>0</v>
      </c>
      <c r="G148" s="96">
        <v>0</v>
      </c>
      <c r="H148" s="96">
        <v>0</v>
      </c>
      <c r="I148" s="96">
        <v>0</v>
      </c>
      <c r="J148" s="96">
        <v>0</v>
      </c>
      <c r="K148" s="96">
        <v>0</v>
      </c>
      <c r="L148" s="96">
        <v>5.0997654162223442</v>
      </c>
      <c r="M148" s="96">
        <v>4.6656357802951209</v>
      </c>
      <c r="N148" s="96">
        <v>4.7080832603122218</v>
      </c>
      <c r="O148" s="96">
        <v>4.7324076171682785</v>
      </c>
      <c r="P148" s="96">
        <v>4.7889139071840665</v>
      </c>
      <c r="Q148" s="96">
        <v>4.8785338694893392</v>
      </c>
      <c r="R148" s="96">
        <v>4.3142517315813906</v>
      </c>
      <c r="S148" s="96">
        <v>4.6877539511103121</v>
      </c>
      <c r="T148" s="96">
        <v>4.4653620703548835</v>
      </c>
      <c r="U148" s="96">
        <v>5.4885348670343754</v>
      </c>
      <c r="V148" s="96">
        <v>4.4420590504281163</v>
      </c>
      <c r="W148" s="96">
        <v>4.4420403763083067</v>
      </c>
      <c r="X148" s="96">
        <v>4.4803462865192341</v>
      </c>
      <c r="Y148" s="96">
        <v>4.4180324876168084</v>
      </c>
      <c r="DA148" s="171" t="s">
        <v>891</v>
      </c>
    </row>
    <row r="149" spans="1:105" ht="11.45" customHeight="1" x14ac:dyDescent="0.25">
      <c r="A149" s="111" t="s">
        <v>113</v>
      </c>
      <c r="B149" s="96">
        <v>0</v>
      </c>
      <c r="C149" s="96">
        <v>0</v>
      </c>
      <c r="D149" s="96">
        <v>0</v>
      </c>
      <c r="E149" s="96">
        <v>0</v>
      </c>
      <c r="F149" s="96">
        <v>0</v>
      </c>
      <c r="G149" s="96">
        <v>0</v>
      </c>
      <c r="H149" s="96">
        <v>0</v>
      </c>
      <c r="I149" s="96">
        <v>0</v>
      </c>
      <c r="J149" s="96">
        <v>0</v>
      </c>
      <c r="K149" s="96">
        <v>0</v>
      </c>
      <c r="L149" s="96">
        <v>7.5010086070677744</v>
      </c>
      <c r="M149" s="96">
        <v>7.4314587411888704</v>
      </c>
      <c r="N149" s="96">
        <v>6.823140996819772</v>
      </c>
      <c r="O149" s="96">
        <v>5.0526396752184617</v>
      </c>
      <c r="P149" s="96">
        <v>4.7308148831108916</v>
      </c>
      <c r="Q149" s="96">
        <v>5.4733229404876136</v>
      </c>
      <c r="R149" s="96">
        <v>5.4900359439924404</v>
      </c>
      <c r="S149" s="96">
        <v>7.5548913926494965</v>
      </c>
      <c r="T149" s="96">
        <v>7.1053114630541883</v>
      </c>
      <c r="U149" s="96">
        <v>6.0684617611429612</v>
      </c>
      <c r="V149" s="96">
        <v>4.5878848165024886</v>
      </c>
      <c r="W149" s="96">
        <v>4.4734188176603844</v>
      </c>
      <c r="X149" s="96">
        <v>4.5129527705017054</v>
      </c>
      <c r="Y149" s="96">
        <v>4.5200486081911748</v>
      </c>
      <c r="DA149" s="171" t="s">
        <v>892</v>
      </c>
    </row>
    <row r="150" spans="1:105" ht="11.45" customHeight="1" x14ac:dyDescent="0.25">
      <c r="A150" s="111" t="s">
        <v>114</v>
      </c>
      <c r="B150" s="96">
        <v>0</v>
      </c>
      <c r="C150" s="96">
        <v>0</v>
      </c>
      <c r="D150" s="96">
        <v>0</v>
      </c>
      <c r="E150" s="96">
        <v>0</v>
      </c>
      <c r="F150" s="96">
        <v>0</v>
      </c>
      <c r="G150" s="96">
        <v>0</v>
      </c>
      <c r="H150" s="96">
        <v>0</v>
      </c>
      <c r="I150" s="96">
        <v>0</v>
      </c>
      <c r="J150" s="96">
        <v>0</v>
      </c>
      <c r="K150" s="96">
        <v>0</v>
      </c>
      <c r="L150" s="96">
        <v>0</v>
      </c>
      <c r="M150" s="96">
        <v>3.225016442216182</v>
      </c>
      <c r="N150" s="96">
        <v>2.3560874955760851</v>
      </c>
      <c r="O150" s="96">
        <v>2.5759821487027832</v>
      </c>
      <c r="P150" s="96">
        <v>3.7279393575069681</v>
      </c>
      <c r="Q150" s="96">
        <v>2.8563685074798988</v>
      </c>
      <c r="R150" s="96">
        <v>2.7642937220878796</v>
      </c>
      <c r="S150" s="96">
        <v>3.0233510088704962</v>
      </c>
      <c r="T150" s="96">
        <v>3.280942401906632</v>
      </c>
      <c r="U150" s="96">
        <v>3.1901058978705228</v>
      </c>
      <c r="V150" s="96">
        <v>3.5499374410884466</v>
      </c>
      <c r="W150" s="96">
        <v>2.8980960805198617</v>
      </c>
      <c r="X150" s="96">
        <v>2.7609471778291965</v>
      </c>
      <c r="Y150" s="96">
        <v>2.6037344800021263</v>
      </c>
      <c r="DA150" s="171" t="s">
        <v>893</v>
      </c>
    </row>
    <row r="151" spans="1:105" ht="11.45" customHeight="1" x14ac:dyDescent="0.25">
      <c r="A151" s="111" t="s">
        <v>115</v>
      </c>
      <c r="B151" s="96">
        <v>0</v>
      </c>
      <c r="C151" s="96">
        <v>0</v>
      </c>
      <c r="D151" s="96">
        <v>0</v>
      </c>
      <c r="E151" s="96">
        <v>0</v>
      </c>
      <c r="F151" s="96">
        <v>0</v>
      </c>
      <c r="G151" s="96">
        <v>0</v>
      </c>
      <c r="H151" s="96">
        <v>0</v>
      </c>
      <c r="I151" s="96">
        <v>0</v>
      </c>
      <c r="J151" s="96">
        <v>0</v>
      </c>
      <c r="K151" s="96">
        <v>1.6544713297474181</v>
      </c>
      <c r="L151" s="96">
        <v>1.6312876182287188</v>
      </c>
      <c r="M151" s="96">
        <v>1.6312876182287188</v>
      </c>
      <c r="N151" s="96">
        <v>1.4792727989965391</v>
      </c>
      <c r="O151" s="96">
        <v>1.4164923297361685</v>
      </c>
      <c r="P151" s="96">
        <v>1.394464788780208</v>
      </c>
      <c r="Q151" s="96">
        <v>1.5510066554493123</v>
      </c>
      <c r="R151" s="96">
        <v>1.4447619192557137</v>
      </c>
      <c r="S151" s="96">
        <v>1.3478955423243939</v>
      </c>
      <c r="T151" s="96">
        <v>1.5938314102578701</v>
      </c>
      <c r="U151" s="96">
        <v>1.4664657464732924</v>
      </c>
      <c r="V151" s="96">
        <v>1.4369296404034539</v>
      </c>
      <c r="W151" s="96">
        <v>1.4988825280893447</v>
      </c>
      <c r="X151" s="96">
        <v>1.4844530237953835</v>
      </c>
      <c r="Y151" s="96">
        <v>1.4437483113865521</v>
      </c>
      <c r="DA151" s="171" t="s">
        <v>894</v>
      </c>
    </row>
    <row r="152" spans="1:105" ht="11.45" customHeight="1" x14ac:dyDescent="0.25">
      <c r="A152" s="109" t="s">
        <v>21</v>
      </c>
      <c r="B152" s="130">
        <v>48.886438430133197</v>
      </c>
      <c r="C152" s="130">
        <v>48.546568566310562</v>
      </c>
      <c r="D152" s="130">
        <v>48.062219202907421</v>
      </c>
      <c r="E152" s="130">
        <v>48.417519599710147</v>
      </c>
      <c r="F152" s="130">
        <v>48.282740491519952</v>
      </c>
      <c r="G152" s="130">
        <v>48.184292414917429</v>
      </c>
      <c r="H152" s="130">
        <v>47.849621596025202</v>
      </c>
      <c r="I152" s="130">
        <v>47.884431838848819</v>
      </c>
      <c r="J152" s="130">
        <v>47.237461023120197</v>
      </c>
      <c r="K152" s="130">
        <v>45.737403259665037</v>
      </c>
      <c r="L152" s="130">
        <v>43.683011162817287</v>
      </c>
      <c r="M152" s="130">
        <v>38.233342851235818</v>
      </c>
      <c r="N152" s="130">
        <v>43.112299673947071</v>
      </c>
      <c r="O152" s="130">
        <v>39.734365374828009</v>
      </c>
      <c r="P152" s="130">
        <v>43.326936648413465</v>
      </c>
      <c r="Q152" s="130">
        <v>41.25023373930312</v>
      </c>
      <c r="R152" s="130">
        <v>37.664822480413143</v>
      </c>
      <c r="S152" s="130">
        <v>36.984011546716232</v>
      </c>
      <c r="T152" s="130">
        <v>35.543553708920527</v>
      </c>
      <c r="U152" s="130">
        <v>30.4883545745896</v>
      </c>
      <c r="V152" s="130">
        <v>30.548918879415787</v>
      </c>
      <c r="W152" s="130">
        <v>31.494237619516053</v>
      </c>
      <c r="X152" s="130">
        <v>30.244348464988445</v>
      </c>
      <c r="Y152" s="130">
        <v>28.17831649460792</v>
      </c>
      <c r="DA152" s="176" t="s">
        <v>895</v>
      </c>
    </row>
    <row r="153" spans="1:105" ht="11.45" customHeight="1" x14ac:dyDescent="0.25">
      <c r="A153" s="111" t="s">
        <v>110</v>
      </c>
      <c r="B153" s="97">
        <v>0</v>
      </c>
      <c r="C153" s="97">
        <v>14.380976759504</v>
      </c>
      <c r="D153" s="97">
        <v>14.189230402710615</v>
      </c>
      <c r="E153" s="97">
        <v>14.189230402710615</v>
      </c>
      <c r="F153" s="97">
        <v>0</v>
      </c>
      <c r="G153" s="97">
        <v>14.189230402710615</v>
      </c>
      <c r="H153" s="97">
        <v>13.805737689123841</v>
      </c>
      <c r="I153" s="97">
        <v>13.613991332330455</v>
      </c>
      <c r="J153" s="97">
        <v>0</v>
      </c>
      <c r="K153" s="97">
        <v>12.321062005343201</v>
      </c>
      <c r="L153" s="97">
        <v>11.872938245118464</v>
      </c>
      <c r="M153" s="97">
        <v>0</v>
      </c>
      <c r="N153" s="97">
        <v>0</v>
      </c>
      <c r="O153" s="97">
        <v>0</v>
      </c>
      <c r="P153" s="97">
        <v>0</v>
      </c>
      <c r="Q153" s="97">
        <v>10.357556431304987</v>
      </c>
      <c r="R153" s="97">
        <v>10.145464735210371</v>
      </c>
      <c r="S153" s="97">
        <v>0</v>
      </c>
      <c r="T153" s="97">
        <v>0</v>
      </c>
      <c r="U153" s="97">
        <v>9.5922178915531191</v>
      </c>
      <c r="V153" s="97">
        <v>0</v>
      </c>
      <c r="W153" s="97">
        <v>9.2777852790162925</v>
      </c>
      <c r="X153" s="97">
        <v>9.1334148262743611</v>
      </c>
      <c r="Y153" s="97">
        <v>8.9963977997771938</v>
      </c>
      <c r="DA153" s="175" t="s">
        <v>896</v>
      </c>
    </row>
    <row r="154" spans="1:105" ht="11.45" customHeight="1" x14ac:dyDescent="0.25">
      <c r="A154" s="111" t="s">
        <v>111</v>
      </c>
      <c r="B154" s="97">
        <v>48.886438430133197</v>
      </c>
      <c r="C154" s="97">
        <v>48.738272737258001</v>
      </c>
      <c r="D154" s="97">
        <v>48.574170808849729</v>
      </c>
      <c r="E154" s="97">
        <v>48.574170808849729</v>
      </c>
      <c r="F154" s="97">
        <v>48.574170808849729</v>
      </c>
      <c r="G154" s="97">
        <v>48.574170808849729</v>
      </c>
      <c r="H154" s="97">
        <v>48.239176527409384</v>
      </c>
      <c r="I154" s="97">
        <v>48.069916258892157</v>
      </c>
      <c r="J154" s="97">
        <v>47.545517172431516</v>
      </c>
      <c r="K154" s="97">
        <v>46.863084538914457</v>
      </c>
      <c r="L154" s="97">
        <v>46.425026223226716</v>
      </c>
      <c r="M154" s="97">
        <v>0</v>
      </c>
      <c r="N154" s="97">
        <v>45.068114449221916</v>
      </c>
      <c r="O154" s="97">
        <v>44.086949688501946</v>
      </c>
      <c r="P154" s="97">
        <v>43.987116978279239</v>
      </c>
      <c r="Q154" s="97">
        <v>43.199999999908329</v>
      </c>
      <c r="R154" s="97">
        <v>42.163615351962726</v>
      </c>
      <c r="S154" s="97">
        <v>40.922127220135536</v>
      </c>
      <c r="T154" s="97">
        <v>39.517384803696494</v>
      </c>
      <c r="U154" s="97">
        <v>37.988037969632764</v>
      </c>
      <c r="V154" s="97">
        <v>36.368998023302588</v>
      </c>
      <c r="W154" s="97">
        <v>34.691176936101435</v>
      </c>
      <c r="X154" s="97">
        <v>32.981441571926005</v>
      </c>
      <c r="Y154" s="97">
        <v>31.262726149911856</v>
      </c>
      <c r="DA154" s="175" t="s">
        <v>897</v>
      </c>
    </row>
    <row r="155" spans="1:105" ht="11.45" customHeight="1" x14ac:dyDescent="0.25">
      <c r="A155" s="111" t="s">
        <v>112</v>
      </c>
      <c r="B155" s="97">
        <v>0</v>
      </c>
      <c r="C155" s="97">
        <v>0</v>
      </c>
      <c r="D155" s="97">
        <v>0</v>
      </c>
      <c r="E155" s="97">
        <v>0</v>
      </c>
      <c r="F155" s="97">
        <v>0</v>
      </c>
      <c r="G155" s="97">
        <v>38.859336647079779</v>
      </c>
      <c r="H155" s="97">
        <v>0</v>
      </c>
      <c r="I155" s="97">
        <v>0</v>
      </c>
      <c r="J155" s="97">
        <v>0</v>
      </c>
      <c r="K155" s="97">
        <v>0</v>
      </c>
      <c r="L155" s="97">
        <v>0</v>
      </c>
      <c r="M155" s="97">
        <v>0</v>
      </c>
      <c r="N155" s="97">
        <v>0</v>
      </c>
      <c r="O155" s="97">
        <v>0</v>
      </c>
      <c r="P155" s="97">
        <v>0</v>
      </c>
      <c r="Q155" s="97">
        <v>0</v>
      </c>
      <c r="R155" s="97">
        <v>0</v>
      </c>
      <c r="S155" s="97">
        <v>0</v>
      </c>
      <c r="T155" s="97">
        <v>0</v>
      </c>
      <c r="U155" s="97">
        <v>0</v>
      </c>
      <c r="V155" s="97">
        <v>0</v>
      </c>
      <c r="W155" s="97">
        <v>0</v>
      </c>
      <c r="X155" s="97">
        <v>0</v>
      </c>
      <c r="Y155" s="97">
        <v>0</v>
      </c>
      <c r="DA155" s="175" t="s">
        <v>898</v>
      </c>
    </row>
    <row r="156" spans="1:105" ht="11.45" customHeight="1" x14ac:dyDescent="0.25">
      <c r="A156" s="111" t="s">
        <v>113</v>
      </c>
      <c r="B156" s="97">
        <v>0</v>
      </c>
      <c r="C156" s="97">
        <v>40.615227281048334</v>
      </c>
      <c r="D156" s="97">
        <v>40.478475674041441</v>
      </c>
      <c r="E156" s="97">
        <v>0</v>
      </c>
      <c r="F156" s="97">
        <v>0</v>
      </c>
      <c r="G156" s="97">
        <v>40.478475674041441</v>
      </c>
      <c r="H156" s="97">
        <v>40.199313772841151</v>
      </c>
      <c r="I156" s="97">
        <v>40.058263549076798</v>
      </c>
      <c r="J156" s="97">
        <v>39.621264310359599</v>
      </c>
      <c r="K156" s="97">
        <v>39.052570449095377</v>
      </c>
      <c r="L156" s="97">
        <v>38.687521852688931</v>
      </c>
      <c r="M156" s="97">
        <v>38.233342851235818</v>
      </c>
      <c r="N156" s="97">
        <v>37.556762041018267</v>
      </c>
      <c r="O156" s="97">
        <v>36.739124740418283</v>
      </c>
      <c r="P156" s="97">
        <v>36.655930815232701</v>
      </c>
      <c r="Q156" s="97">
        <v>35.99999999992361</v>
      </c>
      <c r="R156" s="97">
        <v>35.576476899568881</v>
      </c>
      <c r="S156" s="97">
        <v>35.289433672192359</v>
      </c>
      <c r="T156" s="97">
        <v>35.083202276840225</v>
      </c>
      <c r="U156" s="97">
        <v>34.925082352585868</v>
      </c>
      <c r="V156" s="97">
        <v>34.795722121416752</v>
      </c>
      <c r="W156" s="97">
        <v>34.683617748459227</v>
      </c>
      <c r="X156" s="97">
        <v>34.581912035305102</v>
      </c>
      <c r="Y156" s="97">
        <v>0</v>
      </c>
      <c r="DA156" s="175" t="s">
        <v>899</v>
      </c>
    </row>
    <row r="157" spans="1:105" ht="11.45" customHeight="1" x14ac:dyDescent="0.25">
      <c r="A157" s="111" t="s">
        <v>115</v>
      </c>
      <c r="B157" s="97">
        <v>0</v>
      </c>
      <c r="C157" s="97">
        <v>0</v>
      </c>
      <c r="D157" s="97">
        <v>24.339946093503009</v>
      </c>
      <c r="E157" s="97">
        <v>0</v>
      </c>
      <c r="F157" s="97">
        <v>23.855581166242299</v>
      </c>
      <c r="G157" s="97">
        <v>23.617025354579877</v>
      </c>
      <c r="H157" s="97">
        <v>23.380855101034079</v>
      </c>
      <c r="I157" s="97">
        <v>0</v>
      </c>
      <c r="J157" s="97">
        <v>0</v>
      </c>
      <c r="K157" s="97">
        <v>22.686420323678266</v>
      </c>
      <c r="L157" s="97">
        <v>22.459556120441484</v>
      </c>
      <c r="M157" s="97">
        <v>0</v>
      </c>
      <c r="N157" s="97">
        <v>22.0126109536447</v>
      </c>
      <c r="O157" s="97">
        <v>21.813406517211511</v>
      </c>
      <c r="P157" s="97">
        <v>21.635664309657102</v>
      </c>
      <c r="Q157" s="97">
        <v>21.476934953926651</v>
      </c>
      <c r="R157" s="97">
        <v>21.228399064025837</v>
      </c>
      <c r="S157" s="97">
        <v>20.902140907244149</v>
      </c>
      <c r="T157" s="97">
        <v>20.509733961156098</v>
      </c>
      <c r="U157" s="97">
        <v>20.062055988079223</v>
      </c>
      <c r="V157" s="97">
        <v>19.569169222734573</v>
      </c>
      <c r="W157" s="97">
        <v>19.040253452653975</v>
      </c>
      <c r="X157" s="97">
        <v>18.48358072789345</v>
      </c>
      <c r="Y157" s="97">
        <v>17.906521748359456</v>
      </c>
      <c r="DA157" s="175" t="s">
        <v>900</v>
      </c>
    </row>
    <row r="158" spans="1:105" ht="11.45" customHeight="1" x14ac:dyDescent="0.25">
      <c r="A158" s="27" t="s">
        <v>34</v>
      </c>
      <c r="B158" s="32"/>
      <c r="C158" s="32"/>
      <c r="D158" s="32"/>
      <c r="E158" s="32"/>
      <c r="F158" s="32"/>
      <c r="G158" s="32"/>
      <c r="H158" s="32"/>
      <c r="I158" s="32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2"/>
      <c r="V158" s="32"/>
      <c r="W158" s="32"/>
      <c r="X158" s="32"/>
      <c r="Y158" s="32"/>
      <c r="DA158" s="173"/>
    </row>
    <row r="159" spans="1:105" ht="11.45" customHeight="1" x14ac:dyDescent="0.25">
      <c r="A159" s="136" t="s">
        <v>153</v>
      </c>
      <c r="B159" s="141">
        <v>8.6575378626787849</v>
      </c>
      <c r="C159" s="141">
        <v>8.7786504154562621</v>
      </c>
      <c r="D159" s="141">
        <v>8.884131090132982</v>
      </c>
      <c r="E159" s="141">
        <v>8.9486718371858416</v>
      </c>
      <c r="F159" s="141">
        <v>8.9754439622023927</v>
      </c>
      <c r="G159" s="141">
        <v>8.9499485367859357</v>
      </c>
      <c r="H159" s="141">
        <v>9.0979360374410625</v>
      </c>
      <c r="I159" s="141">
        <v>9.1623114052199952</v>
      </c>
      <c r="J159" s="141">
        <v>8.9668701234999624</v>
      </c>
      <c r="K159" s="141">
        <v>8.757623408531197</v>
      </c>
      <c r="L159" s="141">
        <v>9.0701537659201676</v>
      </c>
      <c r="M159" s="141">
        <v>9.2188593838965129</v>
      </c>
      <c r="N159" s="141">
        <v>7.3477953751680989</v>
      </c>
      <c r="O159" s="141">
        <v>7.0366918624299197</v>
      </c>
      <c r="P159" s="141">
        <v>6.9139732044005813</v>
      </c>
      <c r="Q159" s="141">
        <v>6.7451584491686827</v>
      </c>
      <c r="R159" s="141">
        <v>6.311116130476262</v>
      </c>
      <c r="S159" s="141">
        <v>6.2007223882206226</v>
      </c>
      <c r="T159" s="141">
        <v>6.1621418861974622</v>
      </c>
      <c r="U159" s="141">
        <v>6.2156058013671975</v>
      </c>
      <c r="V159" s="141">
        <v>6.3089087396867098</v>
      </c>
      <c r="W159" s="141">
        <v>6.2851593721738643</v>
      </c>
      <c r="X159" s="141">
        <v>6.0324300981274304</v>
      </c>
      <c r="Y159" s="141">
        <v>5.8861007186522576</v>
      </c>
      <c r="DA159" s="174" t="s">
        <v>901</v>
      </c>
    </row>
    <row r="160" spans="1:105" ht="11.45" customHeight="1" x14ac:dyDescent="0.25">
      <c r="A160" s="111" t="s">
        <v>110</v>
      </c>
      <c r="B160" s="96">
        <v>0</v>
      </c>
      <c r="C160" s="96">
        <v>0</v>
      </c>
      <c r="D160" s="96">
        <v>0</v>
      </c>
      <c r="E160" s="96">
        <v>0</v>
      </c>
      <c r="F160" s="96">
        <v>0</v>
      </c>
      <c r="G160" s="96">
        <v>0</v>
      </c>
      <c r="H160" s="96">
        <v>0</v>
      </c>
      <c r="I160" s="96">
        <v>0</v>
      </c>
      <c r="J160" s="96">
        <v>0</v>
      </c>
      <c r="K160" s="96">
        <v>8.0055583681365317</v>
      </c>
      <c r="L160" s="96">
        <v>7.7143918341906605</v>
      </c>
      <c r="M160" s="96">
        <v>7.3644582880176914</v>
      </c>
      <c r="N160" s="96">
        <v>6.8694489144998814</v>
      </c>
      <c r="O160" s="96">
        <v>7.3282892174988046</v>
      </c>
      <c r="P160" s="96">
        <v>6.2120973352690827</v>
      </c>
      <c r="Q160" s="96">
        <v>5.887253976028604</v>
      </c>
      <c r="R160" s="96">
        <v>5.5315816301813534</v>
      </c>
      <c r="S160" s="96">
        <v>5.6889190742663374</v>
      </c>
      <c r="T160" s="96">
        <v>5.9116469334136532</v>
      </c>
      <c r="U160" s="96">
        <v>6.0297770561774877</v>
      </c>
      <c r="V160" s="96">
        <v>5.5762966051320468</v>
      </c>
      <c r="W160" s="96">
        <v>6.1975538772540606</v>
      </c>
      <c r="X160" s="96">
        <v>5.9683848542513989</v>
      </c>
      <c r="Y160" s="96">
        <v>6.1466953789784524</v>
      </c>
      <c r="DA160" s="171" t="s">
        <v>902</v>
      </c>
    </row>
    <row r="161" spans="1:105" ht="11.45" customHeight="1" x14ac:dyDescent="0.25">
      <c r="A161" s="111" t="s">
        <v>111</v>
      </c>
      <c r="B161" s="96">
        <v>8.8382665655157542</v>
      </c>
      <c r="C161" s="96">
        <v>8.9672438411135484</v>
      </c>
      <c r="D161" s="96">
        <v>9.1127606000199286</v>
      </c>
      <c r="E161" s="96">
        <v>9.1586497024136424</v>
      </c>
      <c r="F161" s="96">
        <v>9.1352522982326363</v>
      </c>
      <c r="G161" s="96">
        <v>9.0223409541849477</v>
      </c>
      <c r="H161" s="96">
        <v>9.182650910573507</v>
      </c>
      <c r="I161" s="96">
        <v>9.1915570192617615</v>
      </c>
      <c r="J161" s="96">
        <v>8.8425583194779982</v>
      </c>
      <c r="K161" s="96">
        <v>8.4950643319358896</v>
      </c>
      <c r="L161" s="96">
        <v>8.1687570447889577</v>
      </c>
      <c r="M161" s="96">
        <v>7.2559223549324336</v>
      </c>
      <c r="N161" s="96">
        <v>6.982829929889121</v>
      </c>
      <c r="O161" s="96">
        <v>6.8110658467204299</v>
      </c>
      <c r="P161" s="96">
        <v>6.6504838808169993</v>
      </c>
      <c r="Q161" s="96">
        <v>6.4301413479932492</v>
      </c>
      <c r="R161" s="96">
        <v>6.1084125311982049</v>
      </c>
      <c r="S161" s="96">
        <v>5.9902285675646993</v>
      </c>
      <c r="T161" s="96">
        <v>6.0749224241798023</v>
      </c>
      <c r="U161" s="96">
        <v>6.0846029792134377</v>
      </c>
      <c r="V161" s="96">
        <v>6.3944708990517425</v>
      </c>
      <c r="W161" s="96">
        <v>6.4770388434630881</v>
      </c>
      <c r="X161" s="96">
        <v>6.3355107712771144</v>
      </c>
      <c r="Y161" s="96">
        <v>6.4110976872087679</v>
      </c>
      <c r="DA161" s="171" t="s">
        <v>903</v>
      </c>
    </row>
    <row r="162" spans="1:105" ht="11.45" customHeight="1" x14ac:dyDescent="0.25">
      <c r="A162" s="111" t="s">
        <v>112</v>
      </c>
      <c r="B162" s="96">
        <v>0</v>
      </c>
      <c r="C162" s="96">
        <v>15.971014351260591</v>
      </c>
      <c r="D162" s="96">
        <v>0</v>
      </c>
      <c r="E162" s="96">
        <v>0</v>
      </c>
      <c r="F162" s="96">
        <v>0</v>
      </c>
      <c r="G162" s="96">
        <v>0</v>
      </c>
      <c r="H162" s="96">
        <v>0</v>
      </c>
      <c r="I162" s="96">
        <v>0</v>
      </c>
      <c r="J162" s="96">
        <v>0</v>
      </c>
      <c r="K162" s="96">
        <v>15.130044054136254</v>
      </c>
      <c r="L162" s="96">
        <v>14.548877927923568</v>
      </c>
      <c r="M162" s="96">
        <v>13.310370160898007</v>
      </c>
      <c r="N162" s="96">
        <v>13.43146655547967</v>
      </c>
      <c r="O162" s="96">
        <v>7.628182178979074</v>
      </c>
      <c r="P162" s="96">
        <v>7.6096896161209422</v>
      </c>
      <c r="Q162" s="96">
        <v>9.3541547124046271</v>
      </c>
      <c r="R162" s="96">
        <v>8.78903315258645</v>
      </c>
      <c r="S162" s="96">
        <v>9.0390238613307776</v>
      </c>
      <c r="T162" s="96">
        <v>9.1538186147748899</v>
      </c>
      <c r="U162" s="96">
        <v>6.0563143360379312</v>
      </c>
      <c r="V162" s="96">
        <v>5.6777946900355598</v>
      </c>
      <c r="W162" s="96">
        <v>12.647066440737728</v>
      </c>
      <c r="X162" s="96">
        <v>12.254865007226648</v>
      </c>
      <c r="Y162" s="96">
        <v>13.058468418579357</v>
      </c>
      <c r="DA162" s="171" t="s">
        <v>904</v>
      </c>
    </row>
    <row r="163" spans="1:105" ht="11.45" customHeight="1" x14ac:dyDescent="0.25">
      <c r="A163" s="111" t="s">
        <v>113</v>
      </c>
      <c r="B163" s="96">
        <v>0</v>
      </c>
      <c r="C163" s="96">
        <v>0</v>
      </c>
      <c r="D163" s="96">
        <v>0</v>
      </c>
      <c r="E163" s="96">
        <v>9.961204291761387</v>
      </c>
      <c r="F163" s="96">
        <v>9.961204291761387</v>
      </c>
      <c r="G163" s="96">
        <v>0</v>
      </c>
      <c r="H163" s="96">
        <v>0</v>
      </c>
      <c r="I163" s="96">
        <v>9.5573716853386248</v>
      </c>
      <c r="J163" s="96">
        <v>0</v>
      </c>
      <c r="K163" s="96">
        <v>8.6497020799124389</v>
      </c>
      <c r="L163" s="96">
        <v>8.3351076870595193</v>
      </c>
      <c r="M163" s="96">
        <v>8.2578239973467831</v>
      </c>
      <c r="N163" s="96">
        <v>7.5818623803332938</v>
      </c>
      <c r="O163" s="96">
        <v>7.6649124296692639</v>
      </c>
      <c r="P163" s="96">
        <v>7.4959580872735305</v>
      </c>
      <c r="Q163" s="96">
        <v>7.8607418245682936</v>
      </c>
      <c r="R163" s="96">
        <v>7.2221997365292037</v>
      </c>
      <c r="S163" s="96">
        <v>7.4184641369908206</v>
      </c>
      <c r="T163" s="96">
        <v>6.5992836403917083</v>
      </c>
      <c r="U163" s="96">
        <v>6.9754688046278561</v>
      </c>
      <c r="V163" s="96">
        <v>6.3518963189727851</v>
      </c>
      <c r="W163" s="96">
        <v>7.0182008771009698</v>
      </c>
      <c r="X163" s="96">
        <v>5.5932940587232212</v>
      </c>
      <c r="Y163" s="96">
        <v>11.916276759846747</v>
      </c>
      <c r="DA163" s="171" t="s">
        <v>905</v>
      </c>
    </row>
    <row r="164" spans="1:105" ht="11.45" customHeight="1" x14ac:dyDescent="0.25">
      <c r="A164" s="111" t="s">
        <v>115</v>
      </c>
      <c r="B164" s="96">
        <v>0</v>
      </c>
      <c r="C164" s="96">
        <v>0</v>
      </c>
      <c r="D164" s="96">
        <v>0</v>
      </c>
      <c r="E164" s="96">
        <v>0</v>
      </c>
      <c r="F164" s="96">
        <v>0</v>
      </c>
      <c r="G164" s="96">
        <v>0</v>
      </c>
      <c r="H164" s="96">
        <v>0</v>
      </c>
      <c r="I164" s="96">
        <v>0</v>
      </c>
      <c r="J164" s="96">
        <v>0</v>
      </c>
      <c r="K164" s="96">
        <v>0</v>
      </c>
      <c r="L164" s="96">
        <v>0</v>
      </c>
      <c r="M164" s="96">
        <v>1.3462223264458861</v>
      </c>
      <c r="N164" s="96">
        <v>1.3327601031814273</v>
      </c>
      <c r="O164" s="96">
        <v>1.3263513188744041</v>
      </c>
      <c r="P164" s="96">
        <v>1.4052435473895402</v>
      </c>
      <c r="Q164" s="96">
        <v>1.4272939442328951</v>
      </c>
      <c r="R164" s="96">
        <v>1.4056355101983287</v>
      </c>
      <c r="S164" s="96">
        <v>1.3408431169038073</v>
      </c>
      <c r="T164" s="96">
        <v>1.6418639766793199</v>
      </c>
      <c r="U164" s="96">
        <v>1.9009655773922416</v>
      </c>
      <c r="V164" s="96">
        <v>2.053314148010688</v>
      </c>
      <c r="W164" s="96">
        <v>2.1581809333373707</v>
      </c>
      <c r="X164" s="96">
        <v>2.1121359183763695</v>
      </c>
      <c r="Y164" s="96">
        <v>2.053627081650466</v>
      </c>
      <c r="DA164" s="171" t="s">
        <v>906</v>
      </c>
    </row>
    <row r="165" spans="1:105" ht="11.45" customHeight="1" x14ac:dyDescent="0.25">
      <c r="A165" s="109" t="s">
        <v>154</v>
      </c>
      <c r="B165" s="130">
        <v>29.663161595802855</v>
      </c>
      <c r="C165" s="130">
        <v>29.533438087324903</v>
      </c>
      <c r="D165" s="130">
        <v>29.328001334165972</v>
      </c>
      <c r="E165" s="130">
        <v>29.086143975933929</v>
      </c>
      <c r="F165" s="130">
        <v>29.705692818607677</v>
      </c>
      <c r="G165" s="130">
        <v>28.71739499184142</v>
      </c>
      <c r="H165" s="130">
        <v>28.526999896888366</v>
      </c>
      <c r="I165" s="130">
        <v>27.667416134133127</v>
      </c>
      <c r="J165" s="130">
        <v>27.390702040336532</v>
      </c>
      <c r="K165" s="130">
        <v>26.214186750021607</v>
      </c>
      <c r="L165" s="130">
        <v>26.711353009551495</v>
      </c>
      <c r="M165" s="130">
        <v>25.842537481935459</v>
      </c>
      <c r="N165" s="130">
        <v>24.991566040057954</v>
      </c>
      <c r="O165" s="130">
        <v>24.69138023290159</v>
      </c>
      <c r="P165" s="130">
        <v>24.033433927100308</v>
      </c>
      <c r="Q165" s="130">
        <v>23.438939816183026</v>
      </c>
      <c r="R165" s="130">
        <v>22.847717599999161</v>
      </c>
      <c r="S165" s="130">
        <v>21.946106402791045</v>
      </c>
      <c r="T165" s="130">
        <v>21.272118780535457</v>
      </c>
      <c r="U165" s="130">
        <v>21.046691828929951</v>
      </c>
      <c r="V165" s="130">
        <v>20.949059404819451</v>
      </c>
      <c r="W165" s="130">
        <v>20.554821342106617</v>
      </c>
      <c r="X165" s="130">
        <v>20.306908360678477</v>
      </c>
      <c r="Y165" s="130">
        <v>20.081136380125329</v>
      </c>
      <c r="DA165" s="176" t="s">
        <v>907</v>
      </c>
    </row>
    <row r="166" spans="1:105" ht="11.45" customHeight="1" x14ac:dyDescent="0.25">
      <c r="A166" s="128" t="s">
        <v>27</v>
      </c>
      <c r="B166" s="97">
        <v>29.297837042193777</v>
      </c>
      <c r="C166" s="97">
        <v>29.118247422622431</v>
      </c>
      <c r="D166" s="97">
        <v>28.919994224024414</v>
      </c>
      <c r="E166" s="97">
        <v>28.673132089761395</v>
      </c>
      <c r="F166" s="97">
        <v>28.378288301166091</v>
      </c>
      <c r="G166" s="97">
        <v>28.03620677370245</v>
      </c>
      <c r="H166" s="97">
        <v>27.647743417929469</v>
      </c>
      <c r="I166" s="97">
        <v>27.213860867472391</v>
      </c>
      <c r="J166" s="97">
        <v>26.735622633522699</v>
      </c>
      <c r="K166" s="97">
        <v>26.214186750021611</v>
      </c>
      <c r="L166" s="97">
        <v>25.650798979521191</v>
      </c>
      <c r="M166" s="97">
        <v>25.046785650806264</v>
      </c>
      <c r="N166" s="97">
        <v>24.40354620211491</v>
      </c>
      <c r="O166" s="97">
        <v>23.722545504658761</v>
      </c>
      <c r="P166" s="97">
        <v>23.005306039387349</v>
      </c>
      <c r="Q166" s="97">
        <v>22.253399999952773</v>
      </c>
      <c r="R166" s="97">
        <v>21.637890321441844</v>
      </c>
      <c r="S166" s="97">
        <v>21.207033546484194</v>
      </c>
      <c r="T166" s="97">
        <v>20.754633932778663</v>
      </c>
      <c r="U166" s="97">
        <v>20.201701071583013</v>
      </c>
      <c r="V166" s="97">
        <v>20.122076314969643</v>
      </c>
      <c r="W166" s="97">
        <v>20.065590844767033</v>
      </c>
      <c r="X166" s="97">
        <v>19.955041996998666</v>
      </c>
      <c r="Y166" s="97">
        <v>19.755491577028678</v>
      </c>
      <c r="DA166" s="175" t="s">
        <v>908</v>
      </c>
    </row>
    <row r="167" spans="1:105" ht="11.45" customHeight="1" x14ac:dyDescent="0.25">
      <c r="A167" s="138" t="s">
        <v>116</v>
      </c>
      <c r="B167" s="98">
        <v>33.546147315091126</v>
      </c>
      <c r="C167" s="98">
        <v>33.402061855603584</v>
      </c>
      <c r="D167" s="98">
        <v>33.242692617271175</v>
      </c>
      <c r="E167" s="98">
        <v>33.04424825123408</v>
      </c>
      <c r="F167" s="98">
        <v>32.807233008364037</v>
      </c>
      <c r="G167" s="98">
        <v>32.532244897882101</v>
      </c>
      <c r="H167" s="98">
        <v>32.219971958189838</v>
      </c>
      <c r="I167" s="98">
        <v>31.871188018858444</v>
      </c>
      <c r="J167" s="98">
        <v>31.48674800162302</v>
      </c>
      <c r="K167" s="98">
        <v>0</v>
      </c>
      <c r="L167" s="98">
        <v>30.614693877473673</v>
      </c>
      <c r="M167" s="98">
        <v>30.129147390351896</v>
      </c>
      <c r="N167" s="98">
        <v>29.612068313049569</v>
      </c>
      <c r="O167" s="98">
        <v>29.064634207446638</v>
      </c>
      <c r="P167" s="98">
        <v>28.488068946000222</v>
      </c>
      <c r="Q167" s="98">
        <v>27.883636363577196</v>
      </c>
      <c r="R167" s="98">
        <v>27.103246514875242</v>
      </c>
      <c r="S167" s="98">
        <v>26.556973620783872</v>
      </c>
      <c r="T167" s="98">
        <v>25.983387081987935</v>
      </c>
      <c r="U167" s="98">
        <v>25.282336867904011</v>
      </c>
      <c r="V167" s="98">
        <v>24.879360481322131</v>
      </c>
      <c r="W167" s="98">
        <v>24.748425433669372</v>
      </c>
      <c r="X167" s="98">
        <v>24.612077098006637</v>
      </c>
      <c r="Y167" s="98">
        <v>24.36595632702657</v>
      </c>
      <c r="DA167" s="178" t="s">
        <v>909</v>
      </c>
    </row>
    <row r="168" spans="1:105" x14ac:dyDescent="0.25">
      <c r="A168" s="106"/>
      <c r="B168" s="106"/>
      <c r="C168" s="106"/>
      <c r="D168" s="106"/>
      <c r="E168" s="106"/>
      <c r="F168" s="106"/>
      <c r="G168" s="106"/>
      <c r="H168" s="106"/>
      <c r="I168" s="106"/>
      <c r="J168" s="106"/>
      <c r="K168" s="106"/>
      <c r="L168" s="106"/>
      <c r="M168" s="106"/>
      <c r="N168" s="106"/>
      <c r="O168" s="106"/>
      <c r="P168" s="106"/>
      <c r="Q168" s="106"/>
      <c r="R168" s="106"/>
      <c r="S168" s="106"/>
      <c r="T168" s="106"/>
      <c r="U168" s="106"/>
      <c r="V168" s="106"/>
      <c r="W168" s="106"/>
      <c r="X168" s="106"/>
      <c r="Y168" s="106"/>
      <c r="DA168" s="171"/>
    </row>
    <row r="169" spans="1:105" ht="11.45" customHeight="1" x14ac:dyDescent="0.25">
      <c r="A169" s="53" t="s">
        <v>123</v>
      </c>
      <c r="B169" s="62"/>
      <c r="C169" s="62"/>
      <c r="D169" s="62"/>
      <c r="E169" s="62"/>
      <c r="F169" s="62"/>
      <c r="G169" s="62"/>
      <c r="H169" s="62"/>
      <c r="I169" s="62"/>
      <c r="J169" s="62"/>
      <c r="K169" s="62"/>
      <c r="L169" s="62"/>
      <c r="M169" s="62"/>
      <c r="N169" s="62"/>
      <c r="O169" s="62"/>
      <c r="P169" s="62"/>
      <c r="Q169" s="62"/>
      <c r="R169" s="62"/>
      <c r="S169" s="62"/>
      <c r="T169" s="62"/>
      <c r="U169" s="62"/>
      <c r="V169" s="62"/>
      <c r="W169" s="62"/>
      <c r="X169" s="62"/>
      <c r="Y169" s="62"/>
      <c r="DA169" s="172"/>
    </row>
    <row r="170" spans="1:105" ht="11.45" customHeight="1" x14ac:dyDescent="0.25">
      <c r="A170" s="27" t="s">
        <v>33</v>
      </c>
      <c r="B170" s="29"/>
      <c r="C170" s="29"/>
      <c r="D170" s="29"/>
      <c r="E170" s="29"/>
      <c r="F170" s="29"/>
      <c r="G170" s="29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DA170" s="173"/>
    </row>
    <row r="171" spans="1:105" ht="11.45" customHeight="1" x14ac:dyDescent="0.25">
      <c r="A171" s="136" t="s">
        <v>173</v>
      </c>
      <c r="B171" s="152">
        <v>115.81372443521521</v>
      </c>
      <c r="C171" s="152">
        <v>115.35547385395755</v>
      </c>
      <c r="D171" s="152">
        <v>113.98254123233363</v>
      </c>
      <c r="E171" s="152">
        <v>113.26144181598637</v>
      </c>
      <c r="F171" s="152">
        <v>112.3233963609842</v>
      </c>
      <c r="G171" s="152">
        <v>110.40753311450878</v>
      </c>
      <c r="H171" s="152">
        <v>106.70128489196729</v>
      </c>
      <c r="I171" s="152">
        <v>104.65128788027202</v>
      </c>
      <c r="J171" s="152">
        <v>102.07851839208583</v>
      </c>
      <c r="K171" s="152">
        <v>99.341517929026864</v>
      </c>
      <c r="L171" s="152">
        <v>96.819383063883066</v>
      </c>
      <c r="M171" s="152">
        <v>94.994343208934723</v>
      </c>
      <c r="N171" s="152">
        <v>93.878645705238625</v>
      </c>
      <c r="O171" s="152">
        <v>92.260543014400682</v>
      </c>
      <c r="P171" s="152">
        <v>90.548378273207405</v>
      </c>
      <c r="Q171" s="152">
        <v>89.170015619484289</v>
      </c>
      <c r="R171" s="152">
        <v>87.010447397802096</v>
      </c>
      <c r="S171" s="152">
        <v>85.348697597335942</v>
      </c>
      <c r="T171" s="152">
        <v>84.076124173809916</v>
      </c>
      <c r="U171" s="152">
        <v>81.944972457906914</v>
      </c>
      <c r="V171" s="152">
        <v>79.918252614678153</v>
      </c>
      <c r="W171" s="152">
        <v>78.274060605953409</v>
      </c>
      <c r="X171" s="152">
        <v>77.211169084928514</v>
      </c>
      <c r="Y171" s="152">
        <v>76.667237405111152</v>
      </c>
      <c r="DA171" s="174" t="s">
        <v>910</v>
      </c>
    </row>
    <row r="172" spans="1:105" ht="11.45" customHeight="1" x14ac:dyDescent="0.25">
      <c r="A172" s="109" t="s">
        <v>20</v>
      </c>
      <c r="B172" s="116">
        <v>238.36028397779003</v>
      </c>
      <c r="C172" s="116">
        <v>232.6639410616549</v>
      </c>
      <c r="D172" s="116">
        <v>230.78652449248824</v>
      </c>
      <c r="E172" s="116">
        <v>228.78042153313132</v>
      </c>
      <c r="F172" s="116">
        <v>226.72990975933797</v>
      </c>
      <c r="G172" s="116">
        <v>224.96186388833567</v>
      </c>
      <c r="H172" s="116">
        <v>222.86724352182216</v>
      </c>
      <c r="I172" s="116">
        <v>220.90957807330264</v>
      </c>
      <c r="J172" s="116">
        <v>218.59439219660342</v>
      </c>
      <c r="K172" s="116">
        <v>215.43843723836176</v>
      </c>
      <c r="L172" s="116">
        <v>211.66405179967035</v>
      </c>
      <c r="M172" s="116">
        <v>208.16252169724507</v>
      </c>
      <c r="N172" s="116">
        <v>203.69186495908508</v>
      </c>
      <c r="O172" s="116">
        <v>197.87903169687792</v>
      </c>
      <c r="P172" s="116">
        <v>194.19203247124486</v>
      </c>
      <c r="Q172" s="116">
        <v>188.54990615871193</v>
      </c>
      <c r="R172" s="116">
        <v>186.38360724761901</v>
      </c>
      <c r="S172" s="116">
        <v>184.22193503314969</v>
      </c>
      <c r="T172" s="116">
        <v>177.4660111773764</v>
      </c>
      <c r="U172" s="116">
        <v>169.18594616500462</v>
      </c>
      <c r="V172" s="116">
        <v>162.31956219757706</v>
      </c>
      <c r="W172" s="116">
        <v>157.54051252388436</v>
      </c>
      <c r="X172" s="116">
        <v>149.51342125359022</v>
      </c>
      <c r="Y172" s="116">
        <v>139.57887605445993</v>
      </c>
      <c r="DA172" s="176" t="s">
        <v>911</v>
      </c>
    </row>
    <row r="173" spans="1:105" ht="11.45" customHeight="1" x14ac:dyDescent="0.25">
      <c r="A173" s="111" t="s">
        <v>110</v>
      </c>
      <c r="B173" s="87">
        <v>245.76355626454287</v>
      </c>
      <c r="C173" s="87">
        <v>238.83668801082257</v>
      </c>
      <c r="D173" s="87">
        <v>235.90846472171856</v>
      </c>
      <c r="E173" s="87">
        <v>233.30134176744616</v>
      </c>
      <c r="F173" s="87">
        <v>230.85096549024246</v>
      </c>
      <c r="G173" s="87">
        <v>228.68828477372921</v>
      </c>
      <c r="H173" s="87">
        <v>226.17031873431748</v>
      </c>
      <c r="I173" s="87">
        <v>223.61252351386116</v>
      </c>
      <c r="J173" s="87">
        <v>220.86102446989452</v>
      </c>
      <c r="K173" s="87">
        <v>217.32414173600949</v>
      </c>
      <c r="L173" s="87">
        <v>212.8828913182754</v>
      </c>
      <c r="M173" s="87">
        <v>208.32208403091718</v>
      </c>
      <c r="N173" s="87">
        <v>203.857709358764</v>
      </c>
      <c r="O173" s="87">
        <v>198.98745094745121</v>
      </c>
      <c r="P173" s="87">
        <v>195.59323027437247</v>
      </c>
      <c r="Q173" s="87">
        <v>191.69467147187476</v>
      </c>
      <c r="R173" s="87">
        <v>187.88036785925954</v>
      </c>
      <c r="S173" s="87">
        <v>183.90190162844334</v>
      </c>
      <c r="T173" s="87">
        <v>180.11532878715718</v>
      </c>
      <c r="U173" s="87">
        <v>176.51376169550267</v>
      </c>
      <c r="V173" s="87">
        <v>172.67316765556387</v>
      </c>
      <c r="W173" s="87">
        <v>167.34280803207335</v>
      </c>
      <c r="X173" s="87">
        <v>162.54445387602621</v>
      </c>
      <c r="Y173" s="87">
        <v>158.39683930692411</v>
      </c>
      <c r="DA173" s="171" t="s">
        <v>912</v>
      </c>
    </row>
    <row r="174" spans="1:105" ht="11.45" customHeight="1" x14ac:dyDescent="0.25">
      <c r="A174" s="111" t="s">
        <v>111</v>
      </c>
      <c r="B174" s="87">
        <v>214.78480786855422</v>
      </c>
      <c r="C174" s="87">
        <v>202.78008949379534</v>
      </c>
      <c r="D174" s="87">
        <v>199.48489660378172</v>
      </c>
      <c r="E174" s="87">
        <v>196.98649769394311</v>
      </c>
      <c r="F174" s="87">
        <v>194.78345304549066</v>
      </c>
      <c r="G174" s="87">
        <v>192.78581889452269</v>
      </c>
      <c r="H174" s="87">
        <v>191.77654029696717</v>
      </c>
      <c r="I174" s="87">
        <v>190.99892730939612</v>
      </c>
      <c r="J174" s="87">
        <v>189.57288930175659</v>
      </c>
      <c r="K174" s="87">
        <v>188.03402929709691</v>
      </c>
      <c r="L174" s="87">
        <v>185.88768917309878</v>
      </c>
      <c r="M174" s="87">
        <v>179.96370182349384</v>
      </c>
      <c r="N174" s="87">
        <v>174.80198370432578</v>
      </c>
      <c r="O174" s="87">
        <v>170.36730217018601</v>
      </c>
      <c r="P174" s="87">
        <v>165.47923095779024</v>
      </c>
      <c r="Q174" s="87">
        <v>159.75992421347084</v>
      </c>
      <c r="R174" s="87">
        <v>157.57212774314183</v>
      </c>
      <c r="S174" s="87">
        <v>155.56244249327762</v>
      </c>
      <c r="T174" s="87">
        <v>152.87830186888769</v>
      </c>
      <c r="U174" s="87">
        <v>150.07102338459183</v>
      </c>
      <c r="V174" s="87">
        <v>147.14022700514769</v>
      </c>
      <c r="W174" s="87">
        <v>146.97536983678873</v>
      </c>
      <c r="X174" s="87">
        <v>146.51253797024344</v>
      </c>
      <c r="Y174" s="87">
        <v>144.78877816280928</v>
      </c>
      <c r="DA174" s="171" t="s">
        <v>913</v>
      </c>
    </row>
    <row r="175" spans="1:105" ht="11.45" customHeight="1" x14ac:dyDescent="0.25">
      <c r="A175" s="111" t="s">
        <v>112</v>
      </c>
      <c r="B175" s="87">
        <v>168.89649024890679</v>
      </c>
      <c r="C175" s="87">
        <v>168.3473879494527</v>
      </c>
      <c r="D175" s="87">
        <v>168.33695296135383</v>
      </c>
      <c r="E175" s="87">
        <v>168.31630273879665</v>
      </c>
      <c r="F175" s="87">
        <v>168.29294648823546</v>
      </c>
      <c r="G175" s="87">
        <v>168.26699284103202</v>
      </c>
      <c r="H175" s="87">
        <v>168.23839582413649</v>
      </c>
      <c r="I175" s="87">
        <v>168.20722135339048</v>
      </c>
      <c r="J175" s="87">
        <v>168.17340396837113</v>
      </c>
      <c r="K175" s="87">
        <v>168.12267384200919</v>
      </c>
      <c r="L175" s="87">
        <v>167.91339509571424</v>
      </c>
      <c r="M175" s="87">
        <v>165.74591910371552</v>
      </c>
      <c r="N175" s="87">
        <v>162.28313933194437</v>
      </c>
      <c r="O175" s="87">
        <v>161.54876350117163</v>
      </c>
      <c r="P175" s="87">
        <v>160.6501120322923</v>
      </c>
      <c r="Q175" s="87">
        <v>159.73179801528207</v>
      </c>
      <c r="R175" s="87">
        <v>157.85767912374655</v>
      </c>
      <c r="S175" s="87">
        <v>156.47507694214929</v>
      </c>
      <c r="T175" s="87">
        <v>154.72674951879586</v>
      </c>
      <c r="U175" s="87">
        <v>150.39802199641355</v>
      </c>
      <c r="V175" s="87">
        <v>148.79432885285098</v>
      </c>
      <c r="W175" s="87">
        <v>146.10333073375571</v>
      </c>
      <c r="X175" s="87">
        <v>144.32505054757064</v>
      </c>
      <c r="Y175" s="87">
        <v>142.24816195893627</v>
      </c>
      <c r="DA175" s="171" t="s">
        <v>914</v>
      </c>
    </row>
    <row r="176" spans="1:105" ht="11.45" customHeight="1" x14ac:dyDescent="0.25">
      <c r="A176" s="111" t="s">
        <v>113</v>
      </c>
      <c r="B176" s="87">
        <v>0</v>
      </c>
      <c r="C176" s="87">
        <v>0</v>
      </c>
      <c r="D176" s="87">
        <v>0</v>
      </c>
      <c r="E176" s="87">
        <v>0</v>
      </c>
      <c r="F176" s="87">
        <v>0</v>
      </c>
      <c r="G176" s="87">
        <v>0</v>
      </c>
      <c r="H176" s="87">
        <v>0</v>
      </c>
      <c r="I176" s="87">
        <v>0</v>
      </c>
      <c r="J176" s="87">
        <v>0</v>
      </c>
      <c r="K176" s="87">
        <v>0</v>
      </c>
      <c r="L176" s="87">
        <v>176.18330011036036</v>
      </c>
      <c r="M176" s="87">
        <v>174.54971647718969</v>
      </c>
      <c r="N176" s="87">
        <v>161.90667887700963</v>
      </c>
      <c r="O176" s="87">
        <v>156.03187464740984</v>
      </c>
      <c r="P176" s="87">
        <v>140.31194352405751</v>
      </c>
      <c r="Q176" s="87">
        <v>139.03260398663423</v>
      </c>
      <c r="R176" s="87">
        <v>119.24896018502209</v>
      </c>
      <c r="S176" s="87">
        <v>142.11380313253974</v>
      </c>
      <c r="T176" s="87">
        <v>158.82248064038748</v>
      </c>
      <c r="U176" s="87">
        <v>159.53881258440055</v>
      </c>
      <c r="V176" s="87">
        <v>160.82928420898401</v>
      </c>
      <c r="W176" s="87">
        <v>165.18871684645103</v>
      </c>
      <c r="X176" s="87">
        <v>165.86882960619496</v>
      </c>
      <c r="Y176" s="87">
        <v>161.46213353495074</v>
      </c>
      <c r="DA176" s="171" t="s">
        <v>915</v>
      </c>
    </row>
    <row r="177" spans="1:105" ht="11.45" customHeight="1" x14ac:dyDescent="0.25">
      <c r="A177" s="111" t="s">
        <v>114</v>
      </c>
      <c r="B177" s="87">
        <v>0</v>
      </c>
      <c r="C177" s="87">
        <v>0</v>
      </c>
      <c r="D177" s="87">
        <v>0</v>
      </c>
      <c r="E177" s="87">
        <v>0</v>
      </c>
      <c r="F177" s="87">
        <v>0</v>
      </c>
      <c r="G177" s="87">
        <v>0</v>
      </c>
      <c r="H177" s="87">
        <v>0</v>
      </c>
      <c r="I177" s="87">
        <v>0</v>
      </c>
      <c r="J177" s="87">
        <v>0</v>
      </c>
      <c r="K177" s="87">
        <v>0</v>
      </c>
      <c r="L177" s="87">
        <v>0</v>
      </c>
      <c r="M177" s="87">
        <v>64.670700761398905</v>
      </c>
      <c r="N177" s="87">
        <v>37.321840354804053</v>
      </c>
      <c r="O177" s="87">
        <v>40.872103216291165</v>
      </c>
      <c r="P177" s="87">
        <v>60.859072647384046</v>
      </c>
      <c r="Q177" s="87">
        <v>54.422661360675569</v>
      </c>
      <c r="R177" s="87">
        <v>53.519280909762777</v>
      </c>
      <c r="S177" s="87">
        <v>53.515805058531143</v>
      </c>
      <c r="T177" s="87">
        <v>53.743499881570472</v>
      </c>
      <c r="U177" s="87">
        <v>53.866155040536569</v>
      </c>
      <c r="V177" s="87">
        <v>55.977096712479025</v>
      </c>
      <c r="W177" s="87">
        <v>51.195220690976839</v>
      </c>
      <c r="X177" s="87">
        <v>46.340255637677231</v>
      </c>
      <c r="Y177" s="87">
        <v>41.009671411695571</v>
      </c>
      <c r="DA177" s="171" t="s">
        <v>916</v>
      </c>
    </row>
    <row r="178" spans="1:105" ht="11.45" customHeight="1" x14ac:dyDescent="0.25">
      <c r="A178" s="111" t="s">
        <v>115</v>
      </c>
      <c r="B178" s="87">
        <v>0</v>
      </c>
      <c r="C178" s="87">
        <v>0</v>
      </c>
      <c r="D178" s="87">
        <v>0</v>
      </c>
      <c r="E178" s="87">
        <v>0</v>
      </c>
      <c r="F178" s="87">
        <v>0</v>
      </c>
      <c r="G178" s="87">
        <v>0</v>
      </c>
      <c r="H178" s="87">
        <v>0</v>
      </c>
      <c r="I178" s="87">
        <v>0</v>
      </c>
      <c r="J178" s="87">
        <v>0</v>
      </c>
      <c r="K178" s="87">
        <v>0</v>
      </c>
      <c r="L178" s="87">
        <v>0</v>
      </c>
      <c r="M178" s="87">
        <v>0</v>
      </c>
      <c r="N178" s="87">
        <v>0</v>
      </c>
      <c r="O178" s="87">
        <v>0</v>
      </c>
      <c r="P178" s="87">
        <v>0</v>
      </c>
      <c r="Q178" s="87">
        <v>0</v>
      </c>
      <c r="R178" s="87">
        <v>0</v>
      </c>
      <c r="S178" s="87">
        <v>0</v>
      </c>
      <c r="T178" s="87">
        <v>0</v>
      </c>
      <c r="U178" s="87">
        <v>0</v>
      </c>
      <c r="V178" s="87">
        <v>0</v>
      </c>
      <c r="W178" s="87">
        <v>0</v>
      </c>
      <c r="X178" s="87">
        <v>0</v>
      </c>
      <c r="Y178" s="87">
        <v>0</v>
      </c>
      <c r="DA178" s="171" t="s">
        <v>917</v>
      </c>
    </row>
    <row r="179" spans="1:105" ht="11.45" customHeight="1" x14ac:dyDescent="0.25">
      <c r="A179" s="109" t="s">
        <v>21</v>
      </c>
      <c r="B179" s="116">
        <v>1721.7828421685776</v>
      </c>
      <c r="C179" s="116">
        <v>1687.010136063911</v>
      </c>
      <c r="D179" s="116">
        <v>1662.2992132401137</v>
      </c>
      <c r="E179" s="116">
        <v>1657.731947095099</v>
      </c>
      <c r="F179" s="116">
        <v>1630.0516163454438</v>
      </c>
      <c r="G179" s="116">
        <v>1608.0861969062692</v>
      </c>
      <c r="H179" s="116">
        <v>1584.3008240487009</v>
      </c>
      <c r="I179" s="116">
        <v>1568.8893603163147</v>
      </c>
      <c r="J179" s="116">
        <v>1540.5566082462087</v>
      </c>
      <c r="K179" s="116">
        <v>1487.4847989268005</v>
      </c>
      <c r="L179" s="116">
        <v>1424.1608246273274</v>
      </c>
      <c r="M179" s="116">
        <v>1140.531388195222</v>
      </c>
      <c r="N179" s="116">
        <v>1404.0096764228313</v>
      </c>
      <c r="O179" s="116">
        <v>1249.0666751806718</v>
      </c>
      <c r="P179" s="116">
        <v>1392.3318104693042</v>
      </c>
      <c r="Q179" s="116">
        <v>1330.002273096999</v>
      </c>
      <c r="R179" s="116">
        <v>1189.4053947203013</v>
      </c>
      <c r="S179" s="116">
        <v>1176.411992624968</v>
      </c>
      <c r="T179" s="116">
        <v>1130.8700505398731</v>
      </c>
      <c r="U179" s="116">
        <v>961.12658038791983</v>
      </c>
      <c r="V179" s="116">
        <v>871.46444341588756</v>
      </c>
      <c r="W179" s="116">
        <v>958.71364668401179</v>
      </c>
      <c r="X179" s="116">
        <v>996.09784711449527</v>
      </c>
      <c r="Y179" s="116">
        <v>914.12608782874497</v>
      </c>
      <c r="DA179" s="176" t="s">
        <v>918</v>
      </c>
    </row>
    <row r="180" spans="1:105" ht="11.45" customHeight="1" x14ac:dyDescent="0.25">
      <c r="A180" s="111" t="s">
        <v>110</v>
      </c>
      <c r="B180" s="101">
        <v>490.76615741864458</v>
      </c>
      <c r="C180" s="101">
        <v>469.40352787220257</v>
      </c>
      <c r="D180" s="101">
        <v>456.03470063480586</v>
      </c>
      <c r="E180" s="101">
        <v>447.44290936139697</v>
      </c>
      <c r="F180" s="101">
        <v>446.33272305076849</v>
      </c>
      <c r="G180" s="101">
        <v>442.98598158138043</v>
      </c>
      <c r="H180" s="101">
        <v>440.961451995527</v>
      </c>
      <c r="I180" s="101">
        <v>436.8203274199858</v>
      </c>
      <c r="J180" s="101">
        <v>436.82032741998592</v>
      </c>
      <c r="K180" s="101">
        <v>433.15130154994335</v>
      </c>
      <c r="L180" s="101">
        <v>421.99436911003886</v>
      </c>
      <c r="M180" s="101">
        <v>413.02793257214279</v>
      </c>
      <c r="N180" s="101">
        <v>391.4973007546443</v>
      </c>
      <c r="O180" s="101">
        <v>388.8894404586473</v>
      </c>
      <c r="P180" s="101">
        <v>387.43155079419273</v>
      </c>
      <c r="Q180" s="101">
        <v>346.39261429331594</v>
      </c>
      <c r="R180" s="101">
        <v>335.2623727720889</v>
      </c>
      <c r="S180" s="101">
        <v>328.82717559705208</v>
      </c>
      <c r="T180" s="101">
        <v>323.56496451261063</v>
      </c>
      <c r="U180" s="101">
        <v>285.90851755539376</v>
      </c>
      <c r="V180" s="101">
        <v>283.20144971070778</v>
      </c>
      <c r="W180" s="101">
        <v>281.13453145270313</v>
      </c>
      <c r="X180" s="101">
        <v>277.79452930626451</v>
      </c>
      <c r="Y180" s="101">
        <v>277.6712481156091</v>
      </c>
      <c r="DA180" s="175" t="s">
        <v>919</v>
      </c>
    </row>
    <row r="181" spans="1:105" ht="11.45" customHeight="1" x14ac:dyDescent="0.25">
      <c r="A181" s="111" t="s">
        <v>111</v>
      </c>
      <c r="B181" s="101">
        <v>1733.7699297744653</v>
      </c>
      <c r="C181" s="101">
        <v>1687.5680006127129</v>
      </c>
      <c r="D181" s="101">
        <v>1670.2064869589935</v>
      </c>
      <c r="E181" s="101">
        <v>1649.5597500482934</v>
      </c>
      <c r="F181" s="101">
        <v>1628.8422457930037</v>
      </c>
      <c r="G181" s="101">
        <v>1605.4517063552464</v>
      </c>
      <c r="H181" s="101">
        <v>1588.4932347696258</v>
      </c>
      <c r="I181" s="101">
        <v>1566.1629104707024</v>
      </c>
      <c r="J181" s="101">
        <v>1546.9891326693362</v>
      </c>
      <c r="K181" s="101">
        <v>1529.7021929643397</v>
      </c>
      <c r="L181" s="101">
        <v>1523.2805663808065</v>
      </c>
      <c r="M181" s="101">
        <v>1519.4098762610761</v>
      </c>
      <c r="N181" s="101">
        <v>1504.0565625227723</v>
      </c>
      <c r="O181" s="101">
        <v>1481.7184739966688</v>
      </c>
      <c r="P181" s="101">
        <v>1463.1439837103146</v>
      </c>
      <c r="Q181" s="101">
        <v>1441.734330166071</v>
      </c>
      <c r="R181" s="101">
        <v>1421.8142825939594</v>
      </c>
      <c r="S181" s="101">
        <v>1404.0639688279746</v>
      </c>
      <c r="T181" s="101">
        <v>1382.2448015038981</v>
      </c>
      <c r="U181" s="101">
        <v>1353.8176182578907</v>
      </c>
      <c r="V181" s="101">
        <v>1305.9520308157444</v>
      </c>
      <c r="W181" s="101">
        <v>1253.0352666249864</v>
      </c>
      <c r="X181" s="101">
        <v>1217.3521042916755</v>
      </c>
      <c r="Y181" s="101">
        <v>1170.5004781599205</v>
      </c>
      <c r="DA181" s="175" t="s">
        <v>920</v>
      </c>
    </row>
    <row r="182" spans="1:105" ht="11.45" customHeight="1" x14ac:dyDescent="0.25">
      <c r="A182" s="111" t="s">
        <v>112</v>
      </c>
      <c r="B182" s="101">
        <v>1131.2219172741234</v>
      </c>
      <c r="C182" s="101">
        <v>1131.2219172741236</v>
      </c>
      <c r="D182" s="101">
        <v>1131.2219172741234</v>
      </c>
      <c r="E182" s="101">
        <v>1131.2219172741236</v>
      </c>
      <c r="F182" s="101">
        <v>1131.2219172741234</v>
      </c>
      <c r="G182" s="101">
        <v>1103.05892782972</v>
      </c>
      <c r="H182" s="101">
        <v>1098.9540950076619</v>
      </c>
      <c r="I182" s="101">
        <v>1095.7527330507205</v>
      </c>
      <c r="J182" s="101">
        <v>1095.4930197465046</v>
      </c>
      <c r="K182" s="101">
        <v>1093.4704183450438</v>
      </c>
      <c r="L182" s="101">
        <v>1093.4704183450438</v>
      </c>
      <c r="M182" s="101">
        <v>1092.2154554324932</v>
      </c>
      <c r="N182" s="101">
        <v>1091.2050779363731</v>
      </c>
      <c r="O182" s="101">
        <v>1090.8741866901971</v>
      </c>
      <c r="P182" s="101">
        <v>1090.1409652882105</v>
      </c>
      <c r="Q182" s="101">
        <v>1090.1409652882103</v>
      </c>
      <c r="R182" s="101">
        <v>1090.9835951528746</v>
      </c>
      <c r="S182" s="101">
        <v>1089.8693785664154</v>
      </c>
      <c r="T182" s="101">
        <v>1089.0717508267251</v>
      </c>
      <c r="U182" s="101">
        <v>1089.0717508267248</v>
      </c>
      <c r="V182" s="101">
        <v>1089.0666719939586</v>
      </c>
      <c r="W182" s="101">
        <v>1088.2072490512894</v>
      </c>
      <c r="X182" s="101">
        <v>1086.8845720289396</v>
      </c>
      <c r="Y182" s="101">
        <v>1087.3080323354341</v>
      </c>
      <c r="DA182" s="175" t="s">
        <v>921</v>
      </c>
    </row>
    <row r="183" spans="1:105" ht="11.45" customHeight="1" x14ac:dyDescent="0.25">
      <c r="A183" s="111" t="s">
        <v>113</v>
      </c>
      <c r="B183" s="101">
        <v>1049.719158479194</v>
      </c>
      <c r="C183" s="101">
        <v>1010.5137543658714</v>
      </c>
      <c r="D183" s="101">
        <v>977.03049702258943</v>
      </c>
      <c r="E183" s="101">
        <v>971.8415775157772</v>
      </c>
      <c r="F183" s="101">
        <v>967.92321671710079</v>
      </c>
      <c r="G183" s="101">
        <v>963.83162710063084</v>
      </c>
      <c r="H183" s="101">
        <v>950.93115940768121</v>
      </c>
      <c r="I183" s="101">
        <v>948.08261020984969</v>
      </c>
      <c r="J183" s="101">
        <v>940.4967822529959</v>
      </c>
      <c r="K183" s="101">
        <v>927.64950824253492</v>
      </c>
      <c r="L183" s="101">
        <v>922.49309257985499</v>
      </c>
      <c r="M183" s="101">
        <v>911.44596839605867</v>
      </c>
      <c r="N183" s="101">
        <v>903.39669520890379</v>
      </c>
      <c r="O183" s="101">
        <v>883.04669553634199</v>
      </c>
      <c r="P183" s="101">
        <v>882.33338403900211</v>
      </c>
      <c r="Q183" s="101">
        <v>879.47846410843135</v>
      </c>
      <c r="R183" s="101">
        <v>874.71265216198117</v>
      </c>
      <c r="S183" s="101">
        <v>871.37837131291076</v>
      </c>
      <c r="T183" s="101">
        <v>867.51747647486502</v>
      </c>
      <c r="U183" s="101">
        <v>861.97891116370647</v>
      </c>
      <c r="V183" s="101">
        <v>856.05656957939607</v>
      </c>
      <c r="W183" s="101">
        <v>852.82423821223063</v>
      </c>
      <c r="X183" s="101">
        <v>851.898946172666</v>
      </c>
      <c r="Y183" s="101">
        <v>851.04293422146986</v>
      </c>
      <c r="DA183" s="175" t="s">
        <v>922</v>
      </c>
    </row>
    <row r="184" spans="1:105" ht="11.45" customHeight="1" x14ac:dyDescent="0.25">
      <c r="A184" s="111" t="s">
        <v>115</v>
      </c>
      <c r="B184" s="101">
        <v>0</v>
      </c>
      <c r="C184" s="101">
        <v>0</v>
      </c>
      <c r="D184" s="101">
        <v>0</v>
      </c>
      <c r="E184" s="101">
        <v>0</v>
      </c>
      <c r="F184" s="101">
        <v>0</v>
      </c>
      <c r="G184" s="101">
        <v>0</v>
      </c>
      <c r="H184" s="101">
        <v>0</v>
      </c>
      <c r="I184" s="101">
        <v>0</v>
      </c>
      <c r="J184" s="101">
        <v>0</v>
      </c>
      <c r="K184" s="101">
        <v>0</v>
      </c>
      <c r="L184" s="101">
        <v>0</v>
      </c>
      <c r="M184" s="101">
        <v>0</v>
      </c>
      <c r="N184" s="101">
        <v>0</v>
      </c>
      <c r="O184" s="101">
        <v>0</v>
      </c>
      <c r="P184" s="101">
        <v>0</v>
      </c>
      <c r="Q184" s="101">
        <v>0</v>
      </c>
      <c r="R184" s="101">
        <v>0</v>
      </c>
      <c r="S184" s="101">
        <v>0</v>
      </c>
      <c r="T184" s="101">
        <v>0</v>
      </c>
      <c r="U184" s="101">
        <v>0</v>
      </c>
      <c r="V184" s="101">
        <v>0</v>
      </c>
      <c r="W184" s="101">
        <v>0</v>
      </c>
      <c r="X184" s="101">
        <v>0</v>
      </c>
      <c r="Y184" s="101">
        <v>0</v>
      </c>
      <c r="DA184" s="175" t="s">
        <v>923</v>
      </c>
    </row>
    <row r="185" spans="1:105" ht="11.45" customHeight="1" x14ac:dyDescent="0.25">
      <c r="A185" s="27" t="s">
        <v>34</v>
      </c>
      <c r="B185" s="29">
        <v>0</v>
      </c>
      <c r="C185" s="29">
        <v>0</v>
      </c>
      <c r="D185" s="29">
        <v>0</v>
      </c>
      <c r="E185" s="29">
        <v>0</v>
      </c>
      <c r="F185" s="29">
        <v>0</v>
      </c>
      <c r="G185" s="29">
        <v>0</v>
      </c>
      <c r="H185" s="29">
        <v>0</v>
      </c>
      <c r="I185" s="29">
        <v>0</v>
      </c>
      <c r="J185" s="29">
        <v>0</v>
      </c>
      <c r="K185" s="29">
        <v>0</v>
      </c>
      <c r="L185" s="29">
        <v>0</v>
      </c>
      <c r="M185" s="29">
        <v>0</v>
      </c>
      <c r="N185" s="29">
        <v>0</v>
      </c>
      <c r="O185" s="29">
        <v>0</v>
      </c>
      <c r="P185" s="29">
        <v>0</v>
      </c>
      <c r="Q185" s="29">
        <v>0</v>
      </c>
      <c r="R185" s="29">
        <v>0</v>
      </c>
      <c r="S185" s="29">
        <v>0</v>
      </c>
      <c r="T185" s="29">
        <v>0</v>
      </c>
      <c r="U185" s="29">
        <v>0</v>
      </c>
      <c r="V185" s="29">
        <v>0</v>
      </c>
      <c r="W185" s="29">
        <v>0</v>
      </c>
      <c r="X185" s="29">
        <v>0</v>
      </c>
      <c r="Y185" s="29">
        <v>0</v>
      </c>
      <c r="DA185" s="173"/>
    </row>
    <row r="186" spans="1:105" ht="11.45" customHeight="1" x14ac:dyDescent="0.25">
      <c r="A186" s="136" t="s">
        <v>153</v>
      </c>
      <c r="B186" s="152">
        <v>340.54378106366323</v>
      </c>
      <c r="C186" s="152">
        <v>326.23485923867298</v>
      </c>
      <c r="D186" s="152">
        <v>322.48198748739355</v>
      </c>
      <c r="E186" s="152">
        <v>317.56758798263877</v>
      </c>
      <c r="F186" s="152">
        <v>312.14123927816536</v>
      </c>
      <c r="G186" s="152">
        <v>304.49627785254972</v>
      </c>
      <c r="H186" s="152">
        <v>300.65408820599112</v>
      </c>
      <c r="I186" s="152">
        <v>295.24251339925877</v>
      </c>
      <c r="J186" s="152">
        <v>287.31485691803164</v>
      </c>
      <c r="K186" s="152">
        <v>278.2547956972947</v>
      </c>
      <c r="L186" s="152">
        <v>257.91669609972394</v>
      </c>
      <c r="M186" s="152">
        <v>224.86966425938488</v>
      </c>
      <c r="N186" s="152">
        <v>266.19119520166305</v>
      </c>
      <c r="O186" s="152">
        <v>267.0614195986268</v>
      </c>
      <c r="P186" s="152">
        <v>257.42880753023979</v>
      </c>
      <c r="Q186" s="152">
        <v>252.67724976106143</v>
      </c>
      <c r="R186" s="152">
        <v>249.93976452826919</v>
      </c>
      <c r="S186" s="152">
        <v>242.76358618642396</v>
      </c>
      <c r="T186" s="152">
        <v>239.73052343158827</v>
      </c>
      <c r="U186" s="152">
        <v>227.94036116369384</v>
      </c>
      <c r="V186" s="152">
        <v>229.71293771914881</v>
      </c>
      <c r="W186" s="152">
        <v>227.05326804151375</v>
      </c>
      <c r="X186" s="152">
        <v>224.78754814611068</v>
      </c>
      <c r="Y186" s="152">
        <v>211.94847318116456</v>
      </c>
      <c r="DA186" s="174" t="s">
        <v>924</v>
      </c>
    </row>
    <row r="187" spans="1:105" ht="11.45" customHeight="1" x14ac:dyDescent="0.25">
      <c r="A187" s="111" t="s">
        <v>110</v>
      </c>
      <c r="B187" s="87">
        <v>316.56144200758604</v>
      </c>
      <c r="C187" s="87">
        <v>316.56144200758604</v>
      </c>
      <c r="D187" s="87">
        <v>316.56144200758609</v>
      </c>
      <c r="E187" s="87">
        <v>316.56144200758598</v>
      </c>
      <c r="F187" s="87">
        <v>316.56144200758604</v>
      </c>
      <c r="G187" s="87">
        <v>316.56144200758604</v>
      </c>
      <c r="H187" s="87">
        <v>316.56144200758598</v>
      </c>
      <c r="I187" s="87">
        <v>316.56144200758598</v>
      </c>
      <c r="J187" s="87">
        <v>316.56144200758609</v>
      </c>
      <c r="K187" s="87">
        <v>313.87223891091776</v>
      </c>
      <c r="L187" s="87">
        <v>307.18883767169899</v>
      </c>
      <c r="M187" s="87">
        <v>300.19821273543494</v>
      </c>
      <c r="N187" s="87">
        <v>291.05758350308855</v>
      </c>
      <c r="O187" s="87">
        <v>285.32650029588171</v>
      </c>
      <c r="P187" s="87">
        <v>272.53232860226001</v>
      </c>
      <c r="Q187" s="87">
        <v>260.3659481818612</v>
      </c>
      <c r="R187" s="87">
        <v>248.32071468317352</v>
      </c>
      <c r="S187" s="87">
        <v>237.17017491779936</v>
      </c>
      <c r="T187" s="87">
        <v>230.43084754799133</v>
      </c>
      <c r="U187" s="87">
        <v>221.75458688353314</v>
      </c>
      <c r="V187" s="87">
        <v>214.92704220899392</v>
      </c>
      <c r="W187" s="87">
        <v>204.42110147499073</v>
      </c>
      <c r="X187" s="87">
        <v>191.96333164306418</v>
      </c>
      <c r="Y187" s="87">
        <v>189.61163897305971</v>
      </c>
      <c r="DA187" s="171" t="s">
        <v>925</v>
      </c>
    </row>
    <row r="188" spans="1:105" ht="11.45" customHeight="1" x14ac:dyDescent="0.25">
      <c r="A188" s="111" t="s">
        <v>111</v>
      </c>
      <c r="B188" s="87">
        <v>321.73947950789608</v>
      </c>
      <c r="C188" s="87">
        <v>303.00354434295173</v>
      </c>
      <c r="D188" s="87">
        <v>298.35560156728974</v>
      </c>
      <c r="E188" s="87">
        <v>294.92139496998834</v>
      </c>
      <c r="F188" s="87">
        <v>292.23799225093194</v>
      </c>
      <c r="G188" s="87">
        <v>289.11869564648669</v>
      </c>
      <c r="H188" s="87">
        <v>286.26977611463462</v>
      </c>
      <c r="I188" s="87">
        <v>283.98471554481773</v>
      </c>
      <c r="J188" s="87">
        <v>281.53631188249437</v>
      </c>
      <c r="K188" s="87">
        <v>278.59121561868096</v>
      </c>
      <c r="L188" s="87">
        <v>278.88176078759386</v>
      </c>
      <c r="M188" s="87">
        <v>277.64505756307665</v>
      </c>
      <c r="N188" s="87">
        <v>273.39975897509555</v>
      </c>
      <c r="O188" s="87">
        <v>268.62163525720075</v>
      </c>
      <c r="P188" s="87">
        <v>263.63335370426216</v>
      </c>
      <c r="Q188" s="87">
        <v>257.95333618935621</v>
      </c>
      <c r="R188" s="87">
        <v>250.18092818667341</v>
      </c>
      <c r="S188" s="87">
        <v>242.65862832739947</v>
      </c>
      <c r="T188" s="87">
        <v>235.09942869940821</v>
      </c>
      <c r="U188" s="87">
        <v>228.56820751993891</v>
      </c>
      <c r="V188" s="87">
        <v>225.0935784487271</v>
      </c>
      <c r="W188" s="87">
        <v>222.36182276375547</v>
      </c>
      <c r="X188" s="87">
        <v>217.82083161776234</v>
      </c>
      <c r="Y188" s="87">
        <v>212.85649396639872</v>
      </c>
      <c r="DA188" s="171" t="s">
        <v>926</v>
      </c>
    </row>
    <row r="189" spans="1:105" ht="11.45" customHeight="1" x14ac:dyDescent="0.25">
      <c r="A189" s="111" t="s">
        <v>112</v>
      </c>
      <c r="B189" s="87">
        <v>523.03347954231253</v>
      </c>
      <c r="C189" s="87">
        <v>522.66310736833304</v>
      </c>
      <c r="D189" s="87">
        <v>522.66156101087222</v>
      </c>
      <c r="E189" s="87">
        <v>522.65261279468052</v>
      </c>
      <c r="F189" s="87">
        <v>522.63894003592964</v>
      </c>
      <c r="G189" s="87">
        <v>522.59349649362093</v>
      </c>
      <c r="H189" s="87">
        <v>522.5643380260974</v>
      </c>
      <c r="I189" s="87">
        <v>522.54964203109955</v>
      </c>
      <c r="J189" s="87">
        <v>522.54917466189045</v>
      </c>
      <c r="K189" s="87">
        <v>522.43005982018371</v>
      </c>
      <c r="L189" s="87">
        <v>516.18478202456924</v>
      </c>
      <c r="M189" s="87">
        <v>508.5594483455726</v>
      </c>
      <c r="N189" s="87">
        <v>499.37162191382697</v>
      </c>
      <c r="O189" s="87">
        <v>493.82241020462311</v>
      </c>
      <c r="P189" s="87">
        <v>483.63602102647997</v>
      </c>
      <c r="Q189" s="87">
        <v>474.51150399618143</v>
      </c>
      <c r="R189" s="87">
        <v>463.88592542092357</v>
      </c>
      <c r="S189" s="87">
        <v>451.76956878410317</v>
      </c>
      <c r="T189" s="87">
        <v>416.79068118379644</v>
      </c>
      <c r="U189" s="87">
        <v>343.15371031390868</v>
      </c>
      <c r="V189" s="87">
        <v>336.6845574958063</v>
      </c>
      <c r="W189" s="87">
        <v>322.00411758872787</v>
      </c>
      <c r="X189" s="87">
        <v>314.23591750685688</v>
      </c>
      <c r="Y189" s="87">
        <v>313.86941100193354</v>
      </c>
      <c r="DA189" s="171" t="s">
        <v>927</v>
      </c>
    </row>
    <row r="190" spans="1:105" ht="11.45" customHeight="1" x14ac:dyDescent="0.25">
      <c r="A190" s="111" t="s">
        <v>113</v>
      </c>
      <c r="B190" s="87">
        <v>0</v>
      </c>
      <c r="C190" s="87">
        <v>0</v>
      </c>
      <c r="D190" s="87">
        <v>0</v>
      </c>
      <c r="E190" s="87">
        <v>233.96824842226835</v>
      </c>
      <c r="F190" s="87">
        <v>233.96824842226835</v>
      </c>
      <c r="G190" s="87">
        <v>233.96824842226832</v>
      </c>
      <c r="H190" s="87">
        <v>233.96824842226832</v>
      </c>
      <c r="I190" s="87">
        <v>228.37404913143578</v>
      </c>
      <c r="J190" s="87">
        <v>228.37404913143573</v>
      </c>
      <c r="K190" s="87">
        <v>217.34568535207231</v>
      </c>
      <c r="L190" s="87">
        <v>210.55804425823851</v>
      </c>
      <c r="M190" s="87">
        <v>206.3935724887865</v>
      </c>
      <c r="N190" s="87">
        <v>198.04549004411879</v>
      </c>
      <c r="O190" s="87">
        <v>194.55696654161818</v>
      </c>
      <c r="P190" s="87">
        <v>190.82491956434774</v>
      </c>
      <c r="Q190" s="87">
        <v>190.20187671619428</v>
      </c>
      <c r="R190" s="87">
        <v>175.5986482278108</v>
      </c>
      <c r="S190" s="87">
        <v>175.14651375121667</v>
      </c>
      <c r="T190" s="87">
        <v>165.11829133331224</v>
      </c>
      <c r="U190" s="87">
        <v>164.22944732348415</v>
      </c>
      <c r="V190" s="87">
        <v>162.58978451976705</v>
      </c>
      <c r="W190" s="87">
        <v>161.41633798214249</v>
      </c>
      <c r="X190" s="87">
        <v>159.74623762284219</v>
      </c>
      <c r="Y190" s="87">
        <v>156.56617316892917</v>
      </c>
      <c r="DA190" s="171" t="s">
        <v>928</v>
      </c>
    </row>
    <row r="191" spans="1:105" ht="11.45" customHeight="1" x14ac:dyDescent="0.25">
      <c r="A191" s="111" t="s">
        <v>115</v>
      </c>
      <c r="B191" s="87">
        <v>0</v>
      </c>
      <c r="C191" s="87">
        <v>0</v>
      </c>
      <c r="D191" s="87">
        <v>0</v>
      </c>
      <c r="E191" s="87">
        <v>0</v>
      </c>
      <c r="F191" s="87">
        <v>0</v>
      </c>
      <c r="G191" s="87">
        <v>0</v>
      </c>
      <c r="H191" s="87">
        <v>0</v>
      </c>
      <c r="I191" s="87">
        <v>0</v>
      </c>
      <c r="J191" s="87">
        <v>0</v>
      </c>
      <c r="K191" s="87">
        <v>0</v>
      </c>
      <c r="L191" s="87">
        <v>0</v>
      </c>
      <c r="M191" s="87">
        <v>0</v>
      </c>
      <c r="N191" s="87">
        <v>0</v>
      </c>
      <c r="O191" s="87">
        <v>0</v>
      </c>
      <c r="P191" s="87">
        <v>0</v>
      </c>
      <c r="Q191" s="87">
        <v>0</v>
      </c>
      <c r="R191" s="87">
        <v>0</v>
      </c>
      <c r="S191" s="87">
        <v>0</v>
      </c>
      <c r="T191" s="87">
        <v>0</v>
      </c>
      <c r="U191" s="87">
        <v>0</v>
      </c>
      <c r="V191" s="87">
        <v>0</v>
      </c>
      <c r="W191" s="87">
        <v>0</v>
      </c>
      <c r="X191" s="87">
        <v>0</v>
      </c>
      <c r="Y191" s="87">
        <v>0</v>
      </c>
      <c r="DA191" s="171" t="s">
        <v>929</v>
      </c>
    </row>
    <row r="192" spans="1:105" ht="11.45" customHeight="1" x14ac:dyDescent="0.25">
      <c r="A192" s="109" t="s">
        <v>154</v>
      </c>
      <c r="B192" s="116">
        <v>967.83925650810022</v>
      </c>
      <c r="C192" s="116">
        <v>962.44831999862731</v>
      </c>
      <c r="D192" s="116">
        <v>956.80995943197161</v>
      </c>
      <c r="E192" s="116">
        <v>951.31422306734692</v>
      </c>
      <c r="F192" s="116">
        <v>946.09957068485971</v>
      </c>
      <c r="G192" s="116">
        <v>939.18603322137631</v>
      </c>
      <c r="H192" s="116">
        <v>930.93524129247373</v>
      </c>
      <c r="I192" s="116">
        <v>921.62138599629691</v>
      </c>
      <c r="J192" s="116">
        <v>910.11533767586332</v>
      </c>
      <c r="K192" s="116">
        <v>896.52282060732819</v>
      </c>
      <c r="L192" s="116">
        <v>885.19065270911096</v>
      </c>
      <c r="M192" s="116">
        <v>877.30775271788423</v>
      </c>
      <c r="N192" s="116">
        <v>866.22557270376547</v>
      </c>
      <c r="O192" s="116">
        <v>853.20688738468994</v>
      </c>
      <c r="P192" s="116">
        <v>838.34302955840212</v>
      </c>
      <c r="Q192" s="116">
        <v>826.22756733987694</v>
      </c>
      <c r="R192" s="116">
        <v>813.63960693229728</v>
      </c>
      <c r="S192" s="116">
        <v>795.19983347728237</v>
      </c>
      <c r="T192" s="116">
        <v>778.01997360880841</v>
      </c>
      <c r="U192" s="116">
        <v>758.26310742844748</v>
      </c>
      <c r="V192" s="116">
        <v>740.10145848417744</v>
      </c>
      <c r="W192" s="116">
        <v>719.62046938179992</v>
      </c>
      <c r="X192" s="116">
        <v>708.2846360073886</v>
      </c>
      <c r="Y192" s="116">
        <v>692.29569898867146</v>
      </c>
      <c r="DA192" s="176" t="s">
        <v>930</v>
      </c>
    </row>
    <row r="193" spans="1:105" ht="11.45" customHeight="1" x14ac:dyDescent="0.25">
      <c r="A193" s="128" t="s">
        <v>27</v>
      </c>
      <c r="B193" s="101">
        <v>888.46637125534494</v>
      </c>
      <c r="C193" s="101">
        <v>883.34273122057652</v>
      </c>
      <c r="D193" s="101">
        <v>877.62096729681173</v>
      </c>
      <c r="E193" s="101">
        <v>872.04039683493693</v>
      </c>
      <c r="F193" s="101">
        <v>862.17000847551583</v>
      </c>
      <c r="G193" s="101">
        <v>855.75363911542627</v>
      </c>
      <c r="H193" s="101">
        <v>846.85208823518371</v>
      </c>
      <c r="I193" s="101">
        <v>840.0395927123401</v>
      </c>
      <c r="J193" s="101">
        <v>828.69161229023507</v>
      </c>
      <c r="K193" s="101">
        <v>817.59242354748687</v>
      </c>
      <c r="L193" s="101">
        <v>806.70700515000681</v>
      </c>
      <c r="M193" s="101">
        <v>799.78718811003171</v>
      </c>
      <c r="N193" s="101">
        <v>790.33540592483257</v>
      </c>
      <c r="O193" s="101">
        <v>777.82736506435481</v>
      </c>
      <c r="P193" s="101">
        <v>763.13963895783536</v>
      </c>
      <c r="Q193" s="101">
        <v>751.73782792042618</v>
      </c>
      <c r="R193" s="101">
        <v>740.53672785493268</v>
      </c>
      <c r="S193" s="101">
        <v>722.5966302869806</v>
      </c>
      <c r="T193" s="101">
        <v>706.48633013906647</v>
      </c>
      <c r="U193" s="101">
        <v>687.88638772689137</v>
      </c>
      <c r="V193" s="101">
        <v>670.18032015030008</v>
      </c>
      <c r="W193" s="101">
        <v>650.19452163150163</v>
      </c>
      <c r="X193" s="101">
        <v>641.64412668535977</v>
      </c>
      <c r="Y193" s="101">
        <v>627.08636737641143</v>
      </c>
      <c r="DA193" s="175" t="s">
        <v>931</v>
      </c>
    </row>
    <row r="194" spans="1:105" ht="11.45" customHeight="1" x14ac:dyDescent="0.25">
      <c r="A194" s="138" t="s">
        <v>116</v>
      </c>
      <c r="B194" s="88">
        <v>1066.0594178947845</v>
      </c>
      <c r="C194" s="88">
        <v>1055.3605778833289</v>
      </c>
      <c r="D194" s="88">
        <v>1046.0666508475824</v>
      </c>
      <c r="E194" s="88">
        <v>1038.581475447668</v>
      </c>
      <c r="F194" s="88">
        <v>1019.4700521512838</v>
      </c>
      <c r="G194" s="88">
        <v>1010.7308302395483</v>
      </c>
      <c r="H194" s="88">
        <v>999.71341181005801</v>
      </c>
      <c r="I194" s="88">
        <v>991.21664153206711</v>
      </c>
      <c r="J194" s="88">
        <v>981.09237537708782</v>
      </c>
      <c r="K194" s="88">
        <v>977.29837268051335</v>
      </c>
      <c r="L194" s="88">
        <v>961.4933814173479</v>
      </c>
      <c r="M194" s="88">
        <v>950.1823684540426</v>
      </c>
      <c r="N194" s="88">
        <v>938.74634537263921</v>
      </c>
      <c r="O194" s="88">
        <v>922.58031697593185</v>
      </c>
      <c r="P194" s="88">
        <v>907.0232084188392</v>
      </c>
      <c r="Q194" s="88">
        <v>894.48418325163323</v>
      </c>
      <c r="R194" s="88">
        <v>876.44699422626593</v>
      </c>
      <c r="S194" s="88">
        <v>863.8816910535694</v>
      </c>
      <c r="T194" s="88">
        <v>853.80373566133869</v>
      </c>
      <c r="U194" s="88">
        <v>834.95516098514327</v>
      </c>
      <c r="V194" s="88">
        <v>818.46919744052923</v>
      </c>
      <c r="W194" s="88">
        <v>805.90715157246939</v>
      </c>
      <c r="X194" s="88">
        <v>795.24136429003636</v>
      </c>
      <c r="Y194" s="88">
        <v>785.41688055319173</v>
      </c>
      <c r="DA194" s="178" t="s">
        <v>932</v>
      </c>
    </row>
    <row r="195" spans="1:105" x14ac:dyDescent="0.25">
      <c r="A195" s="106"/>
      <c r="B195" s="106"/>
      <c r="C195" s="106"/>
      <c r="D195" s="106"/>
      <c r="E195" s="106"/>
      <c r="F195" s="106"/>
      <c r="G195" s="106"/>
      <c r="H195" s="106"/>
      <c r="I195" s="106"/>
      <c r="J195" s="106"/>
      <c r="K195" s="106"/>
      <c r="L195" s="106"/>
      <c r="M195" s="106"/>
      <c r="N195" s="106"/>
      <c r="O195" s="106"/>
      <c r="P195" s="106"/>
      <c r="Q195" s="106"/>
      <c r="R195" s="106"/>
      <c r="S195" s="106"/>
      <c r="T195" s="106"/>
      <c r="U195" s="106"/>
      <c r="V195" s="106"/>
      <c r="W195" s="106"/>
      <c r="X195" s="106"/>
      <c r="Y195" s="106"/>
      <c r="DA195" s="171"/>
    </row>
    <row r="196" spans="1:105" ht="11.45" customHeight="1" x14ac:dyDescent="0.25">
      <c r="A196" s="53" t="s">
        <v>124</v>
      </c>
      <c r="B196" s="59"/>
      <c r="C196" s="59"/>
      <c r="D196" s="59"/>
      <c r="E196" s="59"/>
      <c r="F196" s="59"/>
      <c r="G196" s="59"/>
      <c r="H196" s="59"/>
      <c r="I196" s="5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59"/>
      <c r="W196" s="59"/>
      <c r="X196" s="59"/>
      <c r="Y196" s="59"/>
      <c r="DA196" s="172"/>
    </row>
    <row r="197" spans="1:105" ht="11.45" customHeight="1" x14ac:dyDescent="0.25">
      <c r="A197" s="27" t="s">
        <v>33</v>
      </c>
      <c r="B197" s="47"/>
      <c r="C197" s="47"/>
      <c r="D197" s="47"/>
      <c r="E197" s="47"/>
      <c r="F197" s="47"/>
      <c r="G197" s="47"/>
      <c r="H197" s="47"/>
      <c r="I197" s="47"/>
      <c r="J197" s="47"/>
      <c r="K197" s="47"/>
      <c r="L197" s="47"/>
      <c r="M197" s="47"/>
      <c r="N197" s="47"/>
      <c r="O197" s="47"/>
      <c r="P197" s="47"/>
      <c r="Q197" s="47"/>
      <c r="R197" s="47"/>
      <c r="S197" s="47"/>
      <c r="T197" s="47"/>
      <c r="U197" s="47"/>
      <c r="V197" s="47"/>
      <c r="W197" s="47"/>
      <c r="X197" s="47"/>
      <c r="Y197" s="47"/>
      <c r="DA197" s="173"/>
    </row>
    <row r="198" spans="1:105" ht="11.45" customHeight="1" x14ac:dyDescent="0.25">
      <c r="A198" s="136" t="s">
        <v>173</v>
      </c>
      <c r="B198" s="150">
        <f>IF(TrRoad_act!B59=0,0,TrRoad_emi!B56/TrRoad_tech!B171)</f>
        <v>1.0725000000065621</v>
      </c>
      <c r="C198" s="150">
        <f>IF(TrRoad_act!C59=0,0,TrRoad_emi!C56/TrRoad_tech!C171)</f>
        <v>1.0725955208950759</v>
      </c>
      <c r="D198" s="150">
        <f>IF(TrRoad_act!D59=0,0,TrRoad_emi!D56/TrRoad_tech!D171)</f>
        <v>1.0732285131405057</v>
      </c>
      <c r="E198" s="150">
        <f>IF(TrRoad_act!E59=0,0,TrRoad_emi!E56/TrRoad_tech!E171)</f>
        <v>1.0738084609664693</v>
      </c>
      <c r="F198" s="150">
        <f>IF(TrRoad_act!F59=0,0,TrRoad_emi!F56/TrRoad_tech!F171)</f>
        <v>1.0749750948291841</v>
      </c>
      <c r="G198" s="150">
        <f>IF(TrRoad_act!G59=0,0,TrRoad_emi!G56/TrRoad_tech!G171)</f>
        <v>1.0784796452162526</v>
      </c>
      <c r="H198" s="150">
        <f>IF(TrRoad_act!H59=0,0,TrRoad_emi!H56/TrRoad_tech!H171)</f>
        <v>1.0815246467195432</v>
      </c>
      <c r="I198" s="150">
        <f>IF(TrRoad_act!I59=0,0,TrRoad_emi!I56/TrRoad_tech!I171)</f>
        <v>1.0688918410364663</v>
      </c>
      <c r="J198" s="150">
        <f>IF(TrRoad_act!J59=0,0,TrRoad_emi!J56/TrRoad_tech!J171)</f>
        <v>1.0706904105774191</v>
      </c>
      <c r="K198" s="150">
        <f>IF(TrRoad_act!K59=0,0,TrRoad_emi!K56/TrRoad_tech!K171)</f>
        <v>1.0699815231404908</v>
      </c>
      <c r="L198" s="150">
        <f>IF(TrRoad_act!L59=0,0,TrRoad_emi!L56/TrRoad_tech!L171)</f>
        <v>1.078366392213383</v>
      </c>
      <c r="M198" s="150">
        <f>IF(TrRoad_act!M59=0,0,TrRoad_emi!M56/TrRoad_tech!M171)</f>
        <v>1.0805212474978232</v>
      </c>
      <c r="N198" s="150">
        <f>IF(TrRoad_act!N59=0,0,TrRoad_emi!N56/TrRoad_tech!N171)</f>
        <v>1.0890208268380155</v>
      </c>
      <c r="O198" s="150">
        <f>IF(TrRoad_act!O59=0,0,TrRoad_emi!O56/TrRoad_tech!O171)</f>
        <v>1.0924499332404096</v>
      </c>
      <c r="P198" s="150">
        <f>IF(TrRoad_act!P59=0,0,TrRoad_emi!P56/TrRoad_tech!P171)</f>
        <v>1.0958621082866236</v>
      </c>
      <c r="Q198" s="150">
        <f>IF(TrRoad_act!Q59=0,0,TrRoad_emi!Q56/TrRoad_tech!Q171)</f>
        <v>1.0963161247777244</v>
      </c>
      <c r="R198" s="150">
        <f>IF(TrRoad_act!R59=0,0,TrRoad_emi!R56/TrRoad_tech!R171)</f>
        <v>1.1108609117501347</v>
      </c>
      <c r="S198" s="150">
        <f>IF(TrRoad_act!S59=0,0,TrRoad_emi!S56/TrRoad_tech!S171)</f>
        <v>1.1161064389246793</v>
      </c>
      <c r="T198" s="150">
        <f>IF(TrRoad_act!T59=0,0,TrRoad_emi!T56/TrRoad_tech!T171)</f>
        <v>1.1109679154475216</v>
      </c>
      <c r="U198" s="150">
        <f>IF(TrRoad_act!U59=0,0,TrRoad_emi!U56/TrRoad_tech!U171)</f>
        <v>1.1141179062570161</v>
      </c>
      <c r="V198" s="150">
        <f>IF(TrRoad_act!V59=0,0,TrRoad_emi!V56/TrRoad_tech!V171)</f>
        <v>1.1064973245599341</v>
      </c>
      <c r="W198" s="150">
        <f>IF(TrRoad_act!W59=0,0,TrRoad_emi!W56/TrRoad_tech!W171)</f>
        <v>1.1153223480686607</v>
      </c>
      <c r="X198" s="150">
        <f>IF(TrRoad_act!X59=0,0,TrRoad_emi!X56/TrRoad_tech!X171)</f>
        <v>1.1186774860463367</v>
      </c>
      <c r="Y198" s="150">
        <f>IF(TrRoad_act!Y59=0,0,TrRoad_emi!Y56/TrRoad_tech!Y171)</f>
        <v>1.1283010744481199</v>
      </c>
      <c r="DA198" s="174"/>
    </row>
    <row r="199" spans="1:105" ht="11.45" customHeight="1" x14ac:dyDescent="0.25">
      <c r="A199" s="109" t="s">
        <v>20</v>
      </c>
      <c r="B199" s="151">
        <f>IF(TrRoad_act!B60=0,0,TrRoad_emi!B57/TrRoad_tech!B172)</f>
        <v>0.80007879766573331</v>
      </c>
      <c r="C199" s="151">
        <f>IF(TrRoad_act!C60=0,0,TrRoad_emi!C57/TrRoad_tech!C172)</f>
        <v>0.81814000134197751</v>
      </c>
      <c r="D199" s="151">
        <f>IF(TrRoad_act!D60=0,0,TrRoad_emi!D57/TrRoad_tech!D172)</f>
        <v>0.82576193549100474</v>
      </c>
      <c r="E199" s="151">
        <f>IF(TrRoad_act!E60=0,0,TrRoad_emi!E57/TrRoad_tech!E172)</f>
        <v>0.8296654402917174</v>
      </c>
      <c r="F199" s="151">
        <f>IF(TrRoad_act!F60=0,0,TrRoad_emi!F57/TrRoad_tech!F172)</f>
        <v>0.82179393890510277</v>
      </c>
      <c r="G199" s="151">
        <f>IF(TrRoad_act!G60=0,0,TrRoad_emi!G57/TrRoad_tech!G172)</f>
        <v>0.81824640246138602</v>
      </c>
      <c r="H199" s="151">
        <f>IF(TrRoad_act!H60=0,0,TrRoad_emi!H57/TrRoad_tech!H172)</f>
        <v>0.83665928256737687</v>
      </c>
      <c r="I199" s="151">
        <f>IF(TrRoad_act!I60=0,0,TrRoad_emi!I57/TrRoad_tech!I172)</f>
        <v>0.82051737105511957</v>
      </c>
      <c r="J199" s="151">
        <f>IF(TrRoad_act!J60=0,0,TrRoad_emi!J57/TrRoad_tech!J172)</f>
        <v>0.81589685827494962</v>
      </c>
      <c r="K199" s="151">
        <f>IF(TrRoad_act!K60=0,0,TrRoad_emi!K57/TrRoad_tech!K172)</f>
        <v>0.81755605925784702</v>
      </c>
      <c r="L199" s="151">
        <f>IF(TrRoad_act!L60=0,0,TrRoad_emi!L57/TrRoad_tech!L172)</f>
        <v>0.83223931847785726</v>
      </c>
      <c r="M199" s="151">
        <f>IF(TrRoad_act!M60=0,0,TrRoad_emi!M57/TrRoad_tech!M172)</f>
        <v>0.82518278177587201</v>
      </c>
      <c r="N199" s="151">
        <f>IF(TrRoad_act!N60=0,0,TrRoad_emi!N57/TrRoad_tech!N172)</f>
        <v>0.84871683029927725</v>
      </c>
      <c r="O199" s="151">
        <f>IF(TrRoad_act!O60=0,0,TrRoad_emi!O57/TrRoad_tech!O172)</f>
        <v>0.85010543635453628</v>
      </c>
      <c r="P199" s="151">
        <f>IF(TrRoad_act!P60=0,0,TrRoad_emi!P57/TrRoad_tech!P172)</f>
        <v>0.8319870893919088</v>
      </c>
      <c r="Q199" s="151">
        <f>IF(TrRoad_act!Q60=0,0,TrRoad_emi!Q57/TrRoad_tech!Q172)</f>
        <v>0.83635955490762071</v>
      </c>
      <c r="R199" s="151">
        <f>IF(TrRoad_act!R60=0,0,TrRoad_emi!R57/TrRoad_tech!R172)</f>
        <v>0.83627435366732772</v>
      </c>
      <c r="S199" s="151">
        <f>IF(TrRoad_act!S60=0,0,TrRoad_emi!S57/TrRoad_tech!S172)</f>
        <v>0.84319295006230399</v>
      </c>
      <c r="T199" s="151">
        <f>IF(TrRoad_act!T60=0,0,TrRoad_emi!T57/TrRoad_tech!T172)</f>
        <v>0.86086622906424815</v>
      </c>
      <c r="U199" s="151">
        <f>IF(TrRoad_act!U60=0,0,TrRoad_emi!U57/TrRoad_tech!U172)</f>
        <v>0.87855345606384971</v>
      </c>
      <c r="V199" s="151">
        <f>IF(TrRoad_act!V60=0,0,TrRoad_emi!V57/TrRoad_tech!V172)</f>
        <v>0.8731458990763229</v>
      </c>
      <c r="W199" s="151">
        <f>IF(TrRoad_act!W60=0,0,TrRoad_emi!W57/TrRoad_tech!W172)</f>
        <v>0.92343463293493999</v>
      </c>
      <c r="X199" s="151">
        <f>IF(TrRoad_act!X60=0,0,TrRoad_emi!X57/TrRoad_tech!X172)</f>
        <v>0.89323921815194418</v>
      </c>
      <c r="Y199" s="151">
        <f>IF(TrRoad_act!Y60=0,0,TrRoad_emi!Y57/TrRoad_tech!Y172)</f>
        <v>0.97731518100239623</v>
      </c>
      <c r="DA199" s="176"/>
    </row>
    <row r="200" spans="1:105" ht="11.45" customHeight="1" x14ac:dyDescent="0.25">
      <c r="A200" s="111" t="s">
        <v>110</v>
      </c>
      <c r="B200" s="91">
        <f>IF(TrRoad_act!B61=0,0,TrRoad_emi!B58/TrRoad_tech!B173)</f>
        <v>0.73477035621732523</v>
      </c>
      <c r="C200" s="91">
        <f>IF(TrRoad_act!C61=0,0,TrRoad_emi!C58/TrRoad_tech!C173)</f>
        <v>0.77653739198962934</v>
      </c>
      <c r="D200" s="91">
        <f>IF(TrRoad_act!D61=0,0,TrRoad_emi!D58/TrRoad_tech!D173)</f>
        <v>0.79040489086843857</v>
      </c>
      <c r="E200" s="91">
        <f>IF(TrRoad_act!E61=0,0,TrRoad_emi!E58/TrRoad_tech!E173)</f>
        <v>0.80329983200088584</v>
      </c>
      <c r="F200" s="91">
        <f>IF(TrRoad_act!F61=0,0,TrRoad_emi!F58/TrRoad_tech!F173)</f>
        <v>0.78986863376006422</v>
      </c>
      <c r="G200" s="91">
        <f>IF(TrRoad_act!G61=0,0,TrRoad_emi!G58/TrRoad_tech!G173)</f>
        <v>0.7814701315907514</v>
      </c>
      <c r="H200" s="91">
        <f>IF(TrRoad_act!H61=0,0,TrRoad_emi!H58/TrRoad_tech!H173)</f>
        <v>0.80445066511929253</v>
      </c>
      <c r="I200" s="91">
        <f>IF(TrRoad_act!I61=0,0,TrRoad_emi!I58/TrRoad_tech!I173)</f>
        <v>0.79792769360138116</v>
      </c>
      <c r="J200" s="91">
        <f>IF(TrRoad_act!J61=0,0,TrRoad_emi!J58/TrRoad_tech!J173)</f>
        <v>0.77822379387222917</v>
      </c>
      <c r="K200" s="91">
        <f>IF(TrRoad_act!K61=0,0,TrRoad_emi!K58/TrRoad_tech!K173)</f>
        <v>0.776551420948285</v>
      </c>
      <c r="L200" s="91">
        <f>IF(TrRoad_act!L61=0,0,TrRoad_emi!L58/TrRoad_tech!L173)</f>
        <v>0.78744403259569673</v>
      </c>
      <c r="M200" s="91">
        <f>IF(TrRoad_act!M61=0,0,TrRoad_emi!M58/TrRoad_tech!M173)</f>
        <v>0.79037547386007234</v>
      </c>
      <c r="N200" s="91">
        <f>IF(TrRoad_act!N61=0,0,TrRoad_emi!N58/TrRoad_tech!N173)</f>
        <v>0.82026960766872203</v>
      </c>
      <c r="O200" s="91">
        <f>IF(TrRoad_act!O61=0,0,TrRoad_emi!O58/TrRoad_tech!O173)</f>
        <v>0.81950587408474018</v>
      </c>
      <c r="P200" s="91">
        <f>IF(TrRoad_act!P61=0,0,TrRoad_emi!P58/TrRoad_tech!P173)</f>
        <v>0.8096420934533064</v>
      </c>
      <c r="Q200" s="91">
        <f>IF(TrRoad_act!Q61=0,0,TrRoad_emi!Q58/TrRoad_tech!Q173)</f>
        <v>0.81086668383836547</v>
      </c>
      <c r="R200" s="91">
        <f>IF(TrRoad_act!R61=0,0,TrRoad_emi!R58/TrRoad_tech!R173)</f>
        <v>0.81609868558591114</v>
      </c>
      <c r="S200" s="91">
        <f>IF(TrRoad_act!S61=0,0,TrRoad_emi!S58/TrRoad_tech!S173)</f>
        <v>0.84098813729275057</v>
      </c>
      <c r="T200" s="91">
        <f>IF(TrRoad_act!T61=0,0,TrRoad_emi!T58/TrRoad_tech!T173)</f>
        <v>0.85735606917450191</v>
      </c>
      <c r="U200" s="91">
        <f>IF(TrRoad_act!U61=0,0,TrRoad_emi!U58/TrRoad_tech!U173)</f>
        <v>0.86705872994212274</v>
      </c>
      <c r="V200" s="91">
        <f>IF(TrRoad_act!V61=0,0,TrRoad_emi!V58/TrRoad_tech!V173)</f>
        <v>0.8441170326114551</v>
      </c>
      <c r="W200" s="91">
        <f>IF(TrRoad_act!W61=0,0,TrRoad_emi!W58/TrRoad_tech!W173)</f>
        <v>0.92873042979400533</v>
      </c>
      <c r="X200" s="91">
        <f>IF(TrRoad_act!X61=0,0,TrRoad_emi!X58/TrRoad_tech!X173)</f>
        <v>0.86644596330916601</v>
      </c>
      <c r="Y200" s="91">
        <f>IF(TrRoad_act!Y61=0,0,TrRoad_emi!Y58/TrRoad_tech!Y173)</f>
        <v>0.94601160439747878</v>
      </c>
      <c r="DA200" s="171"/>
    </row>
    <row r="201" spans="1:105" ht="11.45" customHeight="1" x14ac:dyDescent="0.25">
      <c r="A201" s="111" t="s">
        <v>111</v>
      </c>
      <c r="B201" s="91">
        <f>IF(TrRoad_act!B62=0,0,TrRoad_emi!B59/TrRoad_tech!B174)</f>
        <v>1.02777777778159</v>
      </c>
      <c r="C201" s="91">
        <f>IF(TrRoad_act!C62=0,0,TrRoad_emi!C59/TrRoad_tech!C174)</f>
        <v>1.027947676645161</v>
      </c>
      <c r="D201" s="91">
        <f>IF(TrRoad_act!D62=0,0,TrRoad_emi!D59/TrRoad_tech!D174)</f>
        <v>1.0282893592911613</v>
      </c>
      <c r="E201" s="91">
        <f>IF(TrRoad_act!E62=0,0,TrRoad_emi!E59/TrRoad_tech!E174)</f>
        <v>1.0288291094233917</v>
      </c>
      <c r="F201" s="91">
        <f>IF(TrRoad_act!F62=0,0,TrRoad_emi!F59/TrRoad_tech!F174)</f>
        <v>1.0295894541560118</v>
      </c>
      <c r="G201" s="91">
        <f>IF(TrRoad_act!G62=0,0,TrRoad_emi!G59/TrRoad_tech!G174)</f>
        <v>1.030562789423848</v>
      </c>
      <c r="H201" s="91">
        <f>IF(TrRoad_act!H62=0,0,TrRoad_emi!H59/TrRoad_tech!H174)</f>
        <v>1.028363646458027</v>
      </c>
      <c r="I201" s="91">
        <f>IF(TrRoad_act!I62=0,0,TrRoad_emi!I59/TrRoad_tech!I174)</f>
        <v>0.9966352516961946</v>
      </c>
      <c r="J201" s="91">
        <f>IF(TrRoad_act!J62=0,0,TrRoad_emi!J59/TrRoad_tech!J174)</f>
        <v>1.0081865300252302</v>
      </c>
      <c r="K201" s="91">
        <f>IF(TrRoad_act!K62=0,0,TrRoad_emi!K59/TrRoad_tech!K174)</f>
        <v>0.99926240761217311</v>
      </c>
      <c r="L201" s="91">
        <f>IF(TrRoad_act!L62=0,0,TrRoad_emi!L59/TrRoad_tech!L174)</f>
        <v>1.0235738240733343</v>
      </c>
      <c r="M201" s="91">
        <f>IF(TrRoad_act!M62=0,0,TrRoad_emi!M59/TrRoad_tech!M174)</f>
        <v>1.0148653296347019</v>
      </c>
      <c r="N201" s="91">
        <f>IF(TrRoad_act!N62=0,0,TrRoad_emi!N59/TrRoad_tech!N174)</f>
        <v>1.0147091064482403</v>
      </c>
      <c r="O201" s="91">
        <f>IF(TrRoad_act!O62=0,0,TrRoad_emi!O59/TrRoad_tech!O174)</f>
        <v>1.0184696396309225</v>
      </c>
      <c r="P201" s="91">
        <f>IF(TrRoad_act!P62=0,0,TrRoad_emi!P59/TrRoad_tech!P174)</f>
        <v>1.0092490835826817</v>
      </c>
      <c r="Q201" s="91">
        <f>IF(TrRoad_act!Q62=0,0,TrRoad_emi!Q59/TrRoad_tech!Q174)</f>
        <v>1.0270191027356625</v>
      </c>
      <c r="R201" s="91">
        <f>IF(TrRoad_act!R62=0,0,TrRoad_emi!R59/TrRoad_tech!R174)</f>
        <v>1.0361869074677863</v>
      </c>
      <c r="S201" s="91">
        <f>IF(TrRoad_act!S62=0,0,TrRoad_emi!S59/TrRoad_tech!S174)</f>
        <v>1.0283432528153253</v>
      </c>
      <c r="T201" s="91">
        <f>IF(TrRoad_act!T62=0,0,TrRoad_emi!T59/TrRoad_tech!T174)</f>
        <v>1.0046252362648542</v>
      </c>
      <c r="U201" s="91">
        <f>IF(TrRoad_act!U62=0,0,TrRoad_emi!U59/TrRoad_tech!U174)</f>
        <v>0.98958098098196046</v>
      </c>
      <c r="V201" s="91">
        <f>IF(TrRoad_act!V62=0,0,TrRoad_emi!V59/TrRoad_tech!V174)</f>
        <v>1.0051613030686124</v>
      </c>
      <c r="W201" s="91">
        <f>IF(TrRoad_act!W62=0,0,TrRoad_emi!W59/TrRoad_tech!W174)</f>
        <v>0.99065433425546623</v>
      </c>
      <c r="X201" s="91">
        <f>IF(TrRoad_act!X62=0,0,TrRoad_emi!X59/TrRoad_tech!X174)</f>
        <v>1.0020513555794599</v>
      </c>
      <c r="Y201" s="91">
        <f>IF(TrRoad_act!Y62=0,0,TrRoad_emi!Y59/TrRoad_tech!Y174)</f>
        <v>1.0052507260556507</v>
      </c>
      <c r="DA201" s="171"/>
    </row>
    <row r="202" spans="1:105" ht="11.45" customHeight="1" x14ac:dyDescent="0.25">
      <c r="A202" s="111" t="s">
        <v>112</v>
      </c>
      <c r="B202" s="91">
        <f>IF(TrRoad_act!B63=0,0,TrRoad_emi!B60/TrRoad_tech!B175)</f>
        <v>1.1178218290807667</v>
      </c>
      <c r="C202" s="91">
        <f>IF(TrRoad_act!C63=0,0,TrRoad_emi!C60/TrRoad_tech!C175)</f>
        <v>1.0484041350158884</v>
      </c>
      <c r="D202" s="91">
        <f>IF(TrRoad_act!D63=0,0,TrRoad_emi!D60/TrRoad_tech!D175)</f>
        <v>1.0551130282645798</v>
      </c>
      <c r="E202" s="91">
        <f>IF(TrRoad_act!E63=0,0,TrRoad_emi!E60/TrRoad_tech!E175)</f>
        <v>0.9752959834575905</v>
      </c>
      <c r="F202" s="91">
        <f>IF(TrRoad_act!F63=0,0,TrRoad_emi!F60/TrRoad_tech!F175)</f>
        <v>0.99269430580871265</v>
      </c>
      <c r="G202" s="91">
        <f>IF(TrRoad_act!G63=0,0,TrRoad_emi!G60/TrRoad_tech!G175)</f>
        <v>1.0260517395915361</v>
      </c>
      <c r="H202" s="91">
        <f>IF(TrRoad_act!H63=0,0,TrRoad_emi!H60/TrRoad_tech!H175)</f>
        <v>1.0720826920359312</v>
      </c>
      <c r="I202" s="91">
        <f>IF(TrRoad_act!I63=0,0,TrRoad_emi!I60/TrRoad_tech!I175)</f>
        <v>0.96600227835922692</v>
      </c>
      <c r="J202" s="91">
        <f>IF(TrRoad_act!J63=0,0,TrRoad_emi!J60/TrRoad_tech!J175)</f>
        <v>1.0855619461834762</v>
      </c>
      <c r="K202" s="91">
        <f>IF(TrRoad_act!K63=0,0,TrRoad_emi!K60/TrRoad_tech!K175)</f>
        <v>1.2171867464093482</v>
      </c>
      <c r="L202" s="91">
        <f>IF(TrRoad_act!L63=0,0,TrRoad_emi!L60/TrRoad_tech!L175)</f>
        <v>1.2593701937593746</v>
      </c>
      <c r="M202" s="91">
        <f>IF(TrRoad_act!M63=0,0,TrRoad_emi!M60/TrRoad_tech!M175)</f>
        <v>1.3144344140845865</v>
      </c>
      <c r="N202" s="91">
        <f>IF(TrRoad_act!N63=0,0,TrRoad_emi!N60/TrRoad_tech!N175)</f>
        <v>1.6027647661512441</v>
      </c>
      <c r="O202" s="91">
        <f>IF(TrRoad_act!O63=0,0,TrRoad_emi!O60/TrRoad_tech!O175)</f>
        <v>1.5407088599023286</v>
      </c>
      <c r="P202" s="91">
        <f>IF(TrRoad_act!P63=0,0,TrRoad_emi!P60/TrRoad_tech!P175)</f>
        <v>1.261832942381784</v>
      </c>
      <c r="Q202" s="91">
        <f>IF(TrRoad_act!Q63=0,0,TrRoad_emi!Q60/TrRoad_tech!Q175)</f>
        <v>1.1762442716747008</v>
      </c>
      <c r="R202" s="91">
        <f>IF(TrRoad_act!R63=0,0,TrRoad_emi!R60/TrRoad_tech!R175)</f>
        <v>1.2821219108165209</v>
      </c>
      <c r="S202" s="91">
        <f>IF(TrRoad_act!S63=0,0,TrRoad_emi!S60/TrRoad_tech!S175)</f>
        <v>1.2194980227681336</v>
      </c>
      <c r="T202" s="91">
        <f>IF(TrRoad_act!T63=0,0,TrRoad_emi!T60/TrRoad_tech!T175)</f>
        <v>1.21774298089722</v>
      </c>
      <c r="U202" s="91">
        <f>IF(TrRoad_act!U63=0,0,TrRoad_emi!U60/TrRoad_tech!U175)</f>
        <v>1.0436657930624125</v>
      </c>
      <c r="V202" s="91">
        <f>IF(TrRoad_act!V63=0,0,TrRoad_emi!V60/TrRoad_tech!V175)</f>
        <v>1.1141478510193459</v>
      </c>
      <c r="W202" s="91">
        <f>IF(TrRoad_act!W63=0,0,TrRoad_emi!W60/TrRoad_tech!W175)</f>
        <v>1.2784700339832866</v>
      </c>
      <c r="X202" s="91">
        <f>IF(TrRoad_act!X63=0,0,TrRoad_emi!X60/TrRoad_tech!X175)</f>
        <v>1.3084610282287901</v>
      </c>
      <c r="Y202" s="91">
        <f>IF(TrRoad_act!Y63=0,0,TrRoad_emi!Y60/TrRoad_tech!Y175)</f>
        <v>1.2125363272828495</v>
      </c>
      <c r="DA202" s="171"/>
    </row>
    <row r="203" spans="1:105" ht="11.45" customHeight="1" x14ac:dyDescent="0.25">
      <c r="A203" s="111" t="s">
        <v>113</v>
      </c>
      <c r="B203" s="91">
        <f>IF(TrRoad_act!B64=0,0,TrRoad_emi!B61/TrRoad_tech!B176)</f>
        <v>0</v>
      </c>
      <c r="C203" s="91">
        <f>IF(TrRoad_act!C64=0,0,TrRoad_emi!C61/TrRoad_tech!C176)</f>
        <v>0</v>
      </c>
      <c r="D203" s="91">
        <f>IF(TrRoad_act!D64=0,0,TrRoad_emi!D61/TrRoad_tech!D176)</f>
        <v>0</v>
      </c>
      <c r="E203" s="91">
        <f>IF(TrRoad_act!E64=0,0,TrRoad_emi!E61/TrRoad_tech!E176)</f>
        <v>0</v>
      </c>
      <c r="F203" s="91">
        <f>IF(TrRoad_act!F64=0,0,TrRoad_emi!F61/TrRoad_tech!F176)</f>
        <v>0</v>
      </c>
      <c r="G203" s="91">
        <f>IF(TrRoad_act!G64=0,0,TrRoad_emi!G61/TrRoad_tech!G176)</f>
        <v>0</v>
      </c>
      <c r="H203" s="91">
        <f>IF(TrRoad_act!H64=0,0,TrRoad_emi!H61/TrRoad_tech!H176)</f>
        <v>0</v>
      </c>
      <c r="I203" s="91">
        <f>IF(TrRoad_act!I64=0,0,TrRoad_emi!I61/TrRoad_tech!I176)</f>
        <v>0</v>
      </c>
      <c r="J203" s="91">
        <f>IF(TrRoad_act!J64=0,0,TrRoad_emi!J61/TrRoad_tech!J176)</f>
        <v>0</v>
      </c>
      <c r="K203" s="91">
        <f>IF(TrRoad_act!K64=0,0,TrRoad_emi!K61/TrRoad_tech!K176)</f>
        <v>0</v>
      </c>
      <c r="L203" s="91">
        <f>IF(TrRoad_act!L64=0,0,TrRoad_emi!L61/TrRoad_tech!L176)</f>
        <v>1.0553167808291342</v>
      </c>
      <c r="M203" s="91">
        <f>IF(TrRoad_act!M64=0,0,TrRoad_emi!M61/TrRoad_tech!M176)</f>
        <v>1.0599331917090595</v>
      </c>
      <c r="N203" s="91">
        <f>IF(TrRoad_act!N64=0,0,TrRoad_emi!N61/TrRoad_tech!N176)</f>
        <v>1.0641719076328091</v>
      </c>
      <c r="O203" s="91">
        <f>IF(TrRoad_act!O64=0,0,TrRoad_emi!O61/TrRoad_tech!O176)</f>
        <v>1.0643026459949823</v>
      </c>
      <c r="P203" s="91">
        <f>IF(TrRoad_act!P64=0,0,TrRoad_emi!P61/TrRoad_tech!P176)</f>
        <v>1.0668397155699518</v>
      </c>
      <c r="Q203" s="91">
        <f>IF(TrRoad_act!Q64=0,0,TrRoad_emi!Q61/TrRoad_tech!Q176)</f>
        <v>1.067415285445352</v>
      </c>
      <c r="R203" s="91">
        <f>IF(TrRoad_act!R64=0,0,TrRoad_emi!R61/TrRoad_tech!R176)</f>
        <v>1.0789038521572389</v>
      </c>
      <c r="S203" s="91">
        <f>IF(TrRoad_act!S64=0,0,TrRoad_emi!S61/TrRoad_tech!S176)</f>
        <v>1.0839429052610428</v>
      </c>
      <c r="T203" s="91">
        <f>IF(TrRoad_act!T64=0,0,TrRoad_emi!T61/TrRoad_tech!T176)</f>
        <v>1.0890464018361916</v>
      </c>
      <c r="U203" s="91">
        <f>IF(TrRoad_act!U64=0,0,TrRoad_emi!U61/TrRoad_tech!U176)</f>
        <v>1.0885538357218789</v>
      </c>
      <c r="V203" s="91">
        <f>IF(TrRoad_act!V64=0,0,TrRoad_emi!V61/TrRoad_tech!V176)</f>
        <v>1.0871314962422938</v>
      </c>
      <c r="W203" s="91">
        <f>IF(TrRoad_act!W64=0,0,TrRoad_emi!W61/TrRoad_tech!W176)</f>
        <v>1.0870787484397726</v>
      </c>
      <c r="X203" s="91">
        <f>IF(TrRoad_act!X64=0,0,TrRoad_emi!X61/TrRoad_tech!X176)</f>
        <v>1.0847384186587863</v>
      </c>
      <c r="Y203" s="91">
        <f>IF(TrRoad_act!Y64=0,0,TrRoad_emi!Y61/TrRoad_tech!Y176)</f>
        <v>1.0825619977429293</v>
      </c>
      <c r="DA203" s="171"/>
    </row>
    <row r="204" spans="1:105" ht="11.45" customHeight="1" x14ac:dyDescent="0.25">
      <c r="A204" s="111" t="s">
        <v>114</v>
      </c>
      <c r="B204" s="91">
        <f>IF(TrRoad_act!B65=0,0,TrRoad_emi!B62/TrRoad_tech!B177)</f>
        <v>0</v>
      </c>
      <c r="C204" s="91">
        <f>IF(TrRoad_act!C65=0,0,TrRoad_emi!C62/TrRoad_tech!C177)</f>
        <v>0</v>
      </c>
      <c r="D204" s="91">
        <f>IF(TrRoad_act!D65=0,0,TrRoad_emi!D62/TrRoad_tech!D177)</f>
        <v>0</v>
      </c>
      <c r="E204" s="91">
        <f>IF(TrRoad_act!E65=0,0,TrRoad_emi!E62/TrRoad_tech!E177)</f>
        <v>0</v>
      </c>
      <c r="F204" s="91">
        <f>IF(TrRoad_act!F65=0,0,TrRoad_emi!F62/TrRoad_tech!F177)</f>
        <v>0</v>
      </c>
      <c r="G204" s="91">
        <f>IF(TrRoad_act!G65=0,0,TrRoad_emi!G62/TrRoad_tech!G177)</f>
        <v>0</v>
      </c>
      <c r="H204" s="91">
        <f>IF(TrRoad_act!H65=0,0,TrRoad_emi!H62/TrRoad_tech!H177)</f>
        <v>0</v>
      </c>
      <c r="I204" s="91">
        <f>IF(TrRoad_act!I65=0,0,TrRoad_emi!I62/TrRoad_tech!I177)</f>
        <v>0</v>
      </c>
      <c r="J204" s="91">
        <f>IF(TrRoad_act!J65=0,0,TrRoad_emi!J62/TrRoad_tech!J177)</f>
        <v>0</v>
      </c>
      <c r="K204" s="91">
        <f>IF(TrRoad_act!K65=0,0,TrRoad_emi!K62/TrRoad_tech!K177)</f>
        <v>0</v>
      </c>
      <c r="L204" s="91">
        <f>IF(TrRoad_act!L65=0,0,TrRoad_emi!L62/TrRoad_tech!L177)</f>
        <v>0</v>
      </c>
      <c r="M204" s="91">
        <f>IF(TrRoad_act!M65=0,0,TrRoad_emi!M62/TrRoad_tech!M177)</f>
        <v>0.80792442108583584</v>
      </c>
      <c r="N204" s="91">
        <f>IF(TrRoad_act!N65=0,0,TrRoad_emi!N62/TrRoad_tech!N177)</f>
        <v>0.84102186918732791</v>
      </c>
      <c r="O204" s="91">
        <f>IF(TrRoad_act!O65=0,0,TrRoad_emi!O62/TrRoad_tech!O177)</f>
        <v>0.84235328445684365</v>
      </c>
      <c r="P204" s="91">
        <f>IF(TrRoad_act!P65=0,0,TrRoad_emi!P62/TrRoad_tech!P177)</f>
        <v>0.83458719799572267</v>
      </c>
      <c r="Q204" s="91">
        <f>IF(TrRoad_act!Q65=0,0,TrRoad_emi!Q62/TrRoad_tech!Q177)</f>
        <v>0.83738219032410777</v>
      </c>
      <c r="R204" s="91">
        <f>IF(TrRoad_act!R65=0,0,TrRoad_emi!R62/TrRoad_tech!R177)</f>
        <v>0.84226359628901804</v>
      </c>
      <c r="S204" s="91">
        <f>IF(TrRoad_act!S65=0,0,TrRoad_emi!S62/TrRoad_tech!S177)</f>
        <v>0.86576812708014483</v>
      </c>
      <c r="T204" s="91">
        <f>IF(TrRoad_act!T65=0,0,TrRoad_emi!T62/TrRoad_tech!T177)</f>
        <v>0.88086166188656323</v>
      </c>
      <c r="U204" s="91">
        <f>IF(TrRoad_act!U65=0,0,TrRoad_emi!U62/TrRoad_tech!U177)</f>
        <v>0.88952309585408151</v>
      </c>
      <c r="V204" s="91">
        <f>IF(TrRoad_act!V65=0,0,TrRoad_emi!V62/TrRoad_tech!V177)</f>
        <v>0.86704340384595291</v>
      </c>
      <c r="W204" s="91">
        <f>IF(TrRoad_act!W65=0,0,TrRoad_emi!W62/TrRoad_tech!W177)</f>
        <v>0.95323462302682194</v>
      </c>
      <c r="X204" s="91">
        <f>IF(TrRoad_act!X65=0,0,TrRoad_emi!X62/TrRoad_tech!X177)</f>
        <v>0.88791948251334074</v>
      </c>
      <c r="Y204" s="91">
        <f>IF(TrRoad_act!Y65=0,0,TrRoad_emi!Y62/TrRoad_tech!Y177)</f>
        <v>0.96774273753626272</v>
      </c>
      <c r="DA204" s="171"/>
    </row>
    <row r="205" spans="1:105" ht="11.45" customHeight="1" x14ac:dyDescent="0.25">
      <c r="A205" s="111" t="s">
        <v>115</v>
      </c>
      <c r="B205" s="91">
        <f>0</f>
        <v>0</v>
      </c>
      <c r="C205" s="91">
        <f>0</f>
        <v>0</v>
      </c>
      <c r="D205" s="91">
        <f>0</f>
        <v>0</v>
      </c>
      <c r="E205" s="91">
        <f>0</f>
        <v>0</v>
      </c>
      <c r="F205" s="91">
        <f>0</f>
        <v>0</v>
      </c>
      <c r="G205" s="91">
        <f>0</f>
        <v>0</v>
      </c>
      <c r="H205" s="91">
        <f>0</f>
        <v>0</v>
      </c>
      <c r="I205" s="91">
        <f>0</f>
        <v>0</v>
      </c>
      <c r="J205" s="91">
        <f>0</f>
        <v>0</v>
      </c>
      <c r="K205" s="91">
        <f>0</f>
        <v>0</v>
      </c>
      <c r="L205" s="91">
        <f>0</f>
        <v>0</v>
      </c>
      <c r="M205" s="91">
        <f>0</f>
        <v>0</v>
      </c>
      <c r="N205" s="91">
        <f>0</f>
        <v>0</v>
      </c>
      <c r="O205" s="91">
        <f>0</f>
        <v>0</v>
      </c>
      <c r="P205" s="91">
        <f>0</f>
        <v>0</v>
      </c>
      <c r="Q205" s="91">
        <f>0</f>
        <v>0</v>
      </c>
      <c r="R205" s="91">
        <f>0</f>
        <v>0</v>
      </c>
      <c r="S205" s="91">
        <f>0</f>
        <v>0</v>
      </c>
      <c r="T205" s="91">
        <f>0</f>
        <v>0</v>
      </c>
      <c r="U205" s="91">
        <f>0</f>
        <v>0</v>
      </c>
      <c r="V205" s="91">
        <f>0</f>
        <v>0</v>
      </c>
      <c r="W205" s="91">
        <f>0</f>
        <v>0</v>
      </c>
      <c r="X205" s="91">
        <f>0</f>
        <v>0</v>
      </c>
      <c r="Y205" s="91">
        <f>0</f>
        <v>0</v>
      </c>
      <c r="DA205" s="171"/>
    </row>
    <row r="206" spans="1:105" ht="11.45" customHeight="1" x14ac:dyDescent="0.25">
      <c r="A206" s="109" t="s">
        <v>21</v>
      </c>
      <c r="B206" s="151">
        <f>IF(TrRoad_act!B67=0,0,TrRoad_emi!B64/TrRoad_tech!B179)</f>
        <v>1.0978253653046304</v>
      </c>
      <c r="C206" s="151">
        <f>IF(TrRoad_act!C67=0,0,TrRoad_emi!C64/TrRoad_tech!C179)</f>
        <v>1.0916270353140654</v>
      </c>
      <c r="D206" s="151">
        <f>IF(TrRoad_act!D67=0,0,TrRoad_emi!D64/TrRoad_tech!D179)</f>
        <v>1.0962620753275873</v>
      </c>
      <c r="E206" s="151">
        <f>IF(TrRoad_act!E67=0,0,TrRoad_emi!E64/TrRoad_tech!E179)</f>
        <v>1.0881129416519217</v>
      </c>
      <c r="F206" s="151">
        <f>IF(TrRoad_act!F67=0,0,TrRoad_emi!F64/TrRoad_tech!F179)</f>
        <v>1.0941264610166872</v>
      </c>
      <c r="G206" s="151">
        <f>IF(TrRoad_act!G67=0,0,TrRoad_emi!G64/TrRoad_tech!G179)</f>
        <v>1.0961055602760534</v>
      </c>
      <c r="H206" s="151">
        <f>IF(TrRoad_act!H67=0,0,TrRoad_emi!H64/TrRoad_tech!H179)</f>
        <v>1.0998470542629564</v>
      </c>
      <c r="I206" s="151">
        <f>IF(TrRoad_act!I67=0,0,TrRoad_emi!I64/TrRoad_tech!I179)</f>
        <v>1.065453270497204</v>
      </c>
      <c r="J206" s="151">
        <f>IF(TrRoad_act!J67=0,0,TrRoad_emi!J64/TrRoad_tech!J179)</f>
        <v>1.0892442312291666</v>
      </c>
      <c r="K206" s="151">
        <f>IF(TrRoad_act!K67=0,0,TrRoad_emi!K64/TrRoad_tech!K179)</f>
        <v>1.1059119064579814</v>
      </c>
      <c r="L206" s="151">
        <f>IF(TrRoad_act!L67=0,0,TrRoad_emi!L64/TrRoad_tech!L179)</f>
        <v>1.1737393729165226</v>
      </c>
      <c r="M206" s="151">
        <f>IF(TrRoad_act!M67=0,0,TrRoad_emi!M64/TrRoad_tech!M179)</f>
        <v>1.4370402484376215</v>
      </c>
      <c r="N206" s="151">
        <f>IF(TrRoad_act!N67=0,0,TrRoad_emi!N64/TrRoad_tech!N179)</f>
        <v>1.139357324899269</v>
      </c>
      <c r="O206" s="151">
        <f>IF(TrRoad_act!O67=0,0,TrRoad_emi!O64/TrRoad_tech!O179)</f>
        <v>1.1952405623567905</v>
      </c>
      <c r="P206" s="151">
        <f>IF(TrRoad_act!P67=0,0,TrRoad_emi!P64/TrRoad_tech!P179)</f>
        <v>1.0515778625033478</v>
      </c>
      <c r="Q206" s="151">
        <f>IF(TrRoad_act!Q67=0,0,TrRoad_emi!Q64/TrRoad_tech!Q179)</f>
        <v>1.1069435268535928</v>
      </c>
      <c r="R206" s="151">
        <f>IF(TrRoad_act!R67=0,0,TrRoad_emi!R64/TrRoad_tech!R179)</f>
        <v>1.2730927997515307</v>
      </c>
      <c r="S206" s="151">
        <f>IF(TrRoad_act!S67=0,0,TrRoad_emi!S64/TrRoad_tech!S179)</f>
        <v>1.2690894531949579</v>
      </c>
      <c r="T206" s="151">
        <f>IF(TrRoad_act!T67=0,0,TrRoad_emi!T64/TrRoad_tech!T179)</f>
        <v>1.2387036172918802</v>
      </c>
      <c r="U206" s="151">
        <f>IF(TrRoad_act!U67=0,0,TrRoad_emi!U64/TrRoad_tech!U179)</f>
        <v>1.3620936172863203</v>
      </c>
      <c r="V206" s="151">
        <f>IF(TrRoad_act!V67=0,0,TrRoad_emi!V64/TrRoad_tech!V179)</f>
        <v>1.3967797846419845</v>
      </c>
      <c r="W206" s="151">
        <f>IF(TrRoad_act!W67=0,0,TrRoad_emi!W64/TrRoad_tech!W179)</f>
        <v>1.1726305315297558</v>
      </c>
      <c r="X206" s="151">
        <f>IF(TrRoad_act!X67=0,0,TrRoad_emi!X64/TrRoad_tech!X179)</f>
        <v>1.121237653092068</v>
      </c>
      <c r="Y206" s="151">
        <f>IF(TrRoad_act!Y67=0,0,TrRoad_emi!Y64/TrRoad_tech!Y179)</f>
        <v>1.2131963869233673</v>
      </c>
      <c r="DA206" s="176"/>
    </row>
    <row r="207" spans="1:105" ht="11.45" customHeight="1" x14ac:dyDescent="0.25">
      <c r="A207" s="111" t="s">
        <v>110</v>
      </c>
      <c r="B207" s="93">
        <f>IF(TrRoad_act!B68=0,0,TrRoad_emi!B65/TrRoad_tech!B180)</f>
        <v>1.1000000000067303</v>
      </c>
      <c r="C207" s="93">
        <f>IF(TrRoad_act!C68=0,0,TrRoad_emi!C65/TrRoad_tech!C180)</f>
        <v>1.1010333130112893</v>
      </c>
      <c r="D207" s="93">
        <f>IF(TrRoad_act!D68=0,0,TrRoad_emi!D65/TrRoad_tech!D180)</f>
        <v>1.1027691126189292</v>
      </c>
      <c r="E207" s="93">
        <f>IF(TrRoad_act!E68=0,0,TrRoad_emi!E65/TrRoad_tech!E180)</f>
        <v>1.1051279853453777</v>
      </c>
      <c r="F207" s="93">
        <f>IF(TrRoad_act!F68=0,0,TrRoad_emi!F65/TrRoad_tech!F180)</f>
        <v>1.1052724752523913</v>
      </c>
      <c r="G207" s="93">
        <f>IF(TrRoad_act!G68=0,0,TrRoad_emi!G65/TrRoad_tech!G180)</f>
        <v>1.1077921391524388</v>
      </c>
      <c r="H207" s="93">
        <f>IF(TrRoad_act!H68=0,0,TrRoad_emi!H65/TrRoad_tech!H180)</f>
        <v>1.1043142202442326</v>
      </c>
      <c r="I207" s="93">
        <f>IF(TrRoad_act!I68=0,0,TrRoad_emi!I65/TrRoad_tech!I180)</f>
        <v>1.0896103779601578</v>
      </c>
      <c r="J207" s="93">
        <f>IF(TrRoad_act!J68=0,0,TrRoad_emi!J65/TrRoad_tech!J180)</f>
        <v>1.0843729806260747</v>
      </c>
      <c r="K207" s="93">
        <f>IF(TrRoad_act!K68=0,0,TrRoad_emi!K65/TrRoad_tech!K180)</f>
        <v>1.0789651514665359</v>
      </c>
      <c r="L207" s="93">
        <f>IF(TrRoad_act!L68=0,0,TrRoad_emi!L65/TrRoad_tech!L180)</f>
        <v>1.0884428118407139</v>
      </c>
      <c r="M207" s="93">
        <f>IF(TrRoad_act!M68=0,0,TrRoad_emi!M65/TrRoad_tech!M180)</f>
        <v>1.0887721414923905</v>
      </c>
      <c r="N207" s="93">
        <f>IF(TrRoad_act!N68=0,0,TrRoad_emi!N65/TrRoad_tech!N180)</f>
        <v>1.1076597889360549</v>
      </c>
      <c r="O207" s="93">
        <f>IF(TrRoad_act!O68=0,0,TrRoad_emi!O65/TrRoad_tech!O180)</f>
        <v>1.1108343355723185</v>
      </c>
      <c r="P207" s="93">
        <f>IF(TrRoad_act!P68=0,0,TrRoad_emi!P65/TrRoad_tech!P180)</f>
        <v>1.11083772451478</v>
      </c>
      <c r="Q207" s="93">
        <f>IF(TrRoad_act!Q68=0,0,TrRoad_emi!Q65/TrRoad_tech!Q180)</f>
        <v>1.1661269766944296</v>
      </c>
      <c r="R207" s="93">
        <f>IF(TrRoad_act!R68=0,0,TrRoad_emi!R65/TrRoad_tech!R180)</f>
        <v>1.1932525125567113</v>
      </c>
      <c r="S207" s="93">
        <f>IF(TrRoad_act!S68=0,0,TrRoad_emi!S65/TrRoad_tech!S180)</f>
        <v>1.2041817162196757</v>
      </c>
      <c r="T207" s="93">
        <f>IF(TrRoad_act!T68=0,0,TrRoad_emi!T65/TrRoad_tech!T180)</f>
        <v>1.2019276197394573</v>
      </c>
      <c r="U207" s="93">
        <f>IF(TrRoad_act!U68=0,0,TrRoad_emi!U65/TrRoad_tech!U180)</f>
        <v>1.2681375194269968</v>
      </c>
      <c r="V207" s="93">
        <f>IF(TrRoad_act!V68=0,0,TrRoad_emi!V65/TrRoad_tech!V180)</f>
        <v>1.2524908851678731</v>
      </c>
      <c r="W207" s="93">
        <f>IF(TrRoad_act!W68=0,0,TrRoad_emi!W65/TrRoad_tech!W180)</f>
        <v>1.2554458106326567</v>
      </c>
      <c r="X207" s="93">
        <f>IF(TrRoad_act!X68=0,0,TrRoad_emi!X65/TrRoad_tech!X180)</f>
        <v>1.2555172023667429</v>
      </c>
      <c r="Y207" s="93">
        <f>IF(TrRoad_act!Y68=0,0,TrRoad_emi!Y65/TrRoad_tech!Y180)</f>
        <v>1.2626739825902475</v>
      </c>
      <c r="DA207" s="175"/>
    </row>
    <row r="208" spans="1:105" ht="11.45" customHeight="1" x14ac:dyDescent="0.25">
      <c r="A208" s="111" t="s">
        <v>111</v>
      </c>
      <c r="B208" s="93">
        <f>IF(TrRoad_act!B69=0,0,TrRoad_emi!B66/TrRoad_tech!B181)</f>
        <v>1.10000000000673</v>
      </c>
      <c r="C208" s="93">
        <f>IF(TrRoad_act!C69=0,0,TrRoad_emi!C66/TrRoad_tech!C181)</f>
        <v>1.1003686098487264</v>
      </c>
      <c r="D208" s="93">
        <f>IF(TrRoad_act!D69=0,0,TrRoad_emi!D66/TrRoad_tech!D181)</f>
        <v>1.1010633647365264</v>
      </c>
      <c r="E208" s="93">
        <f>IF(TrRoad_act!E69=0,0,TrRoad_emi!E66/TrRoad_tech!E181)</f>
        <v>1.1025762875787299</v>
      </c>
      <c r="F208" s="93">
        <f>IF(TrRoad_act!F69=0,0,TrRoad_emi!F66/TrRoad_tech!F181)</f>
        <v>1.1049514095760227</v>
      </c>
      <c r="G208" s="93">
        <f>IF(TrRoad_act!G69=0,0,TrRoad_emi!G66/TrRoad_tech!G181)</f>
        <v>1.1088600084562321</v>
      </c>
      <c r="H208" s="93">
        <f>IF(TrRoad_act!H69=0,0,TrRoad_emi!H66/TrRoad_tech!H181)</f>
        <v>1.1088398338231507</v>
      </c>
      <c r="I208" s="93">
        <f>IF(TrRoad_act!I69=0,0,TrRoad_emi!I66/TrRoad_tech!I181)</f>
        <v>1.0794091244461965</v>
      </c>
      <c r="J208" s="93">
        <f>IF(TrRoad_act!J69=0,0,TrRoad_emi!J66/TrRoad_tech!J181)</f>
        <v>1.0974965366542062</v>
      </c>
      <c r="K208" s="93">
        <f>IF(TrRoad_act!K69=0,0,TrRoad_emi!K66/TrRoad_tech!K181)</f>
        <v>1.0936452106516705</v>
      </c>
      <c r="L208" s="93">
        <f>IF(TrRoad_act!L69=0,0,TrRoad_emi!L66/TrRoad_tech!L181)</f>
        <v>1.1217995151941891</v>
      </c>
      <c r="M208" s="93">
        <f>IF(TrRoad_act!M69=0,0,TrRoad_emi!M66/TrRoad_tech!M181)</f>
        <v>1.109931888099648</v>
      </c>
      <c r="N208" s="93">
        <f>IF(TrRoad_act!N69=0,0,TrRoad_emi!N66/TrRoad_tech!N181)</f>
        <v>1.1147278731574328</v>
      </c>
      <c r="O208" s="93">
        <f>IF(TrRoad_act!O69=0,0,TrRoad_emi!O66/TrRoad_tech!O181)</f>
        <v>1.1278192600111103</v>
      </c>
      <c r="P208" s="93">
        <f>IF(TrRoad_act!P69=0,0,TrRoad_emi!P66/TrRoad_tech!P181)</f>
        <v>1.127740334991105</v>
      </c>
      <c r="Q208" s="93">
        <f>IF(TrRoad_act!Q69=0,0,TrRoad_emi!Q66/TrRoad_tech!Q181)</f>
        <v>1.1599400207853783</v>
      </c>
      <c r="R208" s="93">
        <f>IF(TrRoad_act!R69=0,0,TrRoad_emi!R66/TrRoad_tech!R181)</f>
        <v>1.1855958328451206</v>
      </c>
      <c r="S208" s="93">
        <f>IF(TrRoad_act!S69=0,0,TrRoad_emi!S66/TrRoad_tech!S181)</f>
        <v>1.1860424245985055</v>
      </c>
      <c r="T208" s="93">
        <f>IF(TrRoad_act!T69=0,0,TrRoad_emi!T66/TrRoad_tech!T181)</f>
        <v>1.1682268514631531</v>
      </c>
      <c r="U208" s="93">
        <f>IF(TrRoad_act!U69=0,0,TrRoad_emi!U66/TrRoad_tech!U181)</f>
        <v>1.1613605929575685</v>
      </c>
      <c r="V208" s="93">
        <f>IF(TrRoad_act!V69=0,0,TrRoad_emi!V66/TrRoad_tech!V181)</f>
        <v>1.2035314644254962</v>
      </c>
      <c r="W208" s="93">
        <f>IF(TrRoad_act!W69=0,0,TrRoad_emi!W66/TrRoad_tech!W181)</f>
        <v>1.2107538500094244</v>
      </c>
      <c r="X208" s="93">
        <f>IF(TrRoad_act!X69=0,0,TrRoad_emi!X66/TrRoad_tech!X181)</f>
        <v>1.2339961622687714</v>
      </c>
      <c r="Y208" s="93">
        <f>IF(TrRoad_act!Y69=0,0,TrRoad_emi!Y66/TrRoad_tech!Y181)</f>
        <v>1.2472037370549172</v>
      </c>
      <c r="DA208" s="175"/>
    </row>
    <row r="209" spans="1:105" ht="11.45" customHeight="1" x14ac:dyDescent="0.25">
      <c r="A209" s="111" t="s">
        <v>112</v>
      </c>
      <c r="B209" s="93">
        <f>IF(TrRoad_act!B70=0,0,TrRoad_emi!B67/TrRoad_tech!B182)</f>
        <v>1.1000000000067303</v>
      </c>
      <c r="C209" s="93">
        <f>IF(TrRoad_act!C70=0,0,TrRoad_emi!C67/TrRoad_tech!C182)</f>
        <v>1.10000000000673</v>
      </c>
      <c r="D209" s="93">
        <f>IF(TrRoad_act!D70=0,0,TrRoad_emi!D67/TrRoad_tech!D182)</f>
        <v>1.10000000000673</v>
      </c>
      <c r="E209" s="93">
        <f>IF(TrRoad_act!E70=0,0,TrRoad_emi!E67/TrRoad_tech!E182)</f>
        <v>1.10000000000673</v>
      </c>
      <c r="F209" s="93">
        <f>IF(TrRoad_act!F70=0,0,TrRoad_emi!F67/TrRoad_tech!F182)</f>
        <v>1.1000000000067305</v>
      </c>
      <c r="G209" s="93">
        <f>IF(TrRoad_act!G70=0,0,TrRoad_emi!G67/TrRoad_tech!G182)</f>
        <v>1.108352163301747</v>
      </c>
      <c r="H209" s="93">
        <f>IF(TrRoad_act!H70=0,0,TrRoad_emi!H67/TrRoad_tech!H182)</f>
        <v>1.1096052581885401</v>
      </c>
      <c r="I209" s="93">
        <f>IF(TrRoad_act!I70=0,0,TrRoad_emi!I67/TrRoad_tech!I182)</f>
        <v>1.1105890640705784</v>
      </c>
      <c r="J209" s="93">
        <f>IF(TrRoad_act!J70=0,0,TrRoad_emi!J67/TrRoad_tech!J182)</f>
        <v>1.1106691283445278</v>
      </c>
      <c r="K209" s="93">
        <f>IF(TrRoad_act!K70=0,0,TrRoad_emi!K67/TrRoad_tech!K182)</f>
        <v>1.111293956224864</v>
      </c>
      <c r="L209" s="93">
        <f>IF(TrRoad_act!L70=0,0,TrRoad_emi!L67/TrRoad_tech!L182)</f>
        <v>1.111293956224864</v>
      </c>
      <c r="M209" s="93">
        <f>IF(TrRoad_act!M70=0,0,TrRoad_emi!M67/TrRoad_tech!M182)</f>
        <v>1.1116828063870636</v>
      </c>
      <c r="N209" s="93">
        <f>IF(TrRoad_act!N70=0,0,TrRoad_emi!N67/TrRoad_tech!N182)</f>
        <v>1.111996521700108</v>
      </c>
      <c r="O209" s="93">
        <f>IF(TrRoad_act!O70=0,0,TrRoad_emi!O67/TrRoad_tech!O182)</f>
        <v>1.1120993874943572</v>
      </c>
      <c r="P209" s="93">
        <f>IF(TrRoad_act!P70=0,0,TrRoad_emi!P67/TrRoad_tech!P182)</f>
        <v>1.1123275501469911</v>
      </c>
      <c r="Q209" s="93">
        <f>IF(TrRoad_act!Q70=0,0,TrRoad_emi!Q67/TrRoad_tech!Q182)</f>
        <v>1.1123275501469914</v>
      </c>
      <c r="R209" s="93">
        <f>IF(TrRoad_act!R70=0,0,TrRoad_emi!R67/TrRoad_tech!R182)</f>
        <v>1.1120653682408495</v>
      </c>
      <c r="S209" s="93">
        <f>IF(TrRoad_act!S70=0,0,TrRoad_emi!S67/TrRoad_tech!S182)</f>
        <v>1.1124121399808056</v>
      </c>
      <c r="T209" s="93">
        <f>IF(TrRoad_act!T70=0,0,TrRoad_emi!T67/TrRoad_tech!T182)</f>
        <v>1.1126608172301209</v>
      </c>
      <c r="U209" s="93">
        <f>IF(TrRoad_act!U70=0,0,TrRoad_emi!U67/TrRoad_tech!U182)</f>
        <v>1.1126608172301211</v>
      </c>
      <c r="V209" s="93">
        <f>IF(TrRoad_act!V70=0,0,TrRoad_emi!V67/TrRoad_tech!V182)</f>
        <v>1.1126624018303017</v>
      </c>
      <c r="W209" s="93">
        <f>IF(TrRoad_act!W70=0,0,TrRoad_emi!W67/TrRoad_tech!W182)</f>
        <v>1.1129307555441588</v>
      </c>
      <c r="X209" s="93">
        <f>IF(TrRoad_act!X70=0,0,TrRoad_emi!X67/TrRoad_tech!X182)</f>
        <v>1.1133445889255029</v>
      </c>
      <c r="Y209" s="93">
        <f>IF(TrRoad_act!Y70=0,0,TrRoad_emi!Y67/TrRoad_tech!Y182)</f>
        <v>1.1132119889522889</v>
      </c>
      <c r="DA209" s="175"/>
    </row>
    <row r="210" spans="1:105" ht="11.45" customHeight="1" x14ac:dyDescent="0.25">
      <c r="A210" s="111" t="s">
        <v>113</v>
      </c>
      <c r="B210" s="93">
        <f>IF(TrRoad_act!B71=0,0,TrRoad_emi!B68/TrRoad_tech!B183)</f>
        <v>1.135785837141349</v>
      </c>
      <c r="C210" s="93">
        <f>IF(TrRoad_act!C71=0,0,TrRoad_emi!C68/TrRoad_tech!C183)</f>
        <v>1.2737358182127103</v>
      </c>
      <c r="D210" s="93">
        <f>IF(TrRoad_act!D71=0,0,TrRoad_emi!D68/TrRoad_tech!D183)</f>
        <v>1.0676331523174747</v>
      </c>
      <c r="E210" s="93">
        <f>IF(TrRoad_act!E71=0,0,TrRoad_emi!E68/TrRoad_tech!E183)</f>
        <v>1.2797269710171042</v>
      </c>
      <c r="F210" s="93">
        <f>IF(TrRoad_act!F71=0,0,TrRoad_emi!F68/TrRoad_tech!F183)</f>
        <v>0.96157875111515523</v>
      </c>
      <c r="G210" s="93">
        <f>IF(TrRoad_act!G71=0,0,TrRoad_emi!G68/TrRoad_tech!G183)</f>
        <v>1.0216671424926946</v>
      </c>
      <c r="H210" s="93">
        <f>IF(TrRoad_act!H71=0,0,TrRoad_emi!H68/TrRoad_tech!H183)</f>
        <v>1.0304625562638949</v>
      </c>
      <c r="I210" s="93">
        <f>IF(TrRoad_act!I71=0,0,TrRoad_emi!I68/TrRoad_tech!I183)</f>
        <v>0.971759217286427</v>
      </c>
      <c r="J210" s="93">
        <f>IF(TrRoad_act!J71=0,0,TrRoad_emi!J68/TrRoad_tech!J183)</f>
        <v>0.99521268415977171</v>
      </c>
      <c r="K210" s="93">
        <f>IF(TrRoad_act!K71=0,0,TrRoad_emi!K68/TrRoad_tech!K183)</f>
        <v>1.0044436992976691</v>
      </c>
      <c r="L210" s="93">
        <f>IF(TrRoad_act!L71=0,0,TrRoad_emi!L68/TrRoad_tech!L183)</f>
        <v>1.0589921026651063</v>
      </c>
      <c r="M210" s="93">
        <f>IF(TrRoad_act!M71=0,0,TrRoad_emi!M68/TrRoad_tech!M183)</f>
        <v>1.1469997749526823</v>
      </c>
      <c r="N210" s="93">
        <f>IF(TrRoad_act!N71=0,0,TrRoad_emi!N68/TrRoad_tech!N183)</f>
        <v>0.82490232227327953</v>
      </c>
      <c r="O210" s="93">
        <f>IF(TrRoad_act!O71=0,0,TrRoad_emi!O68/TrRoad_tech!O183)</f>
        <v>0.48003243669068985</v>
      </c>
      <c r="P210" s="93">
        <f>IF(TrRoad_act!P71=0,0,TrRoad_emi!P68/TrRoad_tech!P183)</f>
        <v>0.4930092692280495</v>
      </c>
      <c r="Q210" s="93">
        <f>IF(TrRoad_act!Q71=0,0,TrRoad_emi!Q68/TrRoad_tech!Q183)</f>
        <v>0.595549999837102</v>
      </c>
      <c r="R210" s="93">
        <f>IF(TrRoad_act!R71=0,0,TrRoad_emi!R68/TrRoad_tech!R183)</f>
        <v>1.0243582995909071</v>
      </c>
      <c r="S210" s="93">
        <f>IF(TrRoad_act!S71=0,0,TrRoad_emi!S68/TrRoad_tech!S183)</f>
        <v>1.1382057659646614</v>
      </c>
      <c r="T210" s="93">
        <f>IF(TrRoad_act!T71=0,0,TrRoad_emi!T68/TrRoad_tech!T183)</f>
        <v>0.96316167066597258</v>
      </c>
      <c r="U210" s="93">
        <f>IF(TrRoad_act!U71=0,0,TrRoad_emi!U68/TrRoad_tech!U183)</f>
        <v>1.0192330713149407</v>
      </c>
      <c r="V210" s="93">
        <f>IF(TrRoad_act!V71=0,0,TrRoad_emi!V68/TrRoad_tech!V183)</f>
        <v>1.0643755804494259</v>
      </c>
      <c r="W210" s="93">
        <f>IF(TrRoad_act!W71=0,0,TrRoad_emi!W68/TrRoad_tech!W183)</f>
        <v>1.0881451645351148</v>
      </c>
      <c r="X210" s="93">
        <f>IF(TrRoad_act!X71=0,0,TrRoad_emi!X68/TrRoad_tech!X183)</f>
        <v>1.1752566588981581</v>
      </c>
      <c r="Y210" s="93">
        <f>IF(TrRoad_act!Y71=0,0,TrRoad_emi!Y68/TrRoad_tech!Y183)</f>
        <v>1.4021900293990766</v>
      </c>
      <c r="DA210" s="175"/>
    </row>
    <row r="211" spans="1:105" ht="11.45" customHeight="1" x14ac:dyDescent="0.25">
      <c r="A211" s="111" t="s">
        <v>115</v>
      </c>
      <c r="B211" s="93">
        <f>0</f>
        <v>0</v>
      </c>
      <c r="C211" s="93">
        <f>0</f>
        <v>0</v>
      </c>
      <c r="D211" s="93">
        <f>0</f>
        <v>0</v>
      </c>
      <c r="E211" s="93">
        <f>0</f>
        <v>0</v>
      </c>
      <c r="F211" s="93">
        <f>0</f>
        <v>0</v>
      </c>
      <c r="G211" s="93">
        <f>0</f>
        <v>0</v>
      </c>
      <c r="H211" s="93">
        <f>0</f>
        <v>0</v>
      </c>
      <c r="I211" s="93">
        <f>0</f>
        <v>0</v>
      </c>
      <c r="J211" s="93">
        <f>0</f>
        <v>0</v>
      </c>
      <c r="K211" s="93">
        <f>0</f>
        <v>0</v>
      </c>
      <c r="L211" s="93">
        <f>0</f>
        <v>0</v>
      </c>
      <c r="M211" s="93">
        <f>0</f>
        <v>0</v>
      </c>
      <c r="N211" s="93">
        <f>0</f>
        <v>0</v>
      </c>
      <c r="O211" s="93">
        <f>0</f>
        <v>0</v>
      </c>
      <c r="P211" s="93">
        <f>0</f>
        <v>0</v>
      </c>
      <c r="Q211" s="93">
        <f>0</f>
        <v>0</v>
      </c>
      <c r="R211" s="93">
        <f>0</f>
        <v>0</v>
      </c>
      <c r="S211" s="93">
        <f>0</f>
        <v>0</v>
      </c>
      <c r="T211" s="93">
        <f>0</f>
        <v>0</v>
      </c>
      <c r="U211" s="93">
        <f>0</f>
        <v>0</v>
      </c>
      <c r="V211" s="93">
        <f>0</f>
        <v>0</v>
      </c>
      <c r="W211" s="93">
        <f>0</f>
        <v>0</v>
      </c>
      <c r="X211" s="93">
        <f>0</f>
        <v>0</v>
      </c>
      <c r="Y211" s="93">
        <f>0</f>
        <v>0</v>
      </c>
      <c r="DA211" s="175"/>
    </row>
    <row r="212" spans="1:105" ht="11.45" customHeight="1" x14ac:dyDescent="0.25">
      <c r="A212" s="27" t="s">
        <v>34</v>
      </c>
      <c r="B212" s="47"/>
      <c r="C212" s="47"/>
      <c r="D212" s="47"/>
      <c r="E212" s="47"/>
      <c r="F212" s="47"/>
      <c r="G212" s="47"/>
      <c r="H212" s="47"/>
      <c r="I212" s="47"/>
      <c r="J212" s="47"/>
      <c r="K212" s="47"/>
      <c r="L212" s="47"/>
      <c r="M212" s="47"/>
      <c r="N212" s="47"/>
      <c r="O212" s="47"/>
      <c r="P212" s="47"/>
      <c r="Q212" s="47"/>
      <c r="R212" s="47"/>
      <c r="S212" s="47"/>
      <c r="T212" s="47"/>
      <c r="U212" s="47"/>
      <c r="V212" s="47"/>
      <c r="W212" s="47"/>
      <c r="X212" s="47"/>
      <c r="Y212" s="47"/>
      <c r="DA212" s="173"/>
    </row>
    <row r="213" spans="1:105" ht="11.45" customHeight="1" x14ac:dyDescent="0.25">
      <c r="A213" s="136" t="s">
        <v>153</v>
      </c>
      <c r="B213" s="150">
        <f>IF(TrRoad_act!B74=0,0,TrRoad_emi!B71/TrRoad_tech!B186)</f>
        <v>1.0472617340431376</v>
      </c>
      <c r="C213" s="150">
        <f>IF(TrRoad_act!C74=0,0,TrRoad_emi!C71/TrRoad_tech!C186)</f>
        <v>1.0324610439805426</v>
      </c>
      <c r="D213" s="150">
        <f>IF(TrRoad_act!D74=0,0,TrRoad_emi!D71/TrRoad_tech!D186)</f>
        <v>1.0289939639427206</v>
      </c>
      <c r="E213" s="150">
        <f>IF(TrRoad_act!E74=0,0,TrRoad_emi!E71/TrRoad_tech!E186)</f>
        <v>1.0334274725666446</v>
      </c>
      <c r="F213" s="150">
        <f>IF(TrRoad_act!F74=0,0,TrRoad_emi!F71/TrRoad_tech!F186)</f>
        <v>1.0426286186568696</v>
      </c>
      <c r="G213" s="150">
        <f>IF(TrRoad_act!G74=0,0,TrRoad_emi!G71/TrRoad_tech!G186)</f>
        <v>1.0585201475866501</v>
      </c>
      <c r="H213" s="150">
        <f>IF(TrRoad_act!H74=0,0,TrRoad_emi!H71/TrRoad_tech!H186)</f>
        <v>1.0600899059538038</v>
      </c>
      <c r="I213" s="150">
        <f>IF(TrRoad_act!I74=0,0,TrRoad_emi!I71/TrRoad_tech!I186)</f>
        <v>1.0401720077042149</v>
      </c>
      <c r="J213" s="150">
        <f>IF(TrRoad_act!J74=0,0,TrRoad_emi!J71/TrRoad_tech!J186)</f>
        <v>1.0744748873924266</v>
      </c>
      <c r="K213" s="150">
        <f>IF(TrRoad_act!K74=0,0,TrRoad_emi!K71/TrRoad_tech!K186)</f>
        <v>1.0925958677497869</v>
      </c>
      <c r="L213" s="150">
        <f>IF(TrRoad_act!L74=0,0,TrRoad_emi!L71/TrRoad_tech!L186)</f>
        <v>1.2063605571150753</v>
      </c>
      <c r="M213" s="150">
        <f>IF(TrRoad_act!M74=0,0,TrRoad_emi!M71/TrRoad_tech!M186)</f>
        <v>1.3648453681356225</v>
      </c>
      <c r="N213" s="150">
        <f>IF(TrRoad_act!N74=0,0,TrRoad_emi!N71/TrRoad_tech!N186)</f>
        <v>1.1391668576753127</v>
      </c>
      <c r="O213" s="150">
        <f>IF(TrRoad_act!O74=0,0,TrRoad_emi!O71/TrRoad_tech!O186)</f>
        <v>1.1257651056456779</v>
      </c>
      <c r="P213" s="150">
        <f>IF(TrRoad_act!P74=0,0,TrRoad_emi!P71/TrRoad_tech!P186)</f>
        <v>1.1413165918127133</v>
      </c>
      <c r="Q213" s="150">
        <f>IF(TrRoad_act!Q74=0,0,TrRoad_emi!Q71/TrRoad_tech!Q186)</f>
        <v>1.1630693334807767</v>
      </c>
      <c r="R213" s="150">
        <f>IF(TrRoad_act!R74=0,0,TrRoad_emi!R71/TrRoad_tech!R186)</f>
        <v>1.1602250856060932</v>
      </c>
      <c r="S213" s="150">
        <f>IF(TrRoad_act!S74=0,0,TrRoad_emi!S71/TrRoad_tech!S186)</f>
        <v>1.1605023825309284</v>
      </c>
      <c r="T213" s="150">
        <f>IF(TrRoad_act!T74=0,0,TrRoad_emi!T71/TrRoad_tech!T186)</f>
        <v>1.1235953370185014</v>
      </c>
      <c r="U213" s="150">
        <f>IF(TrRoad_act!U74=0,0,TrRoad_emi!U71/TrRoad_tech!U186)</f>
        <v>1.1414380629108358</v>
      </c>
      <c r="V213" s="150">
        <f>IF(TrRoad_act!V74=0,0,TrRoad_emi!V71/TrRoad_tech!V186)</f>
        <v>1.1372827934014715</v>
      </c>
      <c r="W213" s="150">
        <f>IF(TrRoad_act!W74=0,0,TrRoad_emi!W71/TrRoad_tech!W186)</f>
        <v>1.1256848789643623</v>
      </c>
      <c r="X213" s="150">
        <f>IF(TrRoad_act!X74=0,0,TrRoad_emi!X71/TrRoad_tech!X186)</f>
        <v>1.1333343298818068</v>
      </c>
      <c r="Y213" s="150">
        <f>IF(TrRoad_act!Y74=0,0,TrRoad_emi!Y71/TrRoad_tech!Y186)</f>
        <v>1.1836778205356691</v>
      </c>
      <c r="DA213" s="174"/>
    </row>
    <row r="214" spans="1:105" ht="11.45" customHeight="1" x14ac:dyDescent="0.25">
      <c r="A214" s="111" t="s">
        <v>110</v>
      </c>
      <c r="B214" s="91">
        <f>IF(TrRoad_act!B75=0,0,TrRoad_emi!B72/TrRoad_tech!B187)</f>
        <v>1.10000000000673</v>
      </c>
      <c r="C214" s="91">
        <f>IF(TrRoad_act!C75=0,0,TrRoad_emi!C72/TrRoad_tech!C187)</f>
        <v>1.10000000000673</v>
      </c>
      <c r="D214" s="91">
        <f>IF(TrRoad_act!D75=0,0,TrRoad_emi!D72/TrRoad_tech!D187)</f>
        <v>1.1000000000067298</v>
      </c>
      <c r="E214" s="91">
        <f>IF(TrRoad_act!E75=0,0,TrRoad_emi!E72/TrRoad_tech!E187)</f>
        <v>1.1000000000067303</v>
      </c>
      <c r="F214" s="91">
        <f>IF(TrRoad_act!F75=0,0,TrRoad_emi!F72/TrRoad_tech!F187)</f>
        <v>1.10000000000673</v>
      </c>
      <c r="G214" s="91">
        <f>IF(TrRoad_act!G75=0,0,TrRoad_emi!G72/TrRoad_tech!G187)</f>
        <v>1.1000000000067303</v>
      </c>
      <c r="H214" s="91">
        <f>IF(TrRoad_act!H75=0,0,TrRoad_emi!H72/TrRoad_tech!H187)</f>
        <v>1.0949948934800109</v>
      </c>
      <c r="I214" s="91">
        <f>IF(TrRoad_act!I75=0,0,TrRoad_emi!I72/TrRoad_tech!I187)</f>
        <v>1.0767268188282904</v>
      </c>
      <c r="J214" s="91">
        <f>IF(TrRoad_act!J75=0,0,TrRoad_emi!J72/TrRoad_tech!J187)</f>
        <v>1.0715513485092356</v>
      </c>
      <c r="K214" s="91">
        <f>IF(TrRoad_act!K75=0,0,TrRoad_emi!K72/TrRoad_tech!K187)</f>
        <v>1.0651472534570821</v>
      </c>
      <c r="L214" s="91">
        <f>IF(TrRoad_act!L75=0,0,TrRoad_emi!L72/TrRoad_tech!L187)</f>
        <v>1.0702418144528376</v>
      </c>
      <c r="M214" s="91">
        <f>IF(TrRoad_act!M75=0,0,TrRoad_emi!M72/TrRoad_tech!M187)</f>
        <v>1.0720792000312218</v>
      </c>
      <c r="N214" s="91">
        <f>IF(TrRoad_act!N75=0,0,TrRoad_emi!N72/TrRoad_tech!N187)</f>
        <v>1.0841863337214537</v>
      </c>
      <c r="O214" s="91">
        <f>IF(TrRoad_act!O75=0,0,TrRoad_emi!O72/TrRoad_tech!O187)</f>
        <v>1.0885733275020553</v>
      </c>
      <c r="P214" s="91">
        <f>IF(TrRoad_act!P75=0,0,TrRoad_emi!P72/TrRoad_tech!P187)</f>
        <v>1.0982931014202337</v>
      </c>
      <c r="Q214" s="91">
        <f>IF(TrRoad_act!Q75=0,0,TrRoad_emi!Q72/TrRoad_tech!Q187)</f>
        <v>1.1068358532529194</v>
      </c>
      <c r="R214" s="91">
        <f>IF(TrRoad_act!R75=0,0,TrRoad_emi!R72/TrRoad_tech!R187)</f>
        <v>1.1280378478926334</v>
      </c>
      <c r="S214" s="91">
        <f>IF(TrRoad_act!S75=0,0,TrRoad_emi!S72/TrRoad_tech!S187)</f>
        <v>1.1405351044126988</v>
      </c>
      <c r="T214" s="91">
        <f>IF(TrRoad_act!T75=0,0,TrRoad_emi!T72/TrRoad_tech!T187)</f>
        <v>1.1408353998467127</v>
      </c>
      <c r="U214" s="91">
        <f>IF(TrRoad_act!U75=0,0,TrRoad_emi!U72/TrRoad_tech!U187)</f>
        <v>1.1481159751079932</v>
      </c>
      <c r="V214" s="91">
        <f>IF(TrRoad_act!V75=0,0,TrRoad_emi!V72/TrRoad_tech!V187)</f>
        <v>1.13896316779147</v>
      </c>
      <c r="W214" s="91">
        <f>IF(TrRoad_act!W75=0,0,TrRoad_emi!W72/TrRoad_tech!W187)</f>
        <v>1.1569283356144964</v>
      </c>
      <c r="X214" s="91">
        <f>IF(TrRoad_act!X75=0,0,TrRoad_emi!X72/TrRoad_tech!X187)</f>
        <v>1.1796113206599006</v>
      </c>
      <c r="Y214" s="91">
        <f>IF(TrRoad_act!Y75=0,0,TrRoad_emi!Y72/TrRoad_tech!Y187)</f>
        <v>1.1957353165606188</v>
      </c>
      <c r="DA214" s="171"/>
    </row>
    <row r="215" spans="1:105" ht="11.45" customHeight="1" x14ac:dyDescent="0.25">
      <c r="A215" s="111" t="s">
        <v>111</v>
      </c>
      <c r="B215" s="91">
        <f>IF(TrRoad_act!B76=0,0,TrRoad_emi!B73/TrRoad_tech!B188)</f>
        <v>1.10000000000673</v>
      </c>
      <c r="C215" s="91">
        <f>IF(TrRoad_act!C76=0,0,TrRoad_emi!C73/TrRoad_tech!C188)</f>
        <v>1.1004057790463266</v>
      </c>
      <c r="D215" s="91">
        <f>IF(TrRoad_act!D76=0,0,TrRoad_emi!D73/TrRoad_tech!D188)</f>
        <v>1.101151709842755</v>
      </c>
      <c r="E215" s="91">
        <f>IF(TrRoad_act!E76=0,0,TrRoad_emi!E73/TrRoad_tech!E188)</f>
        <v>1.1022830101944738</v>
      </c>
      <c r="F215" s="91">
        <f>IF(TrRoad_act!F76=0,0,TrRoad_emi!F73/TrRoad_tech!F188)</f>
        <v>1.103771513135003</v>
      </c>
      <c r="G215" s="91">
        <f>IF(TrRoad_act!G76=0,0,TrRoad_emi!G73/TrRoad_tech!G188)</f>
        <v>1.1060094303839079</v>
      </c>
      <c r="H215" s="91">
        <f>IF(TrRoad_act!H76=0,0,TrRoad_emi!H73/TrRoad_tech!H188)</f>
        <v>1.1049939211479092</v>
      </c>
      <c r="I215" s="91">
        <f>IF(TrRoad_act!I76=0,0,TrRoad_emi!I73/TrRoad_tech!I188)</f>
        <v>1.0725923946401272</v>
      </c>
      <c r="J215" s="91">
        <f>IF(TrRoad_act!J76=0,0,TrRoad_emi!J73/TrRoad_tech!J188)</f>
        <v>1.0880592939052118</v>
      </c>
      <c r="K215" s="91">
        <f>IF(TrRoad_act!K76=0,0,TrRoad_emi!K73/TrRoad_tech!K188)</f>
        <v>1.0825215765724323</v>
      </c>
      <c r="L215" s="91">
        <f>IF(TrRoad_act!L76=0,0,TrRoad_emi!L73/TrRoad_tech!L188)</f>
        <v>1.1081964871996286</v>
      </c>
      <c r="M215" s="91">
        <f>IF(TrRoad_act!M76=0,0,TrRoad_emi!M73/TrRoad_tech!M188)</f>
        <v>1.0983348891549498</v>
      </c>
      <c r="N215" s="91">
        <f>IF(TrRoad_act!N76=0,0,TrRoad_emi!N73/TrRoad_tech!N188)</f>
        <v>1.1023450029209636</v>
      </c>
      <c r="O215" s="91">
        <f>IF(TrRoad_act!O76=0,0,TrRoad_emi!O73/TrRoad_tech!O188)</f>
        <v>1.1126324645673475</v>
      </c>
      <c r="P215" s="91">
        <f>IF(TrRoad_act!P76=0,0,TrRoad_emi!P73/TrRoad_tech!P188)</f>
        <v>1.1081427326398725</v>
      </c>
      <c r="Q215" s="91">
        <f>IF(TrRoad_act!Q76=0,0,TrRoad_emi!Q73/TrRoad_tech!Q188)</f>
        <v>1.1339885837630448</v>
      </c>
      <c r="R215" s="91">
        <f>IF(TrRoad_act!R76=0,0,TrRoad_emi!R73/TrRoad_tech!R188)</f>
        <v>1.1539465529414048</v>
      </c>
      <c r="S215" s="91">
        <f>IF(TrRoad_act!S76=0,0,TrRoad_emi!S73/TrRoad_tech!S188)</f>
        <v>1.1562546304818007</v>
      </c>
      <c r="T215" s="91">
        <f>IF(TrRoad_act!T76=0,0,TrRoad_emi!T73/TrRoad_tech!T188)</f>
        <v>1.1419304692992855</v>
      </c>
      <c r="U215" s="91">
        <f>IF(TrRoad_act!U76=0,0,TrRoad_emi!U73/TrRoad_tech!U188)</f>
        <v>1.136239386141972</v>
      </c>
      <c r="V215" s="91">
        <f>IF(TrRoad_act!V76=0,0,TrRoad_emi!V73/TrRoad_tech!V188)</f>
        <v>1.1607224111426495</v>
      </c>
      <c r="W215" s="91">
        <f>IF(TrRoad_act!W76=0,0,TrRoad_emi!W73/TrRoad_tech!W188)</f>
        <v>1.1529306934140495</v>
      </c>
      <c r="X215" s="91">
        <f>IF(TrRoad_act!X76=0,0,TrRoad_emi!X73/TrRoad_tech!X188)</f>
        <v>1.1774351894383961</v>
      </c>
      <c r="Y215" s="91">
        <f>IF(TrRoad_act!Y76=0,0,TrRoad_emi!Y73/TrRoad_tech!Y188)</f>
        <v>1.1940352192374253</v>
      </c>
      <c r="DA215" s="171"/>
    </row>
    <row r="216" spans="1:105" ht="11.45" customHeight="1" x14ac:dyDescent="0.25">
      <c r="A216" s="111" t="s">
        <v>112</v>
      </c>
      <c r="B216" s="91">
        <f>IF(TrRoad_act!B77=0,0,TrRoad_emi!B74/TrRoad_tech!B189)</f>
        <v>1.1000000000067305</v>
      </c>
      <c r="C216" s="91">
        <f>IF(TrRoad_act!C77=0,0,TrRoad_emi!C74/TrRoad_tech!C189)</f>
        <v>1.1000008758192354</v>
      </c>
      <c r="D216" s="91">
        <f>IF(TrRoad_act!D77=0,0,TrRoad_emi!D74/TrRoad_tech!D189)</f>
        <v>1.1000008794784815</v>
      </c>
      <c r="E216" s="91">
        <f>IF(TrRoad_act!E77=0,0,TrRoad_emi!E74/TrRoad_tech!E189)</f>
        <v>1.1000009006536517</v>
      </c>
      <c r="F216" s="91">
        <f>IF(TrRoad_act!F77=0,0,TrRoad_emi!F74/TrRoad_tech!F189)</f>
        <v>1.1000009330104383</v>
      </c>
      <c r="G216" s="91">
        <f>IF(TrRoad_act!G77=0,0,TrRoad_emi!G74/TrRoad_tech!G189)</f>
        <v>1.1000010405654215</v>
      </c>
      <c r="H216" s="91">
        <f>IF(TrRoad_act!H77=0,0,TrRoad_emi!H74/TrRoad_tech!H189)</f>
        <v>1.1000011095870263</v>
      </c>
      <c r="I216" s="91">
        <f>IF(TrRoad_act!I77=0,0,TrRoad_emi!I74/TrRoad_tech!I189)</f>
        <v>1.1000011443771363</v>
      </c>
      <c r="J216" s="91">
        <f>IF(TrRoad_act!J77=0,0,TrRoad_emi!J74/TrRoad_tech!J189)</f>
        <v>1.1000011454835801</v>
      </c>
      <c r="K216" s="91">
        <f>IF(TrRoad_act!K77=0,0,TrRoad_emi!K74/TrRoad_tech!K189)</f>
        <v>1.1000258832284289</v>
      </c>
      <c r="L216" s="91">
        <f>IF(TrRoad_act!L77=0,0,TrRoad_emi!L74/TrRoad_tech!L189)</f>
        <v>1.1010749978890437</v>
      </c>
      <c r="M216" s="91">
        <f>IF(TrRoad_act!M77=0,0,TrRoad_emi!M74/TrRoad_tech!M189)</f>
        <v>1.10298552429353</v>
      </c>
      <c r="N216" s="91">
        <f>IF(TrRoad_act!N77=0,0,TrRoad_emi!N74/TrRoad_tech!N189)</f>
        <v>1.1064734332145096</v>
      </c>
      <c r="O216" s="91">
        <f>IF(TrRoad_act!O77=0,0,TrRoad_emi!O74/TrRoad_tech!O189)</f>
        <v>1.1098275581385471</v>
      </c>
      <c r="P216" s="91">
        <f>IF(TrRoad_act!P77=0,0,TrRoad_emi!P74/TrRoad_tech!P189)</f>
        <v>1.1159532004995791</v>
      </c>
      <c r="Q216" s="91">
        <f>IF(TrRoad_act!Q77=0,0,TrRoad_emi!Q74/TrRoad_tech!Q189)</f>
        <v>1.1218186243321357</v>
      </c>
      <c r="R216" s="91">
        <f>IF(TrRoad_act!R77=0,0,TrRoad_emi!R74/TrRoad_tech!R189)</f>
        <v>1.1280074137247815</v>
      </c>
      <c r="S216" s="91">
        <f>IF(TrRoad_act!S77=0,0,TrRoad_emi!S74/TrRoad_tech!S189)</f>
        <v>1.1372297263991777</v>
      </c>
      <c r="T216" s="91">
        <f>IF(TrRoad_act!T77=0,0,TrRoad_emi!T74/TrRoad_tech!T189)</f>
        <v>1.1454668634890042</v>
      </c>
      <c r="U216" s="91">
        <f>IF(TrRoad_act!U77=0,0,TrRoad_emi!U74/TrRoad_tech!U189)</f>
        <v>1.1719409604024575</v>
      </c>
      <c r="V216" s="91">
        <f>IF(TrRoad_act!V77=0,0,TrRoad_emi!V74/TrRoad_tech!V189)</f>
        <v>1.1780981093628866</v>
      </c>
      <c r="W216" s="91">
        <f>IF(TrRoad_act!W77=0,0,TrRoad_emi!W74/TrRoad_tech!W189)</f>
        <v>1.1971985958516718</v>
      </c>
      <c r="X216" s="91">
        <f>IF(TrRoad_act!X77=0,0,TrRoad_emi!X74/TrRoad_tech!X189)</f>
        <v>1.2117738234381479</v>
      </c>
      <c r="Y216" s="91">
        <f>IF(TrRoad_act!Y77=0,0,TrRoad_emi!Y74/TrRoad_tech!Y189)</f>
        <v>1.2229233159892723</v>
      </c>
      <c r="DA216" s="171"/>
    </row>
    <row r="217" spans="1:105" ht="11.45" customHeight="1" x14ac:dyDescent="0.25">
      <c r="A217" s="111" t="s">
        <v>113</v>
      </c>
      <c r="B217" s="91">
        <f>IF(TrRoad_act!B78=0,0,TrRoad_emi!B75/TrRoad_tech!B190)</f>
        <v>0</v>
      </c>
      <c r="C217" s="91">
        <f>IF(TrRoad_act!C78=0,0,TrRoad_emi!C75/TrRoad_tech!C190)</f>
        <v>0</v>
      </c>
      <c r="D217" s="91">
        <f>IF(TrRoad_act!D78=0,0,TrRoad_emi!D75/TrRoad_tech!D190)</f>
        <v>0</v>
      </c>
      <c r="E217" s="91">
        <f>IF(TrRoad_act!E78=0,0,TrRoad_emi!E75/TrRoad_tech!E190)</f>
        <v>1.1157450087537368</v>
      </c>
      <c r="F217" s="91">
        <f>IF(TrRoad_act!F78=0,0,TrRoad_emi!F75/TrRoad_tech!F190)</f>
        <v>1.1208745595244161</v>
      </c>
      <c r="G217" s="91">
        <f>IF(TrRoad_act!G78=0,0,TrRoad_emi!G75/TrRoad_tech!G190)</f>
        <v>1.1211153954067021</v>
      </c>
      <c r="H217" s="91">
        <f>IF(TrRoad_act!H78=0,0,TrRoad_emi!H75/TrRoad_tech!H190)</f>
        <v>1.1211403172915717</v>
      </c>
      <c r="I217" s="91">
        <f>IF(TrRoad_act!I78=0,0,TrRoad_emi!I75/TrRoad_tech!I190)</f>
        <v>1.1411371883159513</v>
      </c>
      <c r="J217" s="91">
        <f>IF(TrRoad_act!J78=0,0,TrRoad_emi!J75/TrRoad_tech!J190)</f>
        <v>1.1411731576737856</v>
      </c>
      <c r="K217" s="91">
        <f>IF(TrRoad_act!K78=0,0,TrRoad_emi!K75/TrRoad_tech!K190)</f>
        <v>1.1585539735603558</v>
      </c>
      <c r="L217" s="91">
        <f>IF(TrRoad_act!L78=0,0,TrRoad_emi!L75/TrRoad_tech!L190)</f>
        <v>1.1706482068018542</v>
      </c>
      <c r="M217" s="91">
        <f>IF(TrRoad_act!M78=0,0,TrRoad_emi!M75/TrRoad_tech!M190)</f>
        <v>1.1813706095483334</v>
      </c>
      <c r="N217" s="91">
        <f>IF(TrRoad_act!N78=0,0,TrRoad_emi!N75/TrRoad_tech!N190)</f>
        <v>1.1965964476766857</v>
      </c>
      <c r="O217" s="91">
        <f>IF(TrRoad_act!O78=0,0,TrRoad_emi!O75/TrRoad_tech!O190)</f>
        <v>1.2065007217419397</v>
      </c>
      <c r="P217" s="91">
        <f>IF(TrRoad_act!P78=0,0,TrRoad_emi!P75/TrRoad_tech!P190)</f>
        <v>1.2182071318357852</v>
      </c>
      <c r="Q217" s="91">
        <f>IF(TrRoad_act!Q78=0,0,TrRoad_emi!Q75/TrRoad_tech!Q190)</f>
        <v>1.2249977635742966</v>
      </c>
      <c r="R217" s="91">
        <f>IF(TrRoad_act!R78=0,0,TrRoad_emi!R75/TrRoad_tech!R190)</f>
        <v>1.2883133483504585</v>
      </c>
      <c r="S217" s="91">
        <f>IF(TrRoad_act!S78=0,0,TrRoad_emi!S75/TrRoad_tech!S190)</f>
        <v>1.3000386274413336</v>
      </c>
      <c r="T217" s="91">
        <f>IF(TrRoad_act!T78=0,0,TrRoad_emi!T75/TrRoad_tech!T190)</f>
        <v>1.3171097060944736</v>
      </c>
      <c r="U217" s="91">
        <f>IF(TrRoad_act!U78=0,0,TrRoad_emi!U75/TrRoad_tech!U190)</f>
        <v>1.3225450683658477</v>
      </c>
      <c r="V217" s="91">
        <f>IF(TrRoad_act!V78=0,0,TrRoad_emi!V75/TrRoad_tech!V190)</f>
        <v>1.3243907338308423</v>
      </c>
      <c r="W217" s="91">
        <f>IF(TrRoad_act!W78=0,0,TrRoad_emi!W75/TrRoad_tech!W190)</f>
        <v>1.3281619372178226</v>
      </c>
      <c r="X217" s="91">
        <f>IF(TrRoad_act!X78=0,0,TrRoad_emi!X75/TrRoad_tech!X190)</f>
        <v>1.3271468501926214</v>
      </c>
      <c r="Y217" s="91">
        <f>IF(TrRoad_act!Y78=0,0,TrRoad_emi!Y75/TrRoad_tech!Y190)</f>
        <v>1.3298166368771922</v>
      </c>
      <c r="DA217" s="171"/>
    </row>
    <row r="218" spans="1:105" ht="11.45" customHeight="1" x14ac:dyDescent="0.25">
      <c r="A218" s="111" t="s">
        <v>115</v>
      </c>
      <c r="B218" s="91">
        <f>0</f>
        <v>0</v>
      </c>
      <c r="C218" s="91">
        <f>0</f>
        <v>0</v>
      </c>
      <c r="D218" s="91">
        <f>0</f>
        <v>0</v>
      </c>
      <c r="E218" s="91">
        <f>0</f>
        <v>0</v>
      </c>
      <c r="F218" s="91">
        <f>0</f>
        <v>0</v>
      </c>
      <c r="G218" s="91">
        <f>0</f>
        <v>0</v>
      </c>
      <c r="H218" s="91">
        <f>0</f>
        <v>0</v>
      </c>
      <c r="I218" s="91">
        <f>0</f>
        <v>0</v>
      </c>
      <c r="J218" s="91">
        <f>0</f>
        <v>0</v>
      </c>
      <c r="K218" s="91">
        <f>0</f>
        <v>0</v>
      </c>
      <c r="L218" s="91">
        <f>0</f>
        <v>0</v>
      </c>
      <c r="M218" s="91">
        <f>0</f>
        <v>0</v>
      </c>
      <c r="N218" s="91">
        <f>0</f>
        <v>0</v>
      </c>
      <c r="O218" s="91">
        <f>0</f>
        <v>0</v>
      </c>
      <c r="P218" s="91">
        <f>0</f>
        <v>0</v>
      </c>
      <c r="Q218" s="91">
        <f>0</f>
        <v>0</v>
      </c>
      <c r="R218" s="91">
        <f>0</f>
        <v>0</v>
      </c>
      <c r="S218" s="91">
        <f>0</f>
        <v>0</v>
      </c>
      <c r="T218" s="91">
        <f>0</f>
        <v>0</v>
      </c>
      <c r="U218" s="91">
        <f>0</f>
        <v>0</v>
      </c>
      <c r="V218" s="91">
        <f>0</f>
        <v>0</v>
      </c>
      <c r="W218" s="91">
        <f>0</f>
        <v>0</v>
      </c>
      <c r="X218" s="91">
        <f>0</f>
        <v>0</v>
      </c>
      <c r="Y218" s="91">
        <f>0</f>
        <v>0</v>
      </c>
      <c r="DA218" s="171"/>
    </row>
    <row r="219" spans="1:105" ht="11.45" customHeight="1" x14ac:dyDescent="0.25">
      <c r="A219" s="109" t="s">
        <v>154</v>
      </c>
      <c r="B219" s="151">
        <f>IF(TrRoad_act!B80=0,0,TrRoad_emi!B77/TrRoad_tech!B192)</f>
        <v>1.1693511997228689</v>
      </c>
      <c r="C219" s="151">
        <f>IF(TrRoad_act!C80=0,0,TrRoad_emi!C77/TrRoad_tech!C192)</f>
        <v>1.1566874035814378</v>
      </c>
      <c r="D219" s="151">
        <f>IF(TrRoad_act!D80=0,0,TrRoad_emi!D77/TrRoad_tech!D192)</f>
        <v>1.1519713164083536</v>
      </c>
      <c r="E219" s="151">
        <f>IF(TrRoad_act!E80=0,0,TrRoad_emi!E77/TrRoad_tech!E192)</f>
        <v>1.1626872168309066</v>
      </c>
      <c r="F219" s="151">
        <f>IF(TrRoad_act!F80=0,0,TrRoad_emi!F77/TrRoad_tech!F192)</f>
        <v>1.1844368744453784</v>
      </c>
      <c r="G219" s="151">
        <f>IF(TrRoad_act!G80=0,0,TrRoad_emi!G77/TrRoad_tech!G192)</f>
        <v>1.1983566644269639</v>
      </c>
      <c r="H219" s="151">
        <f>IF(TrRoad_act!H80=0,0,TrRoad_emi!H77/TrRoad_tech!H192)</f>
        <v>1.2952423917985056</v>
      </c>
      <c r="I219" s="151">
        <f>IF(TrRoad_act!I80=0,0,TrRoad_emi!I77/TrRoad_tech!I192)</f>
        <v>1.3227760876432781</v>
      </c>
      <c r="J219" s="151">
        <f>IF(TrRoad_act!J80=0,0,TrRoad_emi!J77/TrRoad_tech!J192)</f>
        <v>1.3592581513208011</v>
      </c>
      <c r="K219" s="151">
        <f>IF(TrRoad_act!K80=0,0,TrRoad_emi!K77/TrRoad_tech!K192)</f>
        <v>1.2677147113259817</v>
      </c>
      <c r="L219" s="151">
        <f>IF(TrRoad_act!L80=0,0,TrRoad_emi!L77/TrRoad_tech!L192)</f>
        <v>1.5020519745030605</v>
      </c>
      <c r="M219" s="151">
        <f>IF(TrRoad_act!M80=0,0,TrRoad_emi!M77/TrRoad_tech!M192)</f>
        <v>1.5220768177489949</v>
      </c>
      <c r="N219" s="151">
        <f>IF(TrRoad_act!N80=0,0,TrRoad_emi!N77/TrRoad_tech!N192)</f>
        <v>1.5568164571954037</v>
      </c>
      <c r="O219" s="151">
        <f>IF(TrRoad_act!O80=0,0,TrRoad_emi!O77/TrRoad_tech!O192)</f>
        <v>1.3641121433787438</v>
      </c>
      <c r="P219" s="151">
        <f>IF(TrRoad_act!P80=0,0,TrRoad_emi!P77/TrRoad_tech!P192)</f>
        <v>1.0274237998366054</v>
      </c>
      <c r="Q219" s="151">
        <f>IF(TrRoad_act!Q80=0,0,TrRoad_emi!Q77/TrRoad_tech!Q192)</f>
        <v>1.0318729463562704</v>
      </c>
      <c r="R219" s="151">
        <f>IF(TrRoad_act!R80=0,0,TrRoad_emi!R77/TrRoad_tech!R192)</f>
        <v>0.98915295963010796</v>
      </c>
      <c r="S219" s="151">
        <f>IF(TrRoad_act!S80=0,0,TrRoad_emi!S77/TrRoad_tech!S192)</f>
        <v>1.2217025442464695</v>
      </c>
      <c r="T219" s="151">
        <f>IF(TrRoad_act!T80=0,0,TrRoad_emi!T77/TrRoad_tech!T192)</f>
        <v>1.3881442307650198</v>
      </c>
      <c r="U219" s="151">
        <f>IF(TrRoad_act!U80=0,0,TrRoad_emi!U77/TrRoad_tech!U192)</f>
        <v>1.4337029387187521</v>
      </c>
      <c r="V219" s="151">
        <f>IF(TrRoad_act!V80=0,0,TrRoad_emi!V77/TrRoad_tech!V192)</f>
        <v>1.3306315308718466</v>
      </c>
      <c r="W219" s="151">
        <f>IF(TrRoad_act!W80=0,0,TrRoad_emi!W77/TrRoad_tech!W192)</f>
        <v>1.0881255439455901</v>
      </c>
      <c r="X219" s="151">
        <f>IF(TrRoad_act!X80=0,0,TrRoad_emi!X77/TrRoad_tech!X192)</f>
        <v>1.1011303720739722</v>
      </c>
      <c r="Y219" s="151">
        <f>IF(TrRoad_act!Y80=0,0,TrRoad_emi!Y77/TrRoad_tech!Y192)</f>
        <v>1.2344807164892442</v>
      </c>
      <c r="DA219" s="176"/>
    </row>
    <row r="220" spans="1:105" ht="11.45" customHeight="1" x14ac:dyDescent="0.25">
      <c r="A220" s="128" t="s">
        <v>27</v>
      </c>
      <c r="B220" s="93">
        <f>IF(TrRoad_act!B81=0,0,TrRoad_emi!B78/TrRoad_tech!B193)</f>
        <v>1.2353857625567406</v>
      </c>
      <c r="C220" s="93">
        <f>IF(TrRoad_act!C81=0,0,TrRoad_emi!C78/TrRoad_tech!C193)</f>
        <v>1.2205981007168416</v>
      </c>
      <c r="D220" s="93">
        <f>IF(TrRoad_act!D81=0,0,TrRoad_emi!D78/TrRoad_tech!D193)</f>
        <v>1.2168264310612531</v>
      </c>
      <c r="E220" s="93">
        <f>IF(TrRoad_act!E81=0,0,TrRoad_emi!E78/TrRoad_tech!E193)</f>
        <v>1.2295987699632056</v>
      </c>
      <c r="F220" s="93">
        <f>IF(TrRoad_act!F81=0,0,TrRoad_emi!F78/TrRoad_tech!F193)</f>
        <v>1.2550677861349433</v>
      </c>
      <c r="G220" s="93">
        <f>IF(TrRoad_act!G81=0,0,TrRoad_emi!G78/TrRoad_tech!G193)</f>
        <v>1.2688968140782519</v>
      </c>
      <c r="H220" s="93">
        <f>IF(TrRoad_act!H81=0,0,TrRoad_emi!H78/TrRoad_tech!H193)</f>
        <v>1.3714179229669248</v>
      </c>
      <c r="I220" s="93">
        <f>IF(TrRoad_act!I81=0,0,TrRoad_emi!I78/TrRoad_tech!I193)</f>
        <v>1.3959998799146602</v>
      </c>
      <c r="J220" s="93">
        <f>IF(TrRoad_act!J81=0,0,TrRoad_emi!J78/TrRoad_tech!J193)</f>
        <v>1.4345401495189427</v>
      </c>
      <c r="K220" s="93">
        <f>IF(TrRoad_act!K81=0,0,TrRoad_emi!K78/TrRoad_tech!K193)</f>
        <v>1.3376756487308923</v>
      </c>
      <c r="L220" s="93">
        <f>IF(TrRoad_act!L81=0,0,TrRoad_emi!L78/TrRoad_tech!L193)</f>
        <v>1.5755438985115249</v>
      </c>
      <c r="M220" s="93">
        <f>IF(TrRoad_act!M81=0,0,TrRoad_emi!M78/TrRoad_tech!M193)</f>
        <v>1.5992646688923646</v>
      </c>
      <c r="N220" s="93">
        <f>IF(TrRoad_act!N81=0,0,TrRoad_emi!N78/TrRoad_tech!N193)</f>
        <v>1.6332613145273362</v>
      </c>
      <c r="O220" s="93">
        <f>IF(TrRoad_act!O81=0,0,TrRoad_emi!O78/TrRoad_tech!O193)</f>
        <v>1.4327386249228409</v>
      </c>
      <c r="P220" s="93">
        <f>IF(TrRoad_act!P81=0,0,TrRoad_emi!P78/TrRoad_tech!P193)</f>
        <v>1.0795477277209209</v>
      </c>
      <c r="Q220" s="93">
        <f>IF(TrRoad_act!Q81=0,0,TrRoad_emi!Q78/TrRoad_tech!Q193)</f>
        <v>1.083315086137947</v>
      </c>
      <c r="R220" s="93">
        <f>IF(TrRoad_act!R81=0,0,TrRoad_emi!R78/TrRoad_tech!R193)</f>
        <v>1.0358050231309945</v>
      </c>
      <c r="S220" s="93">
        <f>IF(TrRoad_act!S81=0,0,TrRoad_emi!S78/TrRoad_tech!S193)</f>
        <v>1.2752677439611826</v>
      </c>
      <c r="T220" s="93">
        <f>IF(TrRoad_act!T81=0,0,TrRoad_emi!T78/TrRoad_tech!T193)</f>
        <v>1.449170868115734</v>
      </c>
      <c r="U220" s="93">
        <f>IF(TrRoad_act!U81=0,0,TrRoad_emi!U78/TrRoad_tech!U193)</f>
        <v>1.4934144991893117</v>
      </c>
      <c r="V220" s="93">
        <f>IF(TrRoad_act!V81=0,0,TrRoad_emi!V78/TrRoad_tech!V193)</f>
        <v>1.3857424079022154</v>
      </c>
      <c r="W220" s="93">
        <f>IF(TrRoad_act!W81=0,0,TrRoad_emi!W78/TrRoad_tech!W193)</f>
        <v>1.1351922158335443</v>
      </c>
      <c r="X220" s="93">
        <f>IF(TrRoad_act!X81=0,0,TrRoad_emi!X78/TrRoad_tech!X193)</f>
        <v>1.1453006578051517</v>
      </c>
      <c r="Y220" s="93">
        <f>IF(TrRoad_act!Y81=0,0,TrRoad_emi!Y78/TrRoad_tech!Y193)</f>
        <v>1.2811124783681795</v>
      </c>
      <c r="DA220" s="175"/>
    </row>
    <row r="221" spans="1:105" ht="11.45" customHeight="1" x14ac:dyDescent="0.25">
      <c r="A221" s="138" t="s">
        <v>116</v>
      </c>
      <c r="B221" s="94">
        <f>IF(TrRoad_act!B82=0,0,TrRoad_emi!B79/TrRoad_tech!B194)</f>
        <v>1.2353857625567408</v>
      </c>
      <c r="C221" s="94">
        <f>IF(TrRoad_act!C82=0,0,TrRoad_emi!C79/TrRoad_tech!C194)</f>
        <v>1.2205771150115912</v>
      </c>
      <c r="D221" s="94">
        <f>IF(TrRoad_act!D82=0,0,TrRoad_emi!D79/TrRoad_tech!D194)</f>
        <v>1.2166525187073676</v>
      </c>
      <c r="E221" s="94">
        <f>IF(TrRoad_act!E82=0,0,TrRoad_emi!E79/TrRoad_tech!E194)</f>
        <v>1.2291119198609448</v>
      </c>
      <c r="F221" s="94">
        <f>IF(TrRoad_act!F82=0,0,TrRoad_emi!F79/TrRoad_tech!F194)</f>
        <v>1.2566508192209809</v>
      </c>
      <c r="G221" s="94">
        <f>IF(TrRoad_act!G82=0,0,TrRoad_emi!G79/TrRoad_tech!G194)</f>
        <v>1.2702536909279034</v>
      </c>
      <c r="H221" s="94">
        <f>IF(TrRoad_act!H82=0,0,TrRoad_emi!H79/TrRoad_tech!H194)</f>
        <v>1.3730376306327496</v>
      </c>
      <c r="I221" s="94">
        <f>IF(TrRoad_act!I82=0,0,TrRoad_emi!I79/TrRoad_tech!I194)</f>
        <v>1.3956237269001066</v>
      </c>
      <c r="J221" s="94">
        <f>IF(TrRoad_act!J82=0,0,TrRoad_emi!J79/TrRoad_tech!J194)</f>
        <v>1.4322560647047382</v>
      </c>
      <c r="K221" s="94">
        <f>IF(TrRoad_act!K82=0,0,TrRoad_emi!K79/TrRoad_tech!K194)</f>
        <v>1.3274891558025774</v>
      </c>
      <c r="L221" s="94">
        <f>IF(TrRoad_act!L82=0,0,TrRoad_emi!L79/TrRoad_tech!L194)</f>
        <v>1.5676054271150477</v>
      </c>
      <c r="M221" s="94">
        <f>IF(TrRoad_act!M82=0,0,TrRoad_emi!M79/TrRoad_tech!M194)</f>
        <v>1.5925290374472454</v>
      </c>
      <c r="N221" s="94">
        <f>IF(TrRoad_act!N82=0,0,TrRoad_emi!N79/TrRoad_tech!N194)</f>
        <v>1.6250488851812255</v>
      </c>
      <c r="O221" s="94">
        <f>IF(TrRoad_act!O82=0,0,TrRoad_emi!O79/TrRoad_tech!O194)</f>
        <v>1.4271003205358315</v>
      </c>
      <c r="P221" s="94">
        <f>IF(TrRoad_act!P82=0,0,TrRoad_emi!P79/TrRoad_tech!P194)</f>
        <v>1.0762210345036574</v>
      </c>
      <c r="Q221" s="94">
        <f>IF(TrRoad_act!Q82=0,0,TrRoad_emi!Q79/TrRoad_tech!Q194)</f>
        <v>1.0837316555273901</v>
      </c>
      <c r="R221" s="94">
        <f>IF(TrRoad_act!R82=0,0,TrRoad_emi!R79/TrRoad_tech!R194)</f>
        <v>1.0458633904818309</v>
      </c>
      <c r="S221" s="94">
        <f>IF(TrRoad_act!S82=0,0,TrRoad_emi!S79/TrRoad_tech!S194)</f>
        <v>1.2855589289586138</v>
      </c>
      <c r="T221" s="94">
        <f>IF(TrRoad_act!T82=0,0,TrRoad_emi!T79/TrRoad_tech!T194)</f>
        <v>1.4564740263571885</v>
      </c>
      <c r="U221" s="94">
        <f>IF(TrRoad_act!U82=0,0,TrRoad_emi!U79/TrRoad_tech!U194)</f>
        <v>1.5053282277201985</v>
      </c>
      <c r="V221" s="94">
        <f>IF(TrRoad_act!V82=0,0,TrRoad_emi!V79/TrRoad_tech!V194)</f>
        <v>1.3975547238738488</v>
      </c>
      <c r="W221" s="94">
        <f>IF(TrRoad_act!W82=0,0,TrRoad_emi!W79/TrRoad_tech!W194)</f>
        <v>1.1367407236460458</v>
      </c>
      <c r="X221" s="94">
        <f>IF(TrRoad_act!X82=0,0,TrRoad_emi!X79/TrRoad_tech!X194)</f>
        <v>1.1477410228194422</v>
      </c>
      <c r="Y221" s="94">
        <f>IF(TrRoad_act!Y82=0,0,TrRoad_emi!Y79/TrRoad_tech!Y194)</f>
        <v>1.2764357738868217</v>
      </c>
      <c r="DA221" s="178"/>
    </row>
    <row r="222" spans="1:105" x14ac:dyDescent="0.25">
      <c r="A222" s="106"/>
      <c r="B222" s="106"/>
      <c r="C222" s="106"/>
      <c r="D222" s="106"/>
      <c r="E222" s="106"/>
      <c r="F222" s="106"/>
      <c r="G222" s="106"/>
      <c r="H222" s="106"/>
      <c r="I222" s="106"/>
      <c r="J222" s="106"/>
      <c r="K222" s="106"/>
      <c r="L222" s="106"/>
      <c r="M222" s="106"/>
      <c r="N222" s="106"/>
      <c r="O222" s="106"/>
      <c r="P222" s="106"/>
      <c r="Q222" s="106"/>
      <c r="R222" s="106"/>
      <c r="S222" s="106"/>
      <c r="T222" s="106"/>
      <c r="U222" s="106"/>
      <c r="V222" s="106"/>
      <c r="W222" s="106"/>
      <c r="X222" s="106"/>
      <c r="Y222" s="106"/>
      <c r="DA222" s="171"/>
    </row>
    <row r="223" spans="1:105" ht="11.45" customHeight="1" x14ac:dyDescent="0.25">
      <c r="A223" s="53" t="s">
        <v>125</v>
      </c>
      <c r="B223" s="54"/>
      <c r="C223" s="54"/>
      <c r="D223" s="54"/>
      <c r="E223" s="54"/>
      <c r="F223" s="54"/>
      <c r="G223" s="54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DA223" s="172"/>
    </row>
    <row r="224" spans="1:105" ht="11.45" customHeight="1" x14ac:dyDescent="0.25">
      <c r="A224" s="27" t="s">
        <v>33</v>
      </c>
      <c r="B224" s="28"/>
      <c r="C224" s="28"/>
      <c r="D224" s="28"/>
      <c r="E224" s="28"/>
      <c r="F224" s="28"/>
      <c r="G224" s="28"/>
      <c r="H224" s="28"/>
      <c r="I224" s="28"/>
      <c r="J224" s="28"/>
      <c r="K224" s="28"/>
      <c r="L224" s="28"/>
      <c r="M224" s="28"/>
      <c r="N224" s="28"/>
      <c r="O224" s="28"/>
      <c r="P224" s="28"/>
      <c r="Q224" s="28"/>
      <c r="R224" s="28"/>
      <c r="S224" s="28"/>
      <c r="T224" s="28"/>
      <c r="U224" s="28"/>
      <c r="V224" s="28"/>
      <c r="W224" s="28"/>
      <c r="X224" s="28"/>
      <c r="Y224" s="28"/>
      <c r="DA224" s="173"/>
    </row>
    <row r="225" spans="1:105" ht="11.45" customHeight="1" x14ac:dyDescent="0.25">
      <c r="A225" s="136" t="s">
        <v>173</v>
      </c>
      <c r="B225" s="152">
        <v>101.35884791773162</v>
      </c>
      <c r="C225" s="152">
        <v>100.14172687969705</v>
      </c>
      <c r="D225" s="152">
        <v>98.806503854634443</v>
      </c>
      <c r="E225" s="152">
        <v>98.806503854634443</v>
      </c>
      <c r="F225" s="152">
        <v>98.806503854634443</v>
      </c>
      <c r="G225" s="152">
        <v>98.806503854634443</v>
      </c>
      <c r="H225" s="152">
        <v>96.136057804509178</v>
      </c>
      <c r="I225" s="152">
        <v>94.800834779446546</v>
      </c>
      <c r="J225" s="152">
        <v>90.795165704258665</v>
      </c>
      <c r="K225" s="152">
        <v>85.797539822284421</v>
      </c>
      <c r="L225" s="152">
        <v>82.6770363992418</v>
      </c>
      <c r="M225" s="152">
        <v>78.926712439026005</v>
      </c>
      <c r="N225" s="152">
        <v>73.621575122703604</v>
      </c>
      <c r="O225" s="152">
        <v>67.603456001285394</v>
      </c>
      <c r="P225" s="152">
        <v>66.995249076457796</v>
      </c>
      <c r="Q225" s="152">
        <v>62.444237973626393</v>
      </c>
      <c r="R225" s="152">
        <v>61.117990148630312</v>
      </c>
      <c r="S225" s="152">
        <v>60.056991888633455</v>
      </c>
      <c r="T225" s="152">
        <v>59.208193280635967</v>
      </c>
      <c r="U225" s="152">
        <v>58.529154394237977</v>
      </c>
      <c r="V225" s="152">
        <v>57.985923285119583</v>
      </c>
      <c r="W225" s="152">
        <v>57.551338397824864</v>
      </c>
      <c r="X225" s="152">
        <v>57.203670487989093</v>
      </c>
      <c r="Y225" s="152">
        <v>56.925536160120473</v>
      </c>
      <c r="DA225" s="174" t="s">
        <v>933</v>
      </c>
    </row>
    <row r="226" spans="1:105" ht="11.45" customHeight="1" x14ac:dyDescent="0.25">
      <c r="A226" s="109" t="s">
        <v>20</v>
      </c>
      <c r="B226" s="116">
        <v>206.80677150576685</v>
      </c>
      <c r="C226" s="116">
        <v>205.51294467954168</v>
      </c>
      <c r="D226" s="116">
        <v>204.5926339218627</v>
      </c>
      <c r="E226" s="116">
        <v>204.60789089189549</v>
      </c>
      <c r="F226" s="116">
        <v>204.27536911329088</v>
      </c>
      <c r="G226" s="116">
        <v>203.43812540241294</v>
      </c>
      <c r="H226" s="116">
        <v>200.22806380805844</v>
      </c>
      <c r="I226" s="116">
        <v>198.06546621454299</v>
      </c>
      <c r="J226" s="116">
        <v>190.16184638652277</v>
      </c>
      <c r="K226" s="116">
        <v>180.74701993120635</v>
      </c>
      <c r="L226" s="116">
        <v>174.11935929286369</v>
      </c>
      <c r="M226" s="116">
        <v>161.91455563302293</v>
      </c>
      <c r="N226" s="116">
        <v>152.08146723589999</v>
      </c>
      <c r="O226" s="116">
        <v>138.23401625404682</v>
      </c>
      <c r="P226" s="116">
        <v>137.88454465331151</v>
      </c>
      <c r="Q226" s="116">
        <v>130.30466608614665</v>
      </c>
      <c r="R226" s="116">
        <v>135.76549458751057</v>
      </c>
      <c r="S226" s="116">
        <v>138.98464356962475</v>
      </c>
      <c r="T226" s="116">
        <v>136.34813734179076</v>
      </c>
      <c r="U226" s="116">
        <v>123.45660258226515</v>
      </c>
      <c r="V226" s="116">
        <v>114.81597532922186</v>
      </c>
      <c r="W226" s="116">
        <v>111.85469509043459</v>
      </c>
      <c r="X226" s="116">
        <v>105.149374853955</v>
      </c>
      <c r="Y226" s="116">
        <v>96.792738229829723</v>
      </c>
      <c r="DA226" s="176" t="s">
        <v>934</v>
      </c>
    </row>
    <row r="227" spans="1:105" ht="11.45" customHeight="1" x14ac:dyDescent="0.25">
      <c r="A227" s="111" t="s">
        <v>110</v>
      </c>
      <c r="B227" s="87">
        <v>215.08945545631937</v>
      </c>
      <c r="C227" s="87">
        <v>212.50665280343435</v>
      </c>
      <c r="D227" s="87">
        <v>209.67323076605524</v>
      </c>
      <c r="E227" s="87">
        <v>209.67323076605524</v>
      </c>
      <c r="F227" s="87">
        <v>209.67323076605524</v>
      </c>
      <c r="G227" s="87">
        <v>209.67323076605524</v>
      </c>
      <c r="H227" s="87">
        <v>204.00638669129691</v>
      </c>
      <c r="I227" s="87">
        <v>201.17296465391783</v>
      </c>
      <c r="J227" s="87">
        <v>192.67269854178045</v>
      </c>
      <c r="K227" s="87">
        <v>182.06744156016279</v>
      </c>
      <c r="L227" s="87">
        <v>175.42034914536464</v>
      </c>
      <c r="M227" s="87">
        <v>167.38847910847457</v>
      </c>
      <c r="N227" s="87">
        <v>157.58696398306972</v>
      </c>
      <c r="O227" s="87">
        <v>145.29856127345548</v>
      </c>
      <c r="P227" s="87">
        <v>146.815911596501</v>
      </c>
      <c r="Q227" s="87">
        <v>142.61356835993604</v>
      </c>
      <c r="R227" s="87">
        <v>141.32437842336915</v>
      </c>
      <c r="S227" s="87">
        <v>141.57037542314416</v>
      </c>
      <c r="T227" s="87">
        <v>143.6204750338643</v>
      </c>
      <c r="U227" s="87">
        <v>140.90394412260039</v>
      </c>
      <c r="V227" s="87">
        <v>136.69960464682049</v>
      </c>
      <c r="W227" s="87">
        <v>129.71207241871249</v>
      </c>
      <c r="X227" s="87">
        <v>126.782107828018</v>
      </c>
      <c r="Y227" s="87">
        <v>125.0717808001273</v>
      </c>
      <c r="DA227" s="171" t="s">
        <v>935</v>
      </c>
    </row>
    <row r="228" spans="1:105" ht="11.45" customHeight="1" x14ac:dyDescent="0.25">
      <c r="A228" s="111" t="s">
        <v>111</v>
      </c>
      <c r="B228" s="87">
        <v>183.04873171189902</v>
      </c>
      <c r="C228" s="87">
        <v>185.71997120697691</v>
      </c>
      <c r="D228" s="87">
        <v>188.73375880471323</v>
      </c>
      <c r="E228" s="87">
        <v>189.68416485213214</v>
      </c>
      <c r="F228" s="87">
        <v>189.19958282137574</v>
      </c>
      <c r="G228" s="87">
        <v>186.86108373101604</v>
      </c>
      <c r="H228" s="87">
        <v>190.18125222561761</v>
      </c>
      <c r="I228" s="87">
        <v>190.3657060308733</v>
      </c>
      <c r="J228" s="87">
        <v>183.13761793339782</v>
      </c>
      <c r="K228" s="87">
        <v>175.94069382779617</v>
      </c>
      <c r="L228" s="87">
        <v>169.18256601870235</v>
      </c>
      <c r="M228" s="87">
        <v>150.27690946238062</v>
      </c>
      <c r="N228" s="87">
        <v>144.62260849197588</v>
      </c>
      <c r="O228" s="87">
        <v>138.80197943433416</v>
      </c>
      <c r="P228" s="87">
        <v>133.45494772326111</v>
      </c>
      <c r="Q228" s="87">
        <v>129.43390560313046</v>
      </c>
      <c r="R228" s="87">
        <v>140.1969849801776</v>
      </c>
      <c r="S228" s="87">
        <v>142.87967996274907</v>
      </c>
      <c r="T228" s="87">
        <v>147.63023344814391</v>
      </c>
      <c r="U228" s="87">
        <v>149.26305081610951</v>
      </c>
      <c r="V228" s="87">
        <v>142.03386858619419</v>
      </c>
      <c r="W228" s="87">
        <v>140.9519158527423</v>
      </c>
      <c r="X228" s="87">
        <v>144.91644562334221</v>
      </c>
      <c r="Y228" s="87">
        <v>161.76742233417301</v>
      </c>
      <c r="DA228" s="171" t="s">
        <v>936</v>
      </c>
    </row>
    <row r="229" spans="1:105" ht="11.45" customHeight="1" x14ac:dyDescent="0.25">
      <c r="A229" s="111" t="s">
        <v>112</v>
      </c>
      <c r="B229" s="87">
        <v>0</v>
      </c>
      <c r="C229" s="87">
        <v>147.89884219252551</v>
      </c>
      <c r="D229" s="87">
        <v>0</v>
      </c>
      <c r="E229" s="87">
        <v>0</v>
      </c>
      <c r="F229" s="87">
        <v>0</v>
      </c>
      <c r="G229" s="87">
        <v>0</v>
      </c>
      <c r="H229" s="87">
        <v>0</v>
      </c>
      <c r="I229" s="87">
        <v>0</v>
      </c>
      <c r="J229" s="87">
        <v>0</v>
      </c>
      <c r="K229" s="87">
        <v>0</v>
      </c>
      <c r="L229" s="87">
        <v>134.72921339967661</v>
      </c>
      <c r="M229" s="87">
        <v>123.26006931396896</v>
      </c>
      <c r="N229" s="87">
        <v>124.3814768938766</v>
      </c>
      <c r="O229" s="87">
        <v>125.02409497494455</v>
      </c>
      <c r="P229" s="87">
        <v>126.51691815103499</v>
      </c>
      <c r="Q229" s="87">
        <v>128.88456176614898</v>
      </c>
      <c r="R229" s="87">
        <v>113.97695673514315</v>
      </c>
      <c r="S229" s="87">
        <v>123.84440281022964</v>
      </c>
      <c r="T229" s="87">
        <v>117.96909665098113</v>
      </c>
      <c r="U229" s="87">
        <v>145</v>
      </c>
      <c r="V229" s="87">
        <v>117.3534609720177</v>
      </c>
      <c r="W229" s="87">
        <v>117.3529676258993</v>
      </c>
      <c r="X229" s="87">
        <v>118.364960282436</v>
      </c>
      <c r="Y229" s="87">
        <v>116.71871022486209</v>
      </c>
      <c r="DA229" s="171" t="s">
        <v>937</v>
      </c>
    </row>
    <row r="230" spans="1:105" ht="11.45" customHeight="1" x14ac:dyDescent="0.25">
      <c r="A230" s="111" t="s">
        <v>113</v>
      </c>
      <c r="B230" s="87">
        <v>0</v>
      </c>
      <c r="C230" s="87">
        <v>0</v>
      </c>
      <c r="D230" s="87">
        <v>0</v>
      </c>
      <c r="E230" s="87">
        <v>0</v>
      </c>
      <c r="F230" s="87">
        <v>0</v>
      </c>
      <c r="G230" s="87">
        <v>0</v>
      </c>
      <c r="H230" s="87">
        <v>0</v>
      </c>
      <c r="I230" s="87">
        <v>0</v>
      </c>
      <c r="J230" s="87">
        <v>0</v>
      </c>
      <c r="K230" s="87">
        <v>0</v>
      </c>
      <c r="L230" s="87">
        <v>176.18330011036034</v>
      </c>
      <c r="M230" s="87">
        <v>174.54971647718969</v>
      </c>
      <c r="N230" s="87">
        <v>160.26158092997099</v>
      </c>
      <c r="O230" s="87">
        <v>118.67613795426813</v>
      </c>
      <c r="P230" s="87">
        <v>111.11713397213474</v>
      </c>
      <c r="Q230" s="87">
        <v>128.55712461338018</v>
      </c>
      <c r="R230" s="87">
        <v>128.94967877062538</v>
      </c>
      <c r="S230" s="87">
        <v>177.44889617619896</v>
      </c>
      <c r="T230" s="87">
        <v>166.88918616802073</v>
      </c>
      <c r="U230" s="87">
        <v>142.53571428571431</v>
      </c>
      <c r="V230" s="87">
        <v>107.76</v>
      </c>
      <c r="W230" s="87">
        <v>105.0714285714286</v>
      </c>
      <c r="X230" s="87">
        <v>106</v>
      </c>
      <c r="Y230" s="87">
        <v>106.1666666666667</v>
      </c>
      <c r="DA230" s="171" t="s">
        <v>938</v>
      </c>
    </row>
    <row r="231" spans="1:105" ht="11.45" customHeight="1" x14ac:dyDescent="0.25">
      <c r="A231" s="111" t="s">
        <v>114</v>
      </c>
      <c r="B231" s="87">
        <v>0</v>
      </c>
      <c r="C231" s="87">
        <v>0</v>
      </c>
      <c r="D231" s="87">
        <v>0</v>
      </c>
      <c r="E231" s="87">
        <v>0</v>
      </c>
      <c r="F231" s="87">
        <v>0</v>
      </c>
      <c r="G231" s="87">
        <v>0</v>
      </c>
      <c r="H231" s="87">
        <v>0</v>
      </c>
      <c r="I231" s="87">
        <v>0</v>
      </c>
      <c r="J231" s="87">
        <v>0</v>
      </c>
      <c r="K231" s="87">
        <v>0</v>
      </c>
      <c r="L231" s="87">
        <v>0</v>
      </c>
      <c r="M231" s="87">
        <v>64.670700761398905</v>
      </c>
      <c r="N231" s="87">
        <v>37.321840354804053</v>
      </c>
      <c r="O231" s="87">
        <v>41.622124378558674</v>
      </c>
      <c r="P231" s="87">
        <v>76.856287274719975</v>
      </c>
      <c r="Q231" s="87">
        <v>49.142783823682599</v>
      </c>
      <c r="R231" s="87">
        <v>49.743654639715011</v>
      </c>
      <c r="S231" s="87">
        <v>54.439162407297232</v>
      </c>
      <c r="T231" s="87">
        <v>55.385798156487631</v>
      </c>
      <c r="U231" s="87">
        <v>52.862843488649951</v>
      </c>
      <c r="V231" s="87">
        <v>62.198461077245938</v>
      </c>
      <c r="W231" s="87">
        <v>39.817539035647648</v>
      </c>
      <c r="X231" s="87">
        <v>34.588987389917783</v>
      </c>
      <c r="Y231" s="87">
        <v>29.943709680899261</v>
      </c>
      <c r="DA231" s="171" t="s">
        <v>939</v>
      </c>
    </row>
    <row r="232" spans="1:105" ht="11.45" customHeight="1" x14ac:dyDescent="0.25">
      <c r="A232" s="111" t="s">
        <v>115</v>
      </c>
      <c r="B232" s="87">
        <v>0</v>
      </c>
      <c r="C232" s="87">
        <v>0</v>
      </c>
      <c r="D232" s="87">
        <v>0</v>
      </c>
      <c r="E232" s="87">
        <v>0</v>
      </c>
      <c r="F232" s="87">
        <v>0</v>
      </c>
      <c r="G232" s="87">
        <v>0</v>
      </c>
      <c r="H232" s="87">
        <v>0</v>
      </c>
      <c r="I232" s="87">
        <v>0</v>
      </c>
      <c r="J232" s="87">
        <v>0</v>
      </c>
      <c r="K232" s="87">
        <v>0</v>
      </c>
      <c r="L232" s="87">
        <v>0</v>
      </c>
      <c r="M232" s="87">
        <v>0</v>
      </c>
      <c r="N232" s="87">
        <v>0</v>
      </c>
      <c r="O232" s="87">
        <v>0</v>
      </c>
      <c r="P232" s="87">
        <v>0</v>
      </c>
      <c r="Q232" s="87">
        <v>0</v>
      </c>
      <c r="R232" s="87">
        <v>0</v>
      </c>
      <c r="S232" s="87">
        <v>0</v>
      </c>
      <c r="T232" s="87">
        <v>0</v>
      </c>
      <c r="U232" s="87">
        <v>0</v>
      </c>
      <c r="V232" s="87">
        <v>0</v>
      </c>
      <c r="W232" s="87">
        <v>0</v>
      </c>
      <c r="X232" s="87">
        <v>0</v>
      </c>
      <c r="Y232" s="87">
        <v>0</v>
      </c>
      <c r="DA232" s="171" t="s">
        <v>940</v>
      </c>
    </row>
    <row r="233" spans="1:105" ht="11.45" customHeight="1" x14ac:dyDescent="0.25">
      <c r="A233" s="109" t="s">
        <v>21</v>
      </c>
      <c r="B233" s="116">
        <v>1516.6620565068772</v>
      </c>
      <c r="C233" s="116">
        <v>1504.8929149484702</v>
      </c>
      <c r="D233" s="116">
        <v>1480.4577641175276</v>
      </c>
      <c r="E233" s="116">
        <v>1501.9843190037116</v>
      </c>
      <c r="F233" s="116">
        <v>1489.2070942793916</v>
      </c>
      <c r="G233" s="116">
        <v>1487.7317375383368</v>
      </c>
      <c r="H233" s="116">
        <v>1471.6867938669598</v>
      </c>
      <c r="I233" s="116">
        <v>1480.7986657006761</v>
      </c>
      <c r="J233" s="116">
        <v>1453.8959460505243</v>
      </c>
      <c r="K233" s="116">
        <v>1379.6088285387852</v>
      </c>
      <c r="L233" s="116">
        <v>1270.8709746135874</v>
      </c>
      <c r="M233" s="116">
        <v>898.02276875599875</v>
      </c>
      <c r="N233" s="116">
        <v>1264.3007130421968</v>
      </c>
      <c r="O233" s="116">
        <v>1071.1211653298769</v>
      </c>
      <c r="P233" s="116">
        <v>1320.5846726971549</v>
      </c>
      <c r="Q233" s="116">
        <v>1224.2667888959388</v>
      </c>
      <c r="R233" s="116">
        <v>1020.6469740077475</v>
      </c>
      <c r="S233" s="116">
        <v>1008.6361851937291</v>
      </c>
      <c r="T233" s="116">
        <v>950.47054356791716</v>
      </c>
      <c r="U233" s="116">
        <v>722.62812400138591</v>
      </c>
      <c r="V233" s="116">
        <v>695.81001128446599</v>
      </c>
      <c r="W233" s="116">
        <v>826.77910702861709</v>
      </c>
      <c r="X233" s="116">
        <v>844.47261618267828</v>
      </c>
      <c r="Y233" s="116">
        <v>747.08424368488022</v>
      </c>
      <c r="DA233" s="176" t="s">
        <v>941</v>
      </c>
    </row>
    <row r="234" spans="1:105" ht="11.45" customHeight="1" x14ac:dyDescent="0.25">
      <c r="A234" s="111" t="s">
        <v>110</v>
      </c>
      <c r="B234" s="101">
        <v>0</v>
      </c>
      <c r="C234" s="101">
        <v>417.25719533207103</v>
      </c>
      <c r="D234" s="101">
        <v>411.69376606097683</v>
      </c>
      <c r="E234" s="101">
        <v>411.69376606097683</v>
      </c>
      <c r="F234" s="101">
        <v>0</v>
      </c>
      <c r="G234" s="101">
        <v>411.69376606097683</v>
      </c>
      <c r="H234" s="101">
        <v>400.56690751878824</v>
      </c>
      <c r="I234" s="101">
        <v>395.00347824769398</v>
      </c>
      <c r="J234" s="101">
        <v>0</v>
      </c>
      <c r="K234" s="101">
        <v>357.48974925951842</v>
      </c>
      <c r="L234" s="101">
        <v>344.48765166350751</v>
      </c>
      <c r="M234" s="101">
        <v>0</v>
      </c>
      <c r="N234" s="101">
        <v>0</v>
      </c>
      <c r="O234" s="101">
        <v>0</v>
      </c>
      <c r="P234" s="101">
        <v>0</v>
      </c>
      <c r="Q234" s="101">
        <v>300.51956965745291</v>
      </c>
      <c r="R234" s="101">
        <v>294.36583005091501</v>
      </c>
      <c r="S234" s="101">
        <v>0</v>
      </c>
      <c r="T234" s="101">
        <v>0</v>
      </c>
      <c r="U234" s="101">
        <v>278.31363622769737</v>
      </c>
      <c r="V234" s="101">
        <v>0</v>
      </c>
      <c r="W234" s="101">
        <v>269.19052364486498</v>
      </c>
      <c r="X234" s="101">
        <v>265.0016836788933</v>
      </c>
      <c r="Y234" s="101">
        <v>261.02619987518261</v>
      </c>
      <c r="DA234" s="175" t="s">
        <v>942</v>
      </c>
    </row>
    <row r="235" spans="1:105" ht="11.45" customHeight="1" x14ac:dyDescent="0.25">
      <c r="A235" s="111" t="s">
        <v>111</v>
      </c>
      <c r="B235" s="101">
        <v>1516.6620565068772</v>
      </c>
      <c r="C235" s="101">
        <v>1512.0653361959669</v>
      </c>
      <c r="D235" s="101">
        <v>1506.9742071178659</v>
      </c>
      <c r="E235" s="101">
        <v>1506.9742071178659</v>
      </c>
      <c r="F235" s="101">
        <v>1506.9742071178659</v>
      </c>
      <c r="G235" s="101">
        <v>1506.9742071178659</v>
      </c>
      <c r="H235" s="101">
        <v>1496.581281551536</v>
      </c>
      <c r="I235" s="101">
        <v>1491.330119160127</v>
      </c>
      <c r="J235" s="101">
        <v>1475.0610633147442</v>
      </c>
      <c r="K235" s="101">
        <v>1453.8891449951755</v>
      </c>
      <c r="L235" s="101">
        <v>1440.2987414543156</v>
      </c>
      <c r="M235" s="101">
        <v>0</v>
      </c>
      <c r="N235" s="101">
        <v>1398.2016554781774</v>
      </c>
      <c r="O235" s="101">
        <v>1367.7618154826262</v>
      </c>
      <c r="P235" s="101">
        <v>1364.6645867121269</v>
      </c>
      <c r="Q235" s="101">
        <v>1340.2449215971562</v>
      </c>
      <c r="R235" s="101">
        <v>1308.0919294389778</v>
      </c>
      <c r="S235" s="101">
        <v>1269.5757682374024</v>
      </c>
      <c r="T235" s="101">
        <v>1225.9947754182233</v>
      </c>
      <c r="U235" s="101">
        <v>1178.5480317210254</v>
      </c>
      <c r="V235" s="101">
        <v>1128.3186320465679</v>
      </c>
      <c r="W235" s="101">
        <v>1076.2655952068749</v>
      </c>
      <c r="X235" s="101">
        <v>1023.2224438384478</v>
      </c>
      <c r="Y235" s="101">
        <v>969.90069346738176</v>
      </c>
      <c r="DA235" s="175" t="s">
        <v>943</v>
      </c>
    </row>
    <row r="236" spans="1:105" ht="11.45" customHeight="1" x14ac:dyDescent="0.25">
      <c r="A236" s="111" t="s">
        <v>112</v>
      </c>
      <c r="B236" s="101">
        <v>0</v>
      </c>
      <c r="C236" s="101">
        <v>0</v>
      </c>
      <c r="D236" s="101">
        <v>0</v>
      </c>
      <c r="E236" s="101">
        <v>0</v>
      </c>
      <c r="F236" s="101">
        <v>0</v>
      </c>
      <c r="G236" s="101">
        <v>1026.6134679528998</v>
      </c>
      <c r="H236" s="101">
        <v>0</v>
      </c>
      <c r="I236" s="101">
        <v>0</v>
      </c>
      <c r="J236" s="101">
        <v>0</v>
      </c>
      <c r="K236" s="101">
        <v>0</v>
      </c>
      <c r="L236" s="101">
        <v>0</v>
      </c>
      <c r="M236" s="101">
        <v>0</v>
      </c>
      <c r="N236" s="101">
        <v>0</v>
      </c>
      <c r="O236" s="101">
        <v>0</v>
      </c>
      <c r="P236" s="101">
        <v>0</v>
      </c>
      <c r="Q236" s="101">
        <v>0</v>
      </c>
      <c r="R236" s="101">
        <v>0</v>
      </c>
      <c r="S236" s="101">
        <v>0</v>
      </c>
      <c r="T236" s="101">
        <v>0</v>
      </c>
      <c r="U236" s="101">
        <v>0</v>
      </c>
      <c r="V236" s="101">
        <v>0</v>
      </c>
      <c r="W236" s="101">
        <v>0</v>
      </c>
      <c r="X236" s="101">
        <v>0</v>
      </c>
      <c r="Y236" s="101">
        <v>0</v>
      </c>
      <c r="DA236" s="175" t="s">
        <v>944</v>
      </c>
    </row>
    <row r="237" spans="1:105" ht="11.45" customHeight="1" x14ac:dyDescent="0.25">
      <c r="A237" s="111" t="s">
        <v>113</v>
      </c>
      <c r="B237" s="101">
        <v>0</v>
      </c>
      <c r="C237" s="101">
        <v>953.96834638544476</v>
      </c>
      <c r="D237" s="101">
        <v>950.75633175115047</v>
      </c>
      <c r="E237" s="101">
        <v>0</v>
      </c>
      <c r="F237" s="101">
        <v>0</v>
      </c>
      <c r="G237" s="101">
        <v>950.75633175115047</v>
      </c>
      <c r="H237" s="101">
        <v>944.19939153217683</v>
      </c>
      <c r="I237" s="101">
        <v>940.88641121101148</v>
      </c>
      <c r="J237" s="101">
        <v>930.62219581598231</v>
      </c>
      <c r="K237" s="101">
        <v>917.26474397468894</v>
      </c>
      <c r="L237" s="101">
        <v>908.69050152482146</v>
      </c>
      <c r="M237" s="101">
        <v>898.02276875599875</v>
      </c>
      <c r="N237" s="101">
        <v>882.13127386781105</v>
      </c>
      <c r="O237" s="101">
        <v>862.9266514684582</v>
      </c>
      <c r="P237" s="101">
        <v>860.97259687978328</v>
      </c>
      <c r="Q237" s="101">
        <v>845.56612799820584</v>
      </c>
      <c r="R237" s="101">
        <v>835.6184394402751</v>
      </c>
      <c r="S237" s="101">
        <v>828.87638304190341</v>
      </c>
      <c r="T237" s="101">
        <v>824.03243075190494</v>
      </c>
      <c r="U237" s="101">
        <v>820.31851819325459</v>
      </c>
      <c r="V237" s="101">
        <v>817.28011181028648</v>
      </c>
      <c r="W237" s="101">
        <v>814.64701012768762</v>
      </c>
      <c r="X237" s="101">
        <v>812.25815162582046</v>
      </c>
      <c r="Y237" s="101">
        <v>0</v>
      </c>
      <c r="DA237" s="175" t="s">
        <v>945</v>
      </c>
    </row>
    <row r="238" spans="1:105" ht="11.45" customHeight="1" x14ac:dyDescent="0.25">
      <c r="A238" s="111" t="s">
        <v>115</v>
      </c>
      <c r="B238" s="101">
        <v>0</v>
      </c>
      <c r="C238" s="101">
        <v>0</v>
      </c>
      <c r="D238" s="101">
        <v>0</v>
      </c>
      <c r="E238" s="101">
        <v>0</v>
      </c>
      <c r="F238" s="101">
        <v>0</v>
      </c>
      <c r="G238" s="101">
        <v>0</v>
      </c>
      <c r="H238" s="101">
        <v>0</v>
      </c>
      <c r="I238" s="101">
        <v>0</v>
      </c>
      <c r="J238" s="101">
        <v>0</v>
      </c>
      <c r="K238" s="101">
        <v>0</v>
      </c>
      <c r="L238" s="101">
        <v>0</v>
      </c>
      <c r="M238" s="101">
        <v>0</v>
      </c>
      <c r="N238" s="101">
        <v>0</v>
      </c>
      <c r="O238" s="101">
        <v>0</v>
      </c>
      <c r="P238" s="101">
        <v>0</v>
      </c>
      <c r="Q238" s="101">
        <v>0</v>
      </c>
      <c r="R238" s="101">
        <v>0</v>
      </c>
      <c r="S238" s="101">
        <v>0</v>
      </c>
      <c r="T238" s="101">
        <v>0</v>
      </c>
      <c r="U238" s="101">
        <v>0</v>
      </c>
      <c r="V238" s="101">
        <v>0</v>
      </c>
      <c r="W238" s="101">
        <v>0</v>
      </c>
      <c r="X238" s="101">
        <v>0</v>
      </c>
      <c r="Y238" s="101">
        <v>0</v>
      </c>
      <c r="DA238" s="175" t="s">
        <v>946</v>
      </c>
    </row>
    <row r="239" spans="1:105" ht="11.45" customHeight="1" x14ac:dyDescent="0.25">
      <c r="A239" s="27" t="s">
        <v>34</v>
      </c>
      <c r="B239" s="29"/>
      <c r="C239" s="29"/>
      <c r="D239" s="29"/>
      <c r="E239" s="29"/>
      <c r="F239" s="29"/>
      <c r="G239" s="29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DA239" s="173"/>
    </row>
    <row r="240" spans="1:105" ht="11.45" customHeight="1" x14ac:dyDescent="0.25">
      <c r="A240" s="136" t="s">
        <v>153</v>
      </c>
      <c r="B240" s="152">
        <v>274.45006398418548</v>
      </c>
      <c r="C240" s="152">
        <v>278.42375063441449</v>
      </c>
      <c r="D240" s="152">
        <v>282.7159980540111</v>
      </c>
      <c r="E240" s="152">
        <v>284.08645875168639</v>
      </c>
      <c r="F240" s="152">
        <v>283.31281446490834</v>
      </c>
      <c r="G240" s="152">
        <v>279.91080196273322</v>
      </c>
      <c r="H240" s="152">
        <v>284.88428818800372</v>
      </c>
      <c r="I240" s="152">
        <v>284.89401660077482</v>
      </c>
      <c r="J240" s="152">
        <v>274.33319170444946</v>
      </c>
      <c r="K240" s="152">
        <v>262.84417711711887</v>
      </c>
      <c r="L240" s="152">
        <v>252.43747207562967</v>
      </c>
      <c r="M240" s="152">
        <v>225.4379133707686</v>
      </c>
      <c r="N240" s="152">
        <v>215.54588314512179</v>
      </c>
      <c r="O240" s="152">
        <v>209.96557968186909</v>
      </c>
      <c r="P240" s="152">
        <v>202.3251351663456</v>
      </c>
      <c r="Q240" s="152">
        <v>197.5682857349226</v>
      </c>
      <c r="R240" s="152">
        <v>187.66025044027256</v>
      </c>
      <c r="S240" s="152">
        <v>184.0211490018732</v>
      </c>
      <c r="T240" s="152">
        <v>186.05739418397732</v>
      </c>
      <c r="U240" s="152">
        <v>183.43344889780298</v>
      </c>
      <c r="V240" s="152">
        <v>190.54344311526074</v>
      </c>
      <c r="W240" s="152">
        <v>191.40328147512187</v>
      </c>
      <c r="X240" s="152">
        <v>186.30954453438986</v>
      </c>
      <c r="Y240" s="152">
        <v>176.89212917609171</v>
      </c>
      <c r="DA240" s="174" t="s">
        <v>947</v>
      </c>
    </row>
    <row r="241" spans="1:105" ht="11.45" customHeight="1" x14ac:dyDescent="0.25">
      <c r="A241" s="111" t="s">
        <v>110</v>
      </c>
      <c r="B241" s="87">
        <v>0</v>
      </c>
      <c r="C241" s="87">
        <v>0</v>
      </c>
      <c r="D241" s="87">
        <v>0</v>
      </c>
      <c r="E241" s="87">
        <v>0</v>
      </c>
      <c r="F241" s="87">
        <v>0</v>
      </c>
      <c r="G241" s="87">
        <v>0</v>
      </c>
      <c r="H241" s="87">
        <v>0</v>
      </c>
      <c r="I241" s="87">
        <v>0</v>
      </c>
      <c r="J241" s="87">
        <v>0</v>
      </c>
      <c r="K241" s="87">
        <v>232.27746540569825</v>
      </c>
      <c r="L241" s="87">
        <v>223.82940701852894</v>
      </c>
      <c r="M241" s="87">
        <v>213.67625174468822</v>
      </c>
      <c r="N241" s="87">
        <v>199.31379039653078</v>
      </c>
      <c r="O241" s="87">
        <v>212.6268233800603</v>
      </c>
      <c r="P241" s="87">
        <v>180.24104722450085</v>
      </c>
      <c r="Q241" s="87">
        <v>170.81587178157733</v>
      </c>
      <c r="R241" s="87">
        <v>160.49620796685602</v>
      </c>
      <c r="S241" s="87">
        <v>165.06127901435846</v>
      </c>
      <c r="T241" s="87">
        <v>171.52362182905685</v>
      </c>
      <c r="U241" s="87">
        <v>174.95111111111106</v>
      </c>
      <c r="V241" s="87">
        <v>161.7935916807223</v>
      </c>
      <c r="W241" s="87">
        <v>179.81907571288099</v>
      </c>
      <c r="X241" s="87">
        <v>173.16984559491371</v>
      </c>
      <c r="Y241" s="87">
        <v>178.34344059405939</v>
      </c>
      <c r="DA241" s="171" t="s">
        <v>948</v>
      </c>
    </row>
    <row r="242" spans="1:105" ht="11.45" customHeight="1" x14ac:dyDescent="0.25">
      <c r="A242" s="111" t="s">
        <v>111</v>
      </c>
      <c r="B242" s="87">
        <v>274.20004352267512</v>
      </c>
      <c r="C242" s="87">
        <v>278.20145876854889</v>
      </c>
      <c r="D242" s="87">
        <v>282.7159980540111</v>
      </c>
      <c r="E242" s="87">
        <v>284.13967019382488</v>
      </c>
      <c r="F242" s="87">
        <v>283.41378472780139</v>
      </c>
      <c r="G242" s="87">
        <v>279.91080196273322</v>
      </c>
      <c r="H242" s="87">
        <v>284.88428818800372</v>
      </c>
      <c r="I242" s="87">
        <v>285.16059297829651</v>
      </c>
      <c r="J242" s="87">
        <v>274.33319170444946</v>
      </c>
      <c r="K242" s="87">
        <v>263.55247290607343</v>
      </c>
      <c r="L242" s="87">
        <v>253.42905428385708</v>
      </c>
      <c r="M242" s="87">
        <v>225.10909925282652</v>
      </c>
      <c r="N242" s="87">
        <v>216.63662851690694</v>
      </c>
      <c r="O242" s="87">
        <v>211.30778730903381</v>
      </c>
      <c r="P242" s="87">
        <v>206.32586220943617</v>
      </c>
      <c r="Q242" s="87">
        <v>199.489914046716</v>
      </c>
      <c r="R242" s="87">
        <v>189.508538749449</v>
      </c>
      <c r="S242" s="87">
        <v>185.84197724309792</v>
      </c>
      <c r="T242" s="87">
        <v>188.46953537316992</v>
      </c>
      <c r="U242" s="87">
        <v>188.76986673247779</v>
      </c>
      <c r="V242" s="87">
        <v>198.38326733271029</v>
      </c>
      <c r="W242" s="87">
        <v>200.94487076290139</v>
      </c>
      <c r="X242" s="87">
        <v>196.5540772441262</v>
      </c>
      <c r="Y242" s="87">
        <v>198.89909993433</v>
      </c>
      <c r="DA242" s="171" t="s">
        <v>949</v>
      </c>
    </row>
    <row r="243" spans="1:105" ht="11.45" customHeight="1" x14ac:dyDescent="0.25">
      <c r="A243" s="111" t="s">
        <v>112</v>
      </c>
      <c r="B243" s="87">
        <v>0</v>
      </c>
      <c r="C243" s="87">
        <v>421.93356460976304</v>
      </c>
      <c r="D243" s="87">
        <v>0</v>
      </c>
      <c r="E243" s="87">
        <v>0</v>
      </c>
      <c r="F243" s="87">
        <v>0</v>
      </c>
      <c r="G243" s="87">
        <v>0</v>
      </c>
      <c r="H243" s="87">
        <v>0</v>
      </c>
      <c r="I243" s="87">
        <v>0</v>
      </c>
      <c r="J243" s="87">
        <v>0</v>
      </c>
      <c r="K243" s="87">
        <v>399.716215893362</v>
      </c>
      <c r="L243" s="87">
        <v>384.36255770545785</v>
      </c>
      <c r="M243" s="87">
        <v>351.64278265267751</v>
      </c>
      <c r="N243" s="87">
        <v>354.84199294098323</v>
      </c>
      <c r="O243" s="87">
        <v>201.52671755725191</v>
      </c>
      <c r="P243" s="87">
        <v>201.03816793893131</v>
      </c>
      <c r="Q243" s="87">
        <v>247.12468193384183</v>
      </c>
      <c r="R243" s="87">
        <v>232.19490046050089</v>
      </c>
      <c r="S243" s="87">
        <v>238.79933199753035</v>
      </c>
      <c r="T243" s="87">
        <v>241.8320610687023</v>
      </c>
      <c r="U243" s="87">
        <v>160</v>
      </c>
      <c r="V243" s="87">
        <v>150</v>
      </c>
      <c r="W243" s="87">
        <v>334.11915535444939</v>
      </c>
      <c r="X243" s="87">
        <v>323.75770020533878</v>
      </c>
      <c r="Y243" s="87">
        <v>344.98786407766988</v>
      </c>
      <c r="DA243" s="171" t="s">
        <v>950</v>
      </c>
    </row>
    <row r="244" spans="1:105" ht="11.45" customHeight="1" x14ac:dyDescent="0.25">
      <c r="A244" s="111" t="s">
        <v>113</v>
      </c>
      <c r="B244" s="87">
        <v>0</v>
      </c>
      <c r="C244" s="87">
        <v>0</v>
      </c>
      <c r="D244" s="87">
        <v>0</v>
      </c>
      <c r="E244" s="87">
        <v>233.96824842226835</v>
      </c>
      <c r="F244" s="87">
        <v>233.96824842226835</v>
      </c>
      <c r="G244" s="87">
        <v>0</v>
      </c>
      <c r="H244" s="87">
        <v>0</v>
      </c>
      <c r="I244" s="87">
        <v>224.48304916190602</v>
      </c>
      <c r="J244" s="87">
        <v>0</v>
      </c>
      <c r="K244" s="87">
        <v>203.16375266847521</v>
      </c>
      <c r="L244" s="87">
        <v>195.77457592805428</v>
      </c>
      <c r="M244" s="87">
        <v>193.95934064283341</v>
      </c>
      <c r="N244" s="87">
        <v>178.08238933242467</v>
      </c>
      <c r="O244" s="87">
        <v>180.03306457262534</v>
      </c>
      <c r="P244" s="87">
        <v>176.06467376406016</v>
      </c>
      <c r="Q244" s="87">
        <v>184.63269521688522</v>
      </c>
      <c r="R244" s="87">
        <v>169.63465185721168</v>
      </c>
      <c r="S244" s="87">
        <v>174.24449988950528</v>
      </c>
      <c r="T244" s="87">
        <v>155.00363098277117</v>
      </c>
      <c r="U244" s="87">
        <v>163.83944855872127</v>
      </c>
      <c r="V244" s="87">
        <v>149.19301044142421</v>
      </c>
      <c r="W244" s="87">
        <v>164.84313725490199</v>
      </c>
      <c r="X244" s="87">
        <v>131.375</v>
      </c>
      <c r="Y244" s="87">
        <v>279.88888888888891</v>
      </c>
      <c r="DA244" s="171" t="s">
        <v>951</v>
      </c>
    </row>
    <row r="245" spans="1:105" ht="11.45" customHeight="1" x14ac:dyDescent="0.25">
      <c r="A245" s="111" t="s">
        <v>115</v>
      </c>
      <c r="B245" s="87">
        <v>0</v>
      </c>
      <c r="C245" s="87">
        <v>0</v>
      </c>
      <c r="D245" s="87">
        <v>0</v>
      </c>
      <c r="E245" s="87">
        <v>0</v>
      </c>
      <c r="F245" s="87">
        <v>0</v>
      </c>
      <c r="G245" s="87">
        <v>0</v>
      </c>
      <c r="H245" s="87">
        <v>0</v>
      </c>
      <c r="I245" s="87">
        <v>0</v>
      </c>
      <c r="J245" s="87">
        <v>0</v>
      </c>
      <c r="K245" s="87">
        <v>0</v>
      </c>
      <c r="L245" s="87">
        <v>0</v>
      </c>
      <c r="M245" s="87">
        <v>0</v>
      </c>
      <c r="N245" s="87">
        <v>0</v>
      </c>
      <c r="O245" s="87">
        <v>0</v>
      </c>
      <c r="P245" s="87">
        <v>0</v>
      </c>
      <c r="Q245" s="87">
        <v>0</v>
      </c>
      <c r="R245" s="87">
        <v>0</v>
      </c>
      <c r="S245" s="87">
        <v>0</v>
      </c>
      <c r="T245" s="87">
        <v>0</v>
      </c>
      <c r="U245" s="87">
        <v>0</v>
      </c>
      <c r="V245" s="87">
        <v>0</v>
      </c>
      <c r="W245" s="87">
        <v>0</v>
      </c>
      <c r="X245" s="87">
        <v>0</v>
      </c>
      <c r="Y245" s="87">
        <v>0</v>
      </c>
      <c r="DA245" s="171" t="s">
        <v>952</v>
      </c>
    </row>
    <row r="246" spans="1:105" ht="11.45" customHeight="1" x14ac:dyDescent="0.25">
      <c r="A246" s="109" t="s">
        <v>154</v>
      </c>
      <c r="B246" s="116">
        <v>920.27550202256782</v>
      </c>
      <c r="C246" s="116">
        <v>916.2509355075282</v>
      </c>
      <c r="D246" s="116">
        <v>909.87742705541598</v>
      </c>
      <c r="E246" s="116">
        <v>902.37399890444169</v>
      </c>
      <c r="F246" s="116">
        <v>921.5949986747346</v>
      </c>
      <c r="G246" s="116">
        <v>890.93386109714663</v>
      </c>
      <c r="H246" s="116">
        <v>885.02700787704521</v>
      </c>
      <c r="I246" s="116">
        <v>858.35911961957936</v>
      </c>
      <c r="J246" s="116">
        <v>849.77428955138419</v>
      </c>
      <c r="K246" s="116">
        <v>813.27385799977935</v>
      </c>
      <c r="L246" s="116">
        <v>828.69803750269148</v>
      </c>
      <c r="M246" s="116">
        <v>801.74374123661244</v>
      </c>
      <c r="N246" s="116">
        <v>775.34304324117352</v>
      </c>
      <c r="O246" s="116">
        <v>766.03002232502286</v>
      </c>
      <c r="P246" s="116">
        <v>745.61777243993834</v>
      </c>
      <c r="Q246" s="116">
        <v>727.1740753779477</v>
      </c>
      <c r="R246" s="116">
        <v>708.8318861932828</v>
      </c>
      <c r="S246" s="116">
        <v>680.86013090819324</v>
      </c>
      <c r="T246" s="116">
        <v>659.95021220566287</v>
      </c>
      <c r="U246" s="116">
        <v>652.95652407878663</v>
      </c>
      <c r="V246" s="116">
        <v>649.92755739828681</v>
      </c>
      <c r="W246" s="116">
        <v>637.69664162392803</v>
      </c>
      <c r="X246" s="116">
        <v>630.0053426804609</v>
      </c>
      <c r="Y246" s="116">
        <v>623.00095031064768</v>
      </c>
      <c r="DA246" s="176" t="s">
        <v>953</v>
      </c>
    </row>
    <row r="247" spans="1:105" ht="11.45" customHeight="1" x14ac:dyDescent="0.25">
      <c r="A247" s="128" t="s">
        <v>27</v>
      </c>
      <c r="B247" s="101">
        <v>850.06279600882044</v>
      </c>
      <c r="C247" s="101">
        <v>844.85208868161681</v>
      </c>
      <c r="D247" s="101">
        <v>839.0998664928178</v>
      </c>
      <c r="E247" s="101">
        <v>831.93727917355216</v>
      </c>
      <c r="F247" s="101">
        <v>823.38252699310272</v>
      </c>
      <c r="G247" s="101">
        <v>813.45719430455233</v>
      </c>
      <c r="H247" s="101">
        <v>802.18611494535662</v>
      </c>
      <c r="I247" s="101">
        <v>789.59721927193846</v>
      </c>
      <c r="J247" s="101">
        <v>775.72136455528766</v>
      </c>
      <c r="K247" s="101">
        <v>760.59215059898406</v>
      </c>
      <c r="L247" s="101">
        <v>744.2457226104932</v>
      </c>
      <c r="M247" s="101">
        <v>726.72056338817401</v>
      </c>
      <c r="N247" s="101">
        <v>708.05727696637189</v>
      </c>
      <c r="O247" s="101">
        <v>688.29836588601381</v>
      </c>
      <c r="P247" s="101">
        <v>667.48800420714929</v>
      </c>
      <c r="Q247" s="101">
        <v>645.67180838022978</v>
      </c>
      <c r="R247" s="101">
        <v>627.8130880408421</v>
      </c>
      <c r="S247" s="101">
        <v>615.31198380327078</v>
      </c>
      <c r="T247" s="101">
        <v>602.18582435382098</v>
      </c>
      <c r="U247" s="101">
        <v>586.14274058227113</v>
      </c>
      <c r="V247" s="101">
        <v>583.83246617051827</v>
      </c>
      <c r="W247" s="101">
        <v>582.19356713967341</v>
      </c>
      <c r="X247" s="101">
        <v>578.98604494292579</v>
      </c>
      <c r="Y247" s="101">
        <v>573.1961844934965</v>
      </c>
      <c r="DA247" s="175" t="s">
        <v>954</v>
      </c>
    </row>
    <row r="248" spans="1:105" ht="11.45" customHeight="1" x14ac:dyDescent="0.25">
      <c r="A248" s="138" t="s">
        <v>116</v>
      </c>
      <c r="B248" s="88">
        <v>973.32549638124704</v>
      </c>
      <c r="C248" s="88">
        <v>969.14492535889485</v>
      </c>
      <c r="D248" s="88">
        <v>964.5209027684374</v>
      </c>
      <c r="E248" s="88">
        <v>958.76313394738929</v>
      </c>
      <c r="F248" s="88">
        <v>951.8862494947706</v>
      </c>
      <c r="G248" s="88">
        <v>943.90760036347785</v>
      </c>
      <c r="H248" s="88">
        <v>934.84714966022614</v>
      </c>
      <c r="I248" s="88">
        <v>924.72734968168083</v>
      </c>
      <c r="J248" s="88">
        <v>913.57300557504323</v>
      </c>
      <c r="K248" s="88">
        <v>0</v>
      </c>
      <c r="L248" s="88">
        <v>888.27077026061306</v>
      </c>
      <c r="M248" s="88">
        <v>874.1828700569024</v>
      </c>
      <c r="N248" s="88">
        <v>859.18006675861636</v>
      </c>
      <c r="O248" s="88">
        <v>843.29652676318142</v>
      </c>
      <c r="P248" s="88">
        <v>826.56776014737818</v>
      </c>
      <c r="Q248" s="88">
        <v>809.03043647828326</v>
      </c>
      <c r="R248" s="88">
        <v>786.38779648376408</v>
      </c>
      <c r="S248" s="88">
        <v>770.5379484876006</v>
      </c>
      <c r="T248" s="88">
        <v>753.89560809162901</v>
      </c>
      <c r="U248" s="88">
        <v>733.55496982988586</v>
      </c>
      <c r="V248" s="88">
        <v>721.86280178997254</v>
      </c>
      <c r="W248" s="88">
        <v>718.06378370741038</v>
      </c>
      <c r="X248" s="88">
        <v>714.10770164996393</v>
      </c>
      <c r="Y248" s="88">
        <v>706.96662463346422</v>
      </c>
      <c r="DA248" s="178" t="s">
        <v>955</v>
      </c>
    </row>
  </sheetData>
  <mergeCells count="1">
    <mergeCell ref="B57:V57"/>
  </mergeCells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>
    <pageSetUpPr fitToPage="1"/>
  </sheetPr>
  <dimension ref="A1:DA1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1030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27" t="s">
        <v>18</v>
      </c>
      <c r="B4" s="28">
        <f t="shared" ref="B4" si="0">SUM(B5,B6,B9)</f>
        <v>15335.202402571358</v>
      </c>
      <c r="C4" s="28">
        <f t="shared" ref="C4:V4" si="1">SUM(C5,C6,C9)</f>
        <v>15076.721012389689</v>
      </c>
      <c r="D4" s="28">
        <f t="shared" si="1"/>
        <v>14951.532077772108</v>
      </c>
      <c r="E4" s="28">
        <f t="shared" si="1"/>
        <v>14534.64863736083</v>
      </c>
      <c r="F4" s="28">
        <f t="shared" si="1"/>
        <v>15236.261977826885</v>
      </c>
      <c r="G4" s="28">
        <f t="shared" si="1"/>
        <v>15899.40641320447</v>
      </c>
      <c r="H4" s="28">
        <f t="shared" si="1"/>
        <v>16666.999930454553</v>
      </c>
      <c r="I4" s="28">
        <f t="shared" si="1"/>
        <v>17119.986084072334</v>
      </c>
      <c r="J4" s="28">
        <f t="shared" si="1"/>
        <v>17168.323264988067</v>
      </c>
      <c r="K4" s="28">
        <f t="shared" si="1"/>
        <v>17279.895338335449</v>
      </c>
      <c r="L4" s="28">
        <f t="shared" si="1"/>
        <v>17753.925061229813</v>
      </c>
      <c r="M4" s="28">
        <f t="shared" si="1"/>
        <v>18368.903459096895</v>
      </c>
      <c r="N4" s="28">
        <f t="shared" si="1"/>
        <v>18587.130470277352</v>
      </c>
      <c r="O4" s="28">
        <f t="shared" si="1"/>
        <v>19897.559565383763</v>
      </c>
      <c r="P4" s="28">
        <f t="shared" si="1"/>
        <v>20858.242537905688</v>
      </c>
      <c r="Q4" s="28">
        <f t="shared" si="1"/>
        <v>18439.445688861662</v>
      </c>
      <c r="R4" s="28">
        <f t="shared" si="1"/>
        <v>18905.426743803149</v>
      </c>
      <c r="S4" s="28">
        <f t="shared" si="1"/>
        <v>19318.602002140862</v>
      </c>
      <c r="T4" s="28">
        <f t="shared" si="1"/>
        <v>19924.494138793405</v>
      </c>
      <c r="U4" s="28">
        <f t="shared" si="1"/>
        <v>20382.494138793405</v>
      </c>
      <c r="V4" s="28">
        <f t="shared" si="1"/>
        <v>9624.3127696155207</v>
      </c>
      <c r="W4" s="28">
        <f t="shared" ref="W4:Y4" si="2">SUM(W5,W6,W9)</f>
        <v>11407.342997811835</v>
      </c>
      <c r="X4" s="28">
        <f t="shared" si="2"/>
        <v>17895</v>
      </c>
      <c r="Y4" s="28">
        <f t="shared" si="2"/>
        <v>20002.414829659319</v>
      </c>
      <c r="DA4" s="173" t="s">
        <v>376</v>
      </c>
    </row>
    <row r="5" spans="1:105" ht="11.45" customHeight="1" x14ac:dyDescent="0.25">
      <c r="A5" s="107" t="s">
        <v>23</v>
      </c>
      <c r="B5" s="108">
        <v>669.20240257135822</v>
      </c>
      <c r="C5" s="108">
        <v>684.72101238968935</v>
      </c>
      <c r="D5" s="108">
        <v>663.53207777210855</v>
      </c>
      <c r="E5" s="108">
        <v>686.64863736082975</v>
      </c>
      <c r="F5" s="108">
        <v>727.26197782688473</v>
      </c>
      <c r="G5" s="108">
        <v>746.40641320447014</v>
      </c>
      <c r="H5" s="108">
        <v>777.99993045455176</v>
      </c>
      <c r="I5" s="108">
        <v>794.98608407233576</v>
      </c>
      <c r="J5" s="108">
        <v>825.32326498806594</v>
      </c>
      <c r="K5" s="108">
        <v>824.89533833545067</v>
      </c>
      <c r="L5" s="108">
        <v>853.92506122981331</v>
      </c>
      <c r="M5" s="108">
        <v>889.90345909689643</v>
      </c>
      <c r="N5" s="108">
        <v>816.13047027735092</v>
      </c>
      <c r="O5" s="108">
        <v>853.55956538376279</v>
      </c>
      <c r="P5" s="108">
        <v>853.24253790568616</v>
      </c>
      <c r="Q5" s="108">
        <v>916.44568886166292</v>
      </c>
      <c r="R5" s="108">
        <v>925.42674380315032</v>
      </c>
      <c r="S5" s="108">
        <v>881.60200214086183</v>
      </c>
      <c r="T5" s="108">
        <v>1029.4941387934066</v>
      </c>
      <c r="U5" s="108">
        <v>1029.4941387934066</v>
      </c>
      <c r="V5" s="108">
        <v>459.31276961551993</v>
      </c>
      <c r="W5" s="108">
        <v>554.34299781183415</v>
      </c>
      <c r="X5" s="108">
        <v>790</v>
      </c>
      <c r="Y5" s="108">
        <v>807.41482965931868</v>
      </c>
      <c r="DA5" s="203" t="s">
        <v>377</v>
      </c>
    </row>
    <row r="6" spans="1:105" ht="11.45" customHeight="1" x14ac:dyDescent="0.25">
      <c r="A6" s="109" t="s">
        <v>24</v>
      </c>
      <c r="B6" s="110">
        <f t="shared" ref="B6" si="3">SUM(B7:B8)</f>
        <v>14553</v>
      </c>
      <c r="C6" s="110">
        <f t="shared" ref="C6:V6" si="4">SUM(C7:C8)</f>
        <v>14201</v>
      </c>
      <c r="D6" s="110">
        <f t="shared" si="4"/>
        <v>14087</v>
      </c>
      <c r="E6" s="110">
        <f t="shared" si="4"/>
        <v>13184</v>
      </c>
      <c r="F6" s="110">
        <f t="shared" si="4"/>
        <v>13852</v>
      </c>
      <c r="G6" s="110">
        <f t="shared" si="4"/>
        <v>14466</v>
      </c>
      <c r="H6" s="110">
        <f t="shared" si="4"/>
        <v>15156</v>
      </c>
      <c r="I6" s="110">
        <f t="shared" si="4"/>
        <v>15525</v>
      </c>
      <c r="J6" s="110">
        <f t="shared" si="4"/>
        <v>15476</v>
      </c>
      <c r="K6" s="110">
        <f t="shared" si="4"/>
        <v>16188</v>
      </c>
      <c r="L6" s="110">
        <f t="shared" si="4"/>
        <v>16615</v>
      </c>
      <c r="M6" s="110">
        <f t="shared" si="4"/>
        <v>17174</v>
      </c>
      <c r="N6" s="110">
        <f t="shared" si="4"/>
        <v>17447</v>
      </c>
      <c r="O6" s="110">
        <f t="shared" si="4"/>
        <v>18681</v>
      </c>
      <c r="P6" s="110">
        <f t="shared" si="4"/>
        <v>19763</v>
      </c>
      <c r="Q6" s="110">
        <f t="shared" si="4"/>
        <v>16527</v>
      </c>
      <c r="R6" s="110">
        <f t="shared" si="4"/>
        <v>17615</v>
      </c>
      <c r="S6" s="110">
        <f t="shared" si="4"/>
        <v>18024</v>
      </c>
      <c r="T6" s="110">
        <f t="shared" si="4"/>
        <v>18500</v>
      </c>
      <c r="U6" s="110">
        <f t="shared" si="4"/>
        <v>18901</v>
      </c>
      <c r="V6" s="110">
        <f t="shared" si="4"/>
        <v>9024</v>
      </c>
      <c r="W6" s="110">
        <f t="shared" ref="W6:Y6" si="5">SUM(W7:W8)</f>
        <v>10710</v>
      </c>
      <c r="X6" s="110">
        <f t="shared" si="5"/>
        <v>16908</v>
      </c>
      <c r="Y6" s="110">
        <f t="shared" si="5"/>
        <v>18743</v>
      </c>
      <c r="DA6" s="176" t="s">
        <v>378</v>
      </c>
    </row>
    <row r="7" spans="1:105" ht="11.45" customHeight="1" x14ac:dyDescent="0.25">
      <c r="A7" s="111" t="s">
        <v>90</v>
      </c>
      <c r="B7" s="84">
        <v>1007.7185657816668</v>
      </c>
      <c r="C7" s="84">
        <v>974.38872515373112</v>
      </c>
      <c r="D7" s="84">
        <v>953.22337156303968</v>
      </c>
      <c r="E7" s="84">
        <v>925.89360496995153</v>
      </c>
      <c r="F7" s="84">
        <v>961.7068294927692</v>
      </c>
      <c r="G7" s="84">
        <v>1002.2023780101804</v>
      </c>
      <c r="H7" s="84">
        <v>1058.3495107149067</v>
      </c>
      <c r="I7" s="84">
        <v>1091.1560563595756</v>
      </c>
      <c r="J7" s="84">
        <v>1081.8452277906083</v>
      </c>
      <c r="K7" s="84">
        <v>1023.6175743756676</v>
      </c>
      <c r="L7" s="84">
        <v>1112.5862276169883</v>
      </c>
      <c r="M7" s="84">
        <v>1146.8439616931585</v>
      </c>
      <c r="N7" s="84">
        <v>988.18028585497768</v>
      </c>
      <c r="O7" s="84">
        <v>1087.9516008163962</v>
      </c>
      <c r="P7" s="84">
        <v>1225.8083760857612</v>
      </c>
      <c r="Q7" s="84">
        <v>1072.041100572482</v>
      </c>
      <c r="R7" s="84">
        <v>1087.5818385755128</v>
      </c>
      <c r="S7" s="84">
        <v>1108.2727407811124</v>
      </c>
      <c r="T7" s="84">
        <v>928.81606021064727</v>
      </c>
      <c r="U7" s="84">
        <v>847.79910738003139</v>
      </c>
      <c r="V7" s="84">
        <v>418.74220245779037</v>
      </c>
      <c r="W7" s="84">
        <v>470.45599857880632</v>
      </c>
      <c r="X7" s="84">
        <v>750.09303049690629</v>
      </c>
      <c r="Y7" s="84">
        <v>930.90658469885886</v>
      </c>
      <c r="DA7" s="171" t="s">
        <v>1031</v>
      </c>
    </row>
    <row r="8" spans="1:105" ht="11.45" customHeight="1" x14ac:dyDescent="0.25">
      <c r="A8" s="111" t="s">
        <v>93</v>
      </c>
      <c r="B8" s="84">
        <v>13545.281434218334</v>
      </c>
      <c r="C8" s="84">
        <v>13226.611274846269</v>
      </c>
      <c r="D8" s="84">
        <v>13133.776628436961</v>
      </c>
      <c r="E8" s="84">
        <v>12258.106395030049</v>
      </c>
      <c r="F8" s="84">
        <v>12890.293170507231</v>
      </c>
      <c r="G8" s="84">
        <v>13463.797621989819</v>
      </c>
      <c r="H8" s="84">
        <v>14097.650489285093</v>
      </c>
      <c r="I8" s="84">
        <v>14433.843943640424</v>
      </c>
      <c r="J8" s="84">
        <v>14394.154772209391</v>
      </c>
      <c r="K8" s="84">
        <v>15164.382425624332</v>
      </c>
      <c r="L8" s="84">
        <v>15502.413772383012</v>
      </c>
      <c r="M8" s="84">
        <v>16027.156038306841</v>
      </c>
      <c r="N8" s="84">
        <v>16458.819714145022</v>
      </c>
      <c r="O8" s="84">
        <v>17593.048399183604</v>
      </c>
      <c r="P8" s="84">
        <v>18537.191623914237</v>
      </c>
      <c r="Q8" s="84">
        <v>15454.958899427518</v>
      </c>
      <c r="R8" s="84">
        <v>16527.418161424488</v>
      </c>
      <c r="S8" s="84">
        <v>16915.727259218889</v>
      </c>
      <c r="T8" s="84">
        <v>17571.183939789353</v>
      </c>
      <c r="U8" s="84">
        <v>18053.200892619967</v>
      </c>
      <c r="V8" s="84">
        <v>8605.25779754221</v>
      </c>
      <c r="W8" s="84">
        <v>10239.544001421194</v>
      </c>
      <c r="X8" s="84">
        <v>16157.906969503094</v>
      </c>
      <c r="Y8" s="84">
        <v>17812.09341530114</v>
      </c>
      <c r="DA8" s="171" t="s">
        <v>1032</v>
      </c>
    </row>
    <row r="9" spans="1:105" ht="11.45" customHeight="1" x14ac:dyDescent="0.25">
      <c r="A9" s="112" t="s">
        <v>25</v>
      </c>
      <c r="B9" s="113">
        <v>113</v>
      </c>
      <c r="C9" s="113">
        <v>191</v>
      </c>
      <c r="D9" s="113">
        <v>201</v>
      </c>
      <c r="E9" s="113">
        <v>664</v>
      </c>
      <c r="F9" s="113">
        <v>657</v>
      </c>
      <c r="G9" s="113">
        <v>687</v>
      </c>
      <c r="H9" s="113">
        <v>733</v>
      </c>
      <c r="I9" s="113">
        <v>800</v>
      </c>
      <c r="J9" s="113">
        <v>867</v>
      </c>
      <c r="K9" s="113">
        <v>267</v>
      </c>
      <c r="L9" s="113">
        <v>285</v>
      </c>
      <c r="M9" s="113">
        <v>305</v>
      </c>
      <c r="N9" s="113">
        <v>324</v>
      </c>
      <c r="O9" s="113">
        <v>363</v>
      </c>
      <c r="P9" s="113">
        <v>242</v>
      </c>
      <c r="Q9" s="113">
        <v>996</v>
      </c>
      <c r="R9" s="113">
        <v>365</v>
      </c>
      <c r="S9" s="113">
        <v>413</v>
      </c>
      <c r="T9" s="113">
        <v>395</v>
      </c>
      <c r="U9" s="113">
        <v>452</v>
      </c>
      <c r="V9" s="113">
        <v>141</v>
      </c>
      <c r="W9" s="113">
        <v>143</v>
      </c>
      <c r="X9" s="113">
        <v>197</v>
      </c>
      <c r="Y9" s="113">
        <v>452</v>
      </c>
      <c r="DA9" s="204" t="s">
        <v>379</v>
      </c>
    </row>
    <row r="10" spans="1:105" ht="11.45" customHeight="1" x14ac:dyDescent="0.25">
      <c r="A10" s="27" t="s">
        <v>28</v>
      </c>
      <c r="B10" s="28">
        <f t="shared" ref="B10" si="6">SUM(B11:B12)</f>
        <v>4522</v>
      </c>
      <c r="C10" s="28">
        <f t="shared" ref="C10:V10" si="7">SUM(C11:C12)</f>
        <v>4293</v>
      </c>
      <c r="D10" s="28">
        <f t="shared" si="7"/>
        <v>4024</v>
      </c>
      <c r="E10" s="28">
        <f t="shared" si="7"/>
        <v>4705</v>
      </c>
      <c r="F10" s="28">
        <f t="shared" si="7"/>
        <v>5831</v>
      </c>
      <c r="G10" s="28">
        <f t="shared" si="7"/>
        <v>5865</v>
      </c>
      <c r="H10" s="28">
        <f t="shared" si="7"/>
        <v>6289</v>
      </c>
      <c r="I10" s="28">
        <f t="shared" si="7"/>
        <v>7216</v>
      </c>
      <c r="J10" s="28">
        <f t="shared" si="7"/>
        <v>6984</v>
      </c>
      <c r="K10" s="28">
        <f t="shared" si="7"/>
        <v>5578</v>
      </c>
      <c r="L10" s="28">
        <f t="shared" si="7"/>
        <v>5925</v>
      </c>
      <c r="M10" s="28">
        <f t="shared" si="7"/>
        <v>6378</v>
      </c>
      <c r="N10" s="28">
        <f t="shared" si="7"/>
        <v>6142</v>
      </c>
      <c r="O10" s="28">
        <f t="shared" si="7"/>
        <v>6078</v>
      </c>
      <c r="P10" s="28">
        <f t="shared" si="7"/>
        <v>6169</v>
      </c>
      <c r="Q10" s="28">
        <f t="shared" si="7"/>
        <v>6545</v>
      </c>
      <c r="R10" s="28">
        <f t="shared" si="7"/>
        <v>6641</v>
      </c>
      <c r="S10" s="28">
        <f t="shared" si="7"/>
        <v>6467</v>
      </c>
      <c r="T10" s="28">
        <f t="shared" si="7"/>
        <v>7023</v>
      </c>
      <c r="U10" s="28">
        <f t="shared" si="7"/>
        <v>7080</v>
      </c>
      <c r="V10" s="28">
        <f t="shared" si="7"/>
        <v>6665</v>
      </c>
      <c r="W10" s="28">
        <f t="shared" ref="W10:Y10" si="8">SUM(W11:W12)</f>
        <v>7188</v>
      </c>
      <c r="X10" s="28">
        <f t="shared" si="8"/>
        <v>7176</v>
      </c>
      <c r="Y10" s="28">
        <f t="shared" si="8"/>
        <v>6493</v>
      </c>
      <c r="DA10" s="173" t="s">
        <v>384</v>
      </c>
    </row>
    <row r="11" spans="1:105" ht="11.45" customHeight="1" x14ac:dyDescent="0.25">
      <c r="A11" s="83" t="s">
        <v>90</v>
      </c>
      <c r="B11" s="84">
        <v>1829.5015367724407</v>
      </c>
      <c r="C11" s="84">
        <v>1704.2473444632806</v>
      </c>
      <c r="D11" s="84">
        <v>1576.0718734098245</v>
      </c>
      <c r="E11" s="84">
        <v>1817.09597096277</v>
      </c>
      <c r="F11" s="84">
        <v>2236.9894668498714</v>
      </c>
      <c r="G11" s="84">
        <v>2239.4378053978548</v>
      </c>
      <c r="H11" s="84">
        <v>2406.073758758947</v>
      </c>
      <c r="I11" s="84">
        <v>2793.8156720693837</v>
      </c>
      <c r="J11" s="84">
        <v>2665.0585950985228</v>
      </c>
      <c r="K11" s="84">
        <v>1921.0167389424441</v>
      </c>
      <c r="L11" s="84">
        <v>2126.2667238382915</v>
      </c>
      <c r="M11" s="84">
        <v>2251.4046756182406</v>
      </c>
      <c r="N11" s="84">
        <v>1863.5999577592688</v>
      </c>
      <c r="O11" s="84">
        <v>1868.3824780351943</v>
      </c>
      <c r="P11" s="84">
        <v>2023.3024162137058</v>
      </c>
      <c r="Q11" s="84">
        <v>2208.5407875231645</v>
      </c>
      <c r="R11" s="84">
        <v>2161.654393167692</v>
      </c>
      <c r="S11" s="84">
        <v>2096.3345943948652</v>
      </c>
      <c r="T11" s="84">
        <v>1847.6139885322114</v>
      </c>
      <c r="U11" s="84">
        <v>1646.443216512944</v>
      </c>
      <c r="V11" s="84">
        <v>1702.688951008766</v>
      </c>
      <c r="W11" s="84">
        <v>1738.1294697493026</v>
      </c>
      <c r="X11" s="84">
        <v>1762.2687281138085</v>
      </c>
      <c r="Y11" s="84">
        <v>1788.0898931516517</v>
      </c>
      <c r="DA11" s="171" t="s">
        <v>1033</v>
      </c>
    </row>
    <row r="12" spans="1:105" ht="11.45" customHeight="1" x14ac:dyDescent="0.25">
      <c r="A12" s="85" t="s">
        <v>93</v>
      </c>
      <c r="B12" s="86">
        <v>2692.4984632275591</v>
      </c>
      <c r="C12" s="86">
        <v>2588.7526555367194</v>
      </c>
      <c r="D12" s="86">
        <v>2447.9281265901755</v>
      </c>
      <c r="E12" s="86">
        <v>2887.90402903723</v>
      </c>
      <c r="F12" s="86">
        <v>3594.0105331501286</v>
      </c>
      <c r="G12" s="86">
        <v>3625.5621946021452</v>
      </c>
      <c r="H12" s="86">
        <v>3882.926241241053</v>
      </c>
      <c r="I12" s="86">
        <v>4422.1843279306158</v>
      </c>
      <c r="J12" s="86">
        <v>4318.9414049014777</v>
      </c>
      <c r="K12" s="86">
        <v>3656.9832610575559</v>
      </c>
      <c r="L12" s="86">
        <v>3798.7332761617085</v>
      </c>
      <c r="M12" s="86">
        <v>4126.5953243817594</v>
      </c>
      <c r="N12" s="86">
        <v>4278.4000422407316</v>
      </c>
      <c r="O12" s="86">
        <v>4209.6175219648057</v>
      </c>
      <c r="P12" s="86">
        <v>4145.6975837862938</v>
      </c>
      <c r="Q12" s="86">
        <v>4336.4592124768351</v>
      </c>
      <c r="R12" s="86">
        <v>4479.3456068323085</v>
      </c>
      <c r="S12" s="86">
        <v>4370.6654056051348</v>
      </c>
      <c r="T12" s="86">
        <v>5175.3860114677882</v>
      </c>
      <c r="U12" s="86">
        <v>5433.5567834870562</v>
      </c>
      <c r="V12" s="86">
        <v>4962.3110489912342</v>
      </c>
      <c r="W12" s="86">
        <v>5449.8705302506969</v>
      </c>
      <c r="X12" s="86">
        <v>5413.7312718861913</v>
      </c>
      <c r="Y12" s="86">
        <v>4704.9101068483487</v>
      </c>
      <c r="DA12" s="178" t="s">
        <v>1034</v>
      </c>
    </row>
    <row r="13" spans="1:105" x14ac:dyDescent="0.25">
      <c r="A13" s="106"/>
      <c r="B13" s="106"/>
      <c r="C13" s="106"/>
      <c r="D13" s="106"/>
      <c r="E13" s="106"/>
      <c r="F13" s="106"/>
      <c r="G13" s="106"/>
      <c r="H13" s="106"/>
      <c r="I13" s="106"/>
      <c r="J13" s="106"/>
      <c r="K13" s="106"/>
      <c r="L13" s="114"/>
      <c r="M13" s="106"/>
      <c r="N13" s="106"/>
      <c r="O13" s="106"/>
      <c r="P13" s="106"/>
      <c r="Q13" s="106"/>
      <c r="R13" s="106"/>
      <c r="S13" s="106"/>
      <c r="T13" s="106"/>
      <c r="U13" s="106"/>
      <c r="V13" s="106"/>
      <c r="W13" s="106"/>
      <c r="X13" s="106"/>
      <c r="Y13" s="106"/>
      <c r="DA13" s="171"/>
    </row>
    <row r="14" spans="1:105" ht="11.45" customHeight="1" x14ac:dyDescent="0.25">
      <c r="A14" s="53" t="s">
        <v>64</v>
      </c>
      <c r="B14" s="62">
        <f t="shared" ref="B14" si="9">B15+B21</f>
        <v>122.83385786798036</v>
      </c>
      <c r="C14" s="62">
        <f t="shared" ref="C14:V14" si="10">C15+C21</f>
        <v>119.8347870790173</v>
      </c>
      <c r="D14" s="62">
        <f t="shared" si="10"/>
        <v>119.47027565761609</v>
      </c>
      <c r="E14" s="62">
        <f t="shared" si="10"/>
        <v>122.50947008473669</v>
      </c>
      <c r="F14" s="62">
        <f t="shared" si="10"/>
        <v>128.63697781850721</v>
      </c>
      <c r="G14" s="62">
        <f t="shared" si="10"/>
        <v>126.30830855661078</v>
      </c>
      <c r="H14" s="62">
        <f t="shared" si="10"/>
        <v>127.69877456578641</v>
      </c>
      <c r="I14" s="62">
        <f t="shared" si="10"/>
        <v>126.39585491338948</v>
      </c>
      <c r="J14" s="62">
        <f t="shared" si="10"/>
        <v>130.00753720446153</v>
      </c>
      <c r="K14" s="62">
        <f t="shared" si="10"/>
        <v>135.45461995738219</v>
      </c>
      <c r="L14" s="62">
        <f t="shared" si="10"/>
        <v>143.7173370985407</v>
      </c>
      <c r="M14" s="62">
        <f t="shared" si="10"/>
        <v>143.37691479248605</v>
      </c>
      <c r="N14" s="62">
        <f t="shared" si="10"/>
        <v>144.72997300558711</v>
      </c>
      <c r="O14" s="62">
        <f t="shared" si="10"/>
        <v>148.36131891362095</v>
      </c>
      <c r="P14" s="62">
        <f t="shared" si="10"/>
        <v>147.24630136023987</v>
      </c>
      <c r="Q14" s="62">
        <f t="shared" si="10"/>
        <v>148.0094489763477</v>
      </c>
      <c r="R14" s="62">
        <f t="shared" si="10"/>
        <v>156.35063760258569</v>
      </c>
      <c r="S14" s="62">
        <f t="shared" si="10"/>
        <v>158.34750185289997</v>
      </c>
      <c r="T14" s="62">
        <f t="shared" si="10"/>
        <v>162.86893760197304</v>
      </c>
      <c r="U14" s="62">
        <f t="shared" si="10"/>
        <v>165.42616271960111</v>
      </c>
      <c r="V14" s="62">
        <f t="shared" si="10"/>
        <v>147.33821985624294</v>
      </c>
      <c r="W14" s="62">
        <f t="shared" ref="W14:Y14" si="11">W15+W21</f>
        <v>147.01745753658648</v>
      </c>
      <c r="X14" s="62">
        <f t="shared" si="11"/>
        <v>155.53130918685099</v>
      </c>
      <c r="Y14" s="62">
        <f t="shared" si="11"/>
        <v>154.52261673299535</v>
      </c>
      <c r="DA14" s="172" t="s">
        <v>1035</v>
      </c>
    </row>
    <row r="15" spans="1:105" ht="11.45" customHeight="1" x14ac:dyDescent="0.25">
      <c r="A15" s="27" t="s">
        <v>33</v>
      </c>
      <c r="B15" s="29">
        <f t="shared" ref="B15" si="12">SUM(B16,B17,B20)</f>
        <v>114.55980087866206</v>
      </c>
      <c r="C15" s="29">
        <f t="shared" ref="C15:V15" si="13">SUM(C16,C17,C20)</f>
        <v>111.45079811420274</v>
      </c>
      <c r="D15" s="29">
        <f t="shared" si="13"/>
        <v>112.0960289188701</v>
      </c>
      <c r="E15" s="29">
        <f t="shared" si="13"/>
        <v>114.85153665939862</v>
      </c>
      <c r="F15" s="29">
        <f t="shared" si="13"/>
        <v>119.15751892617347</v>
      </c>
      <c r="G15" s="29">
        <f t="shared" si="13"/>
        <v>116.03586552802864</v>
      </c>
      <c r="H15" s="29">
        <f t="shared" si="13"/>
        <v>117.38912792101608</v>
      </c>
      <c r="I15" s="29">
        <f t="shared" si="13"/>
        <v>114.59558825061531</v>
      </c>
      <c r="J15" s="29">
        <f t="shared" si="13"/>
        <v>118.2044145448361</v>
      </c>
      <c r="K15" s="29">
        <f t="shared" si="13"/>
        <v>125.64829404704072</v>
      </c>
      <c r="L15" s="29">
        <f t="shared" si="13"/>
        <v>132.32926658019755</v>
      </c>
      <c r="M15" s="29">
        <f t="shared" si="13"/>
        <v>131.02553888628276</v>
      </c>
      <c r="N15" s="29">
        <f t="shared" si="13"/>
        <v>132.76570680586201</v>
      </c>
      <c r="O15" s="29">
        <f t="shared" si="13"/>
        <v>136.38610955145586</v>
      </c>
      <c r="P15" s="29">
        <f t="shared" si="13"/>
        <v>135.45724360639778</v>
      </c>
      <c r="Q15" s="29">
        <f t="shared" si="13"/>
        <v>135.47423207897393</v>
      </c>
      <c r="R15" s="29">
        <f t="shared" si="13"/>
        <v>143.89202003272854</v>
      </c>
      <c r="S15" s="29">
        <f t="shared" si="13"/>
        <v>146.0243786136451</v>
      </c>
      <c r="T15" s="29">
        <f t="shared" si="13"/>
        <v>149.51043711878546</v>
      </c>
      <c r="U15" s="29">
        <f t="shared" si="13"/>
        <v>151.82031902324351</v>
      </c>
      <c r="V15" s="29">
        <f t="shared" si="13"/>
        <v>133.43671265727505</v>
      </c>
      <c r="W15" s="29">
        <f t="shared" ref="W15:Y15" si="14">SUM(W16,W17,W20)</f>
        <v>132.67620330298823</v>
      </c>
      <c r="X15" s="29">
        <f t="shared" si="14"/>
        <v>141.53975097284001</v>
      </c>
      <c r="Y15" s="29">
        <f t="shared" si="14"/>
        <v>142.38844110338482</v>
      </c>
      <c r="DA15" s="173" t="s">
        <v>1036</v>
      </c>
    </row>
    <row r="16" spans="1:105" ht="11.45" customHeight="1" x14ac:dyDescent="0.25">
      <c r="A16" s="107" t="s">
        <v>23</v>
      </c>
      <c r="B16" s="115">
        <v>7.9439625504771625</v>
      </c>
      <c r="C16" s="115">
        <v>8.116757747684602</v>
      </c>
      <c r="D16" s="115">
        <v>7.8639940450243948</v>
      </c>
      <c r="E16" s="115">
        <v>8.0671304890185862</v>
      </c>
      <c r="F16" s="115">
        <v>8.5502559949025905</v>
      </c>
      <c r="G16" s="115">
        <v>8.6692629502857592</v>
      </c>
      <c r="H16" s="115">
        <v>8.9414926817314289</v>
      </c>
      <c r="I16" s="115">
        <v>9.333537383894333</v>
      </c>
      <c r="J16" s="115">
        <v>9.6378457969923819</v>
      </c>
      <c r="K16" s="115">
        <v>9.5665649862422804</v>
      </c>
      <c r="L16" s="115">
        <v>9.7853108296818618</v>
      </c>
      <c r="M16" s="115">
        <v>10.115795972216501</v>
      </c>
      <c r="N16" s="115">
        <v>9.2884133192696101</v>
      </c>
      <c r="O16" s="115">
        <v>9.5979637298228351</v>
      </c>
      <c r="P16" s="115">
        <v>9.511892809072398</v>
      </c>
      <c r="Q16" s="115">
        <v>10.615869192518975</v>
      </c>
      <c r="R16" s="115">
        <v>10.700711954317066</v>
      </c>
      <c r="S16" s="115">
        <v>10.177366899945595</v>
      </c>
      <c r="T16" s="115">
        <v>11.866961606121716</v>
      </c>
      <c r="U16" s="115">
        <v>11.851040827123652</v>
      </c>
      <c r="V16" s="115">
        <v>7.7322316944885428</v>
      </c>
      <c r="W16" s="115">
        <v>8.0028740347289737</v>
      </c>
      <c r="X16" s="115">
        <v>9.4468446880022423</v>
      </c>
      <c r="Y16" s="115">
        <v>7.9647676834130996</v>
      </c>
      <c r="DA16" s="203" t="s">
        <v>1037</v>
      </c>
    </row>
    <row r="17" spans="1:105" ht="11.45" customHeight="1" x14ac:dyDescent="0.25">
      <c r="A17" s="109" t="s">
        <v>24</v>
      </c>
      <c r="B17" s="116">
        <f t="shared" ref="B17" si="15">SUM(B18:B19)</f>
        <v>106.2255165359242</v>
      </c>
      <c r="C17" s="116">
        <f t="shared" ref="C17:V17" si="16">SUM(C18:C19)</f>
        <v>102.67429291234299</v>
      </c>
      <c r="D17" s="116">
        <f t="shared" si="16"/>
        <v>103.53774566814306</v>
      </c>
      <c r="E17" s="116">
        <f t="shared" si="16"/>
        <v>104.49083386895438</v>
      </c>
      <c r="F17" s="116">
        <f t="shared" si="16"/>
        <v>108.33786985591446</v>
      </c>
      <c r="G17" s="116">
        <f t="shared" si="16"/>
        <v>104.99358424780398</v>
      </c>
      <c r="H17" s="116">
        <f t="shared" si="16"/>
        <v>105.93603229810817</v>
      </c>
      <c r="I17" s="116">
        <f t="shared" si="16"/>
        <v>102.53774317441328</v>
      </c>
      <c r="J17" s="116">
        <f t="shared" si="16"/>
        <v>105.60495884072297</v>
      </c>
      <c r="K17" s="116">
        <f t="shared" si="16"/>
        <v>115.16913290695229</v>
      </c>
      <c r="L17" s="116">
        <f t="shared" si="16"/>
        <v>121.56886484142477</v>
      </c>
      <c r="M17" s="116">
        <f t="shared" si="16"/>
        <v>119.8801702644936</v>
      </c>
      <c r="N17" s="116">
        <f t="shared" si="16"/>
        <v>122.38947530477421</v>
      </c>
      <c r="O17" s="116">
        <f t="shared" si="16"/>
        <v>125.5814501694591</v>
      </c>
      <c r="P17" s="116">
        <f t="shared" si="16"/>
        <v>125.15237936875394</v>
      </c>
      <c r="Q17" s="116">
        <f t="shared" si="16"/>
        <v>121.65398788645494</v>
      </c>
      <c r="R17" s="116">
        <f t="shared" si="16"/>
        <v>132.03130807841148</v>
      </c>
      <c r="S17" s="116">
        <f t="shared" si="16"/>
        <v>134.54292475717779</v>
      </c>
      <c r="T17" s="116">
        <f t="shared" si="16"/>
        <v>136.41547551266373</v>
      </c>
      <c r="U17" s="116">
        <f t="shared" si="16"/>
        <v>138.56407313282872</v>
      </c>
      <c r="V17" s="116">
        <f t="shared" si="16"/>
        <v>125.17453978631592</v>
      </c>
      <c r="W17" s="116">
        <f t="shared" ref="W17:Y17" si="17">SUM(W18:W19)</f>
        <v>124.1657299774791</v>
      </c>
      <c r="X17" s="116">
        <f t="shared" si="17"/>
        <v>131.44027862526329</v>
      </c>
      <c r="Y17" s="116">
        <f t="shared" si="17"/>
        <v>133.01801384550365</v>
      </c>
      <c r="DA17" s="176" t="s">
        <v>1038</v>
      </c>
    </row>
    <row r="18" spans="1:105" ht="11.45" customHeight="1" x14ac:dyDescent="0.25">
      <c r="A18" s="111" t="s">
        <v>92</v>
      </c>
      <c r="B18" s="87">
        <v>9.8007575311337529</v>
      </c>
      <c r="C18" s="87">
        <v>9.4537748307052336</v>
      </c>
      <c r="D18" s="87">
        <v>9.6487910199376792</v>
      </c>
      <c r="E18" s="87">
        <v>9.1918655466355101</v>
      </c>
      <c r="F18" s="87">
        <v>8.9508067940950902</v>
      </c>
      <c r="G18" s="87">
        <v>8.7207256055719427</v>
      </c>
      <c r="H18" s="87">
        <v>8.4958692584653495</v>
      </c>
      <c r="I18" s="87">
        <v>7.8960769102072472</v>
      </c>
      <c r="J18" s="87">
        <v>8.6039959046590493</v>
      </c>
      <c r="K18" s="87">
        <v>8.8203020091213133</v>
      </c>
      <c r="L18" s="87">
        <v>9.7029699562194036</v>
      </c>
      <c r="M18" s="87">
        <v>9.5744308147149244</v>
      </c>
      <c r="N18" s="87">
        <v>8.3230423949265653</v>
      </c>
      <c r="O18" s="87">
        <v>8.7161061999818177</v>
      </c>
      <c r="P18" s="87">
        <v>9.050381947695362</v>
      </c>
      <c r="Q18" s="87">
        <v>9.3790658975069139</v>
      </c>
      <c r="R18" s="87">
        <v>9.3534127486010075</v>
      </c>
      <c r="S18" s="87">
        <v>9.8882743258931729</v>
      </c>
      <c r="T18" s="87">
        <v>7.9720745488907063</v>
      </c>
      <c r="U18" s="87">
        <v>7.1490661301400804</v>
      </c>
      <c r="V18" s="87">
        <v>6.0374958287280807</v>
      </c>
      <c r="W18" s="87">
        <v>5.4065599987841564</v>
      </c>
      <c r="X18" s="87">
        <v>6.6875304065536065</v>
      </c>
      <c r="Y18" s="87">
        <v>8.0566047753089176</v>
      </c>
      <c r="DA18" s="171" t="s">
        <v>1039</v>
      </c>
    </row>
    <row r="19" spans="1:105" ht="11.45" customHeight="1" x14ac:dyDescent="0.25">
      <c r="A19" s="111" t="s">
        <v>93</v>
      </c>
      <c r="B19" s="87">
        <v>96.424759004790445</v>
      </c>
      <c r="C19" s="87">
        <v>93.220518081637763</v>
      </c>
      <c r="D19" s="87">
        <v>93.888954648205385</v>
      </c>
      <c r="E19" s="87">
        <v>95.298968322318871</v>
      </c>
      <c r="F19" s="87">
        <v>99.387063061819376</v>
      </c>
      <c r="G19" s="87">
        <v>96.272858642232038</v>
      </c>
      <c r="H19" s="87">
        <v>97.440163039642826</v>
      </c>
      <c r="I19" s="87">
        <v>94.641666264206037</v>
      </c>
      <c r="J19" s="87">
        <v>97.000962936063928</v>
      </c>
      <c r="K19" s="87">
        <v>106.34883089783096</v>
      </c>
      <c r="L19" s="87">
        <v>111.86589488520536</v>
      </c>
      <c r="M19" s="87">
        <v>110.30573944977867</v>
      </c>
      <c r="N19" s="87">
        <v>114.06643290984765</v>
      </c>
      <c r="O19" s="87">
        <v>116.86534396947728</v>
      </c>
      <c r="P19" s="87">
        <v>116.10199742105858</v>
      </c>
      <c r="Q19" s="87">
        <v>112.27492198894802</v>
      </c>
      <c r="R19" s="87">
        <v>122.67789532981048</v>
      </c>
      <c r="S19" s="87">
        <v>124.65465043128462</v>
      </c>
      <c r="T19" s="87">
        <v>128.44340096377303</v>
      </c>
      <c r="U19" s="87">
        <v>131.41500700268864</v>
      </c>
      <c r="V19" s="87">
        <v>119.13704395758784</v>
      </c>
      <c r="W19" s="87">
        <v>118.75916997869494</v>
      </c>
      <c r="X19" s="87">
        <v>124.75274821870968</v>
      </c>
      <c r="Y19" s="87">
        <v>124.96140907019472</v>
      </c>
      <c r="DA19" s="171" t="s">
        <v>1040</v>
      </c>
    </row>
    <row r="20" spans="1:105" ht="11.45" customHeight="1" x14ac:dyDescent="0.25">
      <c r="A20" s="112" t="s">
        <v>25</v>
      </c>
      <c r="B20" s="117">
        <v>0.39032179226069252</v>
      </c>
      <c r="C20" s="117">
        <v>0.65974745417515268</v>
      </c>
      <c r="D20" s="117">
        <v>0.69428920570264763</v>
      </c>
      <c r="E20" s="117">
        <v>2.2935723014256619</v>
      </c>
      <c r="F20" s="117">
        <v>2.2693930753564153</v>
      </c>
      <c r="G20" s="117">
        <v>2.3730183299388998</v>
      </c>
      <c r="H20" s="117">
        <v>2.5116029411764709</v>
      </c>
      <c r="I20" s="117">
        <v>2.7243076923076921</v>
      </c>
      <c r="J20" s="117">
        <v>2.9616099071207431</v>
      </c>
      <c r="K20" s="117">
        <v>0.91259615384615378</v>
      </c>
      <c r="L20" s="117">
        <v>0.97509090909090923</v>
      </c>
      <c r="M20" s="117">
        <v>1.0295726495726496</v>
      </c>
      <c r="N20" s="117">
        <v>1.0878181818181818</v>
      </c>
      <c r="O20" s="117">
        <v>1.2066956521739129</v>
      </c>
      <c r="P20" s="117">
        <v>0.79297142857142855</v>
      </c>
      <c r="Q20" s="117">
        <v>3.2043750000000006</v>
      </c>
      <c r="R20" s="117">
        <v>1.1600000000000001</v>
      </c>
      <c r="S20" s="117">
        <v>1.3040869565217392</v>
      </c>
      <c r="T20" s="117">
        <v>1.228</v>
      </c>
      <c r="U20" s="117">
        <v>1.4052050632911395</v>
      </c>
      <c r="V20" s="117">
        <v>0.52994117647058825</v>
      </c>
      <c r="W20" s="117">
        <v>0.50759929078014188</v>
      </c>
      <c r="X20" s="117">
        <v>0.652627659574468</v>
      </c>
      <c r="Y20" s="117">
        <v>1.4056595744680851</v>
      </c>
      <c r="DA20" s="204" t="s">
        <v>1041</v>
      </c>
    </row>
    <row r="21" spans="1:105" ht="11.45" customHeight="1" x14ac:dyDescent="0.25">
      <c r="A21" s="27" t="s">
        <v>34</v>
      </c>
      <c r="B21" s="29">
        <f t="shared" ref="B21" si="18">SUM(B22:B23)</f>
        <v>8.2740569893183</v>
      </c>
      <c r="C21" s="29">
        <f t="shared" ref="C21:V21" si="19">SUM(C22:C23)</f>
        <v>8.3839889648145576</v>
      </c>
      <c r="D21" s="29">
        <f t="shared" si="19"/>
        <v>7.3742467387459785</v>
      </c>
      <c r="E21" s="29">
        <f t="shared" si="19"/>
        <v>7.657933425338074</v>
      </c>
      <c r="F21" s="29">
        <f t="shared" si="19"/>
        <v>9.4794588923337386</v>
      </c>
      <c r="G21" s="29">
        <f t="shared" si="19"/>
        <v>10.272443028582147</v>
      </c>
      <c r="H21" s="29">
        <f t="shared" si="19"/>
        <v>10.309646644770332</v>
      </c>
      <c r="I21" s="29">
        <f t="shared" si="19"/>
        <v>11.800266662774174</v>
      </c>
      <c r="J21" s="29">
        <f t="shared" si="19"/>
        <v>11.803122659625423</v>
      </c>
      <c r="K21" s="29">
        <f t="shared" si="19"/>
        <v>9.8063259103414637</v>
      </c>
      <c r="L21" s="29">
        <f t="shared" si="19"/>
        <v>11.38807051834314</v>
      </c>
      <c r="M21" s="29">
        <f t="shared" si="19"/>
        <v>12.35137590620328</v>
      </c>
      <c r="N21" s="29">
        <f t="shared" si="19"/>
        <v>11.964266199725094</v>
      </c>
      <c r="O21" s="29">
        <f t="shared" si="19"/>
        <v>11.975209362165083</v>
      </c>
      <c r="P21" s="29">
        <f t="shared" si="19"/>
        <v>11.789057753842082</v>
      </c>
      <c r="Q21" s="29">
        <f t="shared" si="19"/>
        <v>12.535216897373767</v>
      </c>
      <c r="R21" s="29">
        <f t="shared" si="19"/>
        <v>12.458617569857161</v>
      </c>
      <c r="S21" s="29">
        <f t="shared" si="19"/>
        <v>12.323123239254862</v>
      </c>
      <c r="T21" s="29">
        <f t="shared" si="19"/>
        <v>13.358500483187589</v>
      </c>
      <c r="U21" s="29">
        <f t="shared" si="19"/>
        <v>13.605843696357603</v>
      </c>
      <c r="V21" s="29">
        <f t="shared" si="19"/>
        <v>13.901507198967893</v>
      </c>
      <c r="W21" s="29">
        <f t="shared" ref="W21:Y21" si="20">SUM(W22:W23)</f>
        <v>14.341254233598239</v>
      </c>
      <c r="X21" s="29">
        <f t="shared" si="20"/>
        <v>13.991558214010993</v>
      </c>
      <c r="Y21" s="29">
        <f t="shared" si="20"/>
        <v>12.134175629610532</v>
      </c>
      <c r="DA21" s="173" t="s">
        <v>1042</v>
      </c>
    </row>
    <row r="22" spans="1:105" ht="11.45" customHeight="1" x14ac:dyDescent="0.25">
      <c r="A22" s="83" t="s">
        <v>92</v>
      </c>
      <c r="B22" s="87">
        <v>3.0412337947103714</v>
      </c>
      <c r="C22" s="87">
        <v>2.8044503746048486</v>
      </c>
      <c r="D22" s="87">
        <v>2.5335177683120698</v>
      </c>
      <c r="E22" s="87">
        <v>2.809694293844156</v>
      </c>
      <c r="F22" s="87">
        <v>3.198203754841852</v>
      </c>
      <c r="G22" s="87">
        <v>3.0894991467956947</v>
      </c>
      <c r="H22" s="87">
        <v>3.3030919999392774</v>
      </c>
      <c r="I22" s="87">
        <v>3.5963245171968978</v>
      </c>
      <c r="J22" s="87">
        <v>3.5515236690106033</v>
      </c>
      <c r="K22" s="87">
        <v>2.7604557833812544</v>
      </c>
      <c r="L22" s="87">
        <v>3.1323671902754593</v>
      </c>
      <c r="M22" s="87">
        <v>3.1823216537243568</v>
      </c>
      <c r="N22" s="87">
        <v>2.6130954623205285</v>
      </c>
      <c r="O22" s="87">
        <v>2.563335413386334</v>
      </c>
      <c r="P22" s="87">
        <v>2.7462256888952425</v>
      </c>
      <c r="Q22" s="87">
        <v>2.852746089827201</v>
      </c>
      <c r="R22" s="87">
        <v>2.9451571718453979</v>
      </c>
      <c r="S22" s="87">
        <v>2.8305643308757906</v>
      </c>
      <c r="T22" s="87">
        <v>2.4145493437675909</v>
      </c>
      <c r="U22" s="87">
        <v>2.1725522158244184</v>
      </c>
      <c r="V22" s="87">
        <v>2.7238481630509592</v>
      </c>
      <c r="W22" s="87">
        <v>2.7016565475772087</v>
      </c>
      <c r="X22" s="87">
        <v>2.4876430452685474</v>
      </c>
      <c r="Y22" s="87">
        <v>2.6027921865211039</v>
      </c>
      <c r="DA22" s="171" t="s">
        <v>1043</v>
      </c>
    </row>
    <row r="23" spans="1:105" ht="11.45" customHeight="1" x14ac:dyDescent="0.25">
      <c r="A23" s="85" t="s">
        <v>93</v>
      </c>
      <c r="B23" s="88">
        <v>5.2328231946079287</v>
      </c>
      <c r="C23" s="88">
        <v>5.579538590209709</v>
      </c>
      <c r="D23" s="88">
        <v>4.8407289704339087</v>
      </c>
      <c r="E23" s="88">
        <v>4.8482391314939175</v>
      </c>
      <c r="F23" s="88">
        <v>6.2812551374918861</v>
      </c>
      <c r="G23" s="88">
        <v>7.1829438817864526</v>
      </c>
      <c r="H23" s="88">
        <v>7.0065546448310556</v>
      </c>
      <c r="I23" s="88">
        <v>8.2039421455772761</v>
      </c>
      <c r="J23" s="88">
        <v>8.2515989906148199</v>
      </c>
      <c r="K23" s="88">
        <v>7.0458701269602084</v>
      </c>
      <c r="L23" s="88">
        <v>8.2557033280676801</v>
      </c>
      <c r="M23" s="88">
        <v>9.169054252478924</v>
      </c>
      <c r="N23" s="88">
        <v>9.3511707374045656</v>
      </c>
      <c r="O23" s="88">
        <v>9.4118739487787497</v>
      </c>
      <c r="P23" s="88">
        <v>9.0428320649468397</v>
      </c>
      <c r="Q23" s="88">
        <v>9.6824708075465651</v>
      </c>
      <c r="R23" s="88">
        <v>9.5134603980117625</v>
      </c>
      <c r="S23" s="88">
        <v>9.4925589083790705</v>
      </c>
      <c r="T23" s="88">
        <v>10.943951139419998</v>
      </c>
      <c r="U23" s="88">
        <v>11.433291480533185</v>
      </c>
      <c r="V23" s="88">
        <v>11.177659035916934</v>
      </c>
      <c r="W23" s="88">
        <v>11.63959768602103</v>
      </c>
      <c r="X23" s="88">
        <v>11.503915168742445</v>
      </c>
      <c r="Y23" s="88">
        <v>9.5313834430894282</v>
      </c>
      <c r="DA23" s="178" t="s">
        <v>1044</v>
      </c>
    </row>
    <row r="24" spans="1:105" x14ac:dyDescent="0.25">
      <c r="A24" s="106"/>
      <c r="B24" s="106"/>
      <c r="C24" s="106"/>
      <c r="D24" s="106"/>
      <c r="E24" s="106"/>
      <c r="F24" s="106"/>
      <c r="G24" s="106"/>
      <c r="H24" s="106"/>
      <c r="I24" s="106"/>
      <c r="J24" s="106"/>
      <c r="K24" s="106"/>
      <c r="L24" s="114"/>
      <c r="M24" s="106"/>
      <c r="N24" s="106"/>
      <c r="O24" s="106"/>
      <c r="P24" s="106"/>
      <c r="Q24" s="106"/>
      <c r="R24" s="106"/>
      <c r="S24" s="106"/>
      <c r="T24" s="106"/>
      <c r="U24" s="106"/>
      <c r="V24" s="106"/>
      <c r="W24" s="106"/>
      <c r="X24" s="106"/>
      <c r="Y24" s="106"/>
      <c r="DA24" s="171"/>
    </row>
    <row r="25" spans="1:105" ht="11.45" customHeight="1" x14ac:dyDescent="0.25">
      <c r="A25" s="53" t="s">
        <v>97</v>
      </c>
      <c r="B25" s="62">
        <f t="shared" ref="B25" si="21">B26+B32</f>
        <v>822.62562000000003</v>
      </c>
      <c r="C25" s="62">
        <f t="shared" ref="C25:V25" si="22">C26+C32</f>
        <v>801.67004499999996</v>
      </c>
      <c r="D25" s="62">
        <f t="shared" si="22"/>
        <v>801.23423000000003</v>
      </c>
      <c r="E25" s="62">
        <f t="shared" si="22"/>
        <v>813.3296059999999</v>
      </c>
      <c r="F25" s="62">
        <f t="shared" si="22"/>
        <v>852.42245800000001</v>
      </c>
      <c r="G25" s="62">
        <f t="shared" si="22"/>
        <v>835.40430200000003</v>
      </c>
      <c r="H25" s="62">
        <f t="shared" si="22"/>
        <v>844.65608799999995</v>
      </c>
      <c r="I25" s="62">
        <f t="shared" si="22"/>
        <v>833.49064700000008</v>
      </c>
      <c r="J25" s="62">
        <f t="shared" si="22"/>
        <v>857.24680999999998</v>
      </c>
      <c r="K25" s="62">
        <f t="shared" si="22"/>
        <v>916.13619800000004</v>
      </c>
      <c r="L25" s="62">
        <f t="shared" si="22"/>
        <v>962.76470499999994</v>
      </c>
      <c r="M25" s="62">
        <f t="shared" si="22"/>
        <v>959.24094099999991</v>
      </c>
      <c r="N25" s="62">
        <f t="shared" si="22"/>
        <v>969.85983700000008</v>
      </c>
      <c r="O25" s="62">
        <f t="shared" si="22"/>
        <v>990.5412980000001</v>
      </c>
      <c r="P25" s="62">
        <f t="shared" si="22"/>
        <v>985.82716800000003</v>
      </c>
      <c r="Q25" s="62">
        <f t="shared" si="22"/>
        <v>977.33140800000001</v>
      </c>
      <c r="R25" s="62">
        <f t="shared" si="22"/>
        <v>1046.8151049999999</v>
      </c>
      <c r="S25" s="62">
        <f t="shared" si="22"/>
        <v>1058.037325</v>
      </c>
      <c r="T25" s="62">
        <f t="shared" si="22"/>
        <v>1097.771383</v>
      </c>
      <c r="U25" s="62">
        <f t="shared" si="22"/>
        <v>1111.7428649999999</v>
      </c>
      <c r="V25" s="62">
        <f t="shared" si="22"/>
        <v>1034.846822</v>
      </c>
      <c r="W25" s="62">
        <f t="shared" ref="W25:Y25" si="23">W26+W32</f>
        <v>1003.1141220000001</v>
      </c>
      <c r="X25" s="62">
        <f t="shared" si="23"/>
        <v>1038.811369</v>
      </c>
      <c r="Y25" s="62">
        <f t="shared" si="23"/>
        <v>1039.980415</v>
      </c>
      <c r="DA25" s="172" t="s">
        <v>1045</v>
      </c>
    </row>
    <row r="26" spans="1:105" ht="11.45" customHeight="1" x14ac:dyDescent="0.25">
      <c r="A26" s="27" t="s">
        <v>33</v>
      </c>
      <c r="B26" s="29">
        <f t="shared" ref="B26" si="24">SUM(B27,B28,B31)</f>
        <v>781.25533500000006</v>
      </c>
      <c r="C26" s="29">
        <f t="shared" ref="C26:V26" si="25">SUM(C27,C28,C31)</f>
        <v>759.75009999999997</v>
      </c>
      <c r="D26" s="29">
        <f t="shared" si="25"/>
        <v>763.28535900000008</v>
      </c>
      <c r="E26" s="29">
        <f t="shared" si="25"/>
        <v>775.03993799999989</v>
      </c>
      <c r="F26" s="29">
        <f t="shared" si="25"/>
        <v>805.02516300000002</v>
      </c>
      <c r="G26" s="29">
        <f t="shared" si="25"/>
        <v>784.04208600000004</v>
      </c>
      <c r="H26" s="29">
        <f t="shared" si="25"/>
        <v>793.10785399999997</v>
      </c>
      <c r="I26" s="29">
        <f t="shared" si="25"/>
        <v>774.48931300000004</v>
      </c>
      <c r="J26" s="29">
        <f t="shared" si="25"/>
        <v>798.23119599999995</v>
      </c>
      <c r="K26" s="29">
        <f t="shared" si="25"/>
        <v>861.257611</v>
      </c>
      <c r="L26" s="29">
        <f t="shared" si="25"/>
        <v>905.82435199999998</v>
      </c>
      <c r="M26" s="29">
        <f t="shared" si="25"/>
        <v>897.48405999999989</v>
      </c>
      <c r="N26" s="29">
        <f t="shared" si="25"/>
        <v>908.7129900000001</v>
      </c>
      <c r="O26" s="29">
        <f t="shared" si="25"/>
        <v>930.61155100000008</v>
      </c>
      <c r="P26" s="29">
        <f t="shared" si="25"/>
        <v>926.88187800000003</v>
      </c>
      <c r="Q26" s="29">
        <f t="shared" si="25"/>
        <v>914.65532199999996</v>
      </c>
      <c r="R26" s="29">
        <f t="shared" si="25"/>
        <v>984.52201699999989</v>
      </c>
      <c r="S26" s="29">
        <f t="shared" si="25"/>
        <v>996.42170799999997</v>
      </c>
      <c r="T26" s="29">
        <f t="shared" si="25"/>
        <v>1030.4194210000001</v>
      </c>
      <c r="U26" s="29">
        <f t="shared" si="25"/>
        <v>1043.464817</v>
      </c>
      <c r="V26" s="29">
        <f t="shared" si="25"/>
        <v>965.33928500000002</v>
      </c>
      <c r="W26" s="29">
        <f t="shared" ref="W26:Y26" si="26">SUM(W27,W28,W31)</f>
        <v>931.40785000000005</v>
      </c>
      <c r="X26" s="29">
        <f t="shared" si="26"/>
        <v>968.85357699999997</v>
      </c>
      <c r="Y26" s="29">
        <f t="shared" si="26"/>
        <v>972.06328899999994</v>
      </c>
      <c r="DA26" s="173" t="s">
        <v>1046</v>
      </c>
    </row>
    <row r="27" spans="1:105" ht="11.45" customHeight="1" x14ac:dyDescent="0.25">
      <c r="A27" s="107" t="s">
        <v>23</v>
      </c>
      <c r="B27" s="115">
        <v>72.217842000000005</v>
      </c>
      <c r="C27" s="115">
        <v>73.788707000000002</v>
      </c>
      <c r="D27" s="115">
        <v>71.490854999999996</v>
      </c>
      <c r="E27" s="115">
        <v>73.337549999999993</v>
      </c>
      <c r="F27" s="115">
        <v>77.729599999999991</v>
      </c>
      <c r="G27" s="115">
        <v>78.811481999999998</v>
      </c>
      <c r="H27" s="115">
        <v>81.286298000000002</v>
      </c>
      <c r="I27" s="115">
        <v>84.850340000000003</v>
      </c>
      <c r="J27" s="115">
        <v>87.616779999999991</v>
      </c>
      <c r="K27" s="115">
        <v>86.968772999999999</v>
      </c>
      <c r="L27" s="115">
        <v>88.957371999999992</v>
      </c>
      <c r="M27" s="115">
        <v>91.961781999999999</v>
      </c>
      <c r="N27" s="115">
        <v>84.739998</v>
      </c>
      <c r="O27" s="115">
        <v>87.254216</v>
      </c>
      <c r="P27" s="115">
        <v>86.471752999999993</v>
      </c>
      <c r="Q27" s="115">
        <v>96.507902000000001</v>
      </c>
      <c r="R27" s="115">
        <v>97.279200000000003</v>
      </c>
      <c r="S27" s="115">
        <v>92.521518</v>
      </c>
      <c r="T27" s="115">
        <v>107.88146999999999</v>
      </c>
      <c r="U27" s="115">
        <v>107.736735</v>
      </c>
      <c r="V27" s="115">
        <v>100.514951</v>
      </c>
      <c r="W27" s="115">
        <v>93.293166999999997</v>
      </c>
      <c r="X27" s="115">
        <v>86.071382999999997</v>
      </c>
      <c r="Y27" s="115">
        <v>78.849598999999998</v>
      </c>
      <c r="DA27" s="203" t="s">
        <v>1047</v>
      </c>
    </row>
    <row r="28" spans="1:105" ht="11.45" customHeight="1" x14ac:dyDescent="0.25">
      <c r="A28" s="109" t="s">
        <v>24</v>
      </c>
      <c r="B28" s="116">
        <f t="shared" ref="B28" si="27">SUM(B29:B30)</f>
        <v>708.17011100000002</v>
      </c>
      <c r="C28" s="116">
        <f t="shared" ref="C28:V28" si="28">SUM(C29:C30)</f>
        <v>684.49528699999996</v>
      </c>
      <c r="D28" s="116">
        <f t="shared" si="28"/>
        <v>690.25163900000007</v>
      </c>
      <c r="E28" s="116">
        <f t="shared" si="28"/>
        <v>696.60555999999997</v>
      </c>
      <c r="F28" s="116">
        <f t="shared" si="28"/>
        <v>722.25246700000002</v>
      </c>
      <c r="G28" s="116">
        <f t="shared" si="28"/>
        <v>699.9572290000001</v>
      </c>
      <c r="H28" s="116">
        <f t="shared" si="28"/>
        <v>706.24021600000003</v>
      </c>
      <c r="I28" s="116">
        <f t="shared" si="28"/>
        <v>683.58495500000004</v>
      </c>
      <c r="J28" s="116">
        <f t="shared" si="28"/>
        <v>704.03305999999998</v>
      </c>
      <c r="K28" s="116">
        <f t="shared" si="28"/>
        <v>767.79422</v>
      </c>
      <c r="L28" s="116">
        <f t="shared" si="28"/>
        <v>810.45910000000003</v>
      </c>
      <c r="M28" s="116">
        <f t="shared" si="28"/>
        <v>799.20113599999991</v>
      </c>
      <c r="N28" s="116">
        <f t="shared" si="28"/>
        <v>817.73858800000005</v>
      </c>
      <c r="O28" s="116">
        <f t="shared" si="28"/>
        <v>837.20966900000008</v>
      </c>
      <c r="P28" s="116">
        <f t="shared" si="28"/>
        <v>834.349197</v>
      </c>
      <c r="Q28" s="116">
        <f t="shared" si="28"/>
        <v>811.02658599999995</v>
      </c>
      <c r="R28" s="116">
        <f t="shared" si="28"/>
        <v>880.20872099999997</v>
      </c>
      <c r="S28" s="116">
        <f t="shared" si="28"/>
        <v>896.95283199999994</v>
      </c>
      <c r="T28" s="116">
        <f t="shared" si="28"/>
        <v>915.67733100000009</v>
      </c>
      <c r="U28" s="116">
        <f t="shared" si="28"/>
        <v>928.95420000000001</v>
      </c>
      <c r="V28" s="116">
        <f t="shared" si="28"/>
        <v>858.13719000000003</v>
      </c>
      <c r="W28" s="116">
        <f t="shared" ref="W28:Y28" si="29">SUM(W29:W30)</f>
        <v>831.51427699999999</v>
      </c>
      <c r="X28" s="116">
        <f t="shared" si="29"/>
        <v>876.26852599999995</v>
      </c>
      <c r="Y28" s="116">
        <f t="shared" si="29"/>
        <v>886.78675999999996</v>
      </c>
      <c r="DA28" s="176" t="s">
        <v>1048</v>
      </c>
    </row>
    <row r="29" spans="1:105" ht="11.45" customHeight="1" x14ac:dyDescent="0.25">
      <c r="A29" s="111" t="s">
        <v>92</v>
      </c>
      <c r="B29" s="87">
        <v>65.338383999999991</v>
      </c>
      <c r="C29" s="87">
        <v>63.025165999999999</v>
      </c>
      <c r="D29" s="87">
        <v>64.325273999999993</v>
      </c>
      <c r="E29" s="87">
        <v>61.279103999999997</v>
      </c>
      <c r="F29" s="87">
        <v>59.672045999999995</v>
      </c>
      <c r="G29" s="87">
        <v>58.138171</v>
      </c>
      <c r="H29" s="87">
        <v>56.639128999999997</v>
      </c>
      <c r="I29" s="87">
        <v>52.640512999999999</v>
      </c>
      <c r="J29" s="87">
        <v>57.359972999999997</v>
      </c>
      <c r="K29" s="87">
        <v>58.802014</v>
      </c>
      <c r="L29" s="87">
        <v>64.686466999999993</v>
      </c>
      <c r="M29" s="87">
        <v>63.829538999999997</v>
      </c>
      <c r="N29" s="87">
        <v>57.295700999999994</v>
      </c>
      <c r="O29" s="87">
        <v>58.107374999999998</v>
      </c>
      <c r="P29" s="87">
        <v>60.335879999999996</v>
      </c>
      <c r="Q29" s="87">
        <v>62.527105999999996</v>
      </c>
      <c r="R29" s="87">
        <v>62.356085</v>
      </c>
      <c r="S29" s="87">
        <v>65.921829000000002</v>
      </c>
      <c r="T29" s="87">
        <v>59.387991</v>
      </c>
      <c r="U29" s="87">
        <v>52.854152999999997</v>
      </c>
      <c r="V29" s="87">
        <v>46.320315000000001</v>
      </c>
      <c r="W29" s="87">
        <v>39.786476999999998</v>
      </c>
      <c r="X29" s="87">
        <v>44.583537</v>
      </c>
      <c r="Y29" s="87">
        <v>53.710698999999998</v>
      </c>
      <c r="DA29" s="171" t="s">
        <v>1049</v>
      </c>
    </row>
    <row r="30" spans="1:105" ht="11.45" customHeight="1" x14ac:dyDescent="0.25">
      <c r="A30" s="111" t="s">
        <v>93</v>
      </c>
      <c r="B30" s="87">
        <v>642.831727</v>
      </c>
      <c r="C30" s="87">
        <v>621.47012099999995</v>
      </c>
      <c r="D30" s="87">
        <v>625.92636500000003</v>
      </c>
      <c r="E30" s="87">
        <v>635.32645600000001</v>
      </c>
      <c r="F30" s="87">
        <v>662.580421</v>
      </c>
      <c r="G30" s="87">
        <v>641.81905800000004</v>
      </c>
      <c r="H30" s="87">
        <v>649.60108700000001</v>
      </c>
      <c r="I30" s="87">
        <v>630.94444199999998</v>
      </c>
      <c r="J30" s="87">
        <v>646.67308700000001</v>
      </c>
      <c r="K30" s="87">
        <v>708.99220600000001</v>
      </c>
      <c r="L30" s="87">
        <v>745.77263300000004</v>
      </c>
      <c r="M30" s="87">
        <v>735.37159699999995</v>
      </c>
      <c r="N30" s="87">
        <v>760.44288700000004</v>
      </c>
      <c r="O30" s="87">
        <v>779.10229400000003</v>
      </c>
      <c r="P30" s="87">
        <v>774.01331700000003</v>
      </c>
      <c r="Q30" s="87">
        <v>748.49947999999995</v>
      </c>
      <c r="R30" s="87">
        <v>817.85263599999996</v>
      </c>
      <c r="S30" s="87">
        <v>831.03100299999994</v>
      </c>
      <c r="T30" s="87">
        <v>856.28934000000004</v>
      </c>
      <c r="U30" s="87">
        <v>876.10004700000002</v>
      </c>
      <c r="V30" s="87">
        <v>811.81687499999998</v>
      </c>
      <c r="W30" s="87">
        <v>791.7278</v>
      </c>
      <c r="X30" s="87">
        <v>831.68498899999997</v>
      </c>
      <c r="Y30" s="87">
        <v>833.07606099999998</v>
      </c>
      <c r="DA30" s="171" t="s">
        <v>1050</v>
      </c>
    </row>
    <row r="31" spans="1:105" ht="11.45" customHeight="1" x14ac:dyDescent="0.25">
      <c r="A31" s="112" t="s">
        <v>25</v>
      </c>
      <c r="B31" s="117">
        <v>0.86738199999999999</v>
      </c>
      <c r="C31" s="117">
        <v>1.4661059999999999</v>
      </c>
      <c r="D31" s="117">
        <v>1.5428649999999999</v>
      </c>
      <c r="E31" s="117">
        <v>5.0968280000000004</v>
      </c>
      <c r="F31" s="117">
        <v>5.0430960000000002</v>
      </c>
      <c r="G31" s="117">
        <v>5.2733749999999997</v>
      </c>
      <c r="H31" s="117">
        <v>5.58134</v>
      </c>
      <c r="I31" s="117">
        <v>6.0540180000000001</v>
      </c>
      <c r="J31" s="117">
        <v>6.5813560000000004</v>
      </c>
      <c r="K31" s="117">
        <v>6.494618</v>
      </c>
      <c r="L31" s="117">
        <v>6.4078800000000005</v>
      </c>
      <c r="M31" s="117">
        <v>6.321142</v>
      </c>
      <c r="N31" s="117">
        <v>6.2344040000000005</v>
      </c>
      <c r="O31" s="117">
        <v>6.1476660000000001</v>
      </c>
      <c r="P31" s="117">
        <v>6.0609280000000005</v>
      </c>
      <c r="Q31" s="117">
        <v>7.1208340000000003</v>
      </c>
      <c r="R31" s="117">
        <v>7.0340959999999999</v>
      </c>
      <c r="S31" s="117">
        <v>6.9473580000000004</v>
      </c>
      <c r="T31" s="117">
        <v>6.8606199999999999</v>
      </c>
      <c r="U31" s="117">
        <v>6.7738820000000004</v>
      </c>
      <c r="V31" s="117">
        <v>6.687144</v>
      </c>
      <c r="W31" s="117">
        <v>6.6004060000000004</v>
      </c>
      <c r="X31" s="117">
        <v>6.513668</v>
      </c>
      <c r="Y31" s="117">
        <v>6.4269300000000005</v>
      </c>
      <c r="DA31" s="204" t="s">
        <v>1051</v>
      </c>
    </row>
    <row r="32" spans="1:105" ht="11.45" customHeight="1" x14ac:dyDescent="0.25">
      <c r="A32" s="27" t="s">
        <v>34</v>
      </c>
      <c r="B32" s="29">
        <f t="shared" ref="B32" si="30">SUM(B33:B34)</f>
        <v>41.370284999999996</v>
      </c>
      <c r="C32" s="29">
        <f t="shared" ref="C32:V32" si="31">SUM(C33:C34)</f>
        <v>41.919944999999998</v>
      </c>
      <c r="D32" s="29">
        <f t="shared" si="31"/>
        <v>37.948870999999997</v>
      </c>
      <c r="E32" s="29">
        <f t="shared" si="31"/>
        <v>38.289667999999999</v>
      </c>
      <c r="F32" s="29">
        <f t="shared" si="31"/>
        <v>47.397295</v>
      </c>
      <c r="G32" s="29">
        <f t="shared" si="31"/>
        <v>51.362215999999997</v>
      </c>
      <c r="H32" s="29">
        <f t="shared" si="31"/>
        <v>51.548233999999994</v>
      </c>
      <c r="I32" s="29">
        <f t="shared" si="31"/>
        <v>59.001334</v>
      </c>
      <c r="J32" s="29">
        <f t="shared" si="31"/>
        <v>59.015613999999999</v>
      </c>
      <c r="K32" s="29">
        <f t="shared" si="31"/>
        <v>54.878586999999996</v>
      </c>
      <c r="L32" s="29">
        <f t="shared" si="31"/>
        <v>56.940353000000002</v>
      </c>
      <c r="M32" s="29">
        <f t="shared" si="31"/>
        <v>61.756880999999993</v>
      </c>
      <c r="N32" s="29">
        <f t="shared" si="31"/>
        <v>61.146847000000001</v>
      </c>
      <c r="O32" s="29">
        <f t="shared" si="31"/>
        <v>59.929746999999992</v>
      </c>
      <c r="P32" s="29">
        <f t="shared" si="31"/>
        <v>58.94529</v>
      </c>
      <c r="Q32" s="29">
        <f t="shared" si="31"/>
        <v>62.676085999999998</v>
      </c>
      <c r="R32" s="29">
        <f t="shared" si="31"/>
        <v>62.293087999999997</v>
      </c>
      <c r="S32" s="29">
        <f t="shared" si="31"/>
        <v>61.615617</v>
      </c>
      <c r="T32" s="29">
        <f t="shared" si="31"/>
        <v>67.351962</v>
      </c>
      <c r="U32" s="29">
        <f t="shared" si="31"/>
        <v>68.278047999999998</v>
      </c>
      <c r="V32" s="29">
        <f t="shared" si="31"/>
        <v>69.507536999999999</v>
      </c>
      <c r="W32" s="29">
        <f t="shared" ref="W32:Y32" si="32">SUM(W33:W34)</f>
        <v>71.706271999999998</v>
      </c>
      <c r="X32" s="29">
        <f t="shared" si="32"/>
        <v>69.957791999999998</v>
      </c>
      <c r="Y32" s="29">
        <f t="shared" si="32"/>
        <v>67.917125999999996</v>
      </c>
      <c r="DA32" s="173" t="s">
        <v>1052</v>
      </c>
    </row>
    <row r="33" spans="1:105" ht="11.45" customHeight="1" x14ac:dyDescent="0.25">
      <c r="A33" s="83" t="s">
        <v>92</v>
      </c>
      <c r="B33" s="87">
        <v>15.206168999999999</v>
      </c>
      <c r="C33" s="87">
        <v>14.022252</v>
      </c>
      <c r="D33" s="87">
        <v>12.667589</v>
      </c>
      <c r="E33" s="87">
        <v>14.048471999999999</v>
      </c>
      <c r="F33" s="87">
        <v>15.991019</v>
      </c>
      <c r="G33" s="87">
        <v>15.447495999999999</v>
      </c>
      <c r="H33" s="87">
        <v>16.515460000000001</v>
      </c>
      <c r="I33" s="87">
        <v>17.981623000000003</v>
      </c>
      <c r="J33" s="87">
        <v>17.757619000000002</v>
      </c>
      <c r="K33" s="87">
        <v>16.237003000000001</v>
      </c>
      <c r="L33" s="87">
        <v>15.661835999999999</v>
      </c>
      <c r="M33" s="87">
        <v>15.911608999999999</v>
      </c>
      <c r="N33" s="87">
        <v>14.390993</v>
      </c>
      <c r="O33" s="87">
        <v>12.870377</v>
      </c>
      <c r="P33" s="87">
        <v>13.731128999999999</v>
      </c>
      <c r="Q33" s="87">
        <v>14.263731</v>
      </c>
      <c r="R33" s="87">
        <v>14.725785999999999</v>
      </c>
      <c r="S33" s="87">
        <v>14.152821999999999</v>
      </c>
      <c r="T33" s="87">
        <v>12.632206</v>
      </c>
      <c r="U33" s="87">
        <v>11.11159</v>
      </c>
      <c r="V33" s="87">
        <v>13.619240999999999</v>
      </c>
      <c r="W33" s="87">
        <v>13.508282999999999</v>
      </c>
      <c r="X33" s="87">
        <v>12.438215999999999</v>
      </c>
      <c r="Y33" s="87">
        <v>13.013961</v>
      </c>
      <c r="DA33" s="171" t="s">
        <v>1053</v>
      </c>
    </row>
    <row r="34" spans="1:105" ht="11.45" customHeight="1" x14ac:dyDescent="0.25">
      <c r="A34" s="85" t="s">
        <v>93</v>
      </c>
      <c r="B34" s="88">
        <v>26.164116</v>
      </c>
      <c r="C34" s="88">
        <v>27.897693</v>
      </c>
      <c r="D34" s="88">
        <v>25.281282000000001</v>
      </c>
      <c r="E34" s="88">
        <v>24.241196000000002</v>
      </c>
      <c r="F34" s="88">
        <v>31.406276000000002</v>
      </c>
      <c r="G34" s="88">
        <v>35.914719999999996</v>
      </c>
      <c r="H34" s="88">
        <v>35.032773999999996</v>
      </c>
      <c r="I34" s="88">
        <v>41.019711000000001</v>
      </c>
      <c r="J34" s="88">
        <v>41.257994999999994</v>
      </c>
      <c r="K34" s="88">
        <v>38.641583999999995</v>
      </c>
      <c r="L34" s="88">
        <v>41.278517000000001</v>
      </c>
      <c r="M34" s="88">
        <v>45.845271999999994</v>
      </c>
      <c r="N34" s="88">
        <v>46.755853999999999</v>
      </c>
      <c r="O34" s="88">
        <v>47.059369999999994</v>
      </c>
      <c r="P34" s="88">
        <v>45.214160999999997</v>
      </c>
      <c r="Q34" s="88">
        <v>48.412354999999998</v>
      </c>
      <c r="R34" s="88">
        <v>47.567301999999998</v>
      </c>
      <c r="S34" s="88">
        <v>47.462795</v>
      </c>
      <c r="T34" s="88">
        <v>54.719755999999997</v>
      </c>
      <c r="U34" s="88">
        <v>57.166457999999999</v>
      </c>
      <c r="V34" s="88">
        <v>55.888295999999997</v>
      </c>
      <c r="W34" s="88">
        <v>58.197989</v>
      </c>
      <c r="X34" s="88">
        <v>57.519576000000001</v>
      </c>
      <c r="Y34" s="88">
        <v>54.903164999999994</v>
      </c>
      <c r="DA34" s="178" t="s">
        <v>1054</v>
      </c>
    </row>
    <row r="35" spans="1:105" x14ac:dyDescent="0.25">
      <c r="A35" s="106"/>
      <c r="B35" s="106"/>
      <c r="C35" s="106"/>
      <c r="D35" s="106"/>
      <c r="E35" s="106"/>
      <c r="F35" s="106"/>
      <c r="G35" s="106"/>
      <c r="H35" s="106"/>
      <c r="I35" s="106"/>
      <c r="J35" s="106"/>
      <c r="K35" s="106"/>
      <c r="L35" s="114"/>
      <c r="M35" s="106"/>
      <c r="N35" s="106"/>
      <c r="O35" s="106"/>
      <c r="P35" s="106"/>
      <c r="Q35" s="106"/>
      <c r="R35" s="106"/>
      <c r="S35" s="106"/>
      <c r="T35" s="106"/>
      <c r="U35" s="106"/>
      <c r="V35" s="106"/>
      <c r="W35" s="106"/>
      <c r="X35" s="106"/>
      <c r="Y35" s="106"/>
      <c r="DA35" s="171"/>
    </row>
    <row r="36" spans="1:105" ht="11.45" customHeight="1" x14ac:dyDescent="0.25">
      <c r="A36" s="53" t="s">
        <v>98</v>
      </c>
      <c r="B36" s="54"/>
      <c r="C36" s="54">
        <f t="shared" ref="C36" si="33">C37+C43</f>
        <v>7.3346030000000031</v>
      </c>
      <c r="D36" s="54">
        <f t="shared" ref="D36:V36" si="34">D37+D43</f>
        <v>25.893901000000106</v>
      </c>
      <c r="E36" s="54">
        <f t="shared" si="34"/>
        <v>37.000326000000015</v>
      </c>
      <c r="F36" s="54">
        <f t="shared" si="34"/>
        <v>62.954152000000036</v>
      </c>
      <c r="G36" s="54">
        <f t="shared" si="34"/>
        <v>9.8363740000000099</v>
      </c>
      <c r="H36" s="54">
        <f t="shared" si="34"/>
        <v>33.101243000000011</v>
      </c>
      <c r="I36" s="54">
        <f t="shared" si="34"/>
        <v>15.482148000000013</v>
      </c>
      <c r="J36" s="54">
        <f t="shared" si="34"/>
        <v>47.605620000000044</v>
      </c>
      <c r="K36" s="54">
        <f t="shared" si="34"/>
        <v>85.429906000000045</v>
      </c>
      <c r="L36" s="54">
        <f t="shared" si="34"/>
        <v>70.537089000000066</v>
      </c>
      <c r="M36" s="54">
        <f t="shared" si="34"/>
        <v>20.370541999999951</v>
      </c>
      <c r="N36" s="54">
        <f t="shared" si="34"/>
        <v>44.66808600000013</v>
      </c>
      <c r="O36" s="54">
        <f t="shared" si="34"/>
        <v>45.535492000000026</v>
      </c>
      <c r="P36" s="54">
        <f t="shared" si="34"/>
        <v>20.095461000000032</v>
      </c>
      <c r="Q36" s="54">
        <f t="shared" si="34"/>
        <v>23.111244000000013</v>
      </c>
      <c r="R36" s="54">
        <f t="shared" si="34"/>
        <v>93.378003000000064</v>
      </c>
      <c r="S36" s="54">
        <f t="shared" si="34"/>
        <v>37.426657000000013</v>
      </c>
      <c r="T36" s="54">
        <f t="shared" si="34"/>
        <v>69.021088000000134</v>
      </c>
      <c r="U36" s="54">
        <f t="shared" si="34"/>
        <v>43.258512000000024</v>
      </c>
      <c r="V36" s="54">
        <f t="shared" si="34"/>
        <v>3.068541999999999</v>
      </c>
      <c r="W36" s="54">
        <f t="shared" ref="W36:Y36" si="35">W37+W43</f>
        <v>3.6895500000000023</v>
      </c>
      <c r="X36" s="54">
        <f t="shared" si="35"/>
        <v>64.862888999999996</v>
      </c>
      <c r="Y36" s="54">
        <f t="shared" si="35"/>
        <v>31.511999000000046</v>
      </c>
      <c r="DA36" s="172" t="s">
        <v>1055</v>
      </c>
    </row>
    <row r="37" spans="1:105" ht="11.45" customHeight="1" x14ac:dyDescent="0.25">
      <c r="A37" s="27" t="s">
        <v>33</v>
      </c>
      <c r="B37" s="28"/>
      <c r="C37" s="28">
        <f t="shared" ref="C37" si="36">SUM(C38,C39,C42)</f>
        <v>4.671102000000003</v>
      </c>
      <c r="D37" s="28">
        <f t="shared" ref="D37:V37" si="37">SUM(D38,D39,D42)</f>
        <v>25.893901000000106</v>
      </c>
      <c r="E37" s="28">
        <f t="shared" si="37"/>
        <v>35.058552000000013</v>
      </c>
      <c r="F37" s="28">
        <f t="shared" si="37"/>
        <v>52.35571000000003</v>
      </c>
      <c r="G37" s="28">
        <f t="shared" si="37"/>
        <v>4.380638000000018</v>
      </c>
      <c r="H37" s="28">
        <f t="shared" si="37"/>
        <v>31.424410000000009</v>
      </c>
      <c r="I37" s="28">
        <f t="shared" si="37"/>
        <v>6.5382330000000062</v>
      </c>
      <c r="J37" s="28">
        <f t="shared" si="37"/>
        <v>46.100525000000054</v>
      </c>
      <c r="K37" s="28">
        <f t="shared" si="37"/>
        <v>85.429906000000045</v>
      </c>
      <c r="L37" s="28">
        <f t="shared" si="37"/>
        <v>66.970232000000053</v>
      </c>
      <c r="M37" s="28">
        <f t="shared" si="37"/>
        <v>14.063198999999955</v>
      </c>
      <c r="N37" s="28">
        <f t="shared" si="37"/>
        <v>42.827580000000125</v>
      </c>
      <c r="O37" s="28">
        <f t="shared" si="37"/>
        <v>44.302052000000032</v>
      </c>
      <c r="P37" s="28">
        <f t="shared" si="37"/>
        <v>18.673818000000033</v>
      </c>
      <c r="Q37" s="28">
        <f t="shared" si="37"/>
        <v>17.889633000000014</v>
      </c>
      <c r="R37" s="28">
        <f t="shared" si="37"/>
        <v>92.270186000000066</v>
      </c>
      <c r="S37" s="28">
        <f t="shared" si="37"/>
        <v>36.601240000000011</v>
      </c>
      <c r="T37" s="28">
        <f t="shared" si="37"/>
        <v>60.83420300000013</v>
      </c>
      <c r="U37" s="28">
        <f t="shared" si="37"/>
        <v>39.881886000000023</v>
      </c>
      <c r="V37" s="28">
        <f t="shared" si="37"/>
        <v>0</v>
      </c>
      <c r="W37" s="28">
        <f t="shared" ref="W37:Y37" si="38">SUM(W38,W39,W42)</f>
        <v>0</v>
      </c>
      <c r="X37" s="28">
        <f t="shared" si="38"/>
        <v>64.611378000000002</v>
      </c>
      <c r="Y37" s="28">
        <f t="shared" si="38"/>
        <v>30.375363000000043</v>
      </c>
      <c r="DA37" s="173" t="s">
        <v>1056</v>
      </c>
    </row>
    <row r="38" spans="1:105" ht="11.45" customHeight="1" x14ac:dyDescent="0.25">
      <c r="A38" s="107" t="s">
        <v>23</v>
      </c>
      <c r="B38" s="108"/>
      <c r="C38" s="108">
        <v>4.0304890000000029</v>
      </c>
      <c r="D38" s="108">
        <v>0.16177199999999914</v>
      </c>
      <c r="E38" s="108">
        <v>4.306319000000002</v>
      </c>
      <c r="F38" s="108">
        <v>6.8516740000000027</v>
      </c>
      <c r="G38" s="108">
        <v>3.5415060000000125</v>
      </c>
      <c r="H38" s="108">
        <v>4.9344400000000093</v>
      </c>
      <c r="I38" s="108">
        <v>6.0236660000000057</v>
      </c>
      <c r="J38" s="108">
        <v>5.2260639999999938</v>
      </c>
      <c r="K38" s="108">
        <v>1.8116170000000125</v>
      </c>
      <c r="L38" s="108">
        <v>4.4482229999999987</v>
      </c>
      <c r="M38" s="108">
        <v>5.4640340000000123</v>
      </c>
      <c r="N38" s="108">
        <v>0</v>
      </c>
      <c r="O38" s="108">
        <v>4.9738420000000048</v>
      </c>
      <c r="P38" s="108">
        <v>1.6771609999999981</v>
      </c>
      <c r="Q38" s="108">
        <v>12.495773000000014</v>
      </c>
      <c r="R38" s="108">
        <v>3.2309220000000067</v>
      </c>
      <c r="S38" s="108">
        <v>0</v>
      </c>
      <c r="T38" s="108">
        <v>17.819575999999998</v>
      </c>
      <c r="U38" s="108">
        <v>2.314889000000008</v>
      </c>
      <c r="V38" s="108">
        <v>0</v>
      </c>
      <c r="W38" s="108">
        <v>0</v>
      </c>
      <c r="X38" s="108">
        <v>0</v>
      </c>
      <c r="Y38" s="108">
        <v>0</v>
      </c>
      <c r="DA38" s="203" t="s">
        <v>1057</v>
      </c>
    </row>
    <row r="39" spans="1:105" ht="11.45" customHeight="1" x14ac:dyDescent="0.25">
      <c r="A39" s="109" t="s">
        <v>24</v>
      </c>
      <c r="B39" s="110"/>
      <c r="C39" s="110">
        <f t="shared" ref="C39" si="39">SUM(C40:C41)</f>
        <v>0</v>
      </c>
      <c r="D39" s="110">
        <f t="shared" ref="D39:V39" si="40">SUM(D40:D41)</f>
        <v>25.613481000000107</v>
      </c>
      <c r="E39" s="110">
        <f t="shared" si="40"/>
        <v>27.15638100000001</v>
      </c>
      <c r="F39" s="110">
        <f t="shared" si="40"/>
        <v>45.504036000000028</v>
      </c>
      <c r="G39" s="110">
        <f t="shared" si="40"/>
        <v>0.5669640000000058</v>
      </c>
      <c r="H39" s="110">
        <f t="shared" si="40"/>
        <v>26.140115999999999</v>
      </c>
      <c r="I39" s="110">
        <f t="shared" si="40"/>
        <v>0</v>
      </c>
      <c r="J39" s="110">
        <f t="shared" si="40"/>
        <v>40.305234000000063</v>
      </c>
      <c r="K39" s="110">
        <f t="shared" si="40"/>
        <v>83.618289000000033</v>
      </c>
      <c r="L39" s="110">
        <f t="shared" si="40"/>
        <v>62.522009000000054</v>
      </c>
      <c r="M39" s="110">
        <f t="shared" si="40"/>
        <v>8.5991649999999424</v>
      </c>
      <c r="N39" s="110">
        <f t="shared" si="40"/>
        <v>42.827580000000125</v>
      </c>
      <c r="O39" s="110">
        <f t="shared" si="40"/>
        <v>39.328210000000027</v>
      </c>
      <c r="P39" s="110">
        <f t="shared" si="40"/>
        <v>16.996657000000035</v>
      </c>
      <c r="Q39" s="110">
        <f t="shared" si="40"/>
        <v>4.2920650000000009</v>
      </c>
      <c r="R39" s="110">
        <f t="shared" si="40"/>
        <v>89.03926400000006</v>
      </c>
      <c r="S39" s="110">
        <f t="shared" si="40"/>
        <v>36.601240000000011</v>
      </c>
      <c r="T39" s="110">
        <f t="shared" si="40"/>
        <v>43.014627000000132</v>
      </c>
      <c r="U39" s="110">
        <f t="shared" si="40"/>
        <v>37.566997000000015</v>
      </c>
      <c r="V39" s="110">
        <f t="shared" si="40"/>
        <v>0</v>
      </c>
      <c r="W39" s="110">
        <f t="shared" ref="W39:Y39" si="41">SUM(W40:W41)</f>
        <v>0</v>
      </c>
      <c r="X39" s="110">
        <f t="shared" si="41"/>
        <v>64.611378000000002</v>
      </c>
      <c r="Y39" s="110">
        <f t="shared" si="41"/>
        <v>30.375363000000043</v>
      </c>
      <c r="DA39" s="176" t="s">
        <v>1058</v>
      </c>
    </row>
    <row r="40" spans="1:105" ht="11.45" customHeight="1" x14ac:dyDescent="0.25">
      <c r="A40" s="111" t="s">
        <v>92</v>
      </c>
      <c r="B40" s="84"/>
      <c r="C40" s="84">
        <v>0</v>
      </c>
      <c r="D40" s="84">
        <v>3.400946999999988</v>
      </c>
      <c r="E40" s="84">
        <v>0</v>
      </c>
      <c r="F40" s="84">
        <v>0.49378099999999847</v>
      </c>
      <c r="G40" s="84">
        <v>0.5669640000000058</v>
      </c>
      <c r="H40" s="84">
        <v>0.60179699999999769</v>
      </c>
      <c r="I40" s="84">
        <v>0</v>
      </c>
      <c r="J40" s="84">
        <v>6.8202989999999986</v>
      </c>
      <c r="K40" s="84">
        <v>3.5428800000000038</v>
      </c>
      <c r="L40" s="84">
        <v>7.985291999999987</v>
      </c>
      <c r="M40" s="84">
        <v>1.2439109999999971</v>
      </c>
      <c r="N40" s="84">
        <v>0</v>
      </c>
      <c r="O40" s="84">
        <v>2.9125130000000041</v>
      </c>
      <c r="P40" s="84">
        <v>4.329343999999999</v>
      </c>
      <c r="Q40" s="84">
        <v>4.2920650000000009</v>
      </c>
      <c r="R40" s="84">
        <v>1.9298180000000045</v>
      </c>
      <c r="S40" s="84">
        <v>5.6665829999999957</v>
      </c>
      <c r="T40" s="84">
        <v>0</v>
      </c>
      <c r="U40" s="84">
        <v>0</v>
      </c>
      <c r="V40" s="84">
        <v>0</v>
      </c>
      <c r="W40" s="84">
        <v>0</v>
      </c>
      <c r="X40" s="84">
        <v>6.8978990000000024</v>
      </c>
      <c r="Y40" s="84">
        <v>11.228000999999999</v>
      </c>
      <c r="DA40" s="171" t="s">
        <v>1059</v>
      </c>
    </row>
    <row r="41" spans="1:105" ht="11.45" customHeight="1" x14ac:dyDescent="0.25">
      <c r="A41" s="111" t="s">
        <v>93</v>
      </c>
      <c r="B41" s="84"/>
      <c r="C41" s="84">
        <v>0</v>
      </c>
      <c r="D41" s="84">
        <v>22.212534000000119</v>
      </c>
      <c r="E41" s="84">
        <v>27.15638100000001</v>
      </c>
      <c r="F41" s="84">
        <v>45.010255000000029</v>
      </c>
      <c r="G41" s="84">
        <v>0</v>
      </c>
      <c r="H41" s="84">
        <v>25.538319000000001</v>
      </c>
      <c r="I41" s="84">
        <v>0</v>
      </c>
      <c r="J41" s="84">
        <v>33.484935000000064</v>
      </c>
      <c r="K41" s="84">
        <v>80.075409000000036</v>
      </c>
      <c r="L41" s="84">
        <v>54.536717000000067</v>
      </c>
      <c r="M41" s="84">
        <v>7.3552539999999453</v>
      </c>
      <c r="N41" s="84">
        <v>42.827580000000125</v>
      </c>
      <c r="O41" s="84">
        <v>36.415697000000023</v>
      </c>
      <c r="P41" s="84">
        <v>12.667313000000036</v>
      </c>
      <c r="Q41" s="84">
        <v>0</v>
      </c>
      <c r="R41" s="84">
        <v>87.109446000000048</v>
      </c>
      <c r="S41" s="84">
        <v>30.934657000000016</v>
      </c>
      <c r="T41" s="84">
        <v>43.014627000000132</v>
      </c>
      <c r="U41" s="84">
        <v>37.566997000000015</v>
      </c>
      <c r="V41" s="84">
        <v>0</v>
      </c>
      <c r="W41" s="84">
        <v>0</v>
      </c>
      <c r="X41" s="84">
        <v>57.713479000000007</v>
      </c>
      <c r="Y41" s="84">
        <v>19.147362000000044</v>
      </c>
      <c r="DA41" s="171" t="s">
        <v>1060</v>
      </c>
    </row>
    <row r="42" spans="1:105" ht="11.45" customHeight="1" x14ac:dyDescent="0.25">
      <c r="A42" s="112" t="s">
        <v>25</v>
      </c>
      <c r="B42" s="113"/>
      <c r="C42" s="113">
        <v>0.64061299999999999</v>
      </c>
      <c r="D42" s="113">
        <v>0.11864800000000009</v>
      </c>
      <c r="E42" s="113">
        <v>3.5958520000000007</v>
      </c>
      <c r="F42" s="113">
        <v>0</v>
      </c>
      <c r="G42" s="113">
        <v>0.27216799999999974</v>
      </c>
      <c r="H42" s="113">
        <v>0.34985400000000055</v>
      </c>
      <c r="I42" s="113">
        <v>0.51456700000000044</v>
      </c>
      <c r="J42" s="113">
        <v>0.56922700000000059</v>
      </c>
      <c r="K42" s="113">
        <v>0</v>
      </c>
      <c r="L42" s="113">
        <v>0</v>
      </c>
      <c r="M42" s="113">
        <v>0</v>
      </c>
      <c r="N42" s="113">
        <v>0</v>
      </c>
      <c r="O42" s="113">
        <v>0</v>
      </c>
      <c r="P42" s="113">
        <v>0</v>
      </c>
      <c r="Q42" s="113">
        <v>1.1017950000000001</v>
      </c>
      <c r="R42" s="113">
        <v>0</v>
      </c>
      <c r="S42" s="113">
        <v>0</v>
      </c>
      <c r="T42" s="113">
        <v>0</v>
      </c>
      <c r="U42" s="113">
        <v>0</v>
      </c>
      <c r="V42" s="113">
        <v>0</v>
      </c>
      <c r="W42" s="113">
        <v>0</v>
      </c>
      <c r="X42" s="113">
        <v>0</v>
      </c>
      <c r="Y42" s="113">
        <v>0</v>
      </c>
      <c r="DA42" s="204" t="s">
        <v>1061</v>
      </c>
    </row>
    <row r="43" spans="1:105" ht="11.45" customHeight="1" x14ac:dyDescent="0.25">
      <c r="A43" s="27" t="s">
        <v>34</v>
      </c>
      <c r="B43" s="28"/>
      <c r="C43" s="28">
        <f t="shared" ref="C43" si="42">SUM(C44:C45)</f>
        <v>2.6635010000000001</v>
      </c>
      <c r="D43" s="28">
        <f t="shared" ref="D43:V43" si="43">SUM(D44:D45)</f>
        <v>0</v>
      </c>
      <c r="E43" s="28">
        <f t="shared" si="43"/>
        <v>1.9417739999999988</v>
      </c>
      <c r="F43" s="28">
        <f t="shared" si="43"/>
        <v>10.598442000000004</v>
      </c>
      <c r="G43" s="28">
        <f t="shared" si="43"/>
        <v>5.4557359999999928</v>
      </c>
      <c r="H43" s="28">
        <f t="shared" si="43"/>
        <v>1.6768330000000038</v>
      </c>
      <c r="I43" s="28">
        <f t="shared" si="43"/>
        <v>8.9439150000000076</v>
      </c>
      <c r="J43" s="28">
        <f t="shared" si="43"/>
        <v>1.5050949999999936</v>
      </c>
      <c r="K43" s="28">
        <f t="shared" si="43"/>
        <v>0</v>
      </c>
      <c r="L43" s="28">
        <f t="shared" si="43"/>
        <v>3.5668570000000059</v>
      </c>
      <c r="M43" s="28">
        <f t="shared" si="43"/>
        <v>6.3073429999999941</v>
      </c>
      <c r="N43" s="28">
        <f t="shared" si="43"/>
        <v>1.8405060000000049</v>
      </c>
      <c r="O43" s="28">
        <f t="shared" si="43"/>
        <v>1.2334399999999945</v>
      </c>
      <c r="P43" s="28">
        <f t="shared" si="43"/>
        <v>1.4216429999999995</v>
      </c>
      <c r="Q43" s="28">
        <f t="shared" si="43"/>
        <v>5.2216110000000011</v>
      </c>
      <c r="R43" s="28">
        <f t="shared" si="43"/>
        <v>1.1078169999999989</v>
      </c>
      <c r="S43" s="28">
        <f t="shared" si="43"/>
        <v>0.82541700000000162</v>
      </c>
      <c r="T43" s="28">
        <f t="shared" si="43"/>
        <v>8.1868849999999966</v>
      </c>
      <c r="U43" s="28">
        <f t="shared" si="43"/>
        <v>3.3766260000000017</v>
      </c>
      <c r="V43" s="28">
        <f t="shared" si="43"/>
        <v>3.068541999999999</v>
      </c>
      <c r="W43" s="28">
        <f t="shared" ref="W43:Y43" si="44">SUM(W44:W45)</f>
        <v>3.6895500000000023</v>
      </c>
      <c r="X43" s="28">
        <f t="shared" si="44"/>
        <v>0.25151100000000071</v>
      </c>
      <c r="Y43" s="28">
        <f t="shared" si="44"/>
        <v>1.1366360000000011</v>
      </c>
      <c r="DA43" s="173" t="s">
        <v>1062</v>
      </c>
    </row>
    <row r="44" spans="1:105" ht="11.45" customHeight="1" x14ac:dyDescent="0.25">
      <c r="A44" s="83" t="s">
        <v>92</v>
      </c>
      <c r="B44" s="84"/>
      <c r="C44" s="84">
        <v>0</v>
      </c>
      <c r="D44" s="84">
        <v>0</v>
      </c>
      <c r="E44" s="84">
        <v>1.9417739999999988</v>
      </c>
      <c r="F44" s="84">
        <v>2.5034380000000009</v>
      </c>
      <c r="G44" s="84">
        <v>1.7367999999999384E-2</v>
      </c>
      <c r="H44" s="84">
        <v>1.6288550000000033</v>
      </c>
      <c r="I44" s="84">
        <v>2.0270540000000032</v>
      </c>
      <c r="J44" s="84">
        <v>0.33688700000000082</v>
      </c>
      <c r="K44" s="84">
        <v>0</v>
      </c>
      <c r="L44" s="84">
        <v>0</v>
      </c>
      <c r="M44" s="84">
        <v>0.81066400000000094</v>
      </c>
      <c r="N44" s="84">
        <v>0</v>
      </c>
      <c r="O44" s="84">
        <v>0</v>
      </c>
      <c r="P44" s="84">
        <v>1.4216429999999995</v>
      </c>
      <c r="Q44" s="84">
        <v>1.0934930000000005</v>
      </c>
      <c r="R44" s="84">
        <v>1.0229459999999992</v>
      </c>
      <c r="S44" s="84">
        <v>0</v>
      </c>
      <c r="T44" s="84">
        <v>0</v>
      </c>
      <c r="U44" s="84">
        <v>0</v>
      </c>
      <c r="V44" s="84">
        <v>3.068541999999999</v>
      </c>
      <c r="W44" s="84">
        <v>0.44993299999999969</v>
      </c>
      <c r="X44" s="84">
        <v>0</v>
      </c>
      <c r="Y44" s="84">
        <v>1.1366360000000011</v>
      </c>
      <c r="DA44" s="171" t="s">
        <v>1063</v>
      </c>
    </row>
    <row r="45" spans="1:105" ht="11.45" customHeight="1" x14ac:dyDescent="0.25">
      <c r="A45" s="85" t="s">
        <v>93</v>
      </c>
      <c r="B45" s="86"/>
      <c r="C45" s="86">
        <v>2.6635010000000001</v>
      </c>
      <c r="D45" s="86">
        <v>0</v>
      </c>
      <c r="E45" s="86">
        <v>0</v>
      </c>
      <c r="F45" s="86">
        <v>8.095004000000003</v>
      </c>
      <c r="G45" s="86">
        <v>5.4383679999999934</v>
      </c>
      <c r="H45" s="86">
        <v>4.797800000000052E-2</v>
      </c>
      <c r="I45" s="86">
        <v>6.9168610000000044</v>
      </c>
      <c r="J45" s="86">
        <v>1.1682079999999928</v>
      </c>
      <c r="K45" s="86">
        <v>0</v>
      </c>
      <c r="L45" s="86">
        <v>3.5668570000000059</v>
      </c>
      <c r="M45" s="86">
        <v>5.4966789999999932</v>
      </c>
      <c r="N45" s="86">
        <v>1.8405060000000049</v>
      </c>
      <c r="O45" s="86">
        <v>1.2334399999999945</v>
      </c>
      <c r="P45" s="86">
        <v>0</v>
      </c>
      <c r="Q45" s="86">
        <v>4.1281180000000006</v>
      </c>
      <c r="R45" s="86">
        <v>8.4870999999999697E-2</v>
      </c>
      <c r="S45" s="86">
        <v>0.82541700000000162</v>
      </c>
      <c r="T45" s="86">
        <v>8.1868849999999966</v>
      </c>
      <c r="U45" s="86">
        <v>3.3766260000000017</v>
      </c>
      <c r="V45" s="86">
        <v>0</v>
      </c>
      <c r="W45" s="86">
        <v>3.2396170000000026</v>
      </c>
      <c r="X45" s="86">
        <v>0.25151100000000071</v>
      </c>
      <c r="Y45" s="86">
        <v>0</v>
      </c>
      <c r="DA45" s="178" t="s">
        <v>1064</v>
      </c>
    </row>
    <row r="46" spans="1:105" x14ac:dyDescent="0.25">
      <c r="A46" s="106"/>
      <c r="B46" s="106"/>
      <c r="C46" s="106"/>
      <c r="D46" s="106"/>
      <c r="E46" s="106"/>
      <c r="F46" s="106"/>
      <c r="G46" s="106"/>
      <c r="H46" s="106"/>
      <c r="I46" s="106"/>
      <c r="J46" s="106"/>
      <c r="K46" s="106"/>
      <c r="L46" s="106"/>
      <c r="M46" s="106"/>
      <c r="N46" s="106"/>
      <c r="O46" s="106"/>
      <c r="P46" s="106"/>
      <c r="Q46" s="106"/>
      <c r="R46" s="106"/>
      <c r="S46" s="106"/>
      <c r="T46" s="106"/>
      <c r="U46" s="106"/>
      <c r="V46" s="106"/>
      <c r="W46" s="106"/>
      <c r="X46" s="106"/>
      <c r="Y46" s="106"/>
      <c r="DA46" s="171"/>
    </row>
    <row r="47" spans="1:105" ht="11.45" customHeight="1" x14ac:dyDescent="0.25">
      <c r="A47" s="68" t="s">
        <v>36</v>
      </c>
      <c r="B47" s="69"/>
      <c r="C47" s="69"/>
      <c r="D47" s="69"/>
      <c r="E47" s="69"/>
      <c r="F47" s="69"/>
      <c r="G47" s="69"/>
      <c r="H47" s="69"/>
      <c r="I47" s="69"/>
      <c r="J47" s="69"/>
      <c r="K47" s="69"/>
      <c r="L47" s="69"/>
      <c r="M47" s="69"/>
      <c r="N47" s="69"/>
      <c r="O47" s="69"/>
      <c r="P47" s="69"/>
      <c r="Q47" s="69"/>
      <c r="R47" s="69"/>
      <c r="S47" s="69"/>
      <c r="T47" s="69"/>
      <c r="U47" s="69"/>
      <c r="V47" s="69"/>
      <c r="W47" s="69"/>
      <c r="X47" s="69"/>
      <c r="Y47" s="69"/>
      <c r="DA47" s="179"/>
    </row>
    <row r="48" spans="1:105" x14ac:dyDescent="0.25">
      <c r="A48" s="33"/>
      <c r="B48" s="33"/>
      <c r="C48" s="33"/>
      <c r="D48" s="33"/>
      <c r="E48" s="33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DA48" s="208"/>
    </row>
    <row r="49" spans="1:105" ht="11.45" customHeight="1" x14ac:dyDescent="0.25">
      <c r="A49" s="53" t="s">
        <v>99</v>
      </c>
      <c r="B49" s="62"/>
      <c r="C49" s="62"/>
      <c r="D49" s="62"/>
      <c r="E49" s="62"/>
      <c r="F49" s="62"/>
      <c r="G49" s="62"/>
      <c r="H49" s="62"/>
      <c r="I49" s="62"/>
      <c r="J49" s="62"/>
      <c r="K49" s="62"/>
      <c r="L49" s="62"/>
      <c r="M49" s="62"/>
      <c r="N49" s="62"/>
      <c r="O49" s="62"/>
      <c r="P49" s="62"/>
      <c r="Q49" s="62"/>
      <c r="R49" s="62"/>
      <c r="S49" s="62"/>
      <c r="T49" s="62"/>
      <c r="U49" s="62"/>
      <c r="V49" s="62"/>
      <c r="W49" s="62"/>
      <c r="X49" s="62"/>
      <c r="Y49" s="62"/>
      <c r="DA49" s="172"/>
    </row>
    <row r="50" spans="1:105" ht="11.45" customHeight="1" x14ac:dyDescent="0.25">
      <c r="A50" s="27" t="s">
        <v>100</v>
      </c>
      <c r="B50" s="29">
        <f t="shared" ref="B50:J50" si="45">IF(B4=0,0,B4/B15)</f>
        <v>133.86198548663589</v>
      </c>
      <c r="C50" s="29">
        <f t="shared" si="45"/>
        <v>135.27692279906955</v>
      </c>
      <c r="D50" s="29">
        <f t="shared" si="45"/>
        <v>133.38146071698341</v>
      </c>
      <c r="E50" s="29">
        <f t="shared" si="45"/>
        <v>126.55162534276305</v>
      </c>
      <c r="F50" s="29">
        <f t="shared" si="45"/>
        <v>127.86655945116506</v>
      </c>
      <c r="G50" s="29">
        <f t="shared" si="45"/>
        <v>137.02148332201602</v>
      </c>
      <c r="H50" s="29">
        <f t="shared" si="45"/>
        <v>141.98077986974016</v>
      </c>
      <c r="I50" s="29">
        <f t="shared" si="45"/>
        <v>149.39480956833791</v>
      </c>
      <c r="J50" s="29">
        <f t="shared" si="45"/>
        <v>145.2426572315195</v>
      </c>
      <c r="K50" s="29">
        <f t="shared" ref="K50:V50" si="46">IF(K4=0,0,K4/K15)</f>
        <v>137.52590490298365</v>
      </c>
      <c r="L50" s="29">
        <f t="shared" si="46"/>
        <v>134.16476581520331</v>
      </c>
      <c r="M50" s="29">
        <f t="shared" si="46"/>
        <v>140.19330594044945</v>
      </c>
      <c r="N50" s="29">
        <f t="shared" si="46"/>
        <v>139.99948418499795</v>
      </c>
      <c r="O50" s="29">
        <f t="shared" si="46"/>
        <v>145.89139341845362</v>
      </c>
      <c r="P50" s="29">
        <f t="shared" si="46"/>
        <v>153.98395820391943</v>
      </c>
      <c r="Q50" s="29">
        <f t="shared" si="46"/>
        <v>136.11035402003603</v>
      </c>
      <c r="R50" s="29">
        <f t="shared" si="46"/>
        <v>131.38620709823292</v>
      </c>
      <c r="S50" s="29">
        <f t="shared" si="46"/>
        <v>132.2971012481039</v>
      </c>
      <c r="T50" s="29">
        <f t="shared" si="46"/>
        <v>133.26490459634917</v>
      </c>
      <c r="U50" s="29">
        <f t="shared" si="46"/>
        <v>134.25405946929192</v>
      </c>
      <c r="V50" s="29">
        <f t="shared" si="46"/>
        <v>72.126422915821109</v>
      </c>
      <c r="W50" s="29">
        <f t="shared" ref="W50:Y50" si="47">IF(W4=0,0,W4/W15)</f>
        <v>85.978816953039157</v>
      </c>
      <c r="X50" s="29">
        <f t="shared" si="47"/>
        <v>126.43091341480361</v>
      </c>
      <c r="Y50" s="29">
        <f t="shared" si="47"/>
        <v>140.4777991433732</v>
      </c>
      <c r="DA50" s="173" t="s">
        <v>1065</v>
      </c>
    </row>
    <row r="51" spans="1:105" ht="11.45" customHeight="1" x14ac:dyDescent="0.25">
      <c r="A51" s="107" t="s">
        <v>23</v>
      </c>
      <c r="B51" s="115">
        <f t="shared" ref="B51:J51" si="48">IF(B5=0,0,B5/B16)</f>
        <v>84.240377307816217</v>
      </c>
      <c r="C51" s="115">
        <f t="shared" si="48"/>
        <v>84.358931691045456</v>
      </c>
      <c r="D51" s="115">
        <f t="shared" si="48"/>
        <v>84.375963915172349</v>
      </c>
      <c r="E51" s="115">
        <f t="shared" si="48"/>
        <v>85.116837801933784</v>
      </c>
      <c r="F51" s="115">
        <f t="shared" si="48"/>
        <v>85.057333752399558</v>
      </c>
      <c r="G51" s="115">
        <f t="shared" si="48"/>
        <v>86.098024420849626</v>
      </c>
      <c r="H51" s="115">
        <f t="shared" si="48"/>
        <v>87.010072942753894</v>
      </c>
      <c r="I51" s="115">
        <f t="shared" si="48"/>
        <v>85.175218287992237</v>
      </c>
      <c r="J51" s="115">
        <f t="shared" si="48"/>
        <v>85.633582687701761</v>
      </c>
      <c r="K51" s="115">
        <f t="shared" ref="K51:V51" si="49">IF(K5=0,0,K5/K16)</f>
        <v>86.22691002692568</v>
      </c>
      <c r="L51" s="115">
        <f t="shared" si="49"/>
        <v>87.266012913927639</v>
      </c>
      <c r="M51" s="115">
        <f t="shared" si="49"/>
        <v>87.971669410994167</v>
      </c>
      <c r="N51" s="115">
        <f t="shared" si="49"/>
        <v>87.865434302349385</v>
      </c>
      <c r="O51" s="115">
        <f t="shared" si="49"/>
        <v>88.931318080686083</v>
      </c>
      <c r="P51" s="115">
        <f t="shared" si="49"/>
        <v>89.702707445553585</v>
      </c>
      <c r="Q51" s="115">
        <f t="shared" si="49"/>
        <v>86.327899509866242</v>
      </c>
      <c r="R51" s="115">
        <f t="shared" si="49"/>
        <v>86.482726360071638</v>
      </c>
      <c r="S51" s="115">
        <f t="shared" si="49"/>
        <v>86.62378106321141</v>
      </c>
      <c r="T51" s="115">
        <f t="shared" si="49"/>
        <v>86.752967858455833</v>
      </c>
      <c r="U51" s="115">
        <f t="shared" si="49"/>
        <v>86.869512459799154</v>
      </c>
      <c r="V51" s="115">
        <f t="shared" si="49"/>
        <v>59.402354684083441</v>
      </c>
      <c r="W51" s="115">
        <f t="shared" ref="W51:Y51" si="50">IF(W5=0,0,W5/W16)</f>
        <v>69.267989900406775</v>
      </c>
      <c r="X51" s="115">
        <f t="shared" si="50"/>
        <v>83.625805873925515</v>
      </c>
      <c r="Y51" s="115">
        <f t="shared" si="50"/>
        <v>101.37330575765412</v>
      </c>
      <c r="DA51" s="203" t="s">
        <v>1066</v>
      </c>
    </row>
    <row r="52" spans="1:105" ht="11.45" customHeight="1" x14ac:dyDescent="0.25">
      <c r="A52" s="109" t="s">
        <v>24</v>
      </c>
      <c r="B52" s="116">
        <f t="shared" ref="B52:J52" si="51">IF(B6=0,0,B6/B17)</f>
        <v>137.00098125743969</v>
      </c>
      <c r="C52" s="116">
        <f t="shared" si="51"/>
        <v>138.31115459566828</v>
      </c>
      <c r="D52" s="116">
        <f t="shared" si="51"/>
        <v>136.05666135663554</v>
      </c>
      <c r="E52" s="116">
        <f t="shared" si="51"/>
        <v>126.17374665163948</v>
      </c>
      <c r="F52" s="116">
        <f t="shared" si="51"/>
        <v>127.85926120222477</v>
      </c>
      <c r="G52" s="116">
        <f t="shared" si="51"/>
        <v>137.77984725102445</v>
      </c>
      <c r="H52" s="116">
        <f t="shared" si="51"/>
        <v>143.06746884148367</v>
      </c>
      <c r="I52" s="116">
        <f t="shared" si="51"/>
        <v>151.40766238235312</v>
      </c>
      <c r="J52" s="116">
        <f t="shared" si="51"/>
        <v>146.5461486836185</v>
      </c>
      <c r="K52" s="116">
        <f t="shared" ref="K52:V52" si="52">IF(K6=0,0,K6/K17)</f>
        <v>140.55849507071176</v>
      </c>
      <c r="L52" s="116">
        <f t="shared" si="52"/>
        <v>136.6715073112899</v>
      </c>
      <c r="M52" s="116">
        <f t="shared" si="52"/>
        <v>143.25972312275434</v>
      </c>
      <c r="N52" s="116">
        <f t="shared" si="52"/>
        <v>142.55310725496199</v>
      </c>
      <c r="O52" s="116">
        <f t="shared" si="52"/>
        <v>148.75604617395271</v>
      </c>
      <c r="P52" s="116">
        <f t="shared" si="52"/>
        <v>157.91150036204675</v>
      </c>
      <c r="Q52" s="116">
        <f t="shared" si="52"/>
        <v>135.85251323964309</v>
      </c>
      <c r="R52" s="116">
        <f t="shared" si="52"/>
        <v>133.4153259281405</v>
      </c>
      <c r="S52" s="116">
        <f t="shared" si="52"/>
        <v>133.96468103045626</v>
      </c>
      <c r="T52" s="116">
        <f t="shared" si="52"/>
        <v>135.61511207196287</v>
      </c>
      <c r="U52" s="116">
        <f t="shared" si="52"/>
        <v>136.40620957989114</v>
      </c>
      <c r="V52" s="116">
        <f t="shared" si="52"/>
        <v>72.091337546794833</v>
      </c>
      <c r="W52" s="116">
        <f t="shared" ref="W52:Y52" si="53">IF(W6=0,0,W6/W17)</f>
        <v>86.255684253155479</v>
      </c>
      <c r="X52" s="116">
        <f t="shared" si="53"/>
        <v>128.63636760999853</v>
      </c>
      <c r="Y52" s="116">
        <f t="shared" si="53"/>
        <v>140.90572741350221</v>
      </c>
      <c r="DA52" s="176" t="s">
        <v>1067</v>
      </c>
    </row>
    <row r="53" spans="1:105" ht="11.45" customHeight="1" x14ac:dyDescent="0.25">
      <c r="A53" s="111" t="s">
        <v>92</v>
      </c>
      <c r="B53" s="87">
        <f t="shared" ref="B53:J53" si="54">IF(B7=0,0,B7/B18)</f>
        <v>102.82047714990188</v>
      </c>
      <c r="C53" s="87">
        <f t="shared" si="54"/>
        <v>103.06874688711446</v>
      </c>
      <c r="D53" s="87">
        <f t="shared" si="54"/>
        <v>98.792000945336724</v>
      </c>
      <c r="E53" s="87">
        <f t="shared" si="54"/>
        <v>100.7296723687234</v>
      </c>
      <c r="F53" s="87">
        <f t="shared" si="54"/>
        <v>107.443591579612</v>
      </c>
      <c r="G53" s="87">
        <f t="shared" si="54"/>
        <v>114.92190252722115</v>
      </c>
      <c r="H53" s="87">
        <f t="shared" si="54"/>
        <v>124.57224546627282</v>
      </c>
      <c r="I53" s="87">
        <f t="shared" si="54"/>
        <v>138.1896438912645</v>
      </c>
      <c r="J53" s="87">
        <f t="shared" si="54"/>
        <v>125.73753402239429</v>
      </c>
      <c r="K53" s="87">
        <f t="shared" ref="K53:V53" si="55">IF(K7=0,0,K7/K18)</f>
        <v>116.05244053062094</v>
      </c>
      <c r="L53" s="87">
        <f t="shared" si="55"/>
        <v>114.66450299620308</v>
      </c>
      <c r="M53" s="87">
        <f t="shared" si="55"/>
        <v>119.78194671693446</v>
      </c>
      <c r="N53" s="87">
        <f t="shared" si="55"/>
        <v>118.728253319644</v>
      </c>
      <c r="O53" s="87">
        <f t="shared" si="55"/>
        <v>124.82082891769558</v>
      </c>
      <c r="P53" s="87">
        <f t="shared" si="55"/>
        <v>135.44272309942761</v>
      </c>
      <c r="Q53" s="87">
        <f t="shared" si="55"/>
        <v>114.30147866403684</v>
      </c>
      <c r="R53" s="87">
        <f t="shared" si="55"/>
        <v>116.27647232163285</v>
      </c>
      <c r="S53" s="87">
        <f t="shared" si="55"/>
        <v>112.07948973250254</v>
      </c>
      <c r="T53" s="87">
        <f t="shared" si="55"/>
        <v>116.50870228501434</v>
      </c>
      <c r="U53" s="87">
        <f t="shared" si="55"/>
        <v>118.58879075208938</v>
      </c>
      <c r="V53" s="87">
        <f t="shared" si="55"/>
        <v>69.356934453734738</v>
      </c>
      <c r="W53" s="87">
        <f t="shared" ref="W53:Y53" si="56">IF(W7=0,0,W7/W18)</f>
        <v>87.015773187498866</v>
      </c>
      <c r="X53" s="87">
        <f t="shared" si="56"/>
        <v>112.16293383306856</v>
      </c>
      <c r="Y53" s="87">
        <f t="shared" si="56"/>
        <v>115.54576780926489</v>
      </c>
      <c r="DA53" s="171" t="s">
        <v>1068</v>
      </c>
    </row>
    <row r="54" spans="1:105" ht="11.45" customHeight="1" x14ac:dyDescent="0.25">
      <c r="A54" s="111" t="s">
        <v>93</v>
      </c>
      <c r="B54" s="87">
        <f t="shared" ref="B54:J54" si="57">IF(B8=0,0,B8/B19)</f>
        <v>140.47513910348891</v>
      </c>
      <c r="C54" s="87">
        <f t="shared" si="57"/>
        <v>141.88519380747357</v>
      </c>
      <c r="D54" s="87">
        <f t="shared" si="57"/>
        <v>139.8862803153811</v>
      </c>
      <c r="E54" s="87">
        <f t="shared" si="57"/>
        <v>128.62790238789205</v>
      </c>
      <c r="F54" s="87">
        <f t="shared" si="57"/>
        <v>129.69789803014291</v>
      </c>
      <c r="G54" s="87">
        <f t="shared" si="57"/>
        <v>139.85039825215756</v>
      </c>
      <c r="H54" s="87">
        <f t="shared" si="57"/>
        <v>144.68007903013839</v>
      </c>
      <c r="I54" s="87">
        <f t="shared" si="57"/>
        <v>152.51045880094969</v>
      </c>
      <c r="J54" s="87">
        <f t="shared" si="57"/>
        <v>148.39187505485884</v>
      </c>
      <c r="K54" s="87">
        <f t="shared" ref="K54:V54" si="58">IF(K8=0,0,K8/K19)</f>
        <v>142.59096501204337</v>
      </c>
      <c r="L54" s="87">
        <f t="shared" si="58"/>
        <v>138.58034022157773</v>
      </c>
      <c r="M54" s="87">
        <f t="shared" si="58"/>
        <v>145.29757126195486</v>
      </c>
      <c r="N54" s="87">
        <f t="shared" si="58"/>
        <v>144.29152638755033</v>
      </c>
      <c r="O54" s="87">
        <f t="shared" si="58"/>
        <v>150.54119383568948</v>
      </c>
      <c r="P54" s="87">
        <f t="shared" si="58"/>
        <v>159.66298630235246</v>
      </c>
      <c r="Q54" s="87">
        <f t="shared" si="58"/>
        <v>137.65281351920115</v>
      </c>
      <c r="R54" s="87">
        <f t="shared" si="58"/>
        <v>134.72205499606707</v>
      </c>
      <c r="S54" s="87">
        <f t="shared" si="58"/>
        <v>135.70073158677394</v>
      </c>
      <c r="T54" s="87">
        <f t="shared" si="58"/>
        <v>136.80098633284584</v>
      </c>
      <c r="U54" s="87">
        <f t="shared" si="58"/>
        <v>137.37548933243684</v>
      </c>
      <c r="V54" s="87">
        <f t="shared" si="58"/>
        <v>72.229908613526092</v>
      </c>
      <c r="W54" s="87">
        <f t="shared" ref="W54:Y54" si="59">IF(W8=0,0,W8/W19)</f>
        <v>86.221080892179856</v>
      </c>
      <c r="X54" s="87">
        <f t="shared" si="59"/>
        <v>129.51944706801919</v>
      </c>
      <c r="Y54" s="87">
        <f t="shared" si="59"/>
        <v>142.5407535641306</v>
      </c>
      <c r="DA54" s="171" t="s">
        <v>1069</v>
      </c>
    </row>
    <row r="55" spans="1:105" ht="11.45" customHeight="1" x14ac:dyDescent="0.25">
      <c r="A55" s="112" t="s">
        <v>25</v>
      </c>
      <c r="B55" s="117">
        <f t="shared" ref="B55:J55" si="60">IF(B9=0,0,B9/B20)</f>
        <v>289.50471698113205</v>
      </c>
      <c r="C55" s="117">
        <f t="shared" si="60"/>
        <v>289.50471698113211</v>
      </c>
      <c r="D55" s="117">
        <f t="shared" si="60"/>
        <v>289.50471698113211</v>
      </c>
      <c r="E55" s="117">
        <f t="shared" si="60"/>
        <v>289.50471698113205</v>
      </c>
      <c r="F55" s="117">
        <f t="shared" si="60"/>
        <v>289.50471698113211</v>
      </c>
      <c r="G55" s="117">
        <f t="shared" si="60"/>
        <v>289.50471698113211</v>
      </c>
      <c r="H55" s="117">
        <f t="shared" si="60"/>
        <v>291.84549356223175</v>
      </c>
      <c r="I55" s="117">
        <f t="shared" si="60"/>
        <v>293.65258640162642</v>
      </c>
      <c r="J55" s="117">
        <f t="shared" si="60"/>
        <v>292.74618440309428</v>
      </c>
      <c r="K55" s="117">
        <f t="shared" ref="K55:V55" si="61">IF(K9=0,0,K9/K20)</f>
        <v>292.57191023074495</v>
      </c>
      <c r="L55" s="117">
        <f t="shared" si="61"/>
        <v>292.28044005220954</v>
      </c>
      <c r="M55" s="117">
        <f t="shared" si="61"/>
        <v>296.2394155736344</v>
      </c>
      <c r="N55" s="117">
        <f t="shared" si="61"/>
        <v>297.84389102456964</v>
      </c>
      <c r="O55" s="117">
        <f t="shared" si="61"/>
        <v>300.82150320674498</v>
      </c>
      <c r="P55" s="117">
        <f t="shared" si="61"/>
        <v>305.1812351372775</v>
      </c>
      <c r="Q55" s="117">
        <f t="shared" si="61"/>
        <v>310.82504388531299</v>
      </c>
      <c r="R55" s="117">
        <f t="shared" si="61"/>
        <v>314.65517241379308</v>
      </c>
      <c r="S55" s="117">
        <f t="shared" si="61"/>
        <v>316.69667266786689</v>
      </c>
      <c r="T55" s="117">
        <f t="shared" si="61"/>
        <v>321.66123778501628</v>
      </c>
      <c r="U55" s="117">
        <f t="shared" si="61"/>
        <v>321.66123778501623</v>
      </c>
      <c r="V55" s="117">
        <f t="shared" si="61"/>
        <v>266.06726606726608</v>
      </c>
      <c r="W55" s="117">
        <f t="shared" ref="W55:Y55" si="62">IF(W9=0,0,W9/W20)</f>
        <v>281.71828171828167</v>
      </c>
      <c r="X55" s="117">
        <f t="shared" si="62"/>
        <v>301.85665150700117</v>
      </c>
      <c r="Y55" s="117">
        <f t="shared" si="62"/>
        <v>321.55723064813975</v>
      </c>
      <c r="DA55" s="204" t="s">
        <v>1070</v>
      </c>
    </row>
    <row r="56" spans="1:105" ht="11.45" customHeight="1" x14ac:dyDescent="0.25">
      <c r="A56" s="27" t="s">
        <v>101</v>
      </c>
      <c r="B56" s="29">
        <f t="shared" ref="B56:J56" si="63">IF(B10=0,0,B10/B21)</f>
        <v>546.5275385264863</v>
      </c>
      <c r="C56" s="29">
        <f t="shared" si="63"/>
        <v>512.04742969207325</v>
      </c>
      <c r="D56" s="29">
        <f t="shared" si="63"/>
        <v>545.68285311867635</v>
      </c>
      <c r="E56" s="29">
        <f t="shared" si="63"/>
        <v>614.39552143825131</v>
      </c>
      <c r="F56" s="29">
        <f t="shared" si="63"/>
        <v>615.11949851015936</v>
      </c>
      <c r="G56" s="29">
        <f t="shared" si="63"/>
        <v>570.94500146471159</v>
      </c>
      <c r="H56" s="29">
        <f t="shared" si="63"/>
        <v>610.01120762855203</v>
      </c>
      <c r="I56" s="29">
        <f t="shared" si="63"/>
        <v>611.51160445924711</v>
      </c>
      <c r="J56" s="29">
        <f t="shared" si="63"/>
        <v>591.70782185378391</v>
      </c>
      <c r="K56" s="29">
        <f t="shared" ref="K56:V56" si="64">IF(K10=0,0,K10/K21)</f>
        <v>568.81650181722034</v>
      </c>
      <c r="L56" s="29">
        <f t="shared" si="64"/>
        <v>520.28128825303702</v>
      </c>
      <c r="M56" s="29">
        <f t="shared" si="64"/>
        <v>516.37971740433807</v>
      </c>
      <c r="N56" s="29">
        <f t="shared" si="64"/>
        <v>513.36203135810592</v>
      </c>
      <c r="O56" s="29">
        <f t="shared" si="64"/>
        <v>507.54853766507472</v>
      </c>
      <c r="P56" s="29">
        <f t="shared" si="64"/>
        <v>523.28185414050654</v>
      </c>
      <c r="Q56" s="29">
        <f t="shared" si="64"/>
        <v>522.12897898649305</v>
      </c>
      <c r="R56" s="29">
        <f t="shared" si="64"/>
        <v>533.04469478760473</v>
      </c>
      <c r="S56" s="29">
        <f t="shared" si="64"/>
        <v>524.78579289052357</v>
      </c>
      <c r="T56" s="29">
        <f t="shared" si="64"/>
        <v>525.73266055114743</v>
      </c>
      <c r="U56" s="29">
        <f t="shared" si="64"/>
        <v>520.36464316397917</v>
      </c>
      <c r="V56" s="29">
        <f t="shared" si="64"/>
        <v>479.44441596194963</v>
      </c>
      <c r="W56" s="29">
        <f t="shared" ref="W56:Y56" si="65">IF(W10=0,0,W10/W21)</f>
        <v>501.21139217797145</v>
      </c>
      <c r="X56" s="29">
        <f t="shared" si="65"/>
        <v>512.88068778601314</v>
      </c>
      <c r="Y56" s="29">
        <f t="shared" si="65"/>
        <v>535.10021596814522</v>
      </c>
      <c r="DA56" s="173" t="s">
        <v>1071</v>
      </c>
    </row>
    <row r="57" spans="1:105" ht="11.45" customHeight="1" x14ac:dyDescent="0.25">
      <c r="A57" s="83" t="s">
        <v>92</v>
      </c>
      <c r="B57" s="87">
        <f t="shared" ref="B57:J57" si="66">IF(B11=0,0,B11/B22)</f>
        <v>601.56556853816994</v>
      </c>
      <c r="C57" s="87">
        <f t="shared" si="66"/>
        <v>607.69388536725728</v>
      </c>
      <c r="D57" s="87">
        <f t="shared" si="66"/>
        <v>622.08834416814307</v>
      </c>
      <c r="E57" s="87">
        <f t="shared" si="66"/>
        <v>646.72372896364573</v>
      </c>
      <c r="F57" s="87">
        <f t="shared" si="66"/>
        <v>699.45182931613692</v>
      </c>
      <c r="G57" s="87">
        <f t="shared" si="66"/>
        <v>724.85464439131192</v>
      </c>
      <c r="H57" s="87">
        <f t="shared" si="66"/>
        <v>728.43074271112619</v>
      </c>
      <c r="I57" s="87">
        <f t="shared" si="66"/>
        <v>776.85305058259371</v>
      </c>
      <c r="J57" s="87">
        <f t="shared" si="66"/>
        <v>750.39865800499217</v>
      </c>
      <c r="K57" s="87">
        <f t="shared" ref="K57:V57" si="67">IF(K11=0,0,K11/K22)</f>
        <v>695.90563649217745</v>
      </c>
      <c r="L57" s="87">
        <f t="shared" si="67"/>
        <v>678.8050680773822</v>
      </c>
      <c r="M57" s="87">
        <f t="shared" si="67"/>
        <v>707.47238041866729</v>
      </c>
      <c r="N57" s="87">
        <f t="shared" si="67"/>
        <v>713.17714359517538</v>
      </c>
      <c r="O57" s="87">
        <f t="shared" si="67"/>
        <v>728.8872413177246</v>
      </c>
      <c r="P57" s="87">
        <f t="shared" si="67"/>
        <v>736.7575157406834</v>
      </c>
      <c r="Q57" s="87">
        <f t="shared" si="67"/>
        <v>774.18063787686833</v>
      </c>
      <c r="R57" s="87">
        <f t="shared" si="67"/>
        <v>733.96911167672147</v>
      </c>
      <c r="S57" s="87">
        <f t="shared" si="67"/>
        <v>740.60658912714018</v>
      </c>
      <c r="T57" s="87">
        <f t="shared" si="67"/>
        <v>765.20034403159036</v>
      </c>
      <c r="U57" s="87">
        <f t="shared" si="67"/>
        <v>757.83827174352552</v>
      </c>
      <c r="V57" s="87">
        <f t="shared" si="67"/>
        <v>625.10420885634039</v>
      </c>
      <c r="W57" s="87">
        <f t="shared" ref="W57:Y57" si="68">IF(W11=0,0,W11/W22)</f>
        <v>643.35693273374147</v>
      </c>
      <c r="X57" s="87">
        <f t="shared" si="68"/>
        <v>708.409002435302</v>
      </c>
      <c r="Y57" s="87">
        <f t="shared" si="68"/>
        <v>686.98911208182756</v>
      </c>
      <c r="DA57" s="171" t="s">
        <v>1072</v>
      </c>
    </row>
    <row r="58" spans="1:105" ht="11.45" customHeight="1" x14ac:dyDescent="0.25">
      <c r="A58" s="85" t="s">
        <v>93</v>
      </c>
      <c r="B58" s="88">
        <f t="shared" ref="B58:J58" si="69">IF(B12=0,0,B12/B23)</f>
        <v>514.5403089487138</v>
      </c>
      <c r="C58" s="88">
        <f t="shared" si="69"/>
        <v>463.97253351363958</v>
      </c>
      <c r="D58" s="88">
        <f t="shared" si="69"/>
        <v>505.69410961480673</v>
      </c>
      <c r="E58" s="88">
        <f t="shared" si="69"/>
        <v>595.66039353907911</v>
      </c>
      <c r="F58" s="88">
        <f t="shared" si="69"/>
        <v>572.18031340551818</v>
      </c>
      <c r="G58" s="88">
        <f t="shared" si="69"/>
        <v>504.74600028483593</v>
      </c>
      <c r="H58" s="88">
        <f t="shared" si="69"/>
        <v>554.18482236566922</v>
      </c>
      <c r="I58" s="88">
        <f t="shared" si="69"/>
        <v>539.03163253224602</v>
      </c>
      <c r="J58" s="88">
        <f t="shared" si="69"/>
        <v>523.40660395806231</v>
      </c>
      <c r="K58" s="88">
        <f t="shared" ref="K58:V58" si="70">IF(K12=0,0,K12/K23)</f>
        <v>519.02507357672289</v>
      </c>
      <c r="L58" s="88">
        <f t="shared" si="70"/>
        <v>460.13442164846242</v>
      </c>
      <c r="M58" s="88">
        <f t="shared" si="70"/>
        <v>450.05681183161312</v>
      </c>
      <c r="N58" s="88">
        <f t="shared" si="70"/>
        <v>457.52560426762238</v>
      </c>
      <c r="O58" s="88">
        <f t="shared" si="70"/>
        <v>447.26667025869278</v>
      </c>
      <c r="P58" s="88">
        <f t="shared" si="70"/>
        <v>458.45124116110247</v>
      </c>
      <c r="Q58" s="88">
        <f t="shared" si="70"/>
        <v>447.86700612585145</v>
      </c>
      <c r="R58" s="88">
        <f t="shared" si="70"/>
        <v>470.84293405672412</v>
      </c>
      <c r="S58" s="88">
        <f t="shared" si="70"/>
        <v>460.43068552855158</v>
      </c>
      <c r="T58" s="88">
        <f t="shared" si="70"/>
        <v>472.89922492673617</v>
      </c>
      <c r="U58" s="88">
        <f t="shared" si="70"/>
        <v>475.23994229819681</v>
      </c>
      <c r="V58" s="88">
        <f t="shared" si="70"/>
        <v>443.94904452228735</v>
      </c>
      <c r="W58" s="88">
        <f t="shared" ref="W58:Y58" si="71">IF(W12=0,0,W12/W23)</f>
        <v>468.21811863788935</v>
      </c>
      <c r="X58" s="88">
        <f t="shared" si="71"/>
        <v>470.59902585130027</v>
      </c>
      <c r="Y58" s="88">
        <f t="shared" si="71"/>
        <v>493.62300183816086</v>
      </c>
      <c r="DA58" s="178" t="s">
        <v>1073</v>
      </c>
    </row>
    <row r="59" spans="1:105" x14ac:dyDescent="0.25">
      <c r="A59" s="106"/>
      <c r="B59" s="106"/>
      <c r="C59" s="106"/>
      <c r="D59" s="106"/>
      <c r="E59" s="106"/>
      <c r="F59" s="106"/>
      <c r="G59" s="106"/>
      <c r="H59" s="106"/>
      <c r="I59" s="106"/>
      <c r="J59" s="106"/>
      <c r="K59" s="106"/>
      <c r="L59" s="106"/>
      <c r="M59" s="106"/>
      <c r="N59" s="106"/>
      <c r="O59" s="106"/>
      <c r="P59" s="106"/>
      <c r="Q59" s="106"/>
      <c r="R59" s="106"/>
      <c r="S59" s="106"/>
      <c r="T59" s="106"/>
      <c r="U59" s="106"/>
      <c r="V59" s="106"/>
      <c r="W59" s="106"/>
      <c r="X59" s="106"/>
      <c r="Y59" s="106"/>
      <c r="DA59" s="171"/>
    </row>
    <row r="60" spans="1:105" ht="11.45" customHeight="1" x14ac:dyDescent="0.25">
      <c r="A60" s="53" t="s">
        <v>102</v>
      </c>
      <c r="B60" s="62"/>
      <c r="C60" s="62"/>
      <c r="D60" s="62"/>
      <c r="E60" s="62"/>
      <c r="F60" s="62"/>
      <c r="G60" s="62"/>
      <c r="H60" s="62"/>
      <c r="I60" s="62"/>
      <c r="J60" s="62"/>
      <c r="K60" s="62"/>
      <c r="L60" s="62"/>
      <c r="M60" s="62"/>
      <c r="N60" s="62"/>
      <c r="O60" s="62"/>
      <c r="P60" s="62"/>
      <c r="Q60" s="62"/>
      <c r="R60" s="62"/>
      <c r="S60" s="62"/>
      <c r="T60" s="62"/>
      <c r="U60" s="62"/>
      <c r="V60" s="62"/>
      <c r="W60" s="62"/>
      <c r="X60" s="62"/>
      <c r="Y60" s="62"/>
      <c r="DA60" s="172"/>
    </row>
    <row r="61" spans="1:105" ht="11.45" customHeight="1" x14ac:dyDescent="0.25">
      <c r="A61" s="27" t="s">
        <v>103</v>
      </c>
      <c r="B61" s="29">
        <f t="shared" ref="B61" si="72">IF(B26=0,0,(B62*B27+B64*B29+B65*B30+B66*B31)/(B27+B29+B30+B31))</f>
        <v>327.66151445225012</v>
      </c>
      <c r="C61" s="29">
        <f t="shared" ref="C61" si="73">IF(C26=0,0,(C62*C27+C64*C29+C65*C30+C66*C31)/(C27+C29+C30+C31))</f>
        <v>328.23292027207373</v>
      </c>
      <c r="D61" s="29">
        <f t="shared" ref="D61" si="74">IF(D26=0,0,(D62*D27+D64*D29+D65*D30+D66*D31)/(D27+D29+D30+D31))</f>
        <v>327.978085689968</v>
      </c>
      <c r="E61" s="29">
        <f t="shared" ref="E61" si="75">IF(E26=0,0,(E62*E27+E64*E29+E65*E30+E66*E31)/(E27+E29+E30+E31))</f>
        <v>329.14822884907903</v>
      </c>
      <c r="F61" s="29">
        <f t="shared" ref="F61" si="76">IF(F26=0,0,(F62*F27+F64*F29+F65*F30+F66*F31)/(F27+F29+F30+F31))</f>
        <v>329.22792402204703</v>
      </c>
      <c r="G61" s="29">
        <f t="shared" ref="G61" si="77">IF(G26=0,0,(G62*G27+G64*G29+G65*G30+G66*G31)/(G27+G29+G30+G31))</f>
        <v>329.65576809610189</v>
      </c>
      <c r="H61" s="29">
        <f t="shared" ref="H61" si="78">IF(H26=0,0,(H62*H27+H64*H29+H65*H30+H66*H31)/(H27+H29+H30+H31))</f>
        <v>329.88822062528715</v>
      </c>
      <c r="I61" s="29">
        <f t="shared" ref="I61" si="79">IF(I26=0,0,(I62*I27+I64*I29+I65*I30+I66*I31)/(I27+I29+I30+I31))</f>
        <v>330.64054904525193</v>
      </c>
      <c r="J61" s="29">
        <f t="shared" ref="J61" si="80">IF(J26=0,0,(J62*J27+J64*J29+J65*J30+J66*J31)/(J27+J29+J30+J31))</f>
        <v>330.7598749372857</v>
      </c>
      <c r="K61" s="29">
        <f t="shared" ref="K61" si="81">IF(K26=0,0,(K62*K27+K64*K29+K65*K30+K66*K31)/(K27+K29+K30+K31))</f>
        <v>329.88811019052929</v>
      </c>
      <c r="L61" s="29">
        <f t="shared" ref="L61" si="82">IF(L26=0,0,(L62*L27+L64*L29+L65*L30+L66*L31)/(L27+L29+L30+L31))</f>
        <v>329.5542595436869</v>
      </c>
      <c r="M61" s="29">
        <f t="shared" ref="M61" si="83">IF(M26=0,0,(M62*M27+M64*M29+M65*M30+M66*M31)/(M27+M29+M30+M31))</f>
        <v>329.88765933068493</v>
      </c>
      <c r="N61" s="29">
        <f t="shared" ref="N61" si="84">IF(N26=0,0,(N62*N27+N64*N29+N65*N30+N66*N31)/(N27+N29+N30+N31))</f>
        <v>329.10678827205936</v>
      </c>
      <c r="O61" s="29">
        <f t="shared" ref="O61" si="85">IF(O26=0,0,(O62*O27+O64*O29+O65*O30+O66*O31)/(O27+O29+O30+O31))</f>
        <v>329.08625850486573</v>
      </c>
      <c r="P61" s="29">
        <f t="shared" ref="P61" si="86">IF(P26=0,0,(P62*P27+P64*P29+P65*P30+P66*P31)/(P27+P29+P30+P31))</f>
        <v>329.03282625189053</v>
      </c>
      <c r="Q61" s="29">
        <f t="shared" ref="Q61" si="87">IF(Q26=0,0,(Q62*Q27+Q64*Q29+Q65*Q30+Q66*Q31)/(Q27+Q29+Q30+Q31))</f>
        <v>330.30949265060968</v>
      </c>
      <c r="R61" s="29">
        <f t="shared" ref="R61" si="88">IF(R26=0,0,(R62*R27+R64*R29+R65*R30+R66*R31)/(R27+R29+R30+R31))</f>
        <v>329.61940807464953</v>
      </c>
      <c r="S61" s="29">
        <f t="shared" ref="S61" si="89">IF(S26=0,0,(S62*S27+S64*S29+S65*S30+S66*S31)/(S27+S29+S30+S31))</f>
        <v>329.10165574192808</v>
      </c>
      <c r="T61" s="29">
        <f t="shared" ref="T61" si="90">IF(T26=0,0,(T62*T27+T64*T29+T65*T30+T66*T31)/(T27+T29+T30+T31))</f>
        <v>329.9736730408539</v>
      </c>
      <c r="U61" s="29">
        <f t="shared" ref="U61" si="91">IF(U26=0,0,(U62*U27+U64*U29+U65*U30+U66*U31)/(U27+U29+U30+U31))</f>
        <v>329.81793570141997</v>
      </c>
      <c r="V61" s="29">
        <f t="shared" ref="V61" si="92">IF(V26=0,0,(V62*V27+V64*V29+V65*V30+V66*V31)/(V27+V29+V30+V31))</f>
        <v>329.99245632068107</v>
      </c>
      <c r="W61" s="29">
        <f t="shared" ref="W61:Y61" si="93">IF(W26=0,0,(W62*W27+W64*W29+W65*W30+W66*W31)/(W27+W29+W30+W31))</f>
        <v>329.71384426274699</v>
      </c>
      <c r="X61" s="29">
        <f t="shared" si="93"/>
        <v>328.72060666397266</v>
      </c>
      <c r="Y61" s="29">
        <f t="shared" si="93"/>
        <v>328.07604937748039</v>
      </c>
      <c r="DA61" s="173" t="s">
        <v>1074</v>
      </c>
    </row>
    <row r="62" spans="1:105" ht="11.45" customHeight="1" x14ac:dyDescent="0.25">
      <c r="A62" s="107" t="s">
        <v>23</v>
      </c>
      <c r="B62" s="115">
        <v>400</v>
      </c>
      <c r="C62" s="115">
        <v>400</v>
      </c>
      <c r="D62" s="115">
        <v>400</v>
      </c>
      <c r="E62" s="115">
        <v>400</v>
      </c>
      <c r="F62" s="115">
        <v>400</v>
      </c>
      <c r="G62" s="115">
        <v>400</v>
      </c>
      <c r="H62" s="115">
        <v>400</v>
      </c>
      <c r="I62" s="115">
        <v>400</v>
      </c>
      <c r="J62" s="115">
        <v>400</v>
      </c>
      <c r="K62" s="115">
        <v>400</v>
      </c>
      <c r="L62" s="115">
        <v>400</v>
      </c>
      <c r="M62" s="115">
        <v>400</v>
      </c>
      <c r="N62" s="115">
        <v>400</v>
      </c>
      <c r="O62" s="115">
        <v>400</v>
      </c>
      <c r="P62" s="115">
        <v>400</v>
      </c>
      <c r="Q62" s="115">
        <v>400</v>
      </c>
      <c r="R62" s="115">
        <v>400</v>
      </c>
      <c r="S62" s="115">
        <v>400</v>
      </c>
      <c r="T62" s="115">
        <v>400</v>
      </c>
      <c r="U62" s="115">
        <v>400</v>
      </c>
      <c r="V62" s="115">
        <v>400</v>
      </c>
      <c r="W62" s="115">
        <v>400</v>
      </c>
      <c r="X62" s="115">
        <v>400</v>
      </c>
      <c r="Y62" s="115">
        <v>400</v>
      </c>
      <c r="DA62" s="203" t="s">
        <v>1075</v>
      </c>
    </row>
    <row r="63" spans="1:105" ht="11.45" customHeight="1" x14ac:dyDescent="0.25">
      <c r="A63" s="109" t="s">
        <v>24</v>
      </c>
      <c r="B63" s="116">
        <f t="shared" ref="B63" si="94">IF(B28=0,0,(B64*B29+B65*B30)/(B29+B30))</f>
        <v>320</v>
      </c>
      <c r="C63" s="116">
        <f t="shared" ref="C63" si="95">IF(C28=0,0,(C64*C29+C65*C30)/(C29+C30))</f>
        <v>320</v>
      </c>
      <c r="D63" s="116">
        <f t="shared" ref="D63" si="96">IF(D28=0,0,(D64*D29+D65*D30)/(D29+D30))</f>
        <v>320</v>
      </c>
      <c r="E63" s="116">
        <f t="shared" ref="E63" si="97">IF(E28=0,0,(E64*E29+E65*E30)/(E29+E30))</f>
        <v>320</v>
      </c>
      <c r="F63" s="116">
        <f t="shared" ref="F63" si="98">IF(F28=0,0,(F64*F29+F65*F30)/(F29+F30))</f>
        <v>320</v>
      </c>
      <c r="G63" s="116">
        <f t="shared" ref="G63" si="99">IF(G28=0,0,(G64*G29+G65*G30)/(G29+G30))</f>
        <v>319.99999999999994</v>
      </c>
      <c r="H63" s="116">
        <f t="shared" ref="H63" si="100">IF(H28=0,0,(H64*H29+H65*H30)/(H29+H30))</f>
        <v>319.99999999999994</v>
      </c>
      <c r="I63" s="116">
        <f t="shared" ref="I63" si="101">IF(I28=0,0,(I64*I29+I65*I30)/(I29+I30))</f>
        <v>320</v>
      </c>
      <c r="J63" s="116">
        <f t="shared" ref="J63" si="102">IF(J28=0,0,(J64*J29+J65*J30)/(J29+J30))</f>
        <v>320</v>
      </c>
      <c r="K63" s="116">
        <f t="shared" ref="K63" si="103">IF(K28=0,0,(K64*K29+K65*K30)/(K29+K30))</f>
        <v>320</v>
      </c>
      <c r="L63" s="116">
        <f t="shared" ref="L63" si="104">IF(L28=0,0,(L64*L29+L65*L30)/(L29+L30))</f>
        <v>320</v>
      </c>
      <c r="M63" s="116">
        <f t="shared" ref="M63" si="105">IF(M28=0,0,(M64*M29+M65*M30)/(M29+M30))</f>
        <v>320</v>
      </c>
      <c r="N63" s="116">
        <f t="shared" ref="N63" si="106">IF(N28=0,0,(N64*N29+N65*N30)/(N29+N30))</f>
        <v>320</v>
      </c>
      <c r="O63" s="116">
        <f t="shared" ref="O63" si="107">IF(O28=0,0,(O64*O29+O65*O30)/(O29+O30))</f>
        <v>320</v>
      </c>
      <c r="P63" s="116">
        <f t="shared" ref="P63" si="108">IF(P28=0,0,(P64*P29+P65*P30)/(P29+P30))</f>
        <v>319.99999999999994</v>
      </c>
      <c r="Q63" s="116">
        <f t="shared" ref="Q63" si="109">IF(Q28=0,0,(Q64*Q29+Q65*Q30)/(Q29+Q30))</f>
        <v>320</v>
      </c>
      <c r="R63" s="116">
        <f t="shared" ref="R63" si="110">IF(R28=0,0,(R64*R29+R65*R30)/(R29+R30))</f>
        <v>320</v>
      </c>
      <c r="S63" s="116">
        <f t="shared" ref="S63" si="111">IF(S28=0,0,(S64*S29+S65*S30)/(S29+S30))</f>
        <v>320</v>
      </c>
      <c r="T63" s="116">
        <f t="shared" ref="T63" si="112">IF(T28=0,0,(T64*T29+T65*T30)/(T29+T30))</f>
        <v>320</v>
      </c>
      <c r="U63" s="116">
        <f t="shared" ref="U63" si="113">IF(U28=0,0,(U64*U29+U65*U30)/(U29+U30))</f>
        <v>320.00000000000006</v>
      </c>
      <c r="V63" s="116">
        <f t="shared" ref="V63" si="114">IF(V28=0,0,(V64*V29+V65*V30)/(V29+V30))</f>
        <v>320</v>
      </c>
      <c r="W63" s="116">
        <f t="shared" ref="W63:Y63" si="115">IF(W28=0,0,(W64*W29+W65*W30)/(W29+W30))</f>
        <v>320</v>
      </c>
      <c r="X63" s="116">
        <f t="shared" si="115"/>
        <v>320</v>
      </c>
      <c r="Y63" s="116">
        <f t="shared" si="115"/>
        <v>320</v>
      </c>
      <c r="DA63" s="176" t="s">
        <v>1076</v>
      </c>
    </row>
    <row r="64" spans="1:105" ht="11.45" customHeight="1" x14ac:dyDescent="0.25">
      <c r="A64" s="111" t="s">
        <v>92</v>
      </c>
      <c r="B64" s="87">
        <v>320</v>
      </c>
      <c r="C64" s="87">
        <v>320</v>
      </c>
      <c r="D64" s="87">
        <v>320</v>
      </c>
      <c r="E64" s="87">
        <v>320</v>
      </c>
      <c r="F64" s="87">
        <v>320</v>
      </c>
      <c r="G64" s="87">
        <v>320</v>
      </c>
      <c r="H64" s="87">
        <v>320</v>
      </c>
      <c r="I64" s="87">
        <v>320</v>
      </c>
      <c r="J64" s="87">
        <v>320</v>
      </c>
      <c r="K64" s="87">
        <v>320</v>
      </c>
      <c r="L64" s="87">
        <v>320</v>
      </c>
      <c r="M64" s="87">
        <v>320</v>
      </c>
      <c r="N64" s="87">
        <v>320</v>
      </c>
      <c r="O64" s="87">
        <v>320</v>
      </c>
      <c r="P64" s="87">
        <v>320</v>
      </c>
      <c r="Q64" s="87">
        <v>320</v>
      </c>
      <c r="R64" s="87">
        <v>320</v>
      </c>
      <c r="S64" s="87">
        <v>320</v>
      </c>
      <c r="T64" s="87">
        <v>320</v>
      </c>
      <c r="U64" s="87">
        <v>320</v>
      </c>
      <c r="V64" s="87">
        <v>320</v>
      </c>
      <c r="W64" s="87">
        <v>320</v>
      </c>
      <c r="X64" s="87">
        <v>320</v>
      </c>
      <c r="Y64" s="87">
        <v>320</v>
      </c>
      <c r="DA64" s="171" t="s">
        <v>1077</v>
      </c>
    </row>
    <row r="65" spans="1:105" ht="11.45" customHeight="1" x14ac:dyDescent="0.25">
      <c r="A65" s="111" t="s">
        <v>93</v>
      </c>
      <c r="B65" s="87">
        <v>320</v>
      </c>
      <c r="C65" s="87">
        <v>320</v>
      </c>
      <c r="D65" s="87">
        <v>320</v>
      </c>
      <c r="E65" s="87">
        <v>320</v>
      </c>
      <c r="F65" s="87">
        <v>320</v>
      </c>
      <c r="G65" s="87">
        <v>320</v>
      </c>
      <c r="H65" s="87">
        <v>320</v>
      </c>
      <c r="I65" s="87">
        <v>320</v>
      </c>
      <c r="J65" s="87">
        <v>320</v>
      </c>
      <c r="K65" s="87">
        <v>320</v>
      </c>
      <c r="L65" s="87">
        <v>320</v>
      </c>
      <c r="M65" s="87">
        <v>320</v>
      </c>
      <c r="N65" s="87">
        <v>320</v>
      </c>
      <c r="O65" s="87">
        <v>320</v>
      </c>
      <c r="P65" s="87">
        <v>320</v>
      </c>
      <c r="Q65" s="87">
        <v>320</v>
      </c>
      <c r="R65" s="87">
        <v>320</v>
      </c>
      <c r="S65" s="87">
        <v>320</v>
      </c>
      <c r="T65" s="87">
        <v>320</v>
      </c>
      <c r="U65" s="87">
        <v>320</v>
      </c>
      <c r="V65" s="87">
        <v>320</v>
      </c>
      <c r="W65" s="87">
        <v>320</v>
      </c>
      <c r="X65" s="87">
        <v>320</v>
      </c>
      <c r="Y65" s="87">
        <v>320</v>
      </c>
      <c r="DA65" s="171" t="s">
        <v>1078</v>
      </c>
    </row>
    <row r="66" spans="1:105" ht="11.45" customHeight="1" x14ac:dyDescent="0.25">
      <c r="A66" s="112" t="s">
        <v>25</v>
      </c>
      <c r="B66" s="117">
        <v>560</v>
      </c>
      <c r="C66" s="117">
        <v>560</v>
      </c>
      <c r="D66" s="117">
        <v>560</v>
      </c>
      <c r="E66" s="117">
        <v>560</v>
      </c>
      <c r="F66" s="117">
        <v>560</v>
      </c>
      <c r="G66" s="117">
        <v>560</v>
      </c>
      <c r="H66" s="117">
        <v>560</v>
      </c>
      <c r="I66" s="117">
        <v>560</v>
      </c>
      <c r="J66" s="117">
        <v>560</v>
      </c>
      <c r="K66" s="117">
        <v>560</v>
      </c>
      <c r="L66" s="117">
        <v>560</v>
      </c>
      <c r="M66" s="117">
        <v>560</v>
      </c>
      <c r="N66" s="117">
        <v>560</v>
      </c>
      <c r="O66" s="117">
        <v>560</v>
      </c>
      <c r="P66" s="117">
        <v>560</v>
      </c>
      <c r="Q66" s="117">
        <v>560</v>
      </c>
      <c r="R66" s="117">
        <v>560</v>
      </c>
      <c r="S66" s="117">
        <v>560</v>
      </c>
      <c r="T66" s="117">
        <v>560</v>
      </c>
      <c r="U66" s="117">
        <v>560</v>
      </c>
      <c r="V66" s="117">
        <v>560</v>
      </c>
      <c r="W66" s="117">
        <v>560</v>
      </c>
      <c r="X66" s="117">
        <v>560</v>
      </c>
      <c r="Y66" s="117">
        <v>560</v>
      </c>
      <c r="DA66" s="204" t="s">
        <v>1079</v>
      </c>
    </row>
    <row r="67" spans="1:105" ht="11.45" customHeight="1" x14ac:dyDescent="0.25">
      <c r="A67" s="27" t="s">
        <v>80</v>
      </c>
      <c r="B67" s="29">
        <f t="shared" ref="B67" si="116">IF(B32=0,0,(B68*B33+B69*B34)/(B33+B34))</f>
        <v>2100</v>
      </c>
      <c r="C67" s="29">
        <f t="shared" ref="C67" si="117">IF(C32=0,0,(C68*C33+C69*C34)/(C33+C34))</f>
        <v>2100</v>
      </c>
      <c r="D67" s="29">
        <f t="shared" ref="D67" si="118">IF(D32=0,0,(D68*D33+D69*D34)/(D33+D34))</f>
        <v>2100.0000000000005</v>
      </c>
      <c r="E67" s="29">
        <f t="shared" ref="E67" si="119">IF(E32=0,0,(E68*E33+E69*E34)/(E33+E34))</f>
        <v>2100</v>
      </c>
      <c r="F67" s="29">
        <f t="shared" ref="F67" si="120">IF(F32=0,0,(F68*F33+F69*F34)/(F33+F34))</f>
        <v>2100.0000000000005</v>
      </c>
      <c r="G67" s="29">
        <f t="shared" ref="G67" si="121">IF(G32=0,0,(G68*G33+G69*G34)/(G33+G34))</f>
        <v>2100</v>
      </c>
      <c r="H67" s="29">
        <f t="shared" ref="H67" si="122">IF(H32=0,0,(H68*H33+H69*H34)/(H33+H34))</f>
        <v>2100</v>
      </c>
      <c r="I67" s="29">
        <f t="shared" ref="I67" si="123">IF(I32=0,0,(I68*I33+I69*I34)/(I33+I34))</f>
        <v>2100</v>
      </c>
      <c r="J67" s="29">
        <f t="shared" ref="J67" si="124">IF(J32=0,0,(J68*J33+J69*J34)/(J33+J34))</f>
        <v>2099.9999999999995</v>
      </c>
      <c r="K67" s="29">
        <f t="shared" ref="K67" si="125">IF(K32=0,0,(K68*K33+K69*K34)/(K33+K34))</f>
        <v>2100</v>
      </c>
      <c r="L67" s="29">
        <f t="shared" ref="L67" si="126">IF(L32=0,0,(L68*L33+L69*L34)/(L33+L34))</f>
        <v>2100</v>
      </c>
      <c r="M67" s="29">
        <f t="shared" ref="M67" si="127">IF(M32=0,0,(M68*M33+M69*M34)/(M33+M34))</f>
        <v>2100</v>
      </c>
      <c r="N67" s="29">
        <f t="shared" ref="N67" si="128">IF(N32=0,0,(N68*N33+N69*N34)/(N33+N34))</f>
        <v>2100</v>
      </c>
      <c r="O67" s="29">
        <f t="shared" ref="O67" si="129">IF(O32=0,0,(O68*O33+O69*O34)/(O33+O34))</f>
        <v>2100</v>
      </c>
      <c r="P67" s="29">
        <f t="shared" ref="P67" si="130">IF(P32=0,0,(P68*P33+P69*P34)/(P33+P34))</f>
        <v>2099.9999999999995</v>
      </c>
      <c r="Q67" s="29">
        <f t="shared" ref="Q67" si="131">IF(Q32=0,0,(Q68*Q33+Q69*Q34)/(Q33+Q34))</f>
        <v>2100</v>
      </c>
      <c r="R67" s="29">
        <f t="shared" ref="R67" si="132">IF(R32=0,0,(R68*R33+R69*R34)/(R33+R34))</f>
        <v>2100</v>
      </c>
      <c r="S67" s="29">
        <f t="shared" ref="S67" si="133">IF(S32=0,0,(S68*S33+S69*S34)/(S33+S34))</f>
        <v>2100</v>
      </c>
      <c r="T67" s="29">
        <f t="shared" ref="T67" si="134">IF(T32=0,0,(T68*T33+T69*T34)/(T33+T34))</f>
        <v>2100</v>
      </c>
      <c r="U67" s="29">
        <f t="shared" ref="U67" si="135">IF(U32=0,0,(U68*U33+U69*U34)/(U33+U34))</f>
        <v>2100</v>
      </c>
      <c r="V67" s="29">
        <f t="shared" ref="V67" si="136">IF(V32=0,0,(V68*V33+V69*V34)/(V33+V34))</f>
        <v>2100</v>
      </c>
      <c r="W67" s="29">
        <f t="shared" ref="W67:Y67" si="137">IF(W32=0,0,(W68*W33+W69*W34)/(W33+W34))</f>
        <v>2100</v>
      </c>
      <c r="X67" s="29">
        <f t="shared" si="137"/>
        <v>2100</v>
      </c>
      <c r="Y67" s="29">
        <f t="shared" si="137"/>
        <v>2100</v>
      </c>
      <c r="DA67" s="173" t="s">
        <v>1080</v>
      </c>
    </row>
    <row r="68" spans="1:105" ht="11.45" customHeight="1" x14ac:dyDescent="0.25">
      <c r="A68" s="83" t="s">
        <v>92</v>
      </c>
      <c r="B68" s="87">
        <v>2100</v>
      </c>
      <c r="C68" s="87">
        <v>2100</v>
      </c>
      <c r="D68" s="87">
        <v>2100</v>
      </c>
      <c r="E68" s="87">
        <v>2100</v>
      </c>
      <c r="F68" s="87">
        <v>2100</v>
      </c>
      <c r="G68" s="87">
        <v>2100</v>
      </c>
      <c r="H68" s="87">
        <v>2100</v>
      </c>
      <c r="I68" s="87">
        <v>2100</v>
      </c>
      <c r="J68" s="87">
        <v>2100</v>
      </c>
      <c r="K68" s="87">
        <v>2100</v>
      </c>
      <c r="L68" s="87">
        <v>2100</v>
      </c>
      <c r="M68" s="87">
        <v>2100</v>
      </c>
      <c r="N68" s="87">
        <v>2100</v>
      </c>
      <c r="O68" s="87">
        <v>2100</v>
      </c>
      <c r="P68" s="87">
        <v>2100</v>
      </c>
      <c r="Q68" s="87">
        <v>2100</v>
      </c>
      <c r="R68" s="87">
        <v>2100</v>
      </c>
      <c r="S68" s="87">
        <v>2100</v>
      </c>
      <c r="T68" s="87">
        <v>2100</v>
      </c>
      <c r="U68" s="87">
        <v>2100</v>
      </c>
      <c r="V68" s="87">
        <v>2100</v>
      </c>
      <c r="W68" s="87">
        <v>2100</v>
      </c>
      <c r="X68" s="87">
        <v>2100</v>
      </c>
      <c r="Y68" s="87">
        <v>2100</v>
      </c>
      <c r="DA68" s="171" t="s">
        <v>1081</v>
      </c>
    </row>
    <row r="69" spans="1:105" ht="11.45" customHeight="1" x14ac:dyDescent="0.25">
      <c r="A69" s="85" t="s">
        <v>93</v>
      </c>
      <c r="B69" s="88">
        <v>2100</v>
      </c>
      <c r="C69" s="88">
        <v>2100</v>
      </c>
      <c r="D69" s="88">
        <v>2100</v>
      </c>
      <c r="E69" s="88">
        <v>2100</v>
      </c>
      <c r="F69" s="88">
        <v>2100</v>
      </c>
      <c r="G69" s="88">
        <v>2100</v>
      </c>
      <c r="H69" s="88">
        <v>2100</v>
      </c>
      <c r="I69" s="88">
        <v>2100</v>
      </c>
      <c r="J69" s="88">
        <v>2100</v>
      </c>
      <c r="K69" s="88">
        <v>2100</v>
      </c>
      <c r="L69" s="88">
        <v>2100</v>
      </c>
      <c r="M69" s="88">
        <v>2100</v>
      </c>
      <c r="N69" s="88">
        <v>2100</v>
      </c>
      <c r="O69" s="88">
        <v>2100</v>
      </c>
      <c r="P69" s="88">
        <v>2100</v>
      </c>
      <c r="Q69" s="88">
        <v>2100</v>
      </c>
      <c r="R69" s="88">
        <v>2100</v>
      </c>
      <c r="S69" s="88">
        <v>2100</v>
      </c>
      <c r="T69" s="88">
        <v>2100</v>
      </c>
      <c r="U69" s="88">
        <v>2100</v>
      </c>
      <c r="V69" s="88">
        <v>2100</v>
      </c>
      <c r="W69" s="88">
        <v>2100</v>
      </c>
      <c r="X69" s="88">
        <v>2100</v>
      </c>
      <c r="Y69" s="88">
        <v>2100</v>
      </c>
      <c r="DA69" s="178" t="s">
        <v>1082</v>
      </c>
    </row>
    <row r="70" spans="1:105" x14ac:dyDescent="0.25">
      <c r="A70" s="106"/>
      <c r="B70" s="106"/>
      <c r="C70" s="106"/>
      <c r="D70" s="106"/>
      <c r="E70" s="106"/>
      <c r="F70" s="106"/>
      <c r="G70" s="106"/>
      <c r="H70" s="106"/>
      <c r="I70" s="106"/>
      <c r="J70" s="106"/>
      <c r="K70" s="106"/>
      <c r="L70" s="114"/>
      <c r="M70" s="106"/>
      <c r="N70" s="106"/>
      <c r="O70" s="106"/>
      <c r="P70" s="106"/>
      <c r="Q70" s="106"/>
      <c r="R70" s="106"/>
      <c r="S70" s="106"/>
      <c r="T70" s="106"/>
      <c r="U70" s="106"/>
      <c r="V70" s="106"/>
      <c r="W70" s="106"/>
      <c r="X70" s="106"/>
      <c r="Y70" s="106"/>
      <c r="DA70" s="171"/>
    </row>
    <row r="71" spans="1:105" ht="11.45" customHeight="1" x14ac:dyDescent="0.25">
      <c r="A71" s="53" t="s">
        <v>104</v>
      </c>
      <c r="B71" s="135"/>
      <c r="C71" s="135"/>
      <c r="D71" s="135"/>
      <c r="E71" s="135"/>
      <c r="F71" s="135"/>
      <c r="G71" s="135"/>
      <c r="H71" s="135"/>
      <c r="I71" s="135"/>
      <c r="J71" s="135"/>
      <c r="K71" s="135"/>
      <c r="L71" s="135"/>
      <c r="M71" s="135"/>
      <c r="N71" s="135"/>
      <c r="O71" s="135"/>
      <c r="P71" s="135"/>
      <c r="Q71" s="135"/>
      <c r="R71" s="135"/>
      <c r="S71" s="135"/>
      <c r="T71" s="135"/>
      <c r="U71" s="135"/>
      <c r="V71" s="135"/>
      <c r="W71" s="135"/>
      <c r="X71" s="135"/>
      <c r="Y71" s="135"/>
      <c r="DA71" s="172"/>
    </row>
    <row r="72" spans="1:105" ht="11.45" customHeight="1" x14ac:dyDescent="0.25">
      <c r="A72" s="27" t="s">
        <v>33</v>
      </c>
      <c r="B72" s="30">
        <f>IF(B50=0,0,B50/B61)</f>
        <v>0.40853740699579016</v>
      </c>
      <c r="C72" s="30">
        <f t="shared" ref="C72:J72" si="138">IF(C50=0,0,C50/C61)</f>
        <v>0.41213697482549255</v>
      </c>
      <c r="D72" s="30">
        <f t="shared" si="138"/>
        <v>0.40667796580490623</v>
      </c>
      <c r="E72" s="30">
        <f t="shared" si="138"/>
        <v>0.38448217019204883</v>
      </c>
      <c r="F72" s="30">
        <f t="shared" si="138"/>
        <v>0.38838309305319546</v>
      </c>
      <c r="G72" s="30">
        <f t="shared" si="138"/>
        <v>0.41565019205752607</v>
      </c>
      <c r="H72" s="30">
        <f t="shared" si="138"/>
        <v>0.43039057169311007</v>
      </c>
      <c r="I72" s="30">
        <f t="shared" si="138"/>
        <v>0.4518345072911536</v>
      </c>
      <c r="J72" s="30">
        <f t="shared" si="138"/>
        <v>0.43911812839770387</v>
      </c>
      <c r="K72" s="30">
        <f t="shared" ref="K72:V72" si="139">IF(K50=0,0,K50/K61)</f>
        <v>0.41688651592673215</v>
      </c>
      <c r="L72" s="30">
        <f t="shared" si="139"/>
        <v>0.40710979127070862</v>
      </c>
      <c r="M72" s="30">
        <f t="shared" si="139"/>
        <v>0.42497287174940157</v>
      </c>
      <c r="N72" s="30">
        <f t="shared" si="139"/>
        <v>0.42539227136593122</v>
      </c>
      <c r="O72" s="30">
        <f t="shared" si="139"/>
        <v>0.44332265370568952</v>
      </c>
      <c r="P72" s="30">
        <f t="shared" si="139"/>
        <v>0.46798965306287488</v>
      </c>
      <c r="Q72" s="30">
        <f t="shared" si="139"/>
        <v>0.41206915649865683</v>
      </c>
      <c r="R72" s="30">
        <f t="shared" si="139"/>
        <v>0.39859973011200128</v>
      </c>
      <c r="S72" s="30">
        <f t="shared" si="139"/>
        <v>0.40199463885969455</v>
      </c>
      <c r="T72" s="30">
        <f t="shared" si="139"/>
        <v>0.40386526406259599</v>
      </c>
      <c r="U72" s="30">
        <f t="shared" si="139"/>
        <v>0.40705505958545091</v>
      </c>
      <c r="V72" s="30">
        <f t="shared" si="139"/>
        <v>0.21856991435504172</v>
      </c>
      <c r="W72" s="30">
        <f t="shared" ref="W72:Y72" si="140">IF(W50=0,0,W50/W61)</f>
        <v>0.26076799154518715</v>
      </c>
      <c r="X72" s="30">
        <f t="shared" si="140"/>
        <v>0.38461511341771404</v>
      </c>
      <c r="Y72" s="30">
        <f t="shared" si="140"/>
        <v>0.42818669454819336</v>
      </c>
      <c r="DA72" s="173"/>
    </row>
    <row r="73" spans="1:105" ht="11.45" customHeight="1" x14ac:dyDescent="0.25">
      <c r="A73" s="107" t="s">
        <v>23</v>
      </c>
      <c r="B73" s="118">
        <f t="shared" ref="B73:J80" si="141">IF(B51=0,0,B51/B62)</f>
        <v>0.21060094326954054</v>
      </c>
      <c r="C73" s="118">
        <f t="shared" si="141"/>
        <v>0.21089732922761364</v>
      </c>
      <c r="D73" s="118">
        <f t="shared" si="141"/>
        <v>0.21093990978793087</v>
      </c>
      <c r="E73" s="118">
        <f t="shared" si="141"/>
        <v>0.21279209450483447</v>
      </c>
      <c r="F73" s="118">
        <f t="shared" si="141"/>
        <v>0.21264333438099889</v>
      </c>
      <c r="G73" s="118">
        <f t="shared" si="141"/>
        <v>0.21524506105212407</v>
      </c>
      <c r="H73" s="118">
        <f t="shared" si="141"/>
        <v>0.21752518235688473</v>
      </c>
      <c r="I73" s="118">
        <f t="shared" si="141"/>
        <v>0.2129380457199806</v>
      </c>
      <c r="J73" s="118">
        <f t="shared" si="141"/>
        <v>0.2140839567192544</v>
      </c>
      <c r="K73" s="118">
        <f t="shared" ref="K73:V73" si="142">IF(K51=0,0,K51/K62)</f>
        <v>0.21556727506731421</v>
      </c>
      <c r="L73" s="118">
        <f t="shared" si="142"/>
        <v>0.21816503228481909</v>
      </c>
      <c r="M73" s="118">
        <f t="shared" si="142"/>
        <v>0.21992917352748542</v>
      </c>
      <c r="N73" s="118">
        <f t="shared" si="142"/>
        <v>0.21966358575587347</v>
      </c>
      <c r="O73" s="118">
        <f t="shared" si="142"/>
        <v>0.22232829520171521</v>
      </c>
      <c r="P73" s="118">
        <f t="shared" si="142"/>
        <v>0.22425676861388397</v>
      </c>
      <c r="Q73" s="118">
        <f t="shared" si="142"/>
        <v>0.21581974877466562</v>
      </c>
      <c r="R73" s="118">
        <f t="shared" si="142"/>
        <v>0.21620681590017909</v>
      </c>
      <c r="S73" s="118">
        <f t="shared" si="142"/>
        <v>0.21655945265802853</v>
      </c>
      <c r="T73" s="118">
        <f t="shared" si="142"/>
        <v>0.21688241964613958</v>
      </c>
      <c r="U73" s="118">
        <f t="shared" si="142"/>
        <v>0.2171737811494979</v>
      </c>
      <c r="V73" s="118">
        <f t="shared" si="142"/>
        <v>0.14850588671020859</v>
      </c>
      <c r="W73" s="118">
        <f t="shared" ref="W73:Y73" si="143">IF(W51=0,0,W51/W62)</f>
        <v>0.17316997475101695</v>
      </c>
      <c r="X73" s="118">
        <f t="shared" si="143"/>
        <v>0.2090645146848138</v>
      </c>
      <c r="Y73" s="118">
        <f t="shared" si="143"/>
        <v>0.25343326439413533</v>
      </c>
      <c r="DA73" s="203"/>
    </row>
    <row r="74" spans="1:105" ht="11.45" customHeight="1" x14ac:dyDescent="0.25">
      <c r="A74" s="109" t="s">
        <v>24</v>
      </c>
      <c r="B74" s="119">
        <f t="shared" si="141"/>
        <v>0.42812806642949902</v>
      </c>
      <c r="C74" s="119">
        <f t="shared" si="141"/>
        <v>0.43222235811146337</v>
      </c>
      <c r="D74" s="119">
        <f t="shared" si="141"/>
        <v>0.42517706673948608</v>
      </c>
      <c r="E74" s="119">
        <f t="shared" si="141"/>
        <v>0.39429295828637334</v>
      </c>
      <c r="F74" s="119">
        <f t="shared" si="141"/>
        <v>0.39956019125695241</v>
      </c>
      <c r="G74" s="119">
        <f t="shared" si="141"/>
        <v>0.43056202265945148</v>
      </c>
      <c r="H74" s="119">
        <f t="shared" si="141"/>
        <v>0.44708584012963654</v>
      </c>
      <c r="I74" s="119">
        <f t="shared" si="141"/>
        <v>0.47314894494485349</v>
      </c>
      <c r="J74" s="119">
        <f t="shared" si="141"/>
        <v>0.45795671463630783</v>
      </c>
      <c r="K74" s="119">
        <f t="shared" ref="K74:V74" si="144">IF(K52=0,0,K52/K63)</f>
        <v>0.43924529709597426</v>
      </c>
      <c r="L74" s="119">
        <f t="shared" si="144"/>
        <v>0.42709846034778093</v>
      </c>
      <c r="M74" s="119">
        <f t="shared" si="144"/>
        <v>0.44768663475860732</v>
      </c>
      <c r="N74" s="119">
        <f t="shared" si="144"/>
        <v>0.44547846017175619</v>
      </c>
      <c r="O74" s="119">
        <f t="shared" si="144"/>
        <v>0.46486264429360225</v>
      </c>
      <c r="P74" s="119">
        <f t="shared" si="144"/>
        <v>0.4934734386313962</v>
      </c>
      <c r="Q74" s="119">
        <f t="shared" si="144"/>
        <v>0.42453910387388466</v>
      </c>
      <c r="R74" s="119">
        <f t="shared" si="144"/>
        <v>0.4169228935254391</v>
      </c>
      <c r="S74" s="119">
        <f t="shared" si="144"/>
        <v>0.41863962822017581</v>
      </c>
      <c r="T74" s="119">
        <f t="shared" si="144"/>
        <v>0.42379722522488394</v>
      </c>
      <c r="U74" s="119">
        <f t="shared" si="144"/>
        <v>0.42626940493715976</v>
      </c>
      <c r="V74" s="119">
        <f t="shared" si="144"/>
        <v>0.22528542983373384</v>
      </c>
      <c r="W74" s="119">
        <f t="shared" ref="W74:Y74" si="145">IF(W52=0,0,W52/W63)</f>
        <v>0.26954901329111086</v>
      </c>
      <c r="X74" s="119">
        <f t="shared" si="145"/>
        <v>0.40198864878124541</v>
      </c>
      <c r="Y74" s="119">
        <f t="shared" si="145"/>
        <v>0.44033039816719438</v>
      </c>
      <c r="DA74" s="176"/>
    </row>
    <row r="75" spans="1:105" ht="11.45" customHeight="1" x14ac:dyDescent="0.25">
      <c r="A75" s="111" t="s">
        <v>92</v>
      </c>
      <c r="B75" s="120">
        <f t="shared" si="141"/>
        <v>0.32131399109344339</v>
      </c>
      <c r="C75" s="120">
        <f t="shared" si="141"/>
        <v>0.32208983402223268</v>
      </c>
      <c r="D75" s="120">
        <f t="shared" si="141"/>
        <v>0.30872500295417726</v>
      </c>
      <c r="E75" s="120">
        <f t="shared" si="141"/>
        <v>0.31478022615226064</v>
      </c>
      <c r="F75" s="120">
        <f t="shared" si="141"/>
        <v>0.33576122368628752</v>
      </c>
      <c r="G75" s="120">
        <f t="shared" si="141"/>
        <v>0.35913094539756607</v>
      </c>
      <c r="H75" s="120">
        <f t="shared" si="141"/>
        <v>0.38928826708210257</v>
      </c>
      <c r="I75" s="120">
        <f t="shared" si="141"/>
        <v>0.43184263716020155</v>
      </c>
      <c r="J75" s="120">
        <f t="shared" si="141"/>
        <v>0.39292979381998216</v>
      </c>
      <c r="K75" s="120">
        <f t="shared" ref="K75:V75" si="146">IF(K53=0,0,K53/K64)</f>
        <v>0.36266387665819044</v>
      </c>
      <c r="L75" s="120">
        <f t="shared" si="146"/>
        <v>0.35832657186313466</v>
      </c>
      <c r="M75" s="120">
        <f t="shared" si="146"/>
        <v>0.37431858349042019</v>
      </c>
      <c r="N75" s="120">
        <f t="shared" si="146"/>
        <v>0.37102579162388749</v>
      </c>
      <c r="O75" s="120">
        <f t="shared" si="146"/>
        <v>0.39006509036779868</v>
      </c>
      <c r="P75" s="120">
        <f t="shared" si="146"/>
        <v>0.42325850968571127</v>
      </c>
      <c r="Q75" s="120">
        <f t="shared" si="146"/>
        <v>0.35719212082511509</v>
      </c>
      <c r="R75" s="120">
        <f t="shared" si="146"/>
        <v>0.36336397600510267</v>
      </c>
      <c r="S75" s="120">
        <f t="shared" si="146"/>
        <v>0.35024840541407043</v>
      </c>
      <c r="T75" s="120">
        <f t="shared" si="146"/>
        <v>0.36408969464066981</v>
      </c>
      <c r="U75" s="120">
        <f t="shared" si="146"/>
        <v>0.3705899711002793</v>
      </c>
      <c r="V75" s="120">
        <f t="shared" si="146"/>
        <v>0.21674042016792106</v>
      </c>
      <c r="W75" s="120">
        <f t="shared" ref="W75:Y75" si="147">IF(W53=0,0,W53/W64)</f>
        <v>0.27192429121093398</v>
      </c>
      <c r="X75" s="120">
        <f t="shared" si="147"/>
        <v>0.35050916822833927</v>
      </c>
      <c r="Y75" s="120">
        <f t="shared" si="147"/>
        <v>0.36108052440395277</v>
      </c>
      <c r="DA75" s="171"/>
    </row>
    <row r="76" spans="1:105" ht="11.45" customHeight="1" x14ac:dyDescent="0.25">
      <c r="A76" s="111" t="s">
        <v>93</v>
      </c>
      <c r="B76" s="120">
        <f t="shared" si="141"/>
        <v>0.43898480969840287</v>
      </c>
      <c r="C76" s="120">
        <f t="shared" si="141"/>
        <v>0.44339123064835489</v>
      </c>
      <c r="D76" s="120">
        <f t="shared" si="141"/>
        <v>0.43714462598556592</v>
      </c>
      <c r="E76" s="120">
        <f t="shared" si="141"/>
        <v>0.40196219496216268</v>
      </c>
      <c r="F76" s="120">
        <f t="shared" si="141"/>
        <v>0.40530593134419657</v>
      </c>
      <c r="G76" s="120">
        <f t="shared" si="141"/>
        <v>0.43703249453799237</v>
      </c>
      <c r="H76" s="120">
        <f t="shared" si="141"/>
        <v>0.45212524696918244</v>
      </c>
      <c r="I76" s="120">
        <f t="shared" si="141"/>
        <v>0.47659518375296778</v>
      </c>
      <c r="J76" s="120">
        <f t="shared" si="141"/>
        <v>0.46372460954643391</v>
      </c>
      <c r="K76" s="120">
        <f t="shared" ref="K76:V76" si="148">IF(K54=0,0,K54/K65)</f>
        <v>0.44559676566263551</v>
      </c>
      <c r="L76" s="120">
        <f t="shared" si="148"/>
        <v>0.43306356319243039</v>
      </c>
      <c r="M76" s="120">
        <f t="shared" si="148"/>
        <v>0.45405491019360894</v>
      </c>
      <c r="N76" s="120">
        <f t="shared" si="148"/>
        <v>0.45091101996109478</v>
      </c>
      <c r="O76" s="120">
        <f t="shared" si="148"/>
        <v>0.47044123073652966</v>
      </c>
      <c r="P76" s="120">
        <f t="shared" si="148"/>
        <v>0.49894683219485148</v>
      </c>
      <c r="Q76" s="120">
        <f t="shared" si="148"/>
        <v>0.43016504224750357</v>
      </c>
      <c r="R76" s="120">
        <f t="shared" si="148"/>
        <v>0.42100642186270959</v>
      </c>
      <c r="S76" s="120">
        <f t="shared" si="148"/>
        <v>0.42406478620866855</v>
      </c>
      <c r="T76" s="120">
        <f t="shared" si="148"/>
        <v>0.42750308229014322</v>
      </c>
      <c r="U76" s="120">
        <f t="shared" si="148"/>
        <v>0.42929840416386511</v>
      </c>
      <c r="V76" s="120">
        <f t="shared" si="148"/>
        <v>0.22571846441726903</v>
      </c>
      <c r="W76" s="120">
        <f t="shared" ref="W76:Y76" si="149">IF(W54=0,0,W54/W65)</f>
        <v>0.26944087778806203</v>
      </c>
      <c r="X76" s="120">
        <f t="shared" si="149"/>
        <v>0.40474827208755998</v>
      </c>
      <c r="Y76" s="120">
        <f t="shared" si="149"/>
        <v>0.4454398548879081</v>
      </c>
      <c r="DA76" s="171"/>
    </row>
    <row r="77" spans="1:105" ht="11.45" customHeight="1" x14ac:dyDescent="0.25">
      <c r="A77" s="112" t="s">
        <v>25</v>
      </c>
      <c r="B77" s="121">
        <f t="shared" si="141"/>
        <v>0.51697270889487867</v>
      </c>
      <c r="C77" s="121">
        <f t="shared" si="141"/>
        <v>0.51697270889487879</v>
      </c>
      <c r="D77" s="121">
        <f t="shared" si="141"/>
        <v>0.51697270889487879</v>
      </c>
      <c r="E77" s="121">
        <f t="shared" si="141"/>
        <v>0.51697270889487867</v>
      </c>
      <c r="F77" s="121">
        <f t="shared" si="141"/>
        <v>0.51697270889487879</v>
      </c>
      <c r="G77" s="121">
        <f t="shared" si="141"/>
        <v>0.51697270889487879</v>
      </c>
      <c r="H77" s="121">
        <f t="shared" si="141"/>
        <v>0.52115266707541386</v>
      </c>
      <c r="I77" s="121">
        <f t="shared" si="141"/>
        <v>0.52437961857433291</v>
      </c>
      <c r="J77" s="121">
        <f t="shared" si="141"/>
        <v>0.52276104357695408</v>
      </c>
      <c r="K77" s="121">
        <f t="shared" ref="K77:V77" si="150">IF(K55=0,0,K55/K66)</f>
        <v>0.52244983969775882</v>
      </c>
      <c r="L77" s="121">
        <f t="shared" si="150"/>
        <v>0.52192935723608846</v>
      </c>
      <c r="M77" s="121">
        <f t="shared" si="150"/>
        <v>0.52899895638148997</v>
      </c>
      <c r="N77" s="121">
        <f t="shared" si="150"/>
        <v>0.53186409111530297</v>
      </c>
      <c r="O77" s="121">
        <f t="shared" si="150"/>
        <v>0.53718125572633035</v>
      </c>
      <c r="P77" s="121">
        <f t="shared" si="150"/>
        <v>0.54496649131656694</v>
      </c>
      <c r="Q77" s="121">
        <f t="shared" si="150"/>
        <v>0.55504472122377324</v>
      </c>
      <c r="R77" s="121">
        <f t="shared" si="150"/>
        <v>0.56188423645320196</v>
      </c>
      <c r="S77" s="121">
        <f t="shared" si="150"/>
        <v>0.56552977262119086</v>
      </c>
      <c r="T77" s="121">
        <f t="shared" si="150"/>
        <v>0.57439506747324331</v>
      </c>
      <c r="U77" s="121">
        <f t="shared" si="150"/>
        <v>0.57439506747324331</v>
      </c>
      <c r="V77" s="121">
        <f t="shared" si="150"/>
        <v>0.47512011797726084</v>
      </c>
      <c r="W77" s="121">
        <f t="shared" ref="W77:Y77" si="151">IF(W55=0,0,W55/W66)</f>
        <v>0.50306836021121726</v>
      </c>
      <c r="X77" s="121">
        <f t="shared" si="151"/>
        <v>0.53902973483393068</v>
      </c>
      <c r="Y77" s="121">
        <f t="shared" si="151"/>
        <v>0.57420934044310667</v>
      </c>
      <c r="DA77" s="204"/>
    </row>
    <row r="78" spans="1:105" ht="11.45" customHeight="1" x14ac:dyDescent="0.25">
      <c r="A78" s="27" t="s">
        <v>34</v>
      </c>
      <c r="B78" s="30">
        <f t="shared" si="141"/>
        <v>0.26025120882213632</v>
      </c>
      <c r="C78" s="30">
        <f t="shared" si="141"/>
        <v>0.24383210937717775</v>
      </c>
      <c r="D78" s="30">
        <f t="shared" si="141"/>
        <v>0.25984897767556009</v>
      </c>
      <c r="E78" s="30">
        <f t="shared" si="141"/>
        <v>0.29256929592297681</v>
      </c>
      <c r="F78" s="30">
        <f t="shared" si="141"/>
        <v>0.29291404690959966</v>
      </c>
      <c r="G78" s="30">
        <f t="shared" si="141"/>
        <v>0.27187857212605315</v>
      </c>
      <c r="H78" s="30">
        <f t="shared" si="141"/>
        <v>0.29048152744216765</v>
      </c>
      <c r="I78" s="30">
        <f t="shared" si="141"/>
        <v>0.29119600212345098</v>
      </c>
      <c r="J78" s="30">
        <f t="shared" si="141"/>
        <v>0.28176562945418288</v>
      </c>
      <c r="K78" s="30">
        <f t="shared" ref="K78:V78" si="152">IF(K56=0,0,K56/K67)</f>
        <v>0.27086500086534304</v>
      </c>
      <c r="L78" s="30">
        <f t="shared" si="152"/>
        <v>0.2477529944062081</v>
      </c>
      <c r="M78" s="30">
        <f t="shared" si="152"/>
        <v>0.24589510352587526</v>
      </c>
      <c r="N78" s="30">
        <f t="shared" si="152"/>
        <v>0.24445811017052663</v>
      </c>
      <c r="O78" s="30">
        <f t="shared" si="152"/>
        <v>0.24168977984051176</v>
      </c>
      <c r="P78" s="30">
        <f t="shared" si="152"/>
        <v>0.24918183530500318</v>
      </c>
      <c r="Q78" s="30">
        <f t="shared" si="152"/>
        <v>0.24863284713642525</v>
      </c>
      <c r="R78" s="30">
        <f t="shared" si="152"/>
        <v>0.25383080704171651</v>
      </c>
      <c r="S78" s="30">
        <f t="shared" si="152"/>
        <v>0.24989799661453505</v>
      </c>
      <c r="T78" s="30">
        <f t="shared" si="152"/>
        <v>0.25034888597673688</v>
      </c>
      <c r="U78" s="30">
        <f t="shared" si="152"/>
        <v>0.24779268722094247</v>
      </c>
      <c r="V78" s="30">
        <f t="shared" si="152"/>
        <v>0.22830686474378553</v>
      </c>
      <c r="W78" s="30">
        <f t="shared" ref="W78:Y78" si="153">IF(W56=0,0,W56/W67)</f>
        <v>0.23867209151331975</v>
      </c>
      <c r="X78" s="30">
        <f t="shared" si="153"/>
        <v>0.24422889894572053</v>
      </c>
      <c r="Y78" s="30">
        <f t="shared" si="153"/>
        <v>0.2548096266514977</v>
      </c>
      <c r="DA78" s="173"/>
    </row>
    <row r="79" spans="1:105" ht="11.45" customHeight="1" x14ac:dyDescent="0.25">
      <c r="A79" s="83" t="s">
        <v>92</v>
      </c>
      <c r="B79" s="120">
        <f t="shared" si="141"/>
        <v>0.28645979454198567</v>
      </c>
      <c r="C79" s="120">
        <f t="shared" si="141"/>
        <v>0.28937804065107492</v>
      </c>
      <c r="D79" s="120">
        <f t="shared" si="141"/>
        <v>0.29623254484197287</v>
      </c>
      <c r="E79" s="120">
        <f t="shared" si="141"/>
        <v>0.3079636804588789</v>
      </c>
      <c r="F79" s="120">
        <f t="shared" si="141"/>
        <v>0.33307229967435092</v>
      </c>
      <c r="G79" s="120">
        <f t="shared" si="141"/>
        <v>0.34516887828157711</v>
      </c>
      <c r="H79" s="120">
        <f t="shared" si="141"/>
        <v>0.34687178224339343</v>
      </c>
      <c r="I79" s="120">
        <f t="shared" si="141"/>
        <v>0.36993002408694936</v>
      </c>
      <c r="J79" s="120">
        <f t="shared" si="141"/>
        <v>0.3573326942880915</v>
      </c>
      <c r="K79" s="120">
        <f t="shared" ref="K79:V79" si="154">IF(K57=0,0,K57/K68)</f>
        <v>0.33138363642484642</v>
      </c>
      <c r="L79" s="120">
        <f t="shared" si="154"/>
        <v>0.32324050860827724</v>
      </c>
      <c r="M79" s="120">
        <f t="shared" si="154"/>
        <v>0.33689160972317489</v>
      </c>
      <c r="N79" s="120">
        <f t="shared" si="154"/>
        <v>0.33960816361675017</v>
      </c>
      <c r="O79" s="120">
        <f t="shared" si="154"/>
        <v>0.34708916253224981</v>
      </c>
      <c r="P79" s="120">
        <f t="shared" si="154"/>
        <v>0.35083691225746827</v>
      </c>
      <c r="Q79" s="120">
        <f t="shared" si="154"/>
        <v>0.36865744660803251</v>
      </c>
      <c r="R79" s="120">
        <f t="shared" si="154"/>
        <v>0.34950910079843878</v>
      </c>
      <c r="S79" s="120">
        <f t="shared" si="154"/>
        <v>0.35266980434625722</v>
      </c>
      <c r="T79" s="120">
        <f t="shared" si="154"/>
        <v>0.36438111620551922</v>
      </c>
      <c r="U79" s="120">
        <f t="shared" si="154"/>
        <v>0.3608753674969169</v>
      </c>
      <c r="V79" s="120">
        <f t="shared" si="154"/>
        <v>0.29766867088397164</v>
      </c>
      <c r="W79" s="120">
        <f t="shared" ref="W79:Y79" si="155">IF(W57=0,0,W57/W68)</f>
        <v>0.30636044415892449</v>
      </c>
      <c r="X79" s="120">
        <f t="shared" si="155"/>
        <v>0.33733762020728669</v>
      </c>
      <c r="Y79" s="120">
        <f t="shared" si="155"/>
        <v>0.32713767241991787</v>
      </c>
      <c r="DA79" s="171"/>
    </row>
    <row r="80" spans="1:105" ht="11.45" customHeight="1" x14ac:dyDescent="0.25">
      <c r="A80" s="85" t="s">
        <v>93</v>
      </c>
      <c r="B80" s="122">
        <f t="shared" si="141"/>
        <v>0.24501919473748277</v>
      </c>
      <c r="C80" s="122">
        <f t="shared" si="141"/>
        <v>0.2209393016731617</v>
      </c>
      <c r="D80" s="122">
        <f t="shared" si="141"/>
        <v>0.24080671886419369</v>
      </c>
      <c r="E80" s="122">
        <f t="shared" si="141"/>
        <v>0.28364780644718052</v>
      </c>
      <c r="F80" s="122">
        <f t="shared" si="141"/>
        <v>0.27246681590738958</v>
      </c>
      <c r="G80" s="122">
        <f t="shared" si="141"/>
        <v>0.24035523823087426</v>
      </c>
      <c r="H80" s="122">
        <f t="shared" si="141"/>
        <v>0.26389753445984249</v>
      </c>
      <c r="I80" s="122">
        <f t="shared" si="141"/>
        <v>0.25668172977726</v>
      </c>
      <c r="J80" s="122">
        <f t="shared" si="141"/>
        <v>0.24924123998002967</v>
      </c>
      <c r="K80" s="122">
        <f t="shared" ref="K80:V80" si="156">IF(K58=0,0,K58/K69)</f>
        <v>0.24715479694129661</v>
      </c>
      <c r="L80" s="122">
        <f t="shared" si="156"/>
        <v>0.21911162935641068</v>
      </c>
      <c r="M80" s="122">
        <f t="shared" si="156"/>
        <v>0.21431276753886339</v>
      </c>
      <c r="N80" s="122">
        <f t="shared" si="156"/>
        <v>0.21786933536553446</v>
      </c>
      <c r="O80" s="122">
        <f t="shared" si="156"/>
        <v>0.21298412869461561</v>
      </c>
      <c r="P80" s="122">
        <f t="shared" si="156"/>
        <v>0.21831011483862023</v>
      </c>
      <c r="Q80" s="122">
        <f t="shared" si="156"/>
        <v>0.21327000291707213</v>
      </c>
      <c r="R80" s="122">
        <f t="shared" si="156"/>
        <v>0.22421092097939244</v>
      </c>
      <c r="S80" s="122">
        <f t="shared" si="156"/>
        <v>0.21925270739454836</v>
      </c>
      <c r="T80" s="122">
        <f t="shared" si="156"/>
        <v>0.22519010710796961</v>
      </c>
      <c r="U80" s="122">
        <f t="shared" si="156"/>
        <v>0.22630473442771276</v>
      </c>
      <c r="V80" s="122">
        <f t="shared" si="156"/>
        <v>0.21140430691537493</v>
      </c>
      <c r="W80" s="122">
        <f t="shared" ref="W80:Y80" si="157">IF(W58=0,0,W58/W69)</f>
        <v>0.22296100887518541</v>
      </c>
      <c r="X80" s="122">
        <f t="shared" si="157"/>
        <v>0.2240947742149049</v>
      </c>
      <c r="Y80" s="122">
        <f t="shared" si="157"/>
        <v>0.23505857230388613</v>
      </c>
      <c r="DA80" s="178"/>
    </row>
    <row r="81" spans="1:105" x14ac:dyDescent="0.25">
      <c r="A81" s="106"/>
      <c r="B81" s="106"/>
      <c r="C81" s="106"/>
      <c r="D81" s="106"/>
      <c r="E81" s="106"/>
      <c r="F81" s="106"/>
      <c r="G81" s="106"/>
      <c r="H81" s="106"/>
      <c r="I81" s="106"/>
      <c r="J81" s="106"/>
      <c r="K81" s="106"/>
      <c r="L81" s="106"/>
      <c r="M81" s="106"/>
      <c r="N81" s="106"/>
      <c r="O81" s="106"/>
      <c r="P81" s="106"/>
      <c r="Q81" s="106"/>
      <c r="R81" s="106"/>
      <c r="S81" s="106"/>
      <c r="T81" s="106"/>
      <c r="U81" s="106"/>
      <c r="V81" s="106"/>
      <c r="W81" s="106"/>
      <c r="X81" s="106"/>
      <c r="Y81" s="106"/>
      <c r="DA81" s="171"/>
    </row>
    <row r="82" spans="1:105" ht="11.45" customHeight="1" x14ac:dyDescent="0.25">
      <c r="A82" s="53" t="s">
        <v>105</v>
      </c>
      <c r="B82" s="54">
        <f t="shared" ref="B82:J82" si="158">IF(B14=0,0,B14/B25*1000000)</f>
        <v>149319.27098013353</v>
      </c>
      <c r="C82" s="54">
        <f t="shared" si="158"/>
        <v>149481.43294915967</v>
      </c>
      <c r="D82" s="54">
        <f t="shared" si="158"/>
        <v>149107.80291752648</v>
      </c>
      <c r="E82" s="54">
        <f t="shared" si="158"/>
        <v>150627.08793701124</v>
      </c>
      <c r="F82" s="54">
        <f t="shared" si="158"/>
        <v>150907.54192507116</v>
      </c>
      <c r="G82" s="54">
        <f t="shared" si="158"/>
        <v>151194.22805726799</v>
      </c>
      <c r="H82" s="54">
        <f t="shared" si="158"/>
        <v>151184.34162731853</v>
      </c>
      <c r="I82" s="54">
        <f t="shared" si="158"/>
        <v>151646.39863486012</v>
      </c>
      <c r="J82" s="54">
        <f t="shared" si="158"/>
        <v>151657.0673555047</v>
      </c>
      <c r="K82" s="54">
        <f t="shared" ref="K82:V82" si="159">IF(K14=0,0,K14/K25*1000000)</f>
        <v>147854.23854345092</v>
      </c>
      <c r="L82" s="54">
        <f t="shared" si="159"/>
        <v>149275.66034791511</v>
      </c>
      <c r="M82" s="54">
        <f t="shared" si="159"/>
        <v>149469.136130717</v>
      </c>
      <c r="N82" s="54">
        <f t="shared" si="159"/>
        <v>149227.72083569338</v>
      </c>
      <c r="O82" s="54">
        <f t="shared" si="159"/>
        <v>149778.0246145991</v>
      </c>
      <c r="P82" s="54">
        <f t="shared" si="159"/>
        <v>149363.20091377301</v>
      </c>
      <c r="Q82" s="54">
        <f t="shared" si="159"/>
        <v>151442.43576417191</v>
      </c>
      <c r="R82" s="54">
        <f t="shared" si="159"/>
        <v>149358.40804722218</v>
      </c>
      <c r="S82" s="54">
        <f t="shared" si="159"/>
        <v>149661.54606398215</v>
      </c>
      <c r="T82" s="54">
        <f t="shared" si="159"/>
        <v>148363.25679840852</v>
      </c>
      <c r="U82" s="54">
        <f t="shared" si="159"/>
        <v>148798.94256807407</v>
      </c>
      <c r="V82" s="54">
        <f t="shared" si="159"/>
        <v>142376.83947416418</v>
      </c>
      <c r="W82" s="54">
        <f t="shared" ref="W82:Y82" si="160">IF(W14=0,0,W14/W25*1000000)</f>
        <v>146561.04855095089</v>
      </c>
      <c r="X82" s="54">
        <f t="shared" si="160"/>
        <v>149720.45342223338</v>
      </c>
      <c r="Y82" s="54">
        <f t="shared" si="160"/>
        <v>148582.23722703024</v>
      </c>
      <c r="DA82" s="172" t="s">
        <v>1083</v>
      </c>
    </row>
    <row r="83" spans="1:105" ht="11.45" customHeight="1" x14ac:dyDescent="0.25">
      <c r="A83" s="27" t="s">
        <v>33</v>
      </c>
      <c r="B83" s="28">
        <f t="shared" ref="B83:J91" si="161">IF(B15=0,0,B15/B26*1000000)</f>
        <v>146635.54377988607</v>
      </c>
      <c r="C83" s="28">
        <f t="shared" si="161"/>
        <v>146694.02230312669</v>
      </c>
      <c r="D83" s="28">
        <f t="shared" si="161"/>
        <v>146859.9228285081</v>
      </c>
      <c r="E83" s="28">
        <f t="shared" si="161"/>
        <v>148187.89462098485</v>
      </c>
      <c r="F83" s="28">
        <f t="shared" si="161"/>
        <v>148017.135864576</v>
      </c>
      <c r="G83" s="28">
        <f t="shared" si="161"/>
        <v>147996.98587612377</v>
      </c>
      <c r="H83" s="28">
        <f t="shared" si="161"/>
        <v>148011.55647238879</v>
      </c>
      <c r="I83" s="28">
        <f t="shared" si="161"/>
        <v>147962.77537610813</v>
      </c>
      <c r="J83" s="28">
        <f t="shared" si="161"/>
        <v>148082.93028030955</v>
      </c>
      <c r="K83" s="28">
        <f t="shared" ref="K83:V83" si="162">IF(K15=0,0,K15/K26*1000000)</f>
        <v>145889.32793424185</v>
      </c>
      <c r="L83" s="28">
        <f t="shared" si="162"/>
        <v>146087.1153309395</v>
      </c>
      <c r="M83" s="28">
        <f t="shared" si="162"/>
        <v>145992.05125301366</v>
      </c>
      <c r="N83" s="28">
        <f t="shared" si="162"/>
        <v>146103.0141165496</v>
      </c>
      <c r="O83" s="28">
        <f t="shared" si="162"/>
        <v>146555.35857565975</v>
      </c>
      <c r="P83" s="28">
        <f t="shared" si="162"/>
        <v>146142.94099554914</v>
      </c>
      <c r="Q83" s="28">
        <f t="shared" si="162"/>
        <v>148115.06457180373</v>
      </c>
      <c r="R83" s="28">
        <f t="shared" si="162"/>
        <v>146154.19213395668</v>
      </c>
      <c r="S83" s="28">
        <f t="shared" si="162"/>
        <v>146548.77291537801</v>
      </c>
      <c r="T83" s="28">
        <f t="shared" si="162"/>
        <v>145096.68012049771</v>
      </c>
      <c r="U83" s="28">
        <f t="shared" si="162"/>
        <v>145496.34692977244</v>
      </c>
      <c r="V83" s="28">
        <f t="shared" si="162"/>
        <v>138227.78657275412</v>
      </c>
      <c r="W83" s="28">
        <f t="shared" ref="W83:Y83" si="163">IF(W15=0,0,W15/W26*1000000)</f>
        <v>142446.94555987287</v>
      </c>
      <c r="X83" s="28">
        <f t="shared" si="163"/>
        <v>146089.92971993744</v>
      </c>
      <c r="Y83" s="28">
        <f t="shared" si="163"/>
        <v>146480.6280770725</v>
      </c>
      <c r="DA83" s="173" t="s">
        <v>1084</v>
      </c>
    </row>
    <row r="84" spans="1:105" ht="11.45" customHeight="1" x14ac:dyDescent="0.25">
      <c r="A84" s="107" t="s">
        <v>23</v>
      </c>
      <c r="B84" s="108">
        <f t="shared" si="161"/>
        <v>109999.9990373177</v>
      </c>
      <c r="C84" s="108">
        <f t="shared" si="161"/>
        <v>109999.99969757705</v>
      </c>
      <c r="D84" s="108">
        <f t="shared" si="161"/>
        <v>109999.99993040222</v>
      </c>
      <c r="E84" s="108">
        <f t="shared" si="161"/>
        <v>109999.99985026207</v>
      </c>
      <c r="F84" s="108">
        <f t="shared" si="161"/>
        <v>109999.99993442127</v>
      </c>
      <c r="G84" s="108">
        <f t="shared" si="161"/>
        <v>109999.9991154304</v>
      </c>
      <c r="H84" s="108">
        <f t="shared" si="161"/>
        <v>109999.99879108074</v>
      </c>
      <c r="I84" s="108">
        <f t="shared" si="161"/>
        <v>109999.99981018736</v>
      </c>
      <c r="J84" s="108">
        <f t="shared" si="161"/>
        <v>109999.99996567304</v>
      </c>
      <c r="K84" s="108">
        <f t="shared" ref="K84:V84" si="164">IF(K16=0,0,K16/K27*1000000)</f>
        <v>109999.99949685711</v>
      </c>
      <c r="L84" s="108">
        <f t="shared" si="164"/>
        <v>109999.99898470318</v>
      </c>
      <c r="M84" s="108">
        <f t="shared" si="164"/>
        <v>109999.99948039828</v>
      </c>
      <c r="N84" s="108">
        <f t="shared" si="164"/>
        <v>109610.73328405802</v>
      </c>
      <c r="O84" s="108">
        <f t="shared" si="164"/>
        <v>109999.99965414662</v>
      </c>
      <c r="P84" s="108">
        <f t="shared" si="164"/>
        <v>109999.99975798339</v>
      </c>
      <c r="Q84" s="108">
        <f t="shared" si="164"/>
        <v>109999.99971524585</v>
      </c>
      <c r="R84" s="108">
        <f t="shared" si="164"/>
        <v>109999.9995303936</v>
      </c>
      <c r="S84" s="108">
        <f t="shared" si="164"/>
        <v>109999.99913474826</v>
      </c>
      <c r="T84" s="108">
        <f t="shared" si="164"/>
        <v>109999.9991298016</v>
      </c>
      <c r="U84" s="108">
        <f t="shared" si="164"/>
        <v>109999.99978766438</v>
      </c>
      <c r="V84" s="108">
        <f t="shared" si="164"/>
        <v>76926.184787062608</v>
      </c>
      <c r="W84" s="108">
        <f t="shared" ref="W84:Y84" si="165">IF(W16=0,0,W16/W27*1000000)</f>
        <v>85781.995531666049</v>
      </c>
      <c r="X84" s="108">
        <f t="shared" si="165"/>
        <v>109755.93000524044</v>
      </c>
      <c r="Y84" s="108">
        <f t="shared" si="165"/>
        <v>101012.15205182083</v>
      </c>
      <c r="DA84" s="203" t="s">
        <v>1085</v>
      </c>
    </row>
    <row r="85" spans="1:105" ht="11.45" customHeight="1" x14ac:dyDescent="0.25">
      <c r="A85" s="109" t="s">
        <v>24</v>
      </c>
      <c r="B85" s="110">
        <f t="shared" si="161"/>
        <v>149999.99983891469</v>
      </c>
      <c r="C85" s="110">
        <f t="shared" si="161"/>
        <v>149999.99979889271</v>
      </c>
      <c r="D85" s="110">
        <f t="shared" si="161"/>
        <v>149999.9997365353</v>
      </c>
      <c r="E85" s="110">
        <f t="shared" si="161"/>
        <v>149999.99981187977</v>
      </c>
      <c r="F85" s="110">
        <f t="shared" si="161"/>
        <v>149999.99973127744</v>
      </c>
      <c r="G85" s="110">
        <f t="shared" si="161"/>
        <v>149999.99985399676</v>
      </c>
      <c r="H85" s="110">
        <f t="shared" si="161"/>
        <v>149999.99985572638</v>
      </c>
      <c r="I85" s="110">
        <f t="shared" si="161"/>
        <v>149999.99988942599</v>
      </c>
      <c r="J85" s="110">
        <f t="shared" si="161"/>
        <v>149999.99977376487</v>
      </c>
      <c r="K85" s="110">
        <f t="shared" ref="K85:V85" si="166">IF(K17=0,0,K17/K28*1000000)</f>
        <v>149999.99987881165</v>
      </c>
      <c r="L85" s="110">
        <f t="shared" si="166"/>
        <v>149999.99980433899</v>
      </c>
      <c r="M85" s="110">
        <f t="shared" si="166"/>
        <v>149999.99983044772</v>
      </c>
      <c r="N85" s="110">
        <f t="shared" si="166"/>
        <v>149668.21561412507</v>
      </c>
      <c r="O85" s="110">
        <f t="shared" si="166"/>
        <v>149999.99978435403</v>
      </c>
      <c r="P85" s="110">
        <f t="shared" si="166"/>
        <v>149999.99978276953</v>
      </c>
      <c r="Q85" s="110">
        <f t="shared" si="166"/>
        <v>149999.99998329888</v>
      </c>
      <c r="R85" s="110">
        <f t="shared" si="166"/>
        <v>149999.99991866871</v>
      </c>
      <c r="S85" s="110">
        <f t="shared" si="166"/>
        <v>149999.99995225813</v>
      </c>
      <c r="T85" s="110">
        <f t="shared" si="166"/>
        <v>148977.67029318729</v>
      </c>
      <c r="U85" s="110">
        <f t="shared" si="166"/>
        <v>149161.36138124863</v>
      </c>
      <c r="V85" s="110">
        <f t="shared" si="166"/>
        <v>145867.74847308028</v>
      </c>
      <c r="W85" s="110">
        <f t="shared" ref="W85:Y85" si="167">IF(W17=0,0,W17/W28*1000000)</f>
        <v>149324.83231130269</v>
      </c>
      <c r="X85" s="110">
        <f t="shared" si="167"/>
        <v>149999.99968646973</v>
      </c>
      <c r="Y85" s="110">
        <f t="shared" si="167"/>
        <v>149999.99982577961</v>
      </c>
      <c r="DA85" s="176" t="s">
        <v>1086</v>
      </c>
    </row>
    <row r="86" spans="1:105" ht="11.45" customHeight="1" x14ac:dyDescent="0.25">
      <c r="A86" s="111" t="s">
        <v>92</v>
      </c>
      <c r="B86" s="84">
        <f t="shared" si="161"/>
        <v>149999.99894600629</v>
      </c>
      <c r="C86" s="84">
        <f t="shared" si="161"/>
        <v>149999.99890052227</v>
      </c>
      <c r="D86" s="84">
        <f t="shared" si="161"/>
        <v>149999.99875535205</v>
      </c>
      <c r="E86" s="84">
        <f t="shared" si="161"/>
        <v>149999.99912915681</v>
      </c>
      <c r="F86" s="84">
        <f t="shared" si="161"/>
        <v>149999.99822521739</v>
      </c>
      <c r="G86" s="84">
        <f t="shared" si="161"/>
        <v>149999.9992358195</v>
      </c>
      <c r="H86" s="84">
        <f t="shared" si="161"/>
        <v>149999.9983838973</v>
      </c>
      <c r="I86" s="84">
        <f t="shared" si="161"/>
        <v>149999.99924406601</v>
      </c>
      <c r="J86" s="84">
        <f t="shared" si="161"/>
        <v>149999.99920953676</v>
      </c>
      <c r="K86" s="84">
        <f t="shared" ref="K86:V86" si="168">IF(K18=0,0,K18/K29*1000000)</f>
        <v>149999.99845449705</v>
      </c>
      <c r="L86" s="84">
        <f t="shared" si="168"/>
        <v>149999.99855022851</v>
      </c>
      <c r="M86" s="84">
        <f t="shared" si="168"/>
        <v>149999.99944719832</v>
      </c>
      <c r="N86" s="84">
        <f t="shared" si="168"/>
        <v>145264.69263246411</v>
      </c>
      <c r="O86" s="84">
        <f t="shared" si="168"/>
        <v>149999.99913921114</v>
      </c>
      <c r="P86" s="84">
        <f t="shared" si="168"/>
        <v>149999.99913310891</v>
      </c>
      <c r="Q86" s="84">
        <f t="shared" si="168"/>
        <v>149999.99996012793</v>
      </c>
      <c r="R86" s="84">
        <f t="shared" si="168"/>
        <v>149999.99997756447</v>
      </c>
      <c r="S86" s="84">
        <f t="shared" si="168"/>
        <v>149999.99963431191</v>
      </c>
      <c r="T86" s="84">
        <f t="shared" si="168"/>
        <v>134237.14819534315</v>
      </c>
      <c r="U86" s="84">
        <f t="shared" si="168"/>
        <v>135260.25344006706</v>
      </c>
      <c r="V86" s="84">
        <f t="shared" si="168"/>
        <v>130342.28780024662</v>
      </c>
      <c r="W86" s="84">
        <f t="shared" ref="W86:Y86" si="169">IF(W18=0,0,W18/W29*1000000)</f>
        <v>135889.38771291956</v>
      </c>
      <c r="X86" s="84">
        <f t="shared" si="169"/>
        <v>149999.9967825255</v>
      </c>
      <c r="Y86" s="84">
        <f t="shared" si="169"/>
        <v>149999.99860938167</v>
      </c>
      <c r="DA86" s="171" t="s">
        <v>1087</v>
      </c>
    </row>
    <row r="87" spans="1:105" ht="11.45" customHeight="1" x14ac:dyDescent="0.25">
      <c r="A87" s="111" t="s">
        <v>93</v>
      </c>
      <c r="B87" s="84">
        <f t="shared" si="161"/>
        <v>149999.99992967126</v>
      </c>
      <c r="C87" s="84">
        <f t="shared" si="161"/>
        <v>149999.99988999919</v>
      </c>
      <c r="D87" s="84">
        <f t="shared" si="161"/>
        <v>149999.99983736966</v>
      </c>
      <c r="E87" s="84">
        <f t="shared" si="161"/>
        <v>149999.99987773038</v>
      </c>
      <c r="F87" s="84">
        <f t="shared" si="161"/>
        <v>149999.99986691331</v>
      </c>
      <c r="G87" s="84">
        <f t="shared" si="161"/>
        <v>149999.99990999338</v>
      </c>
      <c r="H87" s="84">
        <f t="shared" si="161"/>
        <v>149999.99998405611</v>
      </c>
      <c r="I87" s="84">
        <f t="shared" si="161"/>
        <v>149999.99994326924</v>
      </c>
      <c r="J87" s="84">
        <f t="shared" si="161"/>
        <v>149999.99982381196</v>
      </c>
      <c r="K87" s="84">
        <f t="shared" ref="K87:V87" si="170">IF(K19=0,0,K19/K30*1000000)</f>
        <v>149999.99999694066</v>
      </c>
      <c r="L87" s="84">
        <f t="shared" si="170"/>
        <v>149999.99991311744</v>
      </c>
      <c r="M87" s="84">
        <f t="shared" si="170"/>
        <v>149999.99986371337</v>
      </c>
      <c r="N87" s="84">
        <f t="shared" si="170"/>
        <v>149999.99981569638</v>
      </c>
      <c r="O87" s="84">
        <f t="shared" si="170"/>
        <v>149999.99983247038</v>
      </c>
      <c r="P87" s="84">
        <f t="shared" si="170"/>
        <v>149999.99983341189</v>
      </c>
      <c r="Q87" s="84">
        <f t="shared" si="170"/>
        <v>149999.99998523449</v>
      </c>
      <c r="R87" s="84">
        <f t="shared" si="170"/>
        <v>149999.99991417828</v>
      </c>
      <c r="S87" s="84">
        <f t="shared" si="170"/>
        <v>149999.99997747934</v>
      </c>
      <c r="T87" s="84">
        <f t="shared" si="170"/>
        <v>149999.99995769307</v>
      </c>
      <c r="U87" s="84">
        <f t="shared" si="170"/>
        <v>149999.99994599778</v>
      </c>
      <c r="V87" s="84">
        <f t="shared" si="170"/>
        <v>146753.59385401767</v>
      </c>
      <c r="W87" s="84">
        <f t="shared" ref="W87:Y87" si="171">IF(W19=0,0,W19/W30*1000000)</f>
        <v>149999.99997309042</v>
      </c>
      <c r="X87" s="84">
        <f t="shared" si="171"/>
        <v>149999.99984213937</v>
      </c>
      <c r="Y87" s="84">
        <f t="shared" si="171"/>
        <v>149999.9999042041</v>
      </c>
      <c r="DA87" s="171" t="s">
        <v>1088</v>
      </c>
    </row>
    <row r="88" spans="1:105" ht="11.45" customHeight="1" x14ac:dyDescent="0.25">
      <c r="A88" s="112" t="s">
        <v>25</v>
      </c>
      <c r="B88" s="113">
        <f t="shared" si="161"/>
        <v>449999.8757879372</v>
      </c>
      <c r="C88" s="113">
        <f t="shared" si="161"/>
        <v>449999.83232805319</v>
      </c>
      <c r="D88" s="113">
        <f t="shared" si="161"/>
        <v>449999.97128889937</v>
      </c>
      <c r="E88" s="113">
        <f t="shared" si="161"/>
        <v>449999.9414195774</v>
      </c>
      <c r="F88" s="113">
        <f t="shared" si="161"/>
        <v>449999.9752843125</v>
      </c>
      <c r="G88" s="113">
        <f t="shared" si="161"/>
        <v>449999.92034302512</v>
      </c>
      <c r="H88" s="113">
        <f t="shared" si="161"/>
        <v>449999.98946067988</v>
      </c>
      <c r="I88" s="113">
        <f t="shared" si="161"/>
        <v>449999.93265756592</v>
      </c>
      <c r="J88" s="113">
        <f t="shared" si="161"/>
        <v>449999.95549864543</v>
      </c>
      <c r="K88" s="113">
        <f t="shared" ref="K88:V88" si="172">IF(K20=0,0,K20/K31*1000000)</f>
        <v>140515.75532943645</v>
      </c>
      <c r="L88" s="113">
        <f t="shared" si="172"/>
        <v>152170.59450097522</v>
      </c>
      <c r="M88" s="113">
        <f t="shared" si="172"/>
        <v>162877.63343595975</v>
      </c>
      <c r="N88" s="113">
        <f t="shared" si="172"/>
        <v>174486.31526256268</v>
      </c>
      <c r="O88" s="113">
        <f t="shared" si="172"/>
        <v>196285.16776511818</v>
      </c>
      <c r="P88" s="113">
        <f t="shared" si="172"/>
        <v>130833.33584748549</v>
      </c>
      <c r="Q88" s="113">
        <f t="shared" si="172"/>
        <v>449999.95787010348</v>
      </c>
      <c r="R88" s="113">
        <f t="shared" si="172"/>
        <v>164911.02765728533</v>
      </c>
      <c r="S88" s="113">
        <f t="shared" si="172"/>
        <v>187709.76773065951</v>
      </c>
      <c r="T88" s="113">
        <f t="shared" si="172"/>
        <v>178992.56918470925</v>
      </c>
      <c r="U88" s="113">
        <f t="shared" si="172"/>
        <v>207444.57362722576</v>
      </c>
      <c r="V88" s="113">
        <f t="shared" si="172"/>
        <v>79247.759053878341</v>
      </c>
      <c r="W88" s="113">
        <f t="shared" ref="W88:Y88" si="173">IF(W20=0,0,W20/W31*1000000)</f>
        <v>76904.252674781193</v>
      </c>
      <c r="X88" s="113">
        <f t="shared" si="173"/>
        <v>100193.57136017187</v>
      </c>
      <c r="Y88" s="113">
        <f t="shared" si="173"/>
        <v>218714.0010032916</v>
      </c>
      <c r="DA88" s="204" t="s">
        <v>1089</v>
      </c>
    </row>
    <row r="89" spans="1:105" ht="11.45" customHeight="1" x14ac:dyDescent="0.25">
      <c r="A89" s="27" t="s">
        <v>34</v>
      </c>
      <c r="B89" s="28">
        <f t="shared" si="161"/>
        <v>199999.99974180263</v>
      </c>
      <c r="C89" s="28">
        <f t="shared" si="161"/>
        <v>199999.99916065153</v>
      </c>
      <c r="D89" s="28">
        <f t="shared" si="161"/>
        <v>194320.58304833306</v>
      </c>
      <c r="E89" s="28">
        <f t="shared" si="161"/>
        <v>199999.99543840587</v>
      </c>
      <c r="F89" s="28">
        <f t="shared" si="161"/>
        <v>199999.99772843026</v>
      </c>
      <c r="G89" s="28">
        <f t="shared" si="161"/>
        <v>199999.996662569</v>
      </c>
      <c r="H89" s="28">
        <f t="shared" si="161"/>
        <v>199999.9969886521</v>
      </c>
      <c r="I89" s="28">
        <f t="shared" si="161"/>
        <v>199999.99767419114</v>
      </c>
      <c r="J89" s="28">
        <f t="shared" si="161"/>
        <v>199999.99762139935</v>
      </c>
      <c r="K89" s="28">
        <f t="shared" ref="K89:V89" si="174">IF(K21=0,0,K21/K32*1000000)</f>
        <v>178691.29739695127</v>
      </c>
      <c r="L89" s="28">
        <f t="shared" si="174"/>
        <v>199999.99856592281</v>
      </c>
      <c r="M89" s="28">
        <f t="shared" si="174"/>
        <v>199999.99524268851</v>
      </c>
      <c r="N89" s="28">
        <f t="shared" si="174"/>
        <v>195664.48290825353</v>
      </c>
      <c r="O89" s="28">
        <f t="shared" si="174"/>
        <v>199820.78953487132</v>
      </c>
      <c r="P89" s="28">
        <f t="shared" si="174"/>
        <v>199999.9958239595</v>
      </c>
      <c r="Q89" s="28">
        <f t="shared" si="174"/>
        <v>199999.99517158372</v>
      </c>
      <c r="R89" s="28">
        <f t="shared" si="174"/>
        <v>199999.99951611264</v>
      </c>
      <c r="S89" s="28">
        <f t="shared" si="174"/>
        <v>199999.99739116238</v>
      </c>
      <c r="T89" s="28">
        <f t="shared" si="174"/>
        <v>198338.69848049252</v>
      </c>
      <c r="U89" s="28">
        <f t="shared" si="174"/>
        <v>199271.12878736079</v>
      </c>
      <c r="V89" s="28">
        <f t="shared" si="174"/>
        <v>199999.99710776538</v>
      </c>
      <c r="W89" s="28">
        <f t="shared" ref="W89:Y89" si="175">IF(W21=0,0,W21/W32*1000000)</f>
        <v>199999.99767939741</v>
      </c>
      <c r="X89" s="28">
        <f t="shared" si="175"/>
        <v>199999.99734141113</v>
      </c>
      <c r="Y89" s="28">
        <f t="shared" si="175"/>
        <v>178661.50033513687</v>
      </c>
      <c r="DA89" s="173" t="s">
        <v>1090</v>
      </c>
    </row>
    <row r="90" spans="1:105" ht="11.45" customHeight="1" x14ac:dyDescent="0.25">
      <c r="A90" s="83" t="s">
        <v>92</v>
      </c>
      <c r="B90" s="84">
        <f t="shared" si="161"/>
        <v>199999.99965213929</v>
      </c>
      <c r="C90" s="84">
        <f t="shared" si="161"/>
        <v>199999.99818893915</v>
      </c>
      <c r="D90" s="84">
        <f t="shared" si="161"/>
        <v>199999.99749850345</v>
      </c>
      <c r="E90" s="84">
        <f t="shared" si="161"/>
        <v>199999.99244360215</v>
      </c>
      <c r="F90" s="84">
        <f t="shared" si="161"/>
        <v>199999.99717603062</v>
      </c>
      <c r="G90" s="84">
        <f t="shared" si="161"/>
        <v>199999.99655579744</v>
      </c>
      <c r="H90" s="84">
        <f t="shared" si="161"/>
        <v>199999.99999632328</v>
      </c>
      <c r="I90" s="84">
        <f t="shared" si="161"/>
        <v>199999.99539512632</v>
      </c>
      <c r="J90" s="84">
        <f t="shared" si="161"/>
        <v>199999.99262348196</v>
      </c>
      <c r="K90" s="84">
        <f t="shared" ref="K90:V90" si="176">IF(K22=0,0,K22/K33*1000000)</f>
        <v>170010.17881078512</v>
      </c>
      <c r="L90" s="84">
        <f t="shared" si="176"/>
        <v>199999.99937909318</v>
      </c>
      <c r="M90" s="84">
        <f t="shared" si="176"/>
        <v>199999.99080698608</v>
      </c>
      <c r="N90" s="84">
        <f t="shared" si="176"/>
        <v>181578.53751443894</v>
      </c>
      <c r="O90" s="84">
        <f t="shared" si="176"/>
        <v>199165.52664978922</v>
      </c>
      <c r="P90" s="84">
        <f t="shared" si="176"/>
        <v>199999.99190854901</v>
      </c>
      <c r="Q90" s="84">
        <f t="shared" si="176"/>
        <v>199999.99227601817</v>
      </c>
      <c r="R90" s="84">
        <f t="shared" si="176"/>
        <v>199999.99808807476</v>
      </c>
      <c r="S90" s="84">
        <f t="shared" si="176"/>
        <v>199999.99511587093</v>
      </c>
      <c r="T90" s="84">
        <f t="shared" si="176"/>
        <v>191142.33442421624</v>
      </c>
      <c r="U90" s="84">
        <f t="shared" si="176"/>
        <v>195521.27245735476</v>
      </c>
      <c r="V90" s="84">
        <f t="shared" si="176"/>
        <v>199999.99728699707</v>
      </c>
      <c r="W90" s="84">
        <f t="shared" ref="W90:Y90" si="177">IF(W22=0,0,W22/W33*1000000)</f>
        <v>199999.99611921137</v>
      </c>
      <c r="X90" s="84">
        <f t="shared" si="177"/>
        <v>199999.98755999634</v>
      </c>
      <c r="Y90" s="84">
        <f t="shared" si="177"/>
        <v>199999.99896427413</v>
      </c>
      <c r="DA90" s="171" t="s">
        <v>1091</v>
      </c>
    </row>
    <row r="91" spans="1:105" ht="11.45" customHeight="1" x14ac:dyDescent="0.25">
      <c r="A91" s="85" t="s">
        <v>93</v>
      </c>
      <c r="B91" s="86">
        <f t="shared" si="161"/>
        <v>199999.99979391351</v>
      </c>
      <c r="C91" s="86">
        <f t="shared" si="161"/>
        <v>199999.99964906447</v>
      </c>
      <c r="D91" s="86">
        <f t="shared" si="161"/>
        <v>191474.82198228352</v>
      </c>
      <c r="E91" s="86">
        <f t="shared" si="161"/>
        <v>199999.9971739809</v>
      </c>
      <c r="F91" s="86">
        <f t="shared" si="161"/>
        <v>199999.99800969355</v>
      </c>
      <c r="G91" s="86">
        <f t="shared" si="161"/>
        <v>199999.99670849316</v>
      </c>
      <c r="H91" s="86">
        <f t="shared" si="161"/>
        <v>199999.99557074916</v>
      </c>
      <c r="I91" s="86">
        <f t="shared" si="161"/>
        <v>199999.99867325433</v>
      </c>
      <c r="J91" s="86">
        <f t="shared" si="161"/>
        <v>199999.99977252461</v>
      </c>
      <c r="K91" s="86">
        <f t="shared" ref="K91:V91" si="178">IF(K23=0,0,K23/K34*1000000)</f>
        <v>182339.06060787285</v>
      </c>
      <c r="L91" s="86">
        <f t="shared" si="178"/>
        <v>199999.99825739086</v>
      </c>
      <c r="M91" s="86">
        <f t="shared" si="178"/>
        <v>199999.99678219654</v>
      </c>
      <c r="N91" s="86">
        <f t="shared" si="178"/>
        <v>199999.99866122787</v>
      </c>
      <c r="O91" s="86">
        <f t="shared" si="178"/>
        <v>199999.9989115611</v>
      </c>
      <c r="P91" s="86">
        <f t="shared" si="178"/>
        <v>199999.99701303404</v>
      </c>
      <c r="Q91" s="86">
        <f t="shared" si="178"/>
        <v>199999.99602470413</v>
      </c>
      <c r="R91" s="86">
        <f t="shared" si="178"/>
        <v>199999.9999582016</v>
      </c>
      <c r="S91" s="86">
        <f t="shared" si="178"/>
        <v>199999.99806962634</v>
      </c>
      <c r="T91" s="86">
        <f t="shared" si="178"/>
        <v>199999.99889290438</v>
      </c>
      <c r="U91" s="86">
        <f t="shared" si="178"/>
        <v>199999.99791019387</v>
      </c>
      <c r="V91" s="86">
        <f t="shared" si="178"/>
        <v>199999.99706408894</v>
      </c>
      <c r="W91" s="86">
        <f t="shared" ref="W91:Y91" si="179">IF(W23=0,0,W23/W34*1000000)</f>
        <v>199999.99804153078</v>
      </c>
      <c r="X91" s="86">
        <f t="shared" si="179"/>
        <v>199999.99945657534</v>
      </c>
      <c r="Y91" s="86">
        <f t="shared" si="179"/>
        <v>173603.53347734016</v>
      </c>
      <c r="DA91" s="178" t="s">
        <v>1092</v>
      </c>
    </row>
    <row r="92" spans="1:105" x14ac:dyDescent="0.25">
      <c r="A92" s="106"/>
      <c r="B92" s="106"/>
      <c r="C92" s="106"/>
      <c r="D92" s="106"/>
      <c r="E92" s="106"/>
      <c r="F92" s="106"/>
      <c r="G92" s="106"/>
      <c r="H92" s="106"/>
      <c r="I92" s="106"/>
      <c r="J92" s="106"/>
      <c r="K92" s="106"/>
      <c r="L92" s="106"/>
      <c r="M92" s="106"/>
      <c r="N92" s="106"/>
      <c r="O92" s="106"/>
      <c r="P92" s="106"/>
      <c r="Q92" s="106"/>
      <c r="R92" s="106"/>
      <c r="S92" s="106"/>
      <c r="T92" s="106"/>
      <c r="U92" s="106"/>
      <c r="V92" s="106"/>
      <c r="W92" s="106"/>
      <c r="X92" s="106"/>
      <c r="Y92" s="106"/>
      <c r="DA92" s="171"/>
    </row>
    <row r="93" spans="1:105" ht="11.45" customHeight="1" x14ac:dyDescent="0.25">
      <c r="A93" s="53" t="s">
        <v>106</v>
      </c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DA93" s="172"/>
    </row>
    <row r="94" spans="1:105" ht="11.45" customHeight="1" x14ac:dyDescent="0.25">
      <c r="A94" s="27" t="s">
        <v>107</v>
      </c>
      <c r="B94" s="28">
        <f t="shared" ref="B94:J102" si="180">IF(B4=0,0,B4/B26*1000000)</f>
        <v>19628925.033288069</v>
      </c>
      <c r="C94" s="28">
        <f t="shared" si="180"/>
        <v>19844315.930185057</v>
      </c>
      <c r="D94" s="28">
        <f t="shared" si="180"/>
        <v>19588391.027649865</v>
      </c>
      <c r="E94" s="28">
        <f t="shared" si="180"/>
        <v>18753418.920407724</v>
      </c>
      <c r="F94" s="28">
        <f t="shared" si="180"/>
        <v>18926441.902818985</v>
      </c>
      <c r="G94" s="28">
        <f t="shared" si="180"/>
        <v>20278766.531933937</v>
      </c>
      <c r="H94" s="28">
        <f t="shared" si="180"/>
        <v>21014796.217683848</v>
      </c>
      <c r="I94" s="28">
        <f t="shared" si="180"/>
        <v>22104870.650516432</v>
      </c>
      <c r="J94" s="28">
        <f t="shared" si="180"/>
        <v>21507958.284541998</v>
      </c>
      <c r="K94" s="28">
        <f t="shared" ref="K94:V94" si="181">IF(K4=0,0,K4/K26*1000000)</f>
        <v>20063561.839844745</v>
      </c>
      <c r="L94" s="28">
        <f t="shared" si="181"/>
        <v>19599743.616994098</v>
      </c>
      <c r="M94" s="28">
        <f t="shared" si="181"/>
        <v>20467108.306187518</v>
      </c>
      <c r="N94" s="28">
        <f t="shared" si="181"/>
        <v>20454346.614190418</v>
      </c>
      <c r="O94" s="28">
        <f t="shared" si="181"/>
        <v>21381165.475544114</v>
      </c>
      <c r="P94" s="28">
        <f t="shared" si="181"/>
        <v>22503668.518056501</v>
      </c>
      <c r="Q94" s="28">
        <f t="shared" si="181"/>
        <v>20159993.874568701</v>
      </c>
      <c r="R94" s="28">
        <f t="shared" si="181"/>
        <v>19202644.955986954</v>
      </c>
      <c r="S94" s="28">
        <f t="shared" si="181"/>
        <v>19387977.848171152</v>
      </c>
      <c r="T94" s="28">
        <f t="shared" si="181"/>
        <v>19336295.233505119</v>
      </c>
      <c r="U94" s="28">
        <f t="shared" si="181"/>
        <v>19533475.213274397</v>
      </c>
      <c r="V94" s="28">
        <f t="shared" si="181"/>
        <v>9969875.7930643223</v>
      </c>
      <c r="W94" s="28">
        <f t="shared" ref="W94:Y94" si="182">IF(W4=0,0,W4/W26*1000000)</f>
        <v>12247419.857811842</v>
      </c>
      <c r="X94" s="28">
        <f t="shared" si="182"/>
        <v>18470283.255196158</v>
      </c>
      <c r="Y94" s="28">
        <f t="shared" si="182"/>
        <v>20577276.249406144</v>
      </c>
      <c r="DA94" s="173" t="s">
        <v>1093</v>
      </c>
    </row>
    <row r="95" spans="1:105" ht="11.45" customHeight="1" x14ac:dyDescent="0.25">
      <c r="A95" s="107" t="s">
        <v>23</v>
      </c>
      <c r="B95" s="108">
        <f t="shared" si="180"/>
        <v>9266441.4227630645</v>
      </c>
      <c r="C95" s="108">
        <f t="shared" si="180"/>
        <v>9279482.4605029244</v>
      </c>
      <c r="D95" s="108">
        <f t="shared" si="180"/>
        <v>9281356.0247965772</v>
      </c>
      <c r="E95" s="108">
        <f t="shared" si="180"/>
        <v>9362852.1454674955</v>
      </c>
      <c r="F95" s="108">
        <f t="shared" si="180"/>
        <v>9356306.7071859986</v>
      </c>
      <c r="G95" s="108">
        <f t="shared" si="180"/>
        <v>9470782.6101337634</v>
      </c>
      <c r="H95" s="108">
        <f t="shared" si="180"/>
        <v>9571107.9185147751</v>
      </c>
      <c r="I95" s="108">
        <f t="shared" si="180"/>
        <v>9369273.9955118112</v>
      </c>
      <c r="J95" s="108">
        <f t="shared" si="180"/>
        <v>9419694.0927076526</v>
      </c>
      <c r="K95" s="108">
        <f t="shared" ref="K95:V95" si="183">IF(K5=0,0,K5/K27*1000000)</f>
        <v>9484960.0595773701</v>
      </c>
      <c r="L95" s="108">
        <f t="shared" si="183"/>
        <v>9599261.3319311328</v>
      </c>
      <c r="M95" s="108">
        <f t="shared" si="183"/>
        <v>9676883.589499129</v>
      </c>
      <c r="N95" s="108">
        <f t="shared" si="183"/>
        <v>9630994.6842027418</v>
      </c>
      <c r="O95" s="108">
        <f t="shared" si="183"/>
        <v>9782444.9581182748</v>
      </c>
      <c r="P95" s="108">
        <f t="shared" si="183"/>
        <v>9867297.7973013483</v>
      </c>
      <c r="Q95" s="108">
        <f t="shared" si="183"/>
        <v>9496068.9215030577</v>
      </c>
      <c r="R95" s="108">
        <f t="shared" si="183"/>
        <v>9513099.858995039</v>
      </c>
      <c r="S95" s="108">
        <f t="shared" si="183"/>
        <v>9528615.8420018759</v>
      </c>
      <c r="T95" s="108">
        <f t="shared" si="183"/>
        <v>9542826.3889378477</v>
      </c>
      <c r="U95" s="108">
        <f t="shared" si="183"/>
        <v>9555646.3521324154</v>
      </c>
      <c r="V95" s="108">
        <f t="shared" si="183"/>
        <v>4569596.5132144373</v>
      </c>
      <c r="W95" s="108">
        <f t="shared" ref="W95:Y95" si="184">IF(W5=0,0,W5/W27*1000000)</f>
        <v>5941946.400124182</v>
      </c>
      <c r="X95" s="108">
        <f t="shared" si="184"/>
        <v>9178428.0961303953</v>
      </c>
      <c r="Y95" s="108">
        <f t="shared" si="184"/>
        <v>10239935.775187884</v>
      </c>
      <c r="DA95" s="203" t="s">
        <v>1094</v>
      </c>
    </row>
    <row r="96" spans="1:105" ht="11.45" customHeight="1" x14ac:dyDescent="0.25">
      <c r="A96" s="109" t="s">
        <v>24</v>
      </c>
      <c r="B96" s="110">
        <f t="shared" si="180"/>
        <v>20550147.166547105</v>
      </c>
      <c r="C96" s="110">
        <f t="shared" si="180"/>
        <v>20746673.161534857</v>
      </c>
      <c r="D96" s="110">
        <f t="shared" si="180"/>
        <v>20408499.167649202</v>
      </c>
      <c r="E96" s="110">
        <f t="shared" si="180"/>
        <v>18926061.974010088</v>
      </c>
      <c r="F96" s="110">
        <f t="shared" si="180"/>
        <v>19178889.145975046</v>
      </c>
      <c r="G96" s="110">
        <f t="shared" si="180"/>
        <v>20666977.067537364</v>
      </c>
      <c r="H96" s="110">
        <f t="shared" si="180"/>
        <v>21460120.305581689</v>
      </c>
      <c r="I96" s="110">
        <f t="shared" si="180"/>
        <v>22711149.340611219</v>
      </c>
      <c r="J96" s="110">
        <f t="shared" si="180"/>
        <v>21981922.269388884</v>
      </c>
      <c r="K96" s="110">
        <f t="shared" ref="K96:V96" si="185">IF(K6=0,0,K6/K28*1000000)</f>
        <v>21083774.243572712</v>
      </c>
      <c r="L96" s="110">
        <f t="shared" si="185"/>
        <v>20500726.069952205</v>
      </c>
      <c r="M96" s="110">
        <f t="shared" si="185"/>
        <v>21488958.444123134</v>
      </c>
      <c r="N96" s="110">
        <f t="shared" si="185"/>
        <v>21335669.193099149</v>
      </c>
      <c r="O96" s="110">
        <f t="shared" si="185"/>
        <v>22313406.894014262</v>
      </c>
      <c r="P96" s="110">
        <f t="shared" si="185"/>
        <v>23686725.020003822</v>
      </c>
      <c r="Q96" s="110">
        <f t="shared" si="185"/>
        <v>20377876.983677574</v>
      </c>
      <c r="R96" s="110">
        <f t="shared" si="185"/>
        <v>20012298.878370237</v>
      </c>
      <c r="S96" s="110">
        <f t="shared" si="185"/>
        <v>20094702.148172714</v>
      </c>
      <c r="T96" s="110">
        <f t="shared" si="185"/>
        <v>20203623.453030527</v>
      </c>
      <c r="U96" s="110">
        <f t="shared" si="185"/>
        <v>20346535.921792485</v>
      </c>
      <c r="V96" s="110">
        <f t="shared" si="185"/>
        <v>10515801.092363799</v>
      </c>
      <c r="W96" s="110">
        <f t="shared" ref="W96:Y96" si="186">IF(W6=0,0,W6/W28*1000000)</f>
        <v>12880115.586999116</v>
      </c>
      <c r="X96" s="110">
        <f t="shared" si="186"/>
        <v>19295455.101168383</v>
      </c>
      <c r="Y96" s="110">
        <f t="shared" si="186"/>
        <v>21135859.087476678</v>
      </c>
      <c r="DA96" s="176" t="s">
        <v>1095</v>
      </c>
    </row>
    <row r="97" spans="1:105" ht="11.45" customHeight="1" x14ac:dyDescent="0.25">
      <c r="A97" s="111" t="s">
        <v>92</v>
      </c>
      <c r="B97" s="84">
        <f t="shared" si="180"/>
        <v>15423071.464113146</v>
      </c>
      <c r="C97" s="84">
        <f t="shared" si="180"/>
        <v>15460311.919745378</v>
      </c>
      <c r="D97" s="84">
        <f t="shared" si="180"/>
        <v>14818800.018839248</v>
      </c>
      <c r="E97" s="84">
        <f t="shared" si="180"/>
        <v>15109450.767588761</v>
      </c>
      <c r="F97" s="84">
        <f t="shared" si="180"/>
        <v>16116538.546252783</v>
      </c>
      <c r="G97" s="84">
        <f t="shared" si="180"/>
        <v>17238285.291262094</v>
      </c>
      <c r="H97" s="84">
        <f t="shared" si="180"/>
        <v>18685836.618619379</v>
      </c>
      <c r="I97" s="84">
        <f t="shared" si="180"/>
        <v>20728446.479227427</v>
      </c>
      <c r="J97" s="84">
        <f t="shared" si="180"/>
        <v>18860630.003968243</v>
      </c>
      <c r="K97" s="84">
        <f t="shared" ref="K97:V97" si="187">IF(K7=0,0,K7/K29*1000000)</f>
        <v>17407865.900233753</v>
      </c>
      <c r="L97" s="84">
        <f t="shared" si="187"/>
        <v>17199675.283193134</v>
      </c>
      <c r="M97" s="84">
        <f t="shared" si="187"/>
        <v>17967291.94132451</v>
      </c>
      <c r="N97" s="84">
        <f t="shared" si="187"/>
        <v>17247023.225267418</v>
      </c>
      <c r="O97" s="84">
        <f t="shared" si="187"/>
        <v>18723124.230209954</v>
      </c>
      <c r="P97" s="84">
        <f t="shared" si="187"/>
        <v>20316408.347500052</v>
      </c>
      <c r="Q97" s="84">
        <f t="shared" si="187"/>
        <v>17145221.795048088</v>
      </c>
      <c r="R97" s="84">
        <f t="shared" si="187"/>
        <v>17441470.8456362</v>
      </c>
      <c r="S97" s="84">
        <f t="shared" si="187"/>
        <v>16811923.418889247</v>
      </c>
      <c r="T97" s="84">
        <f t="shared" si="187"/>
        <v>15639795.934680587</v>
      </c>
      <c r="U97" s="84">
        <f t="shared" si="187"/>
        <v>16040349.892278692</v>
      </c>
      <c r="V97" s="84">
        <f t="shared" si="187"/>
        <v>9040141.5115115345</v>
      </c>
      <c r="W97" s="84">
        <f t="shared" ref="W97:Y97" si="188">IF(W7=0,0,W7/W29*1000000)</f>
        <v>11824520.139815504</v>
      </c>
      <c r="X97" s="84">
        <f t="shared" si="188"/>
        <v>16824439.714078907</v>
      </c>
      <c r="Y97" s="84">
        <f t="shared" si="188"/>
        <v>17331865.010709669</v>
      </c>
      <c r="DA97" s="171" t="s">
        <v>1096</v>
      </c>
    </row>
    <row r="98" spans="1:105" ht="11.45" customHeight="1" x14ac:dyDescent="0.25">
      <c r="A98" s="111" t="s">
        <v>93</v>
      </c>
      <c r="B98" s="84">
        <f t="shared" si="180"/>
        <v>21071270.855643895</v>
      </c>
      <c r="C98" s="84">
        <f t="shared" si="180"/>
        <v>21282779.055513546</v>
      </c>
      <c r="D98" s="84">
        <f t="shared" si="180"/>
        <v>20982942.024557412</v>
      </c>
      <c r="E98" s="84">
        <f t="shared" si="180"/>
        <v>19294185.342456523</v>
      </c>
      <c r="F98" s="84">
        <f t="shared" si="180"/>
        <v>19454684.687260371</v>
      </c>
      <c r="G98" s="84">
        <f t="shared" si="180"/>
        <v>20977559.725236174</v>
      </c>
      <c r="H98" s="84">
        <f t="shared" si="180"/>
        <v>21702011.852213994</v>
      </c>
      <c r="I98" s="84">
        <f t="shared" si="180"/>
        <v>22876568.81149042</v>
      </c>
      <c r="J98" s="84">
        <f t="shared" si="180"/>
        <v>22258781.232083946</v>
      </c>
      <c r="K98" s="84">
        <f t="shared" ref="K98:V98" si="189">IF(K8=0,0,K8/K30*1000000)</f>
        <v>21388644.751370274</v>
      </c>
      <c r="L98" s="84">
        <f t="shared" si="189"/>
        <v>20787051.021196444</v>
      </c>
      <c r="M98" s="84">
        <f t="shared" si="189"/>
        <v>21794635.669491112</v>
      </c>
      <c r="N98" s="84">
        <f t="shared" si="189"/>
        <v>21643728.931539103</v>
      </c>
      <c r="O98" s="84">
        <f t="shared" si="189"/>
        <v>22581179.05013331</v>
      </c>
      <c r="P98" s="84">
        <f t="shared" si="189"/>
        <v>23949447.918754913</v>
      </c>
      <c r="Q98" s="84">
        <f t="shared" si="189"/>
        <v>20647922.025847659</v>
      </c>
      <c r="R98" s="84">
        <f t="shared" si="189"/>
        <v>20208308.237847984</v>
      </c>
      <c r="S98" s="84">
        <f t="shared" si="189"/>
        <v>20355109.73496002</v>
      </c>
      <c r="T98" s="84">
        <f t="shared" si="189"/>
        <v>20520147.944139246</v>
      </c>
      <c r="U98" s="84">
        <f t="shared" si="189"/>
        <v>20606323.392446943</v>
      </c>
      <c r="V98" s="84">
        <f t="shared" si="189"/>
        <v>10599998.67278222</v>
      </c>
      <c r="W98" s="84">
        <f t="shared" ref="W98:Y98" si="190">IF(W8=0,0,W8/W30*1000000)</f>
        <v>12933162.131506806</v>
      </c>
      <c r="X98" s="84">
        <f t="shared" si="190"/>
        <v>19427917.039756857</v>
      </c>
      <c r="Y98" s="84">
        <f t="shared" si="190"/>
        <v>21381113.020964768</v>
      </c>
      <c r="DA98" s="171" t="s">
        <v>1097</v>
      </c>
    </row>
    <row r="99" spans="1:105" ht="11.45" customHeight="1" x14ac:dyDescent="0.25">
      <c r="A99" s="112" t="s">
        <v>25</v>
      </c>
      <c r="B99" s="113">
        <f t="shared" si="180"/>
        <v>130277086.68153132</v>
      </c>
      <c r="C99" s="113">
        <f t="shared" si="180"/>
        <v>130277074.09968995</v>
      </c>
      <c r="D99" s="113">
        <f t="shared" si="180"/>
        <v>130277114.32951036</v>
      </c>
      <c r="E99" s="113">
        <f t="shared" si="180"/>
        <v>130277105.68220076</v>
      </c>
      <c r="F99" s="113">
        <f t="shared" si="180"/>
        <v>130277115.48620133</v>
      </c>
      <c r="G99" s="113">
        <f t="shared" si="180"/>
        <v>130277099.58043948</v>
      </c>
      <c r="H99" s="113">
        <f t="shared" si="180"/>
        <v>131330469.0271512</v>
      </c>
      <c r="I99" s="113">
        <f t="shared" si="180"/>
        <v>132143644.10545196</v>
      </c>
      <c r="J99" s="113">
        <f t="shared" si="180"/>
        <v>131735769.95379068</v>
      </c>
      <c r="K99" s="113">
        <f t="shared" ref="K99:V99" si="191">IF(K9=0,0,K9/K31*1000000)</f>
        <v>41110962.954249196</v>
      </c>
      <c r="L99" s="113">
        <f t="shared" si="191"/>
        <v>44476488.323751375</v>
      </c>
      <c r="M99" s="113">
        <f t="shared" si="191"/>
        <v>48250774.939085372</v>
      </c>
      <c r="N99" s="113">
        <f t="shared" si="191"/>
        <v>51969683.068341412</v>
      </c>
      <c r="O99" s="113">
        <f t="shared" si="191"/>
        <v>59046799.224290974</v>
      </c>
      <c r="P99" s="113">
        <f t="shared" si="191"/>
        <v>39927879.031065866</v>
      </c>
      <c r="Q99" s="113">
        <f t="shared" si="191"/>
        <v>139871256.65336391</v>
      </c>
      <c r="R99" s="113">
        <f t="shared" si="191"/>
        <v>51890107.840438917</v>
      </c>
      <c r="S99" s="113">
        <f t="shared" si="191"/>
        <v>59447058.867557995</v>
      </c>
      <c r="T99" s="113">
        <f t="shared" si="191"/>
        <v>57574971.358273745</v>
      </c>
      <c r="U99" s="113">
        <f t="shared" si="191"/>
        <v>66726878.324718371</v>
      </c>
      <c r="V99" s="113">
        <f t="shared" si="191"/>
        <v>21085234.593422841</v>
      </c>
      <c r="W99" s="113">
        <f t="shared" ref="W99:Y99" si="192">IF(W9=0,0,W9/W31*1000000)</f>
        <v>21665333.920367926</v>
      </c>
      <c r="X99" s="113">
        <f t="shared" si="192"/>
        <v>30244095.953309257</v>
      </c>
      <c r="Y99" s="113">
        <f t="shared" si="192"/>
        <v>70329068.466592908</v>
      </c>
      <c r="DA99" s="204" t="s">
        <v>1098</v>
      </c>
    </row>
    <row r="100" spans="1:105" ht="11.45" customHeight="1" x14ac:dyDescent="0.25">
      <c r="A100" s="27" t="s">
        <v>108</v>
      </c>
      <c r="B100" s="28">
        <f t="shared" si="180"/>
        <v>109305507.56418528</v>
      </c>
      <c r="C100" s="28">
        <f t="shared" si="180"/>
        <v>102409485.50862843</v>
      </c>
      <c r="D100" s="28">
        <f t="shared" si="180"/>
        <v>106037410.1774991</v>
      </c>
      <c r="E100" s="28">
        <f t="shared" si="180"/>
        <v>122879101.48502725</v>
      </c>
      <c r="F100" s="28">
        <f t="shared" si="180"/>
        <v>123023898.30474503</v>
      </c>
      <c r="G100" s="28">
        <f t="shared" si="180"/>
        <v>114188998.38745275</v>
      </c>
      <c r="H100" s="28">
        <f t="shared" si="180"/>
        <v>122002239.68875442</v>
      </c>
      <c r="I100" s="28">
        <f t="shared" si="180"/>
        <v>122302319.46959031</v>
      </c>
      <c r="J100" s="28">
        <f t="shared" si="180"/>
        <v>118341562.96332018</v>
      </c>
      <c r="K100" s="28">
        <f t="shared" ref="K100:V100" si="193">IF(K10=0,0,K10/K32*1000000)</f>
        <v>101642558.69051439</v>
      </c>
      <c r="L100" s="28">
        <f t="shared" si="193"/>
        <v>104056256.90448388</v>
      </c>
      <c r="M100" s="28">
        <f t="shared" si="193"/>
        <v>103275941.02428846</v>
      </c>
      <c r="N100" s="28">
        <f t="shared" si="193"/>
        <v>100446716.41041443</v>
      </c>
      <c r="O100" s="28">
        <f t="shared" si="193"/>
        <v>101418749.52350459</v>
      </c>
      <c r="P100" s="28">
        <f t="shared" si="193"/>
        <v>104656368.64285509</v>
      </c>
      <c r="Q100" s="28">
        <f t="shared" si="193"/>
        <v>104425793.27624255</v>
      </c>
      <c r="R100" s="28">
        <f t="shared" si="193"/>
        <v>106608938.69958736</v>
      </c>
      <c r="S100" s="28">
        <f t="shared" si="193"/>
        <v>104957157.2090238</v>
      </c>
      <c r="T100" s="28">
        <f t="shared" si="193"/>
        <v>104273131.64240116</v>
      </c>
      <c r="U100" s="28">
        <f t="shared" si="193"/>
        <v>103693649.82431835</v>
      </c>
      <c r="V100" s="28">
        <f t="shared" si="193"/>
        <v>95888881.805724189</v>
      </c>
      <c r="W100" s="28">
        <f t="shared" ref="W100:Y100" si="194">IF(W10=0,0,W10/W32*1000000)</f>
        <v>100242277.27248183</v>
      </c>
      <c r="X100" s="28">
        <f t="shared" si="194"/>
        <v>102576136.19366375</v>
      </c>
      <c r="Y100" s="28">
        <f t="shared" si="194"/>
        <v>95601807.414524585</v>
      </c>
      <c r="DA100" s="173" t="s">
        <v>1099</v>
      </c>
    </row>
    <row r="101" spans="1:105" ht="11.45" customHeight="1" x14ac:dyDescent="0.25">
      <c r="A101" s="83" t="s">
        <v>92</v>
      </c>
      <c r="B101" s="84">
        <f t="shared" si="180"/>
        <v>120313113.49837299</v>
      </c>
      <c r="C101" s="84">
        <f t="shared" si="180"/>
        <v>121538775.97288086</v>
      </c>
      <c r="D101" s="84">
        <f t="shared" si="180"/>
        <v>124417667.27747677</v>
      </c>
      <c r="E101" s="84">
        <f t="shared" si="180"/>
        <v>129344740.90582736</v>
      </c>
      <c r="F101" s="84">
        <f t="shared" si="180"/>
        <v>139890363.88799685</v>
      </c>
      <c r="G101" s="84">
        <f t="shared" si="180"/>
        <v>144970926.38171616</v>
      </c>
      <c r="H101" s="84">
        <f t="shared" si="180"/>
        <v>145686148.539547</v>
      </c>
      <c r="I101" s="84">
        <f t="shared" si="180"/>
        <v>155370606.53920859</v>
      </c>
      <c r="J101" s="84">
        <f t="shared" si="180"/>
        <v>150079726.06566921</v>
      </c>
      <c r="K101" s="84">
        <f t="shared" ref="K101:V101" si="195">IF(K11=0,0,K11/K33*1000000)</f>
        <v>118311041.69546831</v>
      </c>
      <c r="L101" s="84">
        <f t="shared" si="195"/>
        <v>135761013.19400173</v>
      </c>
      <c r="M101" s="84">
        <f t="shared" si="195"/>
        <v>141494469.57993001</v>
      </c>
      <c r="N101" s="84">
        <f t="shared" si="195"/>
        <v>129497662.72273697</v>
      </c>
      <c r="O101" s="84">
        <f t="shared" si="195"/>
        <v>145169211.28535661</v>
      </c>
      <c r="P101" s="84">
        <f t="shared" si="195"/>
        <v>147351497.18669936</v>
      </c>
      <c r="Q101" s="84">
        <f t="shared" si="195"/>
        <v>154836121.59561649</v>
      </c>
      <c r="R101" s="84">
        <f t="shared" si="195"/>
        <v>146793820.9320502</v>
      </c>
      <c r="S101" s="84">
        <f t="shared" si="195"/>
        <v>148121314.2082099</v>
      </c>
      <c r="T101" s="84">
        <f t="shared" si="195"/>
        <v>146262180.06041157</v>
      </c>
      <c r="U101" s="84">
        <f t="shared" si="195"/>
        <v>148173503.2081767</v>
      </c>
      <c r="V101" s="84">
        <f t="shared" si="195"/>
        <v>125020840.07535855</v>
      </c>
      <c r="W101" s="84">
        <f t="shared" ref="W101:Y101" si="196">IF(W11=0,0,W11/W33*1000000)</f>
        <v>128671384.05001603</v>
      </c>
      <c r="X101" s="84">
        <f t="shared" si="196"/>
        <v>141681791.67444983</v>
      </c>
      <c r="Y101" s="84">
        <f t="shared" si="196"/>
        <v>137397821.70483312</v>
      </c>
      <c r="DA101" s="171" t="s">
        <v>1100</v>
      </c>
    </row>
    <row r="102" spans="1:105" ht="11.45" customHeight="1" x14ac:dyDescent="0.25">
      <c r="A102" s="85" t="s">
        <v>93</v>
      </c>
      <c r="B102" s="86">
        <f t="shared" si="180"/>
        <v>102908061.68370295</v>
      </c>
      <c r="C102" s="86">
        <f t="shared" si="180"/>
        <v>92794506.539903477</v>
      </c>
      <c r="D102" s="86">
        <f t="shared" si="180"/>
        <v>96827689.615984485</v>
      </c>
      <c r="E102" s="86">
        <f t="shared" si="180"/>
        <v>119132077.02446817</v>
      </c>
      <c r="F102" s="86">
        <f t="shared" si="180"/>
        <v>114436061.54228945</v>
      </c>
      <c r="G102" s="86">
        <f t="shared" si="180"/>
        <v>100949198.39559227</v>
      </c>
      <c r="H102" s="86">
        <f t="shared" si="180"/>
        <v>110836962.01851025</v>
      </c>
      <c r="I102" s="86">
        <f t="shared" si="180"/>
        <v>107806325.7912913</v>
      </c>
      <c r="J102" s="86">
        <f t="shared" si="180"/>
        <v>104681320.67255032</v>
      </c>
      <c r="K102" s="86">
        <f t="shared" ref="K102:V102" si="197">IF(K12=0,0,K12/K34*1000000)</f>
        <v>94638544.34791173</v>
      </c>
      <c r="L102" s="86">
        <f t="shared" si="197"/>
        <v>92026883.527858049</v>
      </c>
      <c r="M102" s="86">
        <f t="shared" si="197"/>
        <v>90011360.918128267</v>
      </c>
      <c r="N102" s="86">
        <f t="shared" si="197"/>
        <v>91505120.241001949</v>
      </c>
      <c r="O102" s="86">
        <f t="shared" si="197"/>
        <v>89453333.564916104</v>
      </c>
      <c r="P102" s="86">
        <f t="shared" si="197"/>
        <v>91690246.862842247</v>
      </c>
      <c r="Q102" s="86">
        <f t="shared" si="197"/>
        <v>89573399.444766417</v>
      </c>
      <c r="R102" s="86">
        <f t="shared" si="197"/>
        <v>94168586.791664332</v>
      </c>
      <c r="S102" s="86">
        <f t="shared" si="197"/>
        <v>92086136.216907054</v>
      </c>
      <c r="T102" s="86">
        <f t="shared" si="197"/>
        <v>94579844.461802587</v>
      </c>
      <c r="U102" s="86">
        <f t="shared" si="197"/>
        <v>95047987.466480017</v>
      </c>
      <c r="V102" s="86">
        <f t="shared" si="197"/>
        <v>88789807.601062566</v>
      </c>
      <c r="W102" s="86">
        <f t="shared" ref="W102:Y102" si="198">IF(W12=0,0,W12/W34*1000000)</f>
        <v>93643622.810587093</v>
      </c>
      <c r="X102" s="86">
        <f t="shared" si="198"/>
        <v>94119804.914524943</v>
      </c>
      <c r="Y102" s="86">
        <f t="shared" si="198"/>
        <v>85694697.324796289</v>
      </c>
      <c r="DA102" s="178" t="s">
        <v>1101</v>
      </c>
    </row>
    <row r="103" spans="1:105" x14ac:dyDescent="0.25">
      <c r="A103" s="106"/>
      <c r="B103" s="106"/>
      <c r="C103" s="106"/>
      <c r="D103" s="106"/>
      <c r="E103" s="106"/>
      <c r="F103" s="106"/>
      <c r="G103" s="106"/>
      <c r="H103" s="106"/>
      <c r="I103" s="106"/>
      <c r="J103" s="106"/>
      <c r="K103" s="106"/>
      <c r="L103" s="106"/>
      <c r="M103" s="106"/>
      <c r="N103" s="106"/>
      <c r="O103" s="106"/>
      <c r="P103" s="106"/>
      <c r="Q103" s="106"/>
      <c r="R103" s="106"/>
      <c r="S103" s="106"/>
      <c r="T103" s="106"/>
      <c r="U103" s="106"/>
      <c r="V103" s="106"/>
      <c r="W103" s="106"/>
      <c r="X103" s="106"/>
      <c r="Y103" s="106"/>
      <c r="DA103" s="171"/>
    </row>
    <row r="104" spans="1:105" ht="11.45" customHeight="1" x14ac:dyDescent="0.25">
      <c r="A104" s="53" t="s">
        <v>37</v>
      </c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DA104" s="172"/>
    </row>
    <row r="105" spans="1:105" ht="11.45" customHeight="1" x14ac:dyDescent="0.25">
      <c r="A105" s="27" t="s">
        <v>38</v>
      </c>
      <c r="B105" s="31">
        <f t="shared" ref="B105:J110" si="199">IF(B4=0,0,B4/B$4)</f>
        <v>1</v>
      </c>
      <c r="C105" s="31">
        <f t="shared" si="199"/>
        <v>1</v>
      </c>
      <c r="D105" s="31">
        <f t="shared" si="199"/>
        <v>1</v>
      </c>
      <c r="E105" s="31">
        <f t="shared" si="199"/>
        <v>1</v>
      </c>
      <c r="F105" s="31">
        <f t="shared" si="199"/>
        <v>1</v>
      </c>
      <c r="G105" s="31">
        <f t="shared" si="199"/>
        <v>1</v>
      </c>
      <c r="H105" s="31">
        <f t="shared" si="199"/>
        <v>1</v>
      </c>
      <c r="I105" s="31">
        <f t="shared" si="199"/>
        <v>1</v>
      </c>
      <c r="J105" s="31">
        <f t="shared" si="199"/>
        <v>1</v>
      </c>
      <c r="K105" s="31">
        <f t="shared" ref="K105:V105" si="200">IF(K4=0,0,K4/K$4)</f>
        <v>1</v>
      </c>
      <c r="L105" s="31">
        <f t="shared" si="200"/>
        <v>1</v>
      </c>
      <c r="M105" s="31">
        <f t="shared" si="200"/>
        <v>1</v>
      </c>
      <c r="N105" s="31">
        <f t="shared" si="200"/>
        <v>1</v>
      </c>
      <c r="O105" s="31">
        <f t="shared" si="200"/>
        <v>1</v>
      </c>
      <c r="P105" s="31">
        <f t="shared" si="200"/>
        <v>1</v>
      </c>
      <c r="Q105" s="31">
        <f t="shared" si="200"/>
        <v>1</v>
      </c>
      <c r="R105" s="31">
        <f t="shared" si="200"/>
        <v>1</v>
      </c>
      <c r="S105" s="31">
        <f t="shared" si="200"/>
        <v>1</v>
      </c>
      <c r="T105" s="31">
        <f t="shared" si="200"/>
        <v>1</v>
      </c>
      <c r="U105" s="31">
        <f t="shared" si="200"/>
        <v>1</v>
      </c>
      <c r="V105" s="31">
        <f t="shared" si="200"/>
        <v>1</v>
      </c>
      <c r="W105" s="31">
        <f t="shared" ref="W105:Y105" si="201">IF(W4=0,0,W4/W$4)</f>
        <v>1</v>
      </c>
      <c r="X105" s="31">
        <f t="shared" si="201"/>
        <v>1</v>
      </c>
      <c r="Y105" s="31">
        <f t="shared" si="201"/>
        <v>1</v>
      </c>
      <c r="DA105" s="173"/>
    </row>
    <row r="106" spans="1:105" ht="11.45" customHeight="1" x14ac:dyDescent="0.25">
      <c r="A106" s="107" t="s">
        <v>23</v>
      </c>
      <c r="B106" s="123">
        <f t="shared" si="199"/>
        <v>4.3638315622045426E-2</v>
      </c>
      <c r="C106" s="123">
        <f t="shared" si="199"/>
        <v>4.5415777862242192E-2</v>
      </c>
      <c r="D106" s="123">
        <f t="shared" si="199"/>
        <v>4.4378868621668358E-2</v>
      </c>
      <c r="E106" s="123">
        <f t="shared" si="199"/>
        <v>4.7242190333780916E-2</v>
      </c>
      <c r="F106" s="123">
        <f t="shared" si="199"/>
        <v>4.7732309859548142E-2</v>
      </c>
      <c r="G106" s="123">
        <f t="shared" si="199"/>
        <v>4.6945552167568912E-2</v>
      </c>
      <c r="H106" s="123">
        <f t="shared" si="199"/>
        <v>4.6679062440803269E-2</v>
      </c>
      <c r="I106" s="123">
        <f t="shared" si="199"/>
        <v>4.6436140787050939E-2</v>
      </c>
      <c r="J106" s="123">
        <f t="shared" si="199"/>
        <v>4.8072444364510261E-2</v>
      </c>
      <c r="K106" s="123">
        <f t="shared" ref="K106:V106" si="202">IF(K5=0,0,K5/K$4)</f>
        <v>4.7737287881913282E-2</v>
      </c>
      <c r="L106" s="123">
        <f t="shared" si="202"/>
        <v>4.8097818273130755E-2</v>
      </c>
      <c r="M106" s="123">
        <f t="shared" si="202"/>
        <v>4.844619392107407E-2</v>
      </c>
      <c r="N106" s="123">
        <f t="shared" si="202"/>
        <v>4.3908362917149786E-2</v>
      </c>
      <c r="O106" s="123">
        <f t="shared" si="202"/>
        <v>4.2897701227075091E-2</v>
      </c>
      <c r="P106" s="123">
        <f t="shared" si="202"/>
        <v>4.090673201997188E-2</v>
      </c>
      <c r="Q106" s="123">
        <f t="shared" si="202"/>
        <v>4.9700284071730064E-2</v>
      </c>
      <c r="R106" s="123">
        <f t="shared" si="202"/>
        <v>4.8950322906965757E-2</v>
      </c>
      <c r="S106" s="123">
        <f t="shared" si="202"/>
        <v>4.563487575566616E-2</v>
      </c>
      <c r="T106" s="123">
        <f t="shared" si="202"/>
        <v>5.1669775484485703E-2</v>
      </c>
      <c r="U106" s="123">
        <f t="shared" si="202"/>
        <v>5.0508742050071317E-2</v>
      </c>
      <c r="V106" s="123">
        <f t="shared" si="202"/>
        <v>4.7724214768413944E-2</v>
      </c>
      <c r="W106" s="123">
        <f t="shared" ref="W106:Y106" si="203">IF(W5=0,0,W5/W$4)</f>
        <v>4.8595277438240318E-2</v>
      </c>
      <c r="X106" s="123">
        <f t="shared" si="203"/>
        <v>4.4146409611623361E-2</v>
      </c>
      <c r="Y106" s="123">
        <f t="shared" si="203"/>
        <v>4.0365867648244874E-2</v>
      </c>
      <c r="DA106" s="203"/>
    </row>
    <row r="107" spans="1:105" ht="11.45" customHeight="1" x14ac:dyDescent="0.25">
      <c r="A107" s="109" t="s">
        <v>24</v>
      </c>
      <c r="B107" s="124">
        <f t="shared" si="199"/>
        <v>0.94899301737026953</v>
      </c>
      <c r="C107" s="124">
        <f t="shared" si="199"/>
        <v>0.94191568500405076</v>
      </c>
      <c r="D107" s="124">
        <f t="shared" si="199"/>
        <v>0.94217769300997745</v>
      </c>
      <c r="E107" s="124">
        <f t="shared" si="199"/>
        <v>0.90707387078563206</v>
      </c>
      <c r="F107" s="124">
        <f t="shared" si="199"/>
        <v>0.90914687737442546</v>
      </c>
      <c r="G107" s="124">
        <f t="shared" si="199"/>
        <v>0.90984528755652005</v>
      </c>
      <c r="H107" s="124">
        <f t="shared" si="199"/>
        <v>0.90934181695809579</v>
      </c>
      <c r="I107" s="124">
        <f t="shared" si="199"/>
        <v>0.90683484926683222</v>
      </c>
      <c r="J107" s="124">
        <f t="shared" si="199"/>
        <v>0.90142757455882261</v>
      </c>
      <c r="K107" s="124">
        <f t="shared" ref="K107:V107" si="204">IF(K6=0,0,K6/K$4)</f>
        <v>0.93681122964251529</v>
      </c>
      <c r="L107" s="124">
        <f t="shared" si="204"/>
        <v>0.93584939345514395</v>
      </c>
      <c r="M107" s="124">
        <f t="shared" si="204"/>
        <v>0.93494965762340376</v>
      </c>
      <c r="N107" s="124">
        <f t="shared" si="204"/>
        <v>0.93866022126973647</v>
      </c>
      <c r="O107" s="124">
        <f t="shared" si="204"/>
        <v>0.93885885545983039</v>
      </c>
      <c r="P107" s="124">
        <f t="shared" si="204"/>
        <v>0.94749113996947232</v>
      </c>
      <c r="Q107" s="124">
        <f t="shared" si="204"/>
        <v>0.89628507704996396</v>
      </c>
      <c r="R107" s="124">
        <f t="shared" si="204"/>
        <v>0.93174305127885426</v>
      </c>
      <c r="S107" s="124">
        <f t="shared" si="204"/>
        <v>0.93298676570916483</v>
      </c>
      <c r="T107" s="124">
        <f t="shared" si="204"/>
        <v>0.92850537991728055</v>
      </c>
      <c r="U107" s="124">
        <f t="shared" si="204"/>
        <v>0.92731536539614545</v>
      </c>
      <c r="V107" s="124">
        <f t="shared" si="204"/>
        <v>0.93762538853571542</v>
      </c>
      <c r="W107" s="124">
        <f t="shared" ref="W107:Y107" si="205">IF(W6=0,0,W6/W$4)</f>
        <v>0.93886893749529587</v>
      </c>
      <c r="X107" s="124">
        <f t="shared" si="205"/>
        <v>0.94484492875104775</v>
      </c>
      <c r="Y107" s="124">
        <f t="shared" si="205"/>
        <v>0.93703686077983561</v>
      </c>
      <c r="DA107" s="176"/>
    </row>
    <row r="108" spans="1:105" ht="11.45" customHeight="1" x14ac:dyDescent="0.25">
      <c r="A108" s="111" t="s">
        <v>92</v>
      </c>
      <c r="B108" s="125">
        <f t="shared" si="199"/>
        <v>6.5712765917761595E-2</v>
      </c>
      <c r="C108" s="125">
        <f t="shared" si="199"/>
        <v>6.462868977631156E-2</v>
      </c>
      <c r="D108" s="125">
        <f t="shared" si="199"/>
        <v>6.3754227098917954E-2</v>
      </c>
      <c r="E108" s="125">
        <f t="shared" si="199"/>
        <v>6.3702510330382045E-2</v>
      </c>
      <c r="F108" s="125">
        <f t="shared" si="199"/>
        <v>6.3119604460223078E-2</v>
      </c>
      <c r="G108" s="125">
        <f t="shared" si="199"/>
        <v>6.3033949316362567E-2</v>
      </c>
      <c r="H108" s="125">
        <f t="shared" si="199"/>
        <v>6.3499700913843035E-2</v>
      </c>
      <c r="I108" s="125">
        <f t="shared" si="199"/>
        <v>6.3735802762990457E-2</v>
      </c>
      <c r="J108" s="125">
        <f t="shared" si="199"/>
        <v>6.301402944787575E-2</v>
      </c>
      <c r="K108" s="125">
        <f t="shared" ref="K108:V108" si="206">IF(K7=0,0,K7/K$4)</f>
        <v>5.9237486936901285E-2</v>
      </c>
      <c r="L108" s="125">
        <f t="shared" si="206"/>
        <v>6.2667056652537176E-2</v>
      </c>
      <c r="M108" s="125">
        <f t="shared" si="206"/>
        <v>6.2433991459909549E-2</v>
      </c>
      <c r="N108" s="125">
        <f t="shared" si="206"/>
        <v>5.3164757595863171E-2</v>
      </c>
      <c r="O108" s="125">
        <f t="shared" si="206"/>
        <v>5.4677640101609762E-2</v>
      </c>
      <c r="P108" s="125">
        <f t="shared" si="206"/>
        <v>5.876853593288598E-2</v>
      </c>
      <c r="Q108" s="125">
        <f t="shared" si="206"/>
        <v>5.8138466777233326E-2</v>
      </c>
      <c r="R108" s="125">
        <f t="shared" si="206"/>
        <v>5.7527494793631256E-2</v>
      </c>
      <c r="S108" s="125">
        <f t="shared" si="206"/>
        <v>5.7368164666278393E-2</v>
      </c>
      <c r="T108" s="125">
        <f t="shared" si="206"/>
        <v>4.661679507346804E-2</v>
      </c>
      <c r="U108" s="125">
        <f t="shared" si="206"/>
        <v>4.1594473257639264E-2</v>
      </c>
      <c r="V108" s="125">
        <f t="shared" si="206"/>
        <v>4.3508789924178511E-2</v>
      </c>
      <c r="W108" s="125">
        <f t="shared" ref="W108:Y108" si="207">IF(W7=0,0,W7/W$4)</f>
        <v>4.1241505464423185E-2</v>
      </c>
      <c r="X108" s="125">
        <f t="shared" si="207"/>
        <v>4.191634705207635E-2</v>
      </c>
      <c r="Y108" s="125">
        <f t="shared" si="207"/>
        <v>4.6539709961345405E-2</v>
      </c>
      <c r="DA108" s="171"/>
    </row>
    <row r="109" spans="1:105" ht="11.45" customHeight="1" x14ac:dyDescent="0.25">
      <c r="A109" s="111" t="s">
        <v>93</v>
      </c>
      <c r="B109" s="125">
        <f t="shared" si="199"/>
        <v>0.88328025145250799</v>
      </c>
      <c r="C109" s="125">
        <f t="shared" si="199"/>
        <v>0.87728699522773923</v>
      </c>
      <c r="D109" s="125">
        <f t="shared" si="199"/>
        <v>0.87842346591105958</v>
      </c>
      <c r="E109" s="125">
        <f t="shared" si="199"/>
        <v>0.84337136045524996</v>
      </c>
      <c r="F109" s="125">
        <f t="shared" si="199"/>
        <v>0.84602727291420243</v>
      </c>
      <c r="G109" s="125">
        <f t="shared" si="199"/>
        <v>0.84681133824015753</v>
      </c>
      <c r="H109" s="125">
        <f t="shared" si="199"/>
        <v>0.84584211604425286</v>
      </c>
      <c r="I109" s="125">
        <f t="shared" si="199"/>
        <v>0.84309904650384171</v>
      </c>
      <c r="J109" s="125">
        <f t="shared" si="199"/>
        <v>0.8384135451109469</v>
      </c>
      <c r="K109" s="125">
        <f t="shared" ref="K109:V109" si="208">IF(K8=0,0,K8/K$4)</f>
        <v>0.87757374270561395</v>
      </c>
      <c r="L109" s="125">
        <f t="shared" si="208"/>
        <v>0.87318233680260682</v>
      </c>
      <c r="M109" s="125">
        <f t="shared" si="208"/>
        <v>0.87251566616349419</v>
      </c>
      <c r="N109" s="125">
        <f t="shared" si="208"/>
        <v>0.88549546367387322</v>
      </c>
      <c r="O109" s="125">
        <f t="shared" si="208"/>
        <v>0.8841812153582207</v>
      </c>
      <c r="P109" s="125">
        <f t="shared" si="208"/>
        <v>0.88872260403658632</v>
      </c>
      <c r="Q109" s="125">
        <f t="shared" si="208"/>
        <v>0.83814661027273063</v>
      </c>
      <c r="R109" s="125">
        <f t="shared" si="208"/>
        <v>0.87421555648522298</v>
      </c>
      <c r="S109" s="125">
        <f t="shared" si="208"/>
        <v>0.87561860104288658</v>
      </c>
      <c r="T109" s="125">
        <f t="shared" si="208"/>
        <v>0.8818885848438125</v>
      </c>
      <c r="U109" s="125">
        <f t="shared" si="208"/>
        <v>0.88572089213850613</v>
      </c>
      <c r="V109" s="125">
        <f t="shared" si="208"/>
        <v>0.89411659861153692</v>
      </c>
      <c r="W109" s="125">
        <f t="shared" ref="W109:Y109" si="209">IF(W8=0,0,W8/W$4)</f>
        <v>0.8976274320308727</v>
      </c>
      <c r="X109" s="125">
        <f t="shared" si="209"/>
        <v>0.90292858169897139</v>
      </c>
      <c r="Y109" s="125">
        <f t="shared" si="209"/>
        <v>0.89049715081849024</v>
      </c>
      <c r="DA109" s="171"/>
    </row>
    <row r="110" spans="1:105" ht="11.45" customHeight="1" x14ac:dyDescent="0.25">
      <c r="A110" s="112" t="s">
        <v>25</v>
      </c>
      <c r="B110" s="126">
        <f t="shared" si="199"/>
        <v>7.3686670076850451E-3</v>
      </c>
      <c r="C110" s="126">
        <f t="shared" si="199"/>
        <v>1.2668537133707041E-2</v>
      </c>
      <c r="D110" s="126">
        <f t="shared" si="199"/>
        <v>1.3443438368354189E-2</v>
      </c>
      <c r="E110" s="126">
        <f t="shared" si="199"/>
        <v>4.5683938880587048E-2</v>
      </c>
      <c r="F110" s="126">
        <f t="shared" si="199"/>
        <v>4.312081276602639E-2</v>
      </c>
      <c r="G110" s="126">
        <f t="shared" si="199"/>
        <v>4.3209160275911054E-2</v>
      </c>
      <c r="H110" s="126">
        <f t="shared" si="199"/>
        <v>4.3979120601100832E-2</v>
      </c>
      <c r="I110" s="126">
        <f t="shared" si="199"/>
        <v>4.6729009946116958E-2</v>
      </c>
      <c r="J110" s="126">
        <f t="shared" si="199"/>
        <v>5.0499981076667047E-2</v>
      </c>
      <c r="K110" s="126">
        <f t="shared" ref="K110:V110" si="210">IF(K9=0,0,K9/K$4)</f>
        <v>1.5451482475571508E-2</v>
      </c>
      <c r="L110" s="126">
        <f t="shared" si="210"/>
        <v>1.6052788271725311E-2</v>
      </c>
      <c r="M110" s="126">
        <f t="shared" si="210"/>
        <v>1.6604148455522195E-2</v>
      </c>
      <c r="N110" s="126">
        <f t="shared" si="210"/>
        <v>1.7431415813113693E-2</v>
      </c>
      <c r="O110" s="126">
        <f t="shared" si="210"/>
        <v>1.8243443313094503E-2</v>
      </c>
      <c r="P110" s="126">
        <f t="shared" si="210"/>
        <v>1.16021280105557E-2</v>
      </c>
      <c r="Q110" s="126">
        <f t="shared" si="210"/>
        <v>5.401463887830605E-2</v>
      </c>
      <c r="R110" s="126">
        <f t="shared" si="210"/>
        <v>1.9306625814180061E-2</v>
      </c>
      <c r="S110" s="126">
        <f t="shared" si="210"/>
        <v>2.1378358535168947E-2</v>
      </c>
      <c r="T110" s="126">
        <f t="shared" si="210"/>
        <v>1.9824844598233828E-2</v>
      </c>
      <c r="U110" s="126">
        <f t="shared" si="210"/>
        <v>2.2175892553783279E-2</v>
      </c>
      <c r="V110" s="126">
        <f t="shared" si="210"/>
        <v>1.4650396695870553E-2</v>
      </c>
      <c r="W110" s="126">
        <f t="shared" ref="W110:Y110" si="211">IF(W9=0,0,W9/W$4)</f>
        <v>1.25357850664638E-2</v>
      </c>
      <c r="X110" s="126">
        <f t="shared" si="211"/>
        <v>1.1008661637328863E-2</v>
      </c>
      <c r="Y110" s="126">
        <f t="shared" si="211"/>
        <v>2.259727157191942E-2</v>
      </c>
      <c r="DA110" s="204"/>
    </row>
    <row r="111" spans="1:105" ht="11.45" customHeight="1" x14ac:dyDescent="0.25">
      <c r="A111" s="27" t="s">
        <v>39</v>
      </c>
      <c r="B111" s="31">
        <f t="shared" ref="B111:J113" si="212">IF(B10=0,0,B10/B$10)</f>
        <v>1</v>
      </c>
      <c r="C111" s="31">
        <f t="shared" si="212"/>
        <v>1</v>
      </c>
      <c r="D111" s="31">
        <f t="shared" si="212"/>
        <v>1</v>
      </c>
      <c r="E111" s="31">
        <f t="shared" si="212"/>
        <v>1</v>
      </c>
      <c r="F111" s="31">
        <f t="shared" si="212"/>
        <v>1</v>
      </c>
      <c r="G111" s="31">
        <f t="shared" si="212"/>
        <v>1</v>
      </c>
      <c r="H111" s="31">
        <f t="shared" si="212"/>
        <v>1</v>
      </c>
      <c r="I111" s="31">
        <f t="shared" si="212"/>
        <v>1</v>
      </c>
      <c r="J111" s="31">
        <f t="shared" si="212"/>
        <v>1</v>
      </c>
      <c r="K111" s="31">
        <f t="shared" ref="K111:V111" si="213">IF(K10=0,0,K10/K$10)</f>
        <v>1</v>
      </c>
      <c r="L111" s="31">
        <f t="shared" si="213"/>
        <v>1</v>
      </c>
      <c r="M111" s="31">
        <f t="shared" si="213"/>
        <v>1</v>
      </c>
      <c r="N111" s="31">
        <f t="shared" si="213"/>
        <v>1</v>
      </c>
      <c r="O111" s="31">
        <f t="shared" si="213"/>
        <v>1</v>
      </c>
      <c r="P111" s="31">
        <f t="shared" si="213"/>
        <v>1</v>
      </c>
      <c r="Q111" s="31">
        <f t="shared" si="213"/>
        <v>1</v>
      </c>
      <c r="R111" s="31">
        <f t="shared" si="213"/>
        <v>1</v>
      </c>
      <c r="S111" s="31">
        <f t="shared" si="213"/>
        <v>1</v>
      </c>
      <c r="T111" s="31">
        <f t="shared" si="213"/>
        <v>1</v>
      </c>
      <c r="U111" s="31">
        <f t="shared" si="213"/>
        <v>1</v>
      </c>
      <c r="V111" s="31">
        <f t="shared" si="213"/>
        <v>1</v>
      </c>
      <c r="W111" s="31">
        <f t="shared" ref="W111:Y111" si="214">IF(W10=0,0,W10/W$10)</f>
        <v>1</v>
      </c>
      <c r="X111" s="31">
        <f t="shared" si="214"/>
        <v>1</v>
      </c>
      <c r="Y111" s="31">
        <f t="shared" si="214"/>
        <v>1</v>
      </c>
      <c r="DA111" s="173"/>
    </row>
    <row r="112" spans="1:105" ht="11.45" customHeight="1" x14ac:dyDescent="0.25">
      <c r="A112" s="83" t="s">
        <v>92</v>
      </c>
      <c r="B112" s="125">
        <f t="shared" si="212"/>
        <v>0.40457796036542254</v>
      </c>
      <c r="C112" s="125">
        <f t="shared" si="212"/>
        <v>0.39698284287521096</v>
      </c>
      <c r="D112" s="125">
        <f t="shared" si="212"/>
        <v>0.39166796058892261</v>
      </c>
      <c r="E112" s="125">
        <f t="shared" si="212"/>
        <v>0.38620530732471203</v>
      </c>
      <c r="F112" s="125">
        <f t="shared" si="212"/>
        <v>0.3836373635482544</v>
      </c>
      <c r="G112" s="125">
        <f t="shared" si="212"/>
        <v>0.38183082785982181</v>
      </c>
      <c r="H112" s="125">
        <f t="shared" si="212"/>
        <v>0.38258447428191239</v>
      </c>
      <c r="I112" s="125">
        <f t="shared" si="212"/>
        <v>0.38716957761493676</v>
      </c>
      <c r="J112" s="125">
        <f t="shared" si="212"/>
        <v>0.38159487329589387</v>
      </c>
      <c r="K112" s="125">
        <f t="shared" ref="K112:V112" si="215">IF(K11=0,0,K11/K$10)</f>
        <v>0.34439167066017284</v>
      </c>
      <c r="L112" s="125">
        <f t="shared" si="215"/>
        <v>0.35886358208241204</v>
      </c>
      <c r="M112" s="125">
        <f t="shared" si="215"/>
        <v>0.35299540226062098</v>
      </c>
      <c r="N112" s="125">
        <f t="shared" si="215"/>
        <v>0.30341907485497699</v>
      </c>
      <c r="O112" s="125">
        <f t="shared" si="215"/>
        <v>0.3074008683835463</v>
      </c>
      <c r="P112" s="125">
        <f t="shared" si="215"/>
        <v>0.32797899436111294</v>
      </c>
      <c r="Q112" s="125">
        <f t="shared" si="215"/>
        <v>0.33743938694013209</v>
      </c>
      <c r="R112" s="125">
        <f t="shared" si="215"/>
        <v>0.32550133913080742</v>
      </c>
      <c r="S112" s="125">
        <f t="shared" si="215"/>
        <v>0.32415874352789009</v>
      </c>
      <c r="T112" s="125">
        <f t="shared" si="215"/>
        <v>0.26308044831727345</v>
      </c>
      <c r="U112" s="125">
        <f t="shared" si="215"/>
        <v>0.23254847690860792</v>
      </c>
      <c r="V112" s="125">
        <f t="shared" si="215"/>
        <v>0.25546720945367835</v>
      </c>
      <c r="W112" s="125">
        <f t="shared" ref="W112:Y112" si="216">IF(W11=0,0,W11/W$10)</f>
        <v>0.24180988727730976</v>
      </c>
      <c r="X112" s="125">
        <f t="shared" si="216"/>
        <v>0.24557813936925982</v>
      </c>
      <c r="Y112" s="125">
        <f t="shared" si="216"/>
        <v>0.27538732375660741</v>
      </c>
      <c r="DA112" s="171"/>
    </row>
    <row r="113" spans="1:105" ht="11.45" customHeight="1" x14ac:dyDescent="0.25">
      <c r="A113" s="85" t="s">
        <v>93</v>
      </c>
      <c r="B113" s="127">
        <f t="shared" si="212"/>
        <v>0.5954220396345774</v>
      </c>
      <c r="C113" s="127">
        <f t="shared" si="212"/>
        <v>0.60301715712478909</v>
      </c>
      <c r="D113" s="127">
        <f t="shared" si="212"/>
        <v>0.60833203941107739</v>
      </c>
      <c r="E113" s="127">
        <f t="shared" si="212"/>
        <v>0.61379469267528797</v>
      </c>
      <c r="F113" s="127">
        <f t="shared" si="212"/>
        <v>0.6163626364517456</v>
      </c>
      <c r="G113" s="127">
        <f t="shared" si="212"/>
        <v>0.61816917214017819</v>
      </c>
      <c r="H113" s="127">
        <f t="shared" si="212"/>
        <v>0.61741552571808767</v>
      </c>
      <c r="I113" s="127">
        <f t="shared" si="212"/>
        <v>0.61283042238506313</v>
      </c>
      <c r="J113" s="127">
        <f t="shared" si="212"/>
        <v>0.61840512670410619</v>
      </c>
      <c r="K113" s="127">
        <f t="shared" ref="K113:V113" si="217">IF(K12=0,0,K12/K$10)</f>
        <v>0.65560832933982716</v>
      </c>
      <c r="L113" s="127">
        <f t="shared" si="217"/>
        <v>0.64113641791758791</v>
      </c>
      <c r="M113" s="127">
        <f t="shared" si="217"/>
        <v>0.64700459773937902</v>
      </c>
      <c r="N113" s="127">
        <f t="shared" si="217"/>
        <v>0.69658092514502301</v>
      </c>
      <c r="O113" s="127">
        <f t="shared" si="217"/>
        <v>0.6925991316164537</v>
      </c>
      <c r="P113" s="127">
        <f t="shared" si="217"/>
        <v>0.672021005638887</v>
      </c>
      <c r="Q113" s="127">
        <f t="shared" si="217"/>
        <v>0.6625606130598678</v>
      </c>
      <c r="R113" s="127">
        <f t="shared" si="217"/>
        <v>0.67449866086919263</v>
      </c>
      <c r="S113" s="127">
        <f t="shared" si="217"/>
        <v>0.67584125647210991</v>
      </c>
      <c r="T113" s="127">
        <f t="shared" si="217"/>
        <v>0.73691955168272649</v>
      </c>
      <c r="U113" s="127">
        <f t="shared" si="217"/>
        <v>0.76745152309139208</v>
      </c>
      <c r="V113" s="127">
        <f t="shared" si="217"/>
        <v>0.74453279054632171</v>
      </c>
      <c r="W113" s="127">
        <f t="shared" ref="W113:Y113" si="218">IF(W12=0,0,W12/W$10)</f>
        <v>0.75819011272269021</v>
      </c>
      <c r="X113" s="127">
        <f t="shared" si="218"/>
        <v>0.75442186063074013</v>
      </c>
      <c r="Y113" s="127">
        <f t="shared" si="218"/>
        <v>0.72461267624339265</v>
      </c>
      <c r="DA113" s="178"/>
    </row>
    <row r="114" spans="1:105" ht="11.45" customHeight="1" x14ac:dyDescent="0.25">
      <c r="A114" s="106"/>
      <c r="B114" s="106"/>
      <c r="C114" s="106"/>
      <c r="D114" s="106"/>
      <c r="E114" s="106"/>
      <c r="F114" s="106"/>
      <c r="G114" s="106"/>
      <c r="H114" s="106"/>
      <c r="I114" s="106"/>
      <c r="J114" s="106"/>
      <c r="K114" s="106"/>
      <c r="L114" s="106"/>
      <c r="M114" s="106"/>
      <c r="N114" s="106"/>
      <c r="O114" s="106"/>
      <c r="P114" s="106"/>
      <c r="Q114" s="106"/>
      <c r="R114" s="106"/>
      <c r="S114" s="106"/>
      <c r="T114" s="106"/>
      <c r="U114" s="106"/>
      <c r="V114" s="106"/>
      <c r="W114" s="106"/>
      <c r="X114" s="106"/>
      <c r="Y114" s="106"/>
      <c r="DA114" s="171"/>
    </row>
    <row r="115" spans="1:105" ht="11.45" customHeight="1" x14ac:dyDescent="0.25">
      <c r="A115" s="53" t="s">
        <v>66</v>
      </c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DA115" s="172"/>
    </row>
    <row r="116" spans="1:105" ht="11.45" customHeight="1" x14ac:dyDescent="0.25">
      <c r="A116" s="27" t="s">
        <v>33</v>
      </c>
      <c r="B116" s="31">
        <f t="shared" ref="B116:J121" si="219">IF(B15=0,0,B15/B$15)</f>
        <v>1</v>
      </c>
      <c r="C116" s="31">
        <f t="shared" si="219"/>
        <v>1</v>
      </c>
      <c r="D116" s="31">
        <f t="shared" si="219"/>
        <v>1</v>
      </c>
      <c r="E116" s="31">
        <f t="shared" si="219"/>
        <v>1</v>
      </c>
      <c r="F116" s="31">
        <f t="shared" si="219"/>
        <v>1</v>
      </c>
      <c r="G116" s="31">
        <f t="shared" si="219"/>
        <v>1</v>
      </c>
      <c r="H116" s="31">
        <f t="shared" si="219"/>
        <v>1</v>
      </c>
      <c r="I116" s="31">
        <f t="shared" si="219"/>
        <v>1</v>
      </c>
      <c r="J116" s="31">
        <f t="shared" si="219"/>
        <v>1</v>
      </c>
      <c r="K116" s="31">
        <f t="shared" ref="K116:V116" si="220">IF(K15=0,0,K15/K$15)</f>
        <v>1</v>
      </c>
      <c r="L116" s="31">
        <f t="shared" si="220"/>
        <v>1</v>
      </c>
      <c r="M116" s="31">
        <f t="shared" si="220"/>
        <v>1</v>
      </c>
      <c r="N116" s="31">
        <f t="shared" si="220"/>
        <v>1</v>
      </c>
      <c r="O116" s="31">
        <f t="shared" si="220"/>
        <v>1</v>
      </c>
      <c r="P116" s="31">
        <f t="shared" si="220"/>
        <v>1</v>
      </c>
      <c r="Q116" s="31">
        <f t="shared" si="220"/>
        <v>1</v>
      </c>
      <c r="R116" s="31">
        <f t="shared" si="220"/>
        <v>1</v>
      </c>
      <c r="S116" s="31">
        <f t="shared" si="220"/>
        <v>1</v>
      </c>
      <c r="T116" s="31">
        <f t="shared" si="220"/>
        <v>1</v>
      </c>
      <c r="U116" s="31">
        <f t="shared" si="220"/>
        <v>1</v>
      </c>
      <c r="V116" s="31">
        <f t="shared" si="220"/>
        <v>1</v>
      </c>
      <c r="W116" s="31">
        <f t="shared" ref="W116:Y116" si="221">IF(W15=0,0,W15/W$15)</f>
        <v>1</v>
      </c>
      <c r="X116" s="31">
        <f t="shared" si="221"/>
        <v>1</v>
      </c>
      <c r="Y116" s="31">
        <f t="shared" si="221"/>
        <v>1</v>
      </c>
      <c r="DA116" s="173"/>
    </row>
    <row r="117" spans="1:105" ht="11.45" customHeight="1" x14ac:dyDescent="0.25">
      <c r="A117" s="107" t="s">
        <v>23</v>
      </c>
      <c r="B117" s="123">
        <f t="shared" si="219"/>
        <v>6.9343369048721931E-2</v>
      </c>
      <c r="C117" s="123">
        <f t="shared" si="219"/>
        <v>7.2828170681805485E-2</v>
      </c>
      <c r="D117" s="123">
        <f t="shared" si="219"/>
        <v>7.0154082360187692E-2</v>
      </c>
      <c r="E117" s="123">
        <f t="shared" si="219"/>
        <v>7.0239639134670906E-2</v>
      </c>
      <c r="F117" s="123">
        <f t="shared" si="219"/>
        <v>7.1755908246126543E-2</v>
      </c>
      <c r="G117" s="123">
        <f t="shared" si="219"/>
        <v>7.4711925582971461E-2</v>
      </c>
      <c r="H117" s="123">
        <f t="shared" si="219"/>
        <v>7.6169683173279976E-2</v>
      </c>
      <c r="I117" s="123">
        <f t="shared" si="219"/>
        <v>8.1447615273655335E-2</v>
      </c>
      <c r="J117" s="123">
        <f t="shared" si="219"/>
        <v>8.1535413327026393E-2</v>
      </c>
      <c r="K117" s="123">
        <f t="shared" ref="K117:V117" si="222">IF(K16=0,0,K16/K$15)</f>
        <v>7.6137643242977185E-2</v>
      </c>
      <c r="L117" s="123">
        <f t="shared" si="222"/>
        <v>7.3946686795483135E-2</v>
      </c>
      <c r="M117" s="123">
        <f t="shared" si="222"/>
        <v>7.7204765255695793E-2</v>
      </c>
      <c r="N117" s="123">
        <f t="shared" si="222"/>
        <v>6.9960937524715522E-2</v>
      </c>
      <c r="O117" s="123">
        <f t="shared" si="222"/>
        <v>7.0373469566574212E-2</v>
      </c>
      <c r="P117" s="123">
        <f t="shared" si="222"/>
        <v>7.0220628707840779E-2</v>
      </c>
      <c r="Q117" s="123">
        <f t="shared" si="222"/>
        <v>7.8360799907177286E-2</v>
      </c>
      <c r="R117" s="123">
        <f t="shared" si="222"/>
        <v>7.436626403523397E-2</v>
      </c>
      <c r="S117" s="123">
        <f t="shared" si="222"/>
        <v>6.9696354790682744E-2</v>
      </c>
      <c r="T117" s="123">
        <f t="shared" si="222"/>
        <v>7.9372128359797789E-2</v>
      </c>
      <c r="U117" s="123">
        <f t="shared" si="222"/>
        <v>7.8059649086294383E-2</v>
      </c>
      <c r="V117" s="123">
        <f t="shared" si="222"/>
        <v>5.794680894416486E-2</v>
      </c>
      <c r="W117" s="123">
        <f t="shared" ref="W117:Y117" si="223">IF(W16=0,0,W16/W$15)</f>
        <v>6.0318835145237587E-2</v>
      </c>
      <c r="X117" s="123">
        <f t="shared" si="223"/>
        <v>6.6743403341263413E-2</v>
      </c>
      <c r="Y117" s="123">
        <f t="shared" si="223"/>
        <v>5.5936897838709206E-2</v>
      </c>
      <c r="DA117" s="203"/>
    </row>
    <row r="118" spans="1:105" ht="11.45" customHeight="1" x14ac:dyDescent="0.25">
      <c r="A118" s="109" t="s">
        <v>24</v>
      </c>
      <c r="B118" s="124">
        <f t="shared" si="219"/>
        <v>0.92724948647942174</v>
      </c>
      <c r="C118" s="124">
        <f t="shared" si="219"/>
        <v>0.92125219962205629</v>
      </c>
      <c r="D118" s="124">
        <f t="shared" si="219"/>
        <v>0.92365221735980374</v>
      </c>
      <c r="E118" s="124">
        <f t="shared" si="219"/>
        <v>0.90979047305940952</v>
      </c>
      <c r="F118" s="124">
        <f t="shared" si="219"/>
        <v>0.90919877177903863</v>
      </c>
      <c r="G118" s="124">
        <f t="shared" si="219"/>
        <v>0.90483734292000106</v>
      </c>
      <c r="H118" s="124">
        <f t="shared" si="219"/>
        <v>0.9024347839894169</v>
      </c>
      <c r="I118" s="124">
        <f t="shared" si="219"/>
        <v>0.89477915109757911</v>
      </c>
      <c r="J118" s="124">
        <f t="shared" si="219"/>
        <v>0.89340960104891831</v>
      </c>
      <c r="K118" s="124">
        <f t="shared" ref="K118:V118" si="224">IF(K17=0,0,K17/K$15)</f>
        <v>0.91659925652340968</v>
      </c>
      <c r="L118" s="124">
        <f t="shared" si="224"/>
        <v>0.91868464160003871</v>
      </c>
      <c r="M118" s="124">
        <f t="shared" si="224"/>
        <v>0.91493743344599221</v>
      </c>
      <c r="N118" s="124">
        <f t="shared" si="224"/>
        <v>0.9218455446762277</v>
      </c>
      <c r="O118" s="124">
        <f t="shared" si="224"/>
        <v>0.92077888710565226</v>
      </c>
      <c r="P118" s="124">
        <f t="shared" si="224"/>
        <v>0.92392533641399788</v>
      </c>
      <c r="Q118" s="124">
        <f t="shared" si="224"/>
        <v>0.89798617803227299</v>
      </c>
      <c r="R118" s="124">
        <f t="shared" si="224"/>
        <v>0.91757213533023363</v>
      </c>
      <c r="S118" s="124">
        <f t="shared" si="224"/>
        <v>0.92137303397232573</v>
      </c>
      <c r="T118" s="124">
        <f t="shared" si="224"/>
        <v>0.91241439822881509</v>
      </c>
      <c r="U118" s="124">
        <f t="shared" si="224"/>
        <v>0.91268463947579193</v>
      </c>
      <c r="V118" s="124">
        <f t="shared" si="224"/>
        <v>0.93808171149884312</v>
      </c>
      <c r="W118" s="124">
        <f t="shared" ref="W118:Y118" si="225">IF(W17=0,0,W17/W$15)</f>
        <v>0.93585531456553639</v>
      </c>
      <c r="X118" s="124">
        <f t="shared" si="225"/>
        <v>0.92864568237431266</v>
      </c>
      <c r="Y118" s="124">
        <f t="shared" si="225"/>
        <v>0.9341910959536559</v>
      </c>
      <c r="DA118" s="176"/>
    </row>
    <row r="119" spans="1:105" ht="11.45" customHeight="1" x14ac:dyDescent="0.25">
      <c r="A119" s="111" t="s">
        <v>92</v>
      </c>
      <c r="B119" s="125">
        <f t="shared" si="219"/>
        <v>8.5551453965203639E-2</v>
      </c>
      <c r="C119" s="125">
        <f t="shared" si="219"/>
        <v>8.4824648999085914E-2</v>
      </c>
      <c r="D119" s="125">
        <f t="shared" si="219"/>
        <v>8.6076118065886401E-2</v>
      </c>
      <c r="E119" s="125">
        <f t="shared" si="219"/>
        <v>8.0032586537302677E-2</v>
      </c>
      <c r="F119" s="125">
        <f t="shared" si="219"/>
        <v>7.5117431738745327E-2</v>
      </c>
      <c r="G119" s="125">
        <f t="shared" si="219"/>
        <v>7.5155432037221609E-2</v>
      </c>
      <c r="H119" s="125">
        <f t="shared" si="219"/>
        <v>7.2373561410062584E-2</v>
      </c>
      <c r="I119" s="125">
        <f t="shared" si="219"/>
        <v>6.8903847266256785E-2</v>
      </c>
      <c r="J119" s="125">
        <f t="shared" si="219"/>
        <v>7.2789124989874804E-2</v>
      </c>
      <c r="K119" s="125">
        <f t="shared" ref="K119:V119" si="226">IF(K18=0,0,K18/K$15)</f>
        <v>7.0198342731331728E-2</v>
      </c>
      <c r="L119" s="125">
        <f t="shared" si="226"/>
        <v>7.3324444448114298E-2</v>
      </c>
      <c r="M119" s="125">
        <f t="shared" si="226"/>
        <v>7.3073012300484297E-2</v>
      </c>
      <c r="N119" s="125">
        <f t="shared" si="226"/>
        <v>6.2689700489426972E-2</v>
      </c>
      <c r="O119" s="125">
        <f t="shared" si="226"/>
        <v>6.3907579948186716E-2</v>
      </c>
      <c r="P119" s="125">
        <f t="shared" si="226"/>
        <v>6.6813569409350529E-2</v>
      </c>
      <c r="Q119" s="125">
        <f t="shared" si="226"/>
        <v>6.9231364175878413E-2</v>
      </c>
      <c r="R119" s="125">
        <f t="shared" si="226"/>
        <v>6.5002998404453241E-2</v>
      </c>
      <c r="S119" s="125">
        <f t="shared" si="226"/>
        <v>6.7716599240294065E-2</v>
      </c>
      <c r="T119" s="125">
        <f t="shared" si="226"/>
        <v>5.3321190831359312E-2</v>
      </c>
      <c r="U119" s="125">
        <f t="shared" si="226"/>
        <v>4.7088994254093006E-2</v>
      </c>
      <c r="V119" s="125">
        <f t="shared" si="226"/>
        <v>4.5246137352282209E-2</v>
      </c>
      <c r="W119" s="125">
        <f t="shared" ref="W119:Y119" si="227">IF(W18=0,0,W18/W$15)</f>
        <v>4.0750035531521622E-2</v>
      </c>
      <c r="X119" s="125">
        <f t="shared" si="227"/>
        <v>4.7248425693760567E-2</v>
      </c>
      <c r="Y119" s="125">
        <f t="shared" si="227"/>
        <v>5.6581873590843032E-2</v>
      </c>
      <c r="DA119" s="171"/>
    </row>
    <row r="120" spans="1:105" ht="11.45" customHeight="1" x14ac:dyDescent="0.25">
      <c r="A120" s="111" t="s">
        <v>93</v>
      </c>
      <c r="B120" s="125">
        <f t="shared" si="219"/>
        <v>0.84169803251421804</v>
      </c>
      <c r="C120" s="125">
        <f t="shared" si="219"/>
        <v>0.83642755062297036</v>
      </c>
      <c r="D120" s="125">
        <f t="shared" si="219"/>
        <v>0.83757609929391741</v>
      </c>
      <c r="E120" s="125">
        <f t="shared" si="219"/>
        <v>0.8297578865221068</v>
      </c>
      <c r="F120" s="125">
        <f t="shared" si="219"/>
        <v>0.83408134004029333</v>
      </c>
      <c r="G120" s="125">
        <f t="shared" si="219"/>
        <v>0.82968191088277943</v>
      </c>
      <c r="H120" s="125">
        <f t="shared" si="219"/>
        <v>0.83006122257935433</v>
      </c>
      <c r="I120" s="125">
        <f t="shared" si="219"/>
        <v>0.82587530383132246</v>
      </c>
      <c r="J120" s="125">
        <f t="shared" si="219"/>
        <v>0.82062047605904354</v>
      </c>
      <c r="K120" s="125">
        <f t="shared" ref="K120:V120" si="228">IF(K19=0,0,K19/K$15)</f>
        <v>0.84640091379207782</v>
      </c>
      <c r="L120" s="125">
        <f t="shared" si="228"/>
        <v>0.84536019715192434</v>
      </c>
      <c r="M120" s="125">
        <f t="shared" si="228"/>
        <v>0.84186442114550786</v>
      </c>
      <c r="N120" s="125">
        <f t="shared" si="228"/>
        <v>0.85915584418680069</v>
      </c>
      <c r="O120" s="125">
        <f t="shared" si="228"/>
        <v>0.85687130715746551</v>
      </c>
      <c r="P120" s="125">
        <f t="shared" si="228"/>
        <v>0.85711176700464742</v>
      </c>
      <c r="Q120" s="125">
        <f t="shared" si="228"/>
        <v>0.82875481385639449</v>
      </c>
      <c r="R120" s="125">
        <f t="shared" si="228"/>
        <v>0.85256913692578051</v>
      </c>
      <c r="S120" s="125">
        <f t="shared" si="228"/>
        <v>0.85365643473203179</v>
      </c>
      <c r="T120" s="125">
        <f t="shared" si="228"/>
        <v>0.85909320739745576</v>
      </c>
      <c r="U120" s="125">
        <f t="shared" si="228"/>
        <v>0.86559564522169896</v>
      </c>
      <c r="V120" s="125">
        <f t="shared" si="228"/>
        <v>0.8928355741465609</v>
      </c>
      <c r="W120" s="125">
        <f t="shared" ref="W120:Y120" si="229">IF(W19=0,0,W19/W$15)</f>
        <v>0.89510527903401471</v>
      </c>
      <c r="X120" s="125">
        <f t="shared" si="229"/>
        <v>0.88139725668055202</v>
      </c>
      <c r="Y120" s="125">
        <f t="shared" si="229"/>
        <v>0.8776092223628128</v>
      </c>
      <c r="DA120" s="171"/>
    </row>
    <row r="121" spans="1:105" ht="11.45" customHeight="1" x14ac:dyDescent="0.25">
      <c r="A121" s="112" t="s">
        <v>25</v>
      </c>
      <c r="B121" s="126">
        <f t="shared" si="219"/>
        <v>3.4071444718563053E-3</v>
      </c>
      <c r="C121" s="126">
        <f t="shared" si="219"/>
        <v>5.9196296961383328E-3</v>
      </c>
      <c r="D121" s="126">
        <f t="shared" si="219"/>
        <v>6.1937002800085085E-3</v>
      </c>
      <c r="E121" s="126">
        <f t="shared" si="219"/>
        <v>1.9969887805919684E-2</v>
      </c>
      <c r="F121" s="126">
        <f t="shared" si="219"/>
        <v>1.9045319974834867E-2</v>
      </c>
      <c r="G121" s="126">
        <f t="shared" si="219"/>
        <v>2.0450731497027475E-2</v>
      </c>
      <c r="H121" s="126">
        <f t="shared" si="219"/>
        <v>2.1395532837303076E-2</v>
      </c>
      <c r="I121" s="126">
        <f t="shared" si="219"/>
        <v>2.3773233628765496E-2</v>
      </c>
      <c r="J121" s="126">
        <f t="shared" si="219"/>
        <v>2.5054985624055313E-2</v>
      </c>
      <c r="K121" s="126">
        <f t="shared" ref="K121:V121" si="230">IF(K20=0,0,K20/K$15)</f>
        <v>7.2631002336131381E-3</v>
      </c>
      <c r="L121" s="126">
        <f t="shared" si="230"/>
        <v>7.3686716044780599E-3</v>
      </c>
      <c r="M121" s="126">
        <f t="shared" si="230"/>
        <v>7.857801298311904E-3</v>
      </c>
      <c r="N121" s="126">
        <f t="shared" si="230"/>
        <v>8.1935177990567609E-3</v>
      </c>
      <c r="O121" s="126">
        <f t="shared" si="230"/>
        <v>8.8476433277734183E-3</v>
      </c>
      <c r="P121" s="126">
        <f t="shared" si="230"/>
        <v>5.8540348781611828E-3</v>
      </c>
      <c r="Q121" s="126">
        <f t="shared" si="230"/>
        <v>2.3653022060549703E-2</v>
      </c>
      <c r="R121" s="126">
        <f t="shared" si="230"/>
        <v>8.0616006345324478E-3</v>
      </c>
      <c r="S121" s="126">
        <f t="shared" si="230"/>
        <v>8.9306112369916309E-3</v>
      </c>
      <c r="T121" s="126">
        <f t="shared" si="230"/>
        <v>8.2134734113870501E-3</v>
      </c>
      <c r="U121" s="126">
        <f t="shared" si="230"/>
        <v>9.2557114379136843E-3</v>
      </c>
      <c r="V121" s="126">
        <f t="shared" si="230"/>
        <v>3.9714795569920358E-3</v>
      </c>
      <c r="W121" s="126">
        <f t="shared" ref="W121:Y121" si="231">IF(W20=0,0,W20/W$15)</f>
        <v>3.8258502892259756E-3</v>
      </c>
      <c r="X121" s="126">
        <f t="shared" si="231"/>
        <v>4.6109142844238888E-3</v>
      </c>
      <c r="Y121" s="126">
        <f t="shared" si="231"/>
        <v>9.8720062076349969E-3</v>
      </c>
      <c r="DA121" s="204"/>
    </row>
    <row r="122" spans="1:105" ht="11.45" customHeight="1" x14ac:dyDescent="0.25">
      <c r="A122" s="27" t="s">
        <v>34</v>
      </c>
      <c r="B122" s="31">
        <f t="shared" ref="B122:J124" si="232">IF(B21=0,0,B21/B$21)</f>
        <v>1</v>
      </c>
      <c r="C122" s="31">
        <f t="shared" si="232"/>
        <v>1</v>
      </c>
      <c r="D122" s="31">
        <f t="shared" si="232"/>
        <v>1</v>
      </c>
      <c r="E122" s="31">
        <f t="shared" si="232"/>
        <v>1</v>
      </c>
      <c r="F122" s="31">
        <f t="shared" si="232"/>
        <v>1</v>
      </c>
      <c r="G122" s="31">
        <f t="shared" si="232"/>
        <v>1</v>
      </c>
      <c r="H122" s="31">
        <f t="shared" si="232"/>
        <v>1</v>
      </c>
      <c r="I122" s="31">
        <f t="shared" si="232"/>
        <v>1</v>
      </c>
      <c r="J122" s="31">
        <f t="shared" si="232"/>
        <v>1</v>
      </c>
      <c r="K122" s="31">
        <f t="shared" ref="K122:V122" si="233">IF(K21=0,0,K21/K$21)</f>
        <v>1</v>
      </c>
      <c r="L122" s="31">
        <f t="shared" si="233"/>
        <v>1</v>
      </c>
      <c r="M122" s="31">
        <f t="shared" si="233"/>
        <v>1</v>
      </c>
      <c r="N122" s="31">
        <f t="shared" si="233"/>
        <v>1</v>
      </c>
      <c r="O122" s="31">
        <f t="shared" si="233"/>
        <v>1</v>
      </c>
      <c r="P122" s="31">
        <f t="shared" si="233"/>
        <v>1</v>
      </c>
      <c r="Q122" s="31">
        <f t="shared" si="233"/>
        <v>1</v>
      </c>
      <c r="R122" s="31">
        <f t="shared" si="233"/>
        <v>1</v>
      </c>
      <c r="S122" s="31">
        <f t="shared" si="233"/>
        <v>1</v>
      </c>
      <c r="T122" s="31">
        <f t="shared" si="233"/>
        <v>1</v>
      </c>
      <c r="U122" s="31">
        <f t="shared" si="233"/>
        <v>1</v>
      </c>
      <c r="V122" s="31">
        <f t="shared" si="233"/>
        <v>1</v>
      </c>
      <c r="W122" s="31">
        <f t="shared" ref="W122:Y122" si="234">IF(W21=0,0,W21/W$21)</f>
        <v>1</v>
      </c>
      <c r="X122" s="31">
        <f t="shared" si="234"/>
        <v>1</v>
      </c>
      <c r="Y122" s="31">
        <f t="shared" si="234"/>
        <v>1</v>
      </c>
      <c r="DA122" s="173"/>
    </row>
    <row r="123" spans="1:105" ht="11.45" customHeight="1" x14ac:dyDescent="0.25">
      <c r="A123" s="83" t="s">
        <v>92</v>
      </c>
      <c r="B123" s="125">
        <f t="shared" si="232"/>
        <v>0.36756258733008057</v>
      </c>
      <c r="C123" s="125">
        <f t="shared" si="232"/>
        <v>0.33450072350696125</v>
      </c>
      <c r="D123" s="125">
        <f t="shared" si="232"/>
        <v>0.34356292351873557</v>
      </c>
      <c r="E123" s="125">
        <f t="shared" si="232"/>
        <v>0.36689980674781286</v>
      </c>
      <c r="F123" s="125">
        <f t="shared" si="232"/>
        <v>0.33738252269106994</v>
      </c>
      <c r="G123" s="125">
        <f t="shared" si="232"/>
        <v>0.30075602640963223</v>
      </c>
      <c r="H123" s="125">
        <f t="shared" si="232"/>
        <v>0.32038847826223055</v>
      </c>
      <c r="I123" s="125">
        <f t="shared" si="232"/>
        <v>0.30476637689401359</v>
      </c>
      <c r="J123" s="125">
        <f t="shared" si="232"/>
        <v>0.30089695510487158</v>
      </c>
      <c r="K123" s="125">
        <f t="shared" ref="K123:V123" si="235">IF(K22=0,0,K22/K$21)</f>
        <v>0.2814974546654786</v>
      </c>
      <c r="L123" s="125">
        <f t="shared" si="235"/>
        <v>0.27505688388828048</v>
      </c>
      <c r="M123" s="125">
        <f t="shared" si="235"/>
        <v>0.25764916215739875</v>
      </c>
      <c r="N123" s="125">
        <f t="shared" si="235"/>
        <v>0.21840833517901584</v>
      </c>
      <c r="O123" s="125">
        <f t="shared" si="235"/>
        <v>0.21405349467083473</v>
      </c>
      <c r="P123" s="125">
        <f t="shared" si="235"/>
        <v>0.23294700443724956</v>
      </c>
      <c r="Q123" s="125">
        <f t="shared" si="235"/>
        <v>0.22757851843990631</v>
      </c>
      <c r="R123" s="125">
        <f t="shared" si="235"/>
        <v>0.23639518231709913</v>
      </c>
      <c r="S123" s="125">
        <f t="shared" si="235"/>
        <v>0.22969536828611198</v>
      </c>
      <c r="T123" s="125">
        <f t="shared" si="235"/>
        <v>0.18075002855346187</v>
      </c>
      <c r="U123" s="125">
        <f t="shared" si="235"/>
        <v>0.15967787550036522</v>
      </c>
      <c r="V123" s="125">
        <f t="shared" si="235"/>
        <v>0.19593905351882918</v>
      </c>
      <c r="W123" s="125">
        <f t="shared" ref="W123:Y123" si="236">IF(W22=0,0,W22/W$21)</f>
        <v>0.18838356140761056</v>
      </c>
      <c r="X123" s="125">
        <f t="shared" si="236"/>
        <v>0.17779599721619632</v>
      </c>
      <c r="Y123" s="125">
        <f t="shared" si="236"/>
        <v>0.21450094888767035</v>
      </c>
      <c r="DA123" s="171"/>
    </row>
    <row r="124" spans="1:105" ht="11.45" customHeight="1" x14ac:dyDescent="0.25">
      <c r="A124" s="85" t="s">
        <v>93</v>
      </c>
      <c r="B124" s="127">
        <f t="shared" si="232"/>
        <v>0.63243741266991937</v>
      </c>
      <c r="C124" s="127">
        <f t="shared" si="232"/>
        <v>0.66549927649303875</v>
      </c>
      <c r="D124" s="127">
        <f t="shared" si="232"/>
        <v>0.65643707648126448</v>
      </c>
      <c r="E124" s="127">
        <f t="shared" si="232"/>
        <v>0.63310019325218703</v>
      </c>
      <c r="F124" s="127">
        <f t="shared" si="232"/>
        <v>0.66261747730893006</v>
      </c>
      <c r="G124" s="127">
        <f t="shared" si="232"/>
        <v>0.69924397359036783</v>
      </c>
      <c r="H124" s="127">
        <f t="shared" si="232"/>
        <v>0.67961152173776962</v>
      </c>
      <c r="I124" s="127">
        <f t="shared" si="232"/>
        <v>0.69523362310598646</v>
      </c>
      <c r="J124" s="127">
        <f t="shared" si="232"/>
        <v>0.69910304489512842</v>
      </c>
      <c r="K124" s="127">
        <f t="shared" ref="K124:V124" si="237">IF(K23=0,0,K23/K$21)</f>
        <v>0.71850254533452129</v>
      </c>
      <c r="L124" s="127">
        <f t="shared" si="237"/>
        <v>0.72494311611171947</v>
      </c>
      <c r="M124" s="127">
        <f t="shared" si="237"/>
        <v>0.74235083784260125</v>
      </c>
      <c r="N124" s="127">
        <f t="shared" si="237"/>
        <v>0.78159166482098419</v>
      </c>
      <c r="O124" s="127">
        <f t="shared" si="237"/>
        <v>0.78594650532916532</v>
      </c>
      <c r="P124" s="127">
        <f t="shared" si="237"/>
        <v>0.76705299556275053</v>
      </c>
      <c r="Q124" s="127">
        <f t="shared" si="237"/>
        <v>0.7724214815600936</v>
      </c>
      <c r="R124" s="127">
        <f t="shared" si="237"/>
        <v>0.76360481768290089</v>
      </c>
      <c r="S124" s="127">
        <f t="shared" si="237"/>
        <v>0.77030463171388797</v>
      </c>
      <c r="T124" s="127">
        <f t="shared" si="237"/>
        <v>0.81924997144653811</v>
      </c>
      <c r="U124" s="127">
        <f t="shared" si="237"/>
        <v>0.84032212449963484</v>
      </c>
      <c r="V124" s="127">
        <f t="shared" si="237"/>
        <v>0.80406094648117077</v>
      </c>
      <c r="W124" s="127">
        <f t="shared" ref="W124:Y124" si="238">IF(W23=0,0,W23/W$21)</f>
        <v>0.81161643859238952</v>
      </c>
      <c r="X124" s="127">
        <f t="shared" si="238"/>
        <v>0.82220400278380357</v>
      </c>
      <c r="Y124" s="127">
        <f t="shared" si="238"/>
        <v>0.78549905111232965</v>
      </c>
      <c r="DA124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6:Y6 B17:Y17 B28:Y28 C39:Y39" formulaRange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>
    <pageSetUpPr fitToPage="1"/>
  </sheetPr>
  <dimension ref="A1:DA6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1102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32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133" t="s">
        <v>45</v>
      </c>
      <c r="B4" s="146">
        <f>SUM(B5,B8)</f>
        <v>177.55803955288047</v>
      </c>
      <c r="C4" s="146">
        <f t="shared" ref="C4:V4" si="0">SUM(C5,C8)</f>
        <v>170.9420464316423</v>
      </c>
      <c r="D4" s="146">
        <f t="shared" si="0"/>
        <v>168.19286328460876</v>
      </c>
      <c r="E4" s="146">
        <f t="shared" si="0"/>
        <v>170.60042992261396</v>
      </c>
      <c r="F4" s="146">
        <f t="shared" si="0"/>
        <v>176.96096302665521</v>
      </c>
      <c r="G4" s="146">
        <f t="shared" si="0"/>
        <v>172.57807394668956</v>
      </c>
      <c r="H4" s="146">
        <f t="shared" si="0"/>
        <v>172.23413585554607</v>
      </c>
      <c r="I4" s="146">
        <f t="shared" si="0"/>
        <v>170.17050730868445</v>
      </c>
      <c r="J4" s="146">
        <f t="shared" si="0"/>
        <v>173.08684436801371</v>
      </c>
      <c r="K4" s="146">
        <f t="shared" si="0"/>
        <v>174.54858125537399</v>
      </c>
      <c r="L4" s="146">
        <f t="shared" si="0"/>
        <v>184.17884780739462</v>
      </c>
      <c r="M4" s="146">
        <f t="shared" si="0"/>
        <v>181.59931212381775</v>
      </c>
      <c r="N4" s="146">
        <f t="shared" si="0"/>
        <v>177.58194325021492</v>
      </c>
      <c r="O4" s="146">
        <f t="shared" si="0"/>
        <v>175.26036113499572</v>
      </c>
      <c r="P4" s="146">
        <f t="shared" si="0"/>
        <v>170.27325881341361</v>
      </c>
      <c r="Q4" s="146">
        <f t="shared" si="0"/>
        <v>170.80498710232155</v>
      </c>
      <c r="R4" s="146">
        <f t="shared" si="0"/>
        <v>176.42373172828889</v>
      </c>
      <c r="S4" s="146">
        <f t="shared" si="0"/>
        <v>177.14316423043849</v>
      </c>
      <c r="T4" s="146">
        <f t="shared" si="0"/>
        <v>176.74024075666381</v>
      </c>
      <c r="U4" s="146">
        <f t="shared" si="0"/>
        <v>177.17540842648319</v>
      </c>
      <c r="V4" s="146">
        <f t="shared" si="0"/>
        <v>161.02347377472049</v>
      </c>
      <c r="W4" s="146">
        <f t="shared" ref="W4:Y4" si="1">SUM(W5,W8)</f>
        <v>159.56964746345656</v>
      </c>
      <c r="X4" s="146">
        <f t="shared" si="1"/>
        <v>167.10197764402403</v>
      </c>
      <c r="Y4" s="146">
        <f t="shared" si="1"/>
        <v>167.82803095442816</v>
      </c>
      <c r="DA4" s="206" t="s">
        <v>1103</v>
      </c>
    </row>
    <row r="5" spans="1:105" ht="11.45" customHeight="1" x14ac:dyDescent="0.25">
      <c r="A5" s="92" t="s">
        <v>150</v>
      </c>
      <c r="B5" s="101">
        <f>SUM(B6:B7)</f>
        <v>37.05932932072227</v>
      </c>
      <c r="C5" s="101">
        <f t="shared" ref="C5:V5" si="2">SUM(C6:C7)</f>
        <v>35.000515907136709</v>
      </c>
      <c r="D5" s="101">
        <f t="shared" si="2"/>
        <v>33.971023215821162</v>
      </c>
      <c r="E5" s="101">
        <f t="shared" si="2"/>
        <v>33.971023215821162</v>
      </c>
      <c r="F5" s="101">
        <f t="shared" si="2"/>
        <v>35.000515907136709</v>
      </c>
      <c r="G5" s="101">
        <f t="shared" si="2"/>
        <v>33.971023215821162</v>
      </c>
      <c r="H5" s="101">
        <f t="shared" si="2"/>
        <v>33.971023215821162</v>
      </c>
      <c r="I5" s="101">
        <f t="shared" si="2"/>
        <v>33.971023215821162</v>
      </c>
      <c r="J5" s="101">
        <f t="shared" si="2"/>
        <v>34.049871023215822</v>
      </c>
      <c r="K5" s="101">
        <f t="shared" si="2"/>
        <v>30.95442820292347</v>
      </c>
      <c r="L5" s="101">
        <f t="shared" si="2"/>
        <v>34.049871023215822</v>
      </c>
      <c r="M5" s="101">
        <f t="shared" si="2"/>
        <v>33.018056749785039</v>
      </c>
      <c r="N5" s="101">
        <f t="shared" si="2"/>
        <v>27.710920034393805</v>
      </c>
      <c r="O5" s="101">
        <f t="shared" si="2"/>
        <v>27.710920034393805</v>
      </c>
      <c r="P5" s="101">
        <f t="shared" si="2"/>
        <v>28.742734307824595</v>
      </c>
      <c r="Q5" s="101">
        <f t="shared" si="2"/>
        <v>29.672742906276866</v>
      </c>
      <c r="R5" s="101">
        <f t="shared" si="2"/>
        <v>29.553740326741188</v>
      </c>
      <c r="S5" s="101">
        <f t="shared" si="2"/>
        <v>29.550644883920889</v>
      </c>
      <c r="T5" s="101">
        <f t="shared" si="2"/>
        <v>23.883490971625108</v>
      </c>
      <c r="U5" s="101">
        <f t="shared" si="2"/>
        <v>21.143938091143593</v>
      </c>
      <c r="V5" s="101">
        <f t="shared" si="2"/>
        <v>21.125021496130696</v>
      </c>
      <c r="W5" s="101">
        <f t="shared" ref="W5:Y5" si="3">SUM(W6:W7)</f>
        <v>19.806878761822873</v>
      </c>
      <c r="X5" s="101">
        <f t="shared" si="3"/>
        <v>21.067497850386928</v>
      </c>
      <c r="Y5" s="101">
        <f t="shared" si="3"/>
        <v>23.74901117798796</v>
      </c>
      <c r="DA5" s="175"/>
    </row>
    <row r="6" spans="1:105" ht="11.45" customHeight="1" x14ac:dyDescent="0.25">
      <c r="A6" s="164" t="s">
        <v>175</v>
      </c>
      <c r="B6" s="165">
        <v>37.05932932072227</v>
      </c>
      <c r="C6" s="165">
        <v>35.000515907136709</v>
      </c>
      <c r="D6" s="165">
        <v>33.971023215821162</v>
      </c>
      <c r="E6" s="165">
        <v>33.971023215821162</v>
      </c>
      <c r="F6" s="165">
        <v>35.000515907136709</v>
      </c>
      <c r="G6" s="165">
        <v>33.971023215821162</v>
      </c>
      <c r="H6" s="165">
        <v>33.971023215821162</v>
      </c>
      <c r="I6" s="165">
        <v>33.971023215821162</v>
      </c>
      <c r="J6" s="165">
        <v>34.049871023215822</v>
      </c>
      <c r="K6" s="165">
        <v>30.95442820292347</v>
      </c>
      <c r="L6" s="165">
        <v>34.049871023215822</v>
      </c>
      <c r="M6" s="165">
        <v>33.018056749785039</v>
      </c>
      <c r="N6" s="165">
        <v>26.827171109200339</v>
      </c>
      <c r="O6" s="165">
        <v>26.827171109200339</v>
      </c>
      <c r="P6" s="165">
        <v>27.858985382631129</v>
      </c>
      <c r="Q6" s="165">
        <v>28.83052450558899</v>
      </c>
      <c r="R6" s="165">
        <v>28.913069647463459</v>
      </c>
      <c r="S6" s="165">
        <v>28.630696474634561</v>
      </c>
      <c r="T6" s="165">
        <v>22.526999140154771</v>
      </c>
      <c r="U6" s="165">
        <v>19.582373172828891</v>
      </c>
      <c r="V6" s="165">
        <v>19.822184006878761</v>
      </c>
      <c r="W6" s="165">
        <v>18.31031814273431</v>
      </c>
      <c r="X6" s="165">
        <v>19.657351676698191</v>
      </c>
      <c r="Y6" s="165">
        <v>22.180309544282029</v>
      </c>
      <c r="DA6" s="207" t="s">
        <v>1104</v>
      </c>
    </row>
    <row r="7" spans="1:105" ht="11.45" customHeight="1" x14ac:dyDescent="0.25">
      <c r="A7" s="166" t="s">
        <v>176</v>
      </c>
      <c r="B7" s="167">
        <v>0</v>
      </c>
      <c r="C7" s="167">
        <v>0</v>
      </c>
      <c r="D7" s="167">
        <v>0</v>
      </c>
      <c r="E7" s="167">
        <v>0</v>
      </c>
      <c r="F7" s="167">
        <v>0</v>
      </c>
      <c r="G7" s="167">
        <v>0</v>
      </c>
      <c r="H7" s="167">
        <v>0</v>
      </c>
      <c r="I7" s="167">
        <v>0</v>
      </c>
      <c r="J7" s="167">
        <v>0</v>
      </c>
      <c r="K7" s="167">
        <v>0</v>
      </c>
      <c r="L7" s="167">
        <v>0</v>
      </c>
      <c r="M7" s="167">
        <v>0</v>
      </c>
      <c r="N7" s="167">
        <v>0.88374892519346515</v>
      </c>
      <c r="O7" s="167">
        <v>0.88374892519346515</v>
      </c>
      <c r="P7" s="167">
        <v>0.88374892519346515</v>
      </c>
      <c r="Q7" s="167">
        <v>0.84221840068787612</v>
      </c>
      <c r="R7" s="167">
        <v>0.64067067927772992</v>
      </c>
      <c r="S7" s="167">
        <v>0.91994840928632837</v>
      </c>
      <c r="T7" s="167">
        <v>1.3564918314703349</v>
      </c>
      <c r="U7" s="167">
        <v>1.5615649183147029</v>
      </c>
      <c r="V7" s="167">
        <v>1.302837489251935</v>
      </c>
      <c r="W7" s="167">
        <v>1.4965606190885641</v>
      </c>
      <c r="X7" s="167">
        <v>1.410146173688736</v>
      </c>
      <c r="Y7" s="167">
        <v>1.568701633705933</v>
      </c>
      <c r="DA7" s="177" t="s">
        <v>1105</v>
      </c>
    </row>
    <row r="8" spans="1:105" ht="11.45" customHeight="1" x14ac:dyDescent="0.25">
      <c r="A8" s="85" t="s">
        <v>91</v>
      </c>
      <c r="B8" s="88">
        <v>140.4987102321582</v>
      </c>
      <c r="C8" s="88">
        <v>135.94153052450559</v>
      </c>
      <c r="D8" s="88">
        <v>134.2218400687876</v>
      </c>
      <c r="E8" s="88">
        <v>136.62940670679279</v>
      </c>
      <c r="F8" s="88">
        <v>141.96044711951851</v>
      </c>
      <c r="G8" s="88">
        <v>138.60705073086839</v>
      </c>
      <c r="H8" s="88">
        <v>138.26311263972491</v>
      </c>
      <c r="I8" s="88">
        <v>136.19948409286329</v>
      </c>
      <c r="J8" s="88">
        <v>139.0369733447979</v>
      </c>
      <c r="K8" s="88">
        <v>143.59415305245051</v>
      </c>
      <c r="L8" s="88">
        <v>150.1289767841788</v>
      </c>
      <c r="M8" s="88">
        <v>148.58125537403271</v>
      </c>
      <c r="N8" s="88">
        <v>149.87102321582111</v>
      </c>
      <c r="O8" s="88">
        <v>147.54944110060191</v>
      </c>
      <c r="P8" s="88">
        <v>141.530524505589</v>
      </c>
      <c r="Q8" s="88">
        <v>141.1322441960447</v>
      </c>
      <c r="R8" s="88">
        <v>146.86999140154771</v>
      </c>
      <c r="S8" s="88">
        <v>147.59251934651761</v>
      </c>
      <c r="T8" s="88">
        <v>152.85674978503869</v>
      </c>
      <c r="U8" s="88">
        <v>156.03147033533961</v>
      </c>
      <c r="V8" s="88">
        <v>139.89845227858979</v>
      </c>
      <c r="W8" s="88">
        <v>139.76276870163369</v>
      </c>
      <c r="X8" s="88">
        <v>146.0344797936371</v>
      </c>
      <c r="Y8" s="88">
        <v>144.07901977644019</v>
      </c>
      <c r="DA8" s="178" t="s">
        <v>1106</v>
      </c>
    </row>
    <row r="9" spans="1:105" x14ac:dyDescent="0.25">
      <c r="A9" s="106"/>
      <c r="B9" s="106"/>
      <c r="C9" s="106"/>
      <c r="D9" s="106"/>
      <c r="E9" s="106"/>
      <c r="F9" s="106"/>
      <c r="G9" s="106"/>
      <c r="H9" s="106"/>
      <c r="I9" s="106"/>
      <c r="J9" s="106"/>
      <c r="K9" s="106"/>
      <c r="L9" s="106"/>
      <c r="M9" s="106"/>
      <c r="N9" s="106"/>
      <c r="O9" s="106"/>
      <c r="P9" s="106"/>
      <c r="Q9" s="106"/>
      <c r="R9" s="106"/>
      <c r="S9" s="106"/>
      <c r="T9" s="106"/>
      <c r="U9" s="106"/>
      <c r="V9" s="106"/>
      <c r="W9" s="106"/>
      <c r="X9" s="106"/>
      <c r="Y9" s="106"/>
      <c r="DA9" s="171"/>
    </row>
    <row r="10" spans="1:105" ht="11.45" customHeight="1" x14ac:dyDescent="0.25">
      <c r="A10" s="53" t="s">
        <v>61</v>
      </c>
      <c r="B10" s="62">
        <f t="shared" ref="B10" si="4">SUM(B11,B17)</f>
        <v>177.55803955288047</v>
      </c>
      <c r="C10" s="62">
        <f t="shared" ref="C10:V10" si="5">SUM(C11,C17)</f>
        <v>170.9420464316423</v>
      </c>
      <c r="D10" s="62">
        <f t="shared" si="5"/>
        <v>168.19286328460873</v>
      </c>
      <c r="E10" s="62">
        <f t="shared" si="5"/>
        <v>170.60042992261396</v>
      </c>
      <c r="F10" s="62">
        <f t="shared" si="5"/>
        <v>176.96096302665526</v>
      </c>
      <c r="G10" s="62">
        <f t="shared" si="5"/>
        <v>172.57807394668953</v>
      </c>
      <c r="H10" s="62">
        <f t="shared" si="5"/>
        <v>172.23413585554607</v>
      </c>
      <c r="I10" s="62">
        <f t="shared" si="5"/>
        <v>170.17050730868442</v>
      </c>
      <c r="J10" s="62">
        <f t="shared" si="5"/>
        <v>173.08684436801374</v>
      </c>
      <c r="K10" s="62">
        <f t="shared" si="5"/>
        <v>174.54858125537396</v>
      </c>
      <c r="L10" s="62">
        <f t="shared" si="5"/>
        <v>184.17884780739462</v>
      </c>
      <c r="M10" s="62">
        <f t="shared" si="5"/>
        <v>181.5993121238177</v>
      </c>
      <c r="N10" s="62">
        <f t="shared" si="5"/>
        <v>177.58194325021492</v>
      </c>
      <c r="O10" s="62">
        <f t="shared" si="5"/>
        <v>175.26036113499572</v>
      </c>
      <c r="P10" s="62">
        <f t="shared" si="5"/>
        <v>170.27325881341358</v>
      </c>
      <c r="Q10" s="62">
        <f t="shared" si="5"/>
        <v>170.80498710232155</v>
      </c>
      <c r="R10" s="62">
        <f t="shared" si="5"/>
        <v>176.42373172828889</v>
      </c>
      <c r="S10" s="62">
        <f t="shared" si="5"/>
        <v>177.14316423043857</v>
      </c>
      <c r="T10" s="62">
        <f t="shared" si="5"/>
        <v>176.74024075666378</v>
      </c>
      <c r="U10" s="62">
        <f t="shared" si="5"/>
        <v>177.17540842648322</v>
      </c>
      <c r="V10" s="62">
        <f t="shared" si="5"/>
        <v>161.02347377472049</v>
      </c>
      <c r="W10" s="62">
        <f t="shared" ref="W10:Y10" si="6">SUM(W11,W17)</f>
        <v>159.56964746345659</v>
      </c>
      <c r="X10" s="62">
        <f t="shared" si="6"/>
        <v>167.10197764402403</v>
      </c>
      <c r="Y10" s="62">
        <f t="shared" si="6"/>
        <v>167.82803095442813</v>
      </c>
      <c r="DA10" s="172" t="s">
        <v>1107</v>
      </c>
    </row>
    <row r="11" spans="1:105" ht="11.45" customHeight="1" x14ac:dyDescent="0.25">
      <c r="A11" s="27" t="s">
        <v>33</v>
      </c>
      <c r="B11" s="29">
        <f t="shared" ref="B11" si="7">SUM(B12,B13,B16)</f>
        <v>153.86490132292627</v>
      </c>
      <c r="C11" s="29">
        <f t="shared" ref="C11:V11" si="8">SUM(C12,C13,C16)</f>
        <v>147.92613234163403</v>
      </c>
      <c r="D11" s="29">
        <f t="shared" si="8"/>
        <v>147.91085804437344</v>
      </c>
      <c r="E11" s="29">
        <f t="shared" si="8"/>
        <v>149.25415294866059</v>
      </c>
      <c r="F11" s="29">
        <f t="shared" si="8"/>
        <v>151.49463827355314</v>
      </c>
      <c r="G11" s="29">
        <f t="shared" si="8"/>
        <v>146.23725348593939</v>
      </c>
      <c r="H11" s="29">
        <f t="shared" si="8"/>
        <v>145.57312185301572</v>
      </c>
      <c r="I11" s="29">
        <f t="shared" si="8"/>
        <v>140.25061695979167</v>
      </c>
      <c r="J11" s="29">
        <f t="shared" si="8"/>
        <v>144.34996300913079</v>
      </c>
      <c r="K11" s="29">
        <f t="shared" si="8"/>
        <v>151.29448881743383</v>
      </c>
      <c r="L11" s="29">
        <f t="shared" si="8"/>
        <v>157.65878832193266</v>
      </c>
      <c r="M11" s="29">
        <f t="shared" si="8"/>
        <v>154.18601158857939</v>
      </c>
      <c r="N11" s="29">
        <f t="shared" si="8"/>
        <v>152.55150743102064</v>
      </c>
      <c r="O11" s="29">
        <f t="shared" si="8"/>
        <v>150.96127712035721</v>
      </c>
      <c r="P11" s="29">
        <f t="shared" si="8"/>
        <v>146.43628016528328</v>
      </c>
      <c r="Q11" s="29">
        <f t="shared" si="8"/>
        <v>145.81229766267771</v>
      </c>
      <c r="R11" s="29">
        <f t="shared" si="8"/>
        <v>151.56355820179428</v>
      </c>
      <c r="S11" s="29">
        <f t="shared" si="8"/>
        <v>153.00798895706595</v>
      </c>
      <c r="T11" s="29">
        <f t="shared" si="8"/>
        <v>152.4397167790259</v>
      </c>
      <c r="U11" s="29">
        <f t="shared" si="8"/>
        <v>153.30482312300168</v>
      </c>
      <c r="V11" s="29">
        <f t="shared" si="8"/>
        <v>135.46317997210829</v>
      </c>
      <c r="W11" s="29">
        <f t="shared" ref="W11:Y11" si="9">SUM(W12,W13,W16)</f>
        <v>133.56446572809159</v>
      </c>
      <c r="X11" s="29">
        <f t="shared" si="9"/>
        <v>142.17230666679342</v>
      </c>
      <c r="Y11" s="29">
        <f t="shared" si="9"/>
        <v>145.11384657914235</v>
      </c>
      <c r="DA11" s="173" t="s">
        <v>395</v>
      </c>
    </row>
    <row r="12" spans="1:105" ht="11.45" customHeight="1" x14ac:dyDescent="0.25">
      <c r="A12" s="107" t="s">
        <v>23</v>
      </c>
      <c r="B12" s="115">
        <v>2.8761168700280972</v>
      </c>
      <c r="C12" s="115">
        <v>2.919439873185075</v>
      </c>
      <c r="D12" s="115">
        <v>2.8055777413836802</v>
      </c>
      <c r="E12" s="115">
        <v>2.8555526635910708</v>
      </c>
      <c r="F12" s="115">
        <v>2.9906315094960858</v>
      </c>
      <c r="G12" s="115">
        <v>2.9942707451046395</v>
      </c>
      <c r="H12" s="115">
        <v>3.0652487360045391</v>
      </c>
      <c r="I12" s="115">
        <v>3.1679164816016514</v>
      </c>
      <c r="J12" s="115">
        <v>3.2494318725002489</v>
      </c>
      <c r="K12" s="115">
        <v>3.2030824694420681</v>
      </c>
      <c r="L12" s="115">
        <v>3.2572063108303633</v>
      </c>
      <c r="M12" s="115">
        <v>3.3289586793417532</v>
      </c>
      <c r="N12" s="115">
        <v>3.0315924183822069</v>
      </c>
      <c r="O12" s="115">
        <v>3.101408221296988</v>
      </c>
      <c r="P12" s="115">
        <v>3.0481598238441054</v>
      </c>
      <c r="Q12" s="115">
        <v>3.3772572032453163</v>
      </c>
      <c r="R12" s="115">
        <v>3.3857087433451021</v>
      </c>
      <c r="S12" s="115">
        <v>3.2069604954206032</v>
      </c>
      <c r="T12" s="115">
        <v>3.7278948938783869</v>
      </c>
      <c r="U12" s="115">
        <v>3.714326471319747</v>
      </c>
      <c r="V12" s="115">
        <v>2.4192348567230475</v>
      </c>
      <c r="W12" s="115">
        <v>2.5006697930424777</v>
      </c>
      <c r="X12" s="115">
        <v>2.9490018045415076</v>
      </c>
      <c r="Y12" s="115">
        <v>2.4845331619720179</v>
      </c>
      <c r="DA12" s="203" t="s">
        <v>396</v>
      </c>
    </row>
    <row r="13" spans="1:105" ht="11.45" customHeight="1" x14ac:dyDescent="0.25">
      <c r="A13" s="109" t="s">
        <v>24</v>
      </c>
      <c r="B13" s="116">
        <f t="shared" ref="B13" si="10">SUM(B14:B15)</f>
        <v>150.28762266969201</v>
      </c>
      <c r="C13" s="116">
        <f t="shared" ref="C13:V13" si="11">SUM(C14:C15)</f>
        <v>143.83423900633551</v>
      </c>
      <c r="D13" s="116">
        <f t="shared" si="11"/>
        <v>143.88396238910224</v>
      </c>
      <c r="E13" s="116">
        <f t="shared" si="11"/>
        <v>142.38011871588674</v>
      </c>
      <c r="F13" s="116">
        <f t="shared" si="11"/>
        <v>144.56278407170109</v>
      </c>
      <c r="G13" s="116">
        <f t="shared" si="11"/>
        <v>139.14472828036583</v>
      </c>
      <c r="H13" s="116">
        <f t="shared" si="11"/>
        <v>138.19193692756753</v>
      </c>
      <c r="I13" s="116">
        <f t="shared" si="11"/>
        <v>132.44077158271625</v>
      </c>
      <c r="J13" s="116">
        <f t="shared" si="11"/>
        <v>136.0842564833884</v>
      </c>
      <c r="K13" s="116">
        <f t="shared" si="11"/>
        <v>146.5545186822369</v>
      </c>
      <c r="L13" s="116">
        <f t="shared" si="11"/>
        <v>152.7728465009576</v>
      </c>
      <c r="M13" s="116">
        <f t="shared" si="11"/>
        <v>149.15682122773052</v>
      </c>
      <c r="N13" s="116">
        <f t="shared" si="11"/>
        <v>147.74593508705502</v>
      </c>
      <c r="O13" s="116">
        <f t="shared" si="11"/>
        <v>145.90987463855322</v>
      </c>
      <c r="P13" s="116">
        <f t="shared" si="11"/>
        <v>142.117527181464</v>
      </c>
      <c r="Q13" s="116">
        <f t="shared" si="11"/>
        <v>137.36309251880223</v>
      </c>
      <c r="R13" s="116">
        <f t="shared" si="11"/>
        <v>146.35856210365185</v>
      </c>
      <c r="S13" s="116">
        <f t="shared" si="11"/>
        <v>147.76980007498918</v>
      </c>
      <c r="T13" s="116">
        <f t="shared" si="11"/>
        <v>146.80896010266576</v>
      </c>
      <c r="U13" s="116">
        <f t="shared" si="11"/>
        <v>147.42146401853006</v>
      </c>
      <c r="V13" s="116">
        <f t="shared" si="11"/>
        <v>132.22831702805124</v>
      </c>
      <c r="W13" s="116">
        <f t="shared" ref="W13:Y13" si="12">SUM(W14:W15)</f>
        <v>130.28425467003427</v>
      </c>
      <c r="X13" s="116">
        <f t="shared" si="12"/>
        <v>138.22267427198312</v>
      </c>
      <c r="Y13" s="116">
        <f t="shared" si="12"/>
        <v>140.47674927187467</v>
      </c>
      <c r="DA13" s="176" t="s">
        <v>397</v>
      </c>
    </row>
    <row r="14" spans="1:105" ht="11.45" customHeight="1" x14ac:dyDescent="0.25">
      <c r="A14" s="111" t="s">
        <v>95</v>
      </c>
      <c r="B14" s="87">
        <v>22.743361847880145</v>
      </c>
      <c r="C14" s="87">
        <v>21.873970111286546</v>
      </c>
      <c r="D14" s="87">
        <v>22.189260906736681</v>
      </c>
      <c r="E14" s="87">
        <v>20.991143511028024</v>
      </c>
      <c r="F14" s="87">
        <v>20.183649339680038</v>
      </c>
      <c r="G14" s="87">
        <v>19.703257065401981</v>
      </c>
      <c r="H14" s="87">
        <v>18.928195733411609</v>
      </c>
      <c r="I14" s="87">
        <v>17.544200116709046</v>
      </c>
      <c r="J14" s="87">
        <v>18.82646861550181</v>
      </c>
      <c r="K14" s="87">
        <v>19.136881361869843</v>
      </c>
      <c r="L14" s="87">
        <v>20.731506788329352</v>
      </c>
      <c r="M14" s="87">
        <v>20.134401709973258</v>
      </c>
      <c r="N14" s="87">
        <v>17.18143986949293</v>
      </c>
      <c r="O14" s="87">
        <v>17.429934024528702</v>
      </c>
      <c r="P14" s="87">
        <v>18.002205275524464</v>
      </c>
      <c r="Q14" s="87">
        <v>18.437016046624919</v>
      </c>
      <c r="R14" s="87">
        <v>17.951120402888304</v>
      </c>
      <c r="S14" s="87">
        <v>18.453127053640934</v>
      </c>
      <c r="T14" s="87">
        <v>14.451186067412987</v>
      </c>
      <c r="U14" s="87">
        <v>12.679976918825142</v>
      </c>
      <c r="V14" s="87">
        <v>10.534859491301477</v>
      </c>
      <c r="W14" s="87">
        <v>9.3190147087118635</v>
      </c>
      <c r="X14" s="87">
        <v>11.421484107679071</v>
      </c>
      <c r="Y14" s="87">
        <v>13.66515869076475</v>
      </c>
      <c r="DA14" s="171" t="s">
        <v>1108</v>
      </c>
    </row>
    <row r="15" spans="1:105" ht="11.45" customHeight="1" x14ac:dyDescent="0.25">
      <c r="A15" s="111" t="s">
        <v>93</v>
      </c>
      <c r="B15" s="87">
        <v>127.54426082181187</v>
      </c>
      <c r="C15" s="87">
        <v>121.96026889504897</v>
      </c>
      <c r="D15" s="87">
        <v>121.69470148236556</v>
      </c>
      <c r="E15" s="87">
        <v>121.38897520485872</v>
      </c>
      <c r="F15" s="87">
        <v>124.37913473202104</v>
      </c>
      <c r="G15" s="87">
        <v>119.44147121496385</v>
      </c>
      <c r="H15" s="87">
        <v>119.26374119415591</v>
      </c>
      <c r="I15" s="87">
        <v>114.89657146600722</v>
      </c>
      <c r="J15" s="87">
        <v>117.25778786788658</v>
      </c>
      <c r="K15" s="87">
        <v>127.41763732036706</v>
      </c>
      <c r="L15" s="87">
        <v>132.04133971262826</v>
      </c>
      <c r="M15" s="87">
        <v>129.02241951775727</v>
      </c>
      <c r="N15" s="87">
        <v>130.5644952175621</v>
      </c>
      <c r="O15" s="87">
        <v>128.47994061402451</v>
      </c>
      <c r="P15" s="87">
        <v>124.11532190593954</v>
      </c>
      <c r="Q15" s="87">
        <v>118.92607647217731</v>
      </c>
      <c r="R15" s="87">
        <v>128.40744170076354</v>
      </c>
      <c r="S15" s="87">
        <v>129.31667302134824</v>
      </c>
      <c r="T15" s="87">
        <v>132.35777403525279</v>
      </c>
      <c r="U15" s="87">
        <v>134.74148709970493</v>
      </c>
      <c r="V15" s="87">
        <v>121.69345753674976</v>
      </c>
      <c r="W15" s="87">
        <v>120.9652399613224</v>
      </c>
      <c r="X15" s="87">
        <v>126.80119016430406</v>
      </c>
      <c r="Y15" s="87">
        <v>126.81159058110991</v>
      </c>
      <c r="DA15" s="171" t="s">
        <v>1109</v>
      </c>
    </row>
    <row r="16" spans="1:105" ht="11.45" customHeight="1" x14ac:dyDescent="0.25">
      <c r="A16" s="112" t="s">
        <v>25</v>
      </c>
      <c r="B16" s="117">
        <v>0.70116178320616929</v>
      </c>
      <c r="C16" s="117">
        <v>1.1724534621134626</v>
      </c>
      <c r="D16" s="117">
        <v>1.2213179138875279</v>
      </c>
      <c r="E16" s="117">
        <v>4.0184815691827822</v>
      </c>
      <c r="F16" s="117">
        <v>3.9412226923559368</v>
      </c>
      <c r="G16" s="117">
        <v>4.098254460468933</v>
      </c>
      <c r="H16" s="117">
        <v>4.3159361894436614</v>
      </c>
      <c r="I16" s="117">
        <v>4.6419288954737761</v>
      </c>
      <c r="J16" s="117">
        <v>5.0162746532421414</v>
      </c>
      <c r="K16" s="117">
        <v>1.5368876657548498</v>
      </c>
      <c r="L16" s="117">
        <v>1.6287355101447041</v>
      </c>
      <c r="M16" s="117">
        <v>1.7002316815071259</v>
      </c>
      <c r="N16" s="117">
        <v>1.7739799255834019</v>
      </c>
      <c r="O16" s="117">
        <v>1.9499942605069955</v>
      </c>
      <c r="P16" s="117">
        <v>1.2705931599751537</v>
      </c>
      <c r="Q16" s="117">
        <v>5.0719479406301557</v>
      </c>
      <c r="R16" s="117">
        <v>1.8192873547973281</v>
      </c>
      <c r="S16" s="117">
        <v>2.0312283866561529</v>
      </c>
      <c r="T16" s="117">
        <v>1.9028617824817395</v>
      </c>
      <c r="U16" s="117">
        <v>2.1690326331518985</v>
      </c>
      <c r="V16" s="117">
        <v>0.81562808733399506</v>
      </c>
      <c r="W16" s="117">
        <v>0.77954126501484589</v>
      </c>
      <c r="X16" s="117">
        <v>1.0006305902688051</v>
      </c>
      <c r="Y16" s="117">
        <v>2.1525641452956514</v>
      </c>
      <c r="DA16" s="204" t="s">
        <v>398</v>
      </c>
    </row>
    <row r="17" spans="1:105" ht="11.45" customHeight="1" x14ac:dyDescent="0.25">
      <c r="A17" s="27" t="s">
        <v>34</v>
      </c>
      <c r="B17" s="29">
        <f t="shared" ref="B17:W17" si="13">SUM(B18:B19)</f>
        <v>23.693138229954197</v>
      </c>
      <c r="C17" s="29">
        <f t="shared" si="13"/>
        <v>23.015914090008259</v>
      </c>
      <c r="D17" s="29">
        <f t="shared" si="13"/>
        <v>20.282005240235293</v>
      </c>
      <c r="E17" s="29">
        <f t="shared" si="13"/>
        <v>21.346276973953351</v>
      </c>
      <c r="F17" s="29">
        <f t="shared" si="13"/>
        <v>25.466324753102128</v>
      </c>
      <c r="G17" s="29">
        <f t="shared" si="13"/>
        <v>26.340820460750145</v>
      </c>
      <c r="H17" s="29">
        <f t="shared" si="13"/>
        <v>26.661014002530354</v>
      </c>
      <c r="I17" s="29">
        <f t="shared" si="13"/>
        <v>29.919890348892757</v>
      </c>
      <c r="J17" s="29">
        <f t="shared" si="13"/>
        <v>28.736881358882954</v>
      </c>
      <c r="K17" s="29">
        <f t="shared" si="13"/>
        <v>23.254092437940137</v>
      </c>
      <c r="L17" s="29">
        <f t="shared" si="13"/>
        <v>26.520059485461964</v>
      </c>
      <c r="M17" s="29">
        <f t="shared" si="13"/>
        <v>27.413300535238314</v>
      </c>
      <c r="N17" s="29">
        <f t="shared" si="13"/>
        <v>25.030435819194274</v>
      </c>
      <c r="O17" s="29">
        <f t="shared" si="13"/>
        <v>24.299084014638517</v>
      </c>
      <c r="P17" s="29">
        <f t="shared" si="13"/>
        <v>23.836978648130312</v>
      </c>
      <c r="Q17" s="29">
        <f t="shared" si="13"/>
        <v>24.992689439643843</v>
      </c>
      <c r="R17" s="29">
        <f t="shared" si="13"/>
        <v>24.860173526494599</v>
      </c>
      <c r="S17" s="29">
        <f t="shared" si="13"/>
        <v>24.135175273372617</v>
      </c>
      <c r="T17" s="29">
        <f t="shared" si="13"/>
        <v>24.300523977637887</v>
      </c>
      <c r="U17" s="29">
        <f t="shared" si="13"/>
        <v>23.870585303481519</v>
      </c>
      <c r="V17" s="29">
        <f t="shared" si="13"/>
        <v>25.5602938026122</v>
      </c>
      <c r="W17" s="29">
        <f t="shared" si="13"/>
        <v>26.005181735364992</v>
      </c>
      <c r="X17" s="29">
        <f t="shared" ref="X17:Y17" si="14">SUM(X18:X19)</f>
        <v>24.929670977230607</v>
      </c>
      <c r="Y17" s="29">
        <f t="shared" si="14"/>
        <v>22.714184375285793</v>
      </c>
      <c r="DA17" s="173" t="s">
        <v>402</v>
      </c>
    </row>
    <row r="18" spans="1:105" ht="11.45" customHeight="1" x14ac:dyDescent="0.25">
      <c r="A18" s="83" t="s">
        <v>95</v>
      </c>
      <c r="B18" s="87">
        <v>14.315967472842129</v>
      </c>
      <c r="C18" s="87">
        <v>13.126545795850165</v>
      </c>
      <c r="D18" s="87">
        <v>11.781762309084479</v>
      </c>
      <c r="E18" s="87">
        <v>12.97987970479314</v>
      </c>
      <c r="F18" s="87">
        <v>14.816866567456669</v>
      </c>
      <c r="G18" s="87">
        <v>14.267766150419179</v>
      </c>
      <c r="H18" s="87">
        <v>15.04282748240955</v>
      </c>
      <c r="I18" s="87">
        <v>16.426823099112113</v>
      </c>
      <c r="J18" s="87">
        <v>15.223402407714014</v>
      </c>
      <c r="K18" s="87">
        <v>11.817546841053627</v>
      </c>
      <c r="L18" s="87">
        <v>13.31836423488647</v>
      </c>
      <c r="M18" s="87">
        <v>12.88365503981178</v>
      </c>
      <c r="N18" s="87">
        <v>10.529480164900875</v>
      </c>
      <c r="O18" s="87">
        <v>10.280986009865106</v>
      </c>
      <c r="P18" s="87">
        <v>10.740529032300131</v>
      </c>
      <c r="Q18" s="87">
        <v>11.235726859651946</v>
      </c>
      <c r="R18" s="87">
        <v>11.602619923852885</v>
      </c>
      <c r="S18" s="87">
        <v>11.097517830279957</v>
      </c>
      <c r="T18" s="87">
        <v>9.4323049042121205</v>
      </c>
      <c r="U18" s="87">
        <v>8.4639611723184505</v>
      </c>
      <c r="V18" s="87">
        <v>10.590162004829219</v>
      </c>
      <c r="W18" s="87">
        <v>10.487864053111009</v>
      </c>
      <c r="X18" s="87">
        <v>9.6460137427078596</v>
      </c>
      <c r="Y18" s="87">
        <v>10.083852487223211</v>
      </c>
      <c r="DA18" s="171" t="s">
        <v>1110</v>
      </c>
    </row>
    <row r="19" spans="1:105" ht="11.45" customHeight="1" x14ac:dyDescent="0.25">
      <c r="A19" s="85" t="s">
        <v>93</v>
      </c>
      <c r="B19" s="88">
        <v>9.3771707571120686</v>
      </c>
      <c r="C19" s="88">
        <v>9.8893682941580927</v>
      </c>
      <c r="D19" s="88">
        <v>8.5002429311508134</v>
      </c>
      <c r="E19" s="88">
        <v>8.3663972691602133</v>
      </c>
      <c r="F19" s="88">
        <v>10.649458185645457</v>
      </c>
      <c r="G19" s="88">
        <v>12.073054310330967</v>
      </c>
      <c r="H19" s="88">
        <v>11.618186520120805</v>
      </c>
      <c r="I19" s="88">
        <v>13.493067249780644</v>
      </c>
      <c r="J19" s="88">
        <v>13.51347895116894</v>
      </c>
      <c r="K19" s="88">
        <v>11.436545596886509</v>
      </c>
      <c r="L19" s="88">
        <v>13.201695250575492</v>
      </c>
      <c r="M19" s="88">
        <v>14.529645495426536</v>
      </c>
      <c r="N19" s="88">
        <v>14.500955654293398</v>
      </c>
      <c r="O19" s="88">
        <v>14.018098004773412</v>
      </c>
      <c r="P19" s="88">
        <v>13.09644961583018</v>
      </c>
      <c r="Q19" s="88">
        <v>13.756962579991898</v>
      </c>
      <c r="R19" s="88">
        <v>13.257553602641714</v>
      </c>
      <c r="S19" s="88">
        <v>13.037657443092661</v>
      </c>
      <c r="T19" s="88">
        <v>14.868219073425765</v>
      </c>
      <c r="U19" s="88">
        <v>15.406624131163071</v>
      </c>
      <c r="V19" s="88">
        <v>14.97013179778298</v>
      </c>
      <c r="W19" s="88">
        <v>15.517317682253985</v>
      </c>
      <c r="X19" s="88">
        <v>15.283657234522749</v>
      </c>
      <c r="Y19" s="88">
        <v>12.630331888062582</v>
      </c>
      <c r="DA19" s="178" t="s">
        <v>1111</v>
      </c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68" t="s">
        <v>36</v>
      </c>
      <c r="B21" s="69"/>
      <c r="C21" s="69"/>
      <c r="D21" s="69"/>
      <c r="E21" s="69"/>
      <c r="F21" s="69"/>
      <c r="G21" s="69"/>
      <c r="H21" s="69"/>
      <c r="I21" s="69"/>
      <c r="J21" s="69"/>
      <c r="K21" s="69"/>
      <c r="L21" s="69"/>
      <c r="M21" s="69"/>
      <c r="N21" s="69"/>
      <c r="O21" s="69"/>
      <c r="P21" s="69"/>
      <c r="Q21" s="69"/>
      <c r="R21" s="69"/>
      <c r="S21" s="69"/>
      <c r="T21" s="69"/>
      <c r="U21" s="69"/>
      <c r="V21" s="69"/>
      <c r="W21" s="69"/>
      <c r="X21" s="69"/>
      <c r="Y21" s="69"/>
      <c r="DA21" s="179"/>
    </row>
    <row r="22" spans="1:105" x14ac:dyDescent="0.25">
      <c r="A22" s="106"/>
      <c r="B22" s="106"/>
      <c r="C22" s="106"/>
      <c r="D22" s="106"/>
      <c r="E22" s="106"/>
      <c r="F22" s="106"/>
      <c r="G22" s="106"/>
      <c r="H22" s="106"/>
      <c r="I22" s="106"/>
      <c r="J22" s="106"/>
      <c r="K22" s="106"/>
      <c r="L22" s="106"/>
      <c r="M22" s="106"/>
      <c r="N22" s="106"/>
      <c r="O22" s="106"/>
      <c r="P22" s="106"/>
      <c r="Q22" s="106"/>
      <c r="R22" s="106"/>
      <c r="S22" s="106"/>
      <c r="T22" s="106"/>
      <c r="U22" s="106"/>
      <c r="V22" s="106"/>
      <c r="W22" s="106"/>
      <c r="X22" s="106"/>
      <c r="Y22" s="106"/>
      <c r="DA22" s="171"/>
    </row>
    <row r="23" spans="1:105" ht="11.45" customHeight="1" x14ac:dyDescent="0.25">
      <c r="A23" s="53" t="s">
        <v>62</v>
      </c>
      <c r="B23" s="62">
        <f>IF(B10=0,0,B10/TrRail_act!B14*100)</f>
        <v>144.55138235885801</v>
      </c>
      <c r="C23" s="62">
        <f>IF(C10=0,0,C10/TrRail_act!C14*100)</f>
        <v>142.64809960310239</v>
      </c>
      <c r="D23" s="62">
        <f>IF(D10=0,0,D10/TrRail_act!D14*100)</f>
        <v>140.78218398576755</v>
      </c>
      <c r="E23" s="62">
        <f>IF(E10=0,0,E10/TrRail_act!E14*100)</f>
        <v>139.25489172764682</v>
      </c>
      <c r="F23" s="62">
        <f>IF(F10=0,0,F10/TrRail_act!F14*100)</f>
        <v>137.56616956310023</v>
      </c>
      <c r="G23" s="62">
        <f>IF(G10=0,0,G10/TrRail_act!G14*100)</f>
        <v>136.63240044841615</v>
      </c>
      <c r="H23" s="62">
        <f>IF(H10=0,0,H10/TrRail_act!H14*100)</f>
        <v>134.87532393415134</v>
      </c>
      <c r="I23" s="62">
        <f>IF(I10=0,0,I10/TrRail_act!I14*100)</f>
        <v>134.63298098287379</v>
      </c>
      <c r="J23" s="62">
        <f>IF(J10=0,0,J10/TrRail_act!J14*100)</f>
        <v>133.1360074114794</v>
      </c>
      <c r="K23" s="62">
        <f>IF(K10=0,0,K10/TrRail_act!K14*100)</f>
        <v>128.86129783560858</v>
      </c>
      <c r="L23" s="62">
        <f>IF(L10=0,0,L10/TrRail_act!L14*100)</f>
        <v>128.15353493581028</v>
      </c>
      <c r="M23" s="62">
        <f>IF(M10=0,0,M10/TrRail_act!M14*100)</f>
        <v>126.65868308482725</v>
      </c>
      <c r="N23" s="62">
        <f>IF(N10=0,0,N10/TrRail_act!N14*100)</f>
        <v>122.69880216405457</v>
      </c>
      <c r="O23" s="62">
        <f>IF(O10=0,0,O10/TrRail_act!O14*100)</f>
        <v>118.13076509318169</v>
      </c>
      <c r="P23" s="62">
        <f>IF(P10=0,0,P10/TrRail_act!P14*100)</f>
        <v>115.63839447269916</v>
      </c>
      <c r="Q23" s="62">
        <f>IF(Q10=0,0,Q10/TrRail_act!Q14*100)</f>
        <v>115.40140733151208</v>
      </c>
      <c r="R23" s="62">
        <f>IF(R10=0,0,R10/TrRail_act!R14*100)</f>
        <v>112.83851120372483</v>
      </c>
      <c r="S23" s="62">
        <f>IF(S10=0,0,S10/TrRail_act!S14*100)</f>
        <v>111.86988247847395</v>
      </c>
      <c r="T23" s="62">
        <f>IF(T10=0,0,T10/TrRail_act!T14*100)</f>
        <v>108.51685002611737</v>
      </c>
      <c r="U23" s="62">
        <f>IF(U10=0,0,U10/TrRail_act!U14*100)</f>
        <v>107.10241083618509</v>
      </c>
      <c r="V23" s="62">
        <f>IF(V10=0,0,V10/TrRail_act!V14*100)</f>
        <v>109.2883258205713</v>
      </c>
      <c r="W23" s="62">
        <f>IF(W10=0,0,W10/TrRail_act!W14*100)</f>
        <v>108.53789076290236</v>
      </c>
      <c r="X23" s="62">
        <f>IF(X10=0,0,X10/TrRail_act!X14*100)</f>
        <v>107.43944644822115</v>
      </c>
      <c r="Y23" s="62">
        <f>IF(Y10=0,0,Y10/TrRail_act!Y14*100)</f>
        <v>108.61065810477675</v>
      </c>
      <c r="DA23" s="172" t="s">
        <v>1112</v>
      </c>
    </row>
    <row r="24" spans="1:105" ht="11.45" customHeight="1" x14ac:dyDescent="0.25">
      <c r="A24" s="27" t="s">
        <v>33</v>
      </c>
      <c r="B24" s="29">
        <f>IF(B11=0,0,B11/TrRail_act!B15*100)</f>
        <v>134.30967943624034</v>
      </c>
      <c r="C24" s="29">
        <f>IF(C11=0,0,C11/TrRail_act!C15*100)</f>
        <v>132.72774609478822</v>
      </c>
      <c r="D24" s="29">
        <f>IF(D11=0,0,D11/TrRail_act!D15*100)</f>
        <v>131.95013192788875</v>
      </c>
      <c r="E24" s="29">
        <f>IF(E11=0,0,E11/TrRail_act!E15*100)</f>
        <v>129.95398867956436</v>
      </c>
      <c r="F24" s="29">
        <f>IF(F11=0,0,F11/TrRail_act!F15*100)</f>
        <v>127.13812744575088</v>
      </c>
      <c r="G24" s="29">
        <f>IF(G11=0,0,G11/TrRail_act!G15*100)</f>
        <v>126.02763190542632</v>
      </c>
      <c r="H24" s="29">
        <f>IF(H11=0,0,H11/TrRail_act!H15*100)</f>
        <v>124.00903254938815</v>
      </c>
      <c r="I24" s="29">
        <f>IF(I11=0,0,I11/TrRail_act!I15*100)</f>
        <v>122.38744885454926</v>
      </c>
      <c r="J24" s="29">
        <f>IF(J11=0,0,J11/TrRail_act!J15*100)</f>
        <v>122.1189272540895</v>
      </c>
      <c r="K24" s="29">
        <f>IF(K11=0,0,K11/TrRail_act!K15*100)</f>
        <v>120.41109667656258</v>
      </c>
      <c r="L24" s="29">
        <f>IF(L11=0,0,L11/TrRail_act!L15*100)</f>
        <v>119.14128476362731</v>
      </c>
      <c r="M24" s="29">
        <f>IF(M11=0,0,M11/TrRail_act!M15*100)</f>
        <v>117.67630410007139</v>
      </c>
      <c r="N24" s="29">
        <f>IF(N11=0,0,N11/TrRail_act!N15*100)</f>
        <v>114.90279463061242</v>
      </c>
      <c r="O24" s="29">
        <f>IF(O11=0,0,O11/TrRail_act!O15*100)</f>
        <v>110.68669501376343</v>
      </c>
      <c r="P24" s="29">
        <f>IF(P11=0,0,P11/TrRail_act!P15*100)</f>
        <v>108.1051675544112</v>
      </c>
      <c r="Q24" s="29">
        <f>IF(Q11=0,0,Q11/TrRail_act!Q15*100)</f>
        <v>107.63101988109243</v>
      </c>
      <c r="R24" s="29">
        <f>IF(R11=0,0,R11/TrRail_act!R15*100)</f>
        <v>105.33145491134313</v>
      </c>
      <c r="S24" s="29">
        <f>IF(S11=0,0,S11/TrRail_act!S15*100)</f>
        <v>104.78249618983024</v>
      </c>
      <c r="T24" s="29">
        <f>IF(T11=0,0,T11/TrRail_act!T15*100)</f>
        <v>101.95924760618091</v>
      </c>
      <c r="U24" s="29">
        <f>IF(U11=0,0,U11/TrRail_act!U15*100)</f>
        <v>100.97780330677008</v>
      </c>
      <c r="V24" s="29">
        <f>IF(V11=0,0,V11/TrRail_act!V15*100)</f>
        <v>101.51867299072191</v>
      </c>
      <c r="W24" s="29">
        <f>IF(W11=0,0,W11/TrRail_act!W15*100)</f>
        <v>100.66949641532541</v>
      </c>
      <c r="X24" s="29">
        <f>IF(X11=0,0,X11/TrRail_act!X15*100)</f>
        <v>100.44691027757622</v>
      </c>
      <c r="Y24" s="29">
        <f>IF(Y11=0,0,Y11/TrRail_act!Y15*100)</f>
        <v>101.91406370814798</v>
      </c>
      <c r="DA24" s="173" t="s">
        <v>1113</v>
      </c>
    </row>
    <row r="25" spans="1:105" ht="11.45" customHeight="1" x14ac:dyDescent="0.25">
      <c r="A25" s="107" t="s">
        <v>23</v>
      </c>
      <c r="B25" s="115">
        <f>IF(B12=0,0,B12/TrRail_act!B16*100)</f>
        <v>36.205065818888336</v>
      </c>
      <c r="C25" s="115">
        <f>IF(C12=0,0,C12/TrRail_act!C16*100)</f>
        <v>35.968054781699983</v>
      </c>
      <c r="D25" s="115">
        <f>IF(D12=0,0,D12/TrRail_act!D16*100)</f>
        <v>35.676244479849132</v>
      </c>
      <c r="E25" s="115">
        <f>IF(E12=0,0,E12/TrRail_act!E16*100)</f>
        <v>35.397377883972538</v>
      </c>
      <c r="F25" s="115">
        <f>IF(F12=0,0,F12/TrRail_act!F16*100)</f>
        <v>34.977099063221168</v>
      </c>
      <c r="G25" s="115">
        <f>IF(G12=0,0,G12/TrRail_act!G16*100)</f>
        <v>34.538930959591454</v>
      </c>
      <c r="H25" s="115">
        <f>IF(H12=0,0,H12/TrRail_act!H16*100)</f>
        <v>34.281174800570149</v>
      </c>
      <c r="I25" s="115">
        <f>IF(I12=0,0,I12/TrRail_act!I16*100)</f>
        <v>33.941220260906775</v>
      </c>
      <c r="J25" s="115">
        <f>IF(J12=0,0,J12/TrRail_act!J16*100)</f>
        <v>33.715333705736164</v>
      </c>
      <c r="K25" s="115">
        <f>IF(K12=0,0,K12/TrRail_act!K16*100)</f>
        <v>33.482054154740339</v>
      </c>
      <c r="L25" s="115">
        <f>IF(L12=0,0,L12/TrRail_act!L16*100)</f>
        <v>33.286692344511458</v>
      </c>
      <c r="M25" s="115">
        <f>IF(M12=0,0,M12/TrRail_act!M16*100)</f>
        <v>32.908519393677885</v>
      </c>
      <c r="N25" s="115">
        <f>IF(N12=0,0,N12/TrRail_act!N16*100)</f>
        <v>32.638431497152567</v>
      </c>
      <c r="O25" s="115">
        <f>IF(O12=0,0,O12/TrRail_act!O16*100)</f>
        <v>32.313189636883905</v>
      </c>
      <c r="P25" s="115">
        <f>IF(P12=0,0,P12/TrRail_act!P16*100)</f>
        <v>32.045775588816404</v>
      </c>
      <c r="Q25" s="115">
        <f>IF(Q12=0,0,Q12/TrRail_act!Q16*100)</f>
        <v>31.813289538507846</v>
      </c>
      <c r="R25" s="115">
        <f>IF(R12=0,0,R12/TrRail_act!R16*100)</f>
        <v>31.640032530538125</v>
      </c>
      <c r="S25" s="115">
        <f>IF(S12=0,0,S12/TrRail_act!S16*100)</f>
        <v>31.510709272333955</v>
      </c>
      <c r="T25" s="115">
        <f>IF(T12=0,0,T12/TrRail_act!T16*100)</f>
        <v>31.414063832104311</v>
      </c>
      <c r="U25" s="115">
        <f>IF(U12=0,0,U12/TrRail_act!U16*100)</f>
        <v>31.341774326004458</v>
      </c>
      <c r="V25" s="115">
        <f>IF(V12=0,0,V12/TrRail_act!V16*100)</f>
        <v>31.287666385468686</v>
      </c>
      <c r="W25" s="115">
        <f>IF(W12=0,0,W12/TrRail_act!W16*100)</f>
        <v>31.247146739916985</v>
      </c>
      <c r="X25" s="115">
        <f>IF(X12=0,0,X12/TrRail_act!X16*100)</f>
        <v>31.216791446638503</v>
      </c>
      <c r="Y25" s="115">
        <f>IF(Y12=0,0,Y12/TrRail_act!Y16*100)</f>
        <v>31.194044330334243</v>
      </c>
      <c r="DA25" s="203" t="s">
        <v>1114</v>
      </c>
    </row>
    <row r="26" spans="1:105" ht="11.45" customHeight="1" x14ac:dyDescent="0.25">
      <c r="A26" s="109" t="s">
        <v>24</v>
      </c>
      <c r="B26" s="116">
        <f>IF(B13=0,0,B13/TrRail_act!B17*100)</f>
        <v>141.47977583038303</v>
      </c>
      <c r="C26" s="116">
        <f>IF(C13=0,0,C13/TrRail_act!C17*100)</f>
        <v>140.08787879272987</v>
      </c>
      <c r="D26" s="116">
        <f>IF(D13=0,0,D13/TrRail_act!D17*100)</f>
        <v>138.96764070011335</v>
      </c>
      <c r="E26" s="116">
        <f>IF(E13=0,0,E13/TrRail_act!E17*100)</f>
        <v>136.26086944090298</v>
      </c>
      <c r="F26" s="116">
        <f>IF(F13=0,0,F13/TrRail_act!F17*100)</f>
        <v>133.43698215957585</v>
      </c>
      <c r="G26" s="116">
        <f>IF(G13=0,0,G13/TrRail_act!G17*100)</f>
        <v>132.52688654952377</v>
      </c>
      <c r="H26" s="116">
        <f>IF(H13=0,0,H13/TrRail_act!H17*100)</f>
        <v>130.44847341336134</v>
      </c>
      <c r="I26" s="116">
        <f>IF(I13=0,0,I13/TrRail_act!I17*100)</f>
        <v>129.16294769374718</v>
      </c>
      <c r="J26" s="116">
        <f>IF(J13=0,0,J13/TrRail_act!J17*100)</f>
        <v>128.86161594801183</v>
      </c>
      <c r="K26" s="116">
        <f>IF(K13=0,0,K13/TrRail_act!K17*100)</f>
        <v>127.25156036439171</v>
      </c>
      <c r="L26" s="116">
        <f>IF(L13=0,0,L13/TrRail_act!L17*100)</f>
        <v>125.66774124298644</v>
      </c>
      <c r="M26" s="116">
        <f>IF(M13=0,0,M13/TrRail_act!M17*100)</f>
        <v>124.4215960810227</v>
      </c>
      <c r="N26" s="116">
        <f>IF(N13=0,0,N13/TrRail_act!N17*100)</f>
        <v>120.71784335960112</v>
      </c>
      <c r="O26" s="116">
        <f>IF(O13=0,0,O13/TrRail_act!O17*100)</f>
        <v>116.18744204790042</v>
      </c>
      <c r="P26" s="116">
        <f>IF(P13=0,0,P13/TrRail_act!P17*100)</f>
        <v>113.55559350791349</v>
      </c>
      <c r="Q26" s="116">
        <f>IF(Q13=0,0,Q13/TrRail_act!Q17*100)</f>
        <v>112.91293849488049</v>
      </c>
      <c r="R26" s="116">
        <f>IF(R13=0,0,R13/TrRail_act!R17*100)</f>
        <v>110.85140655936819</v>
      </c>
      <c r="S26" s="116">
        <f>IF(S13=0,0,S13/TrRail_act!S17*100)</f>
        <v>109.83097055581568</v>
      </c>
      <c r="T26" s="116">
        <f>IF(T13=0,0,T13/TrRail_act!T17*100)</f>
        <v>107.61899231076401</v>
      </c>
      <c r="U26" s="116">
        <f>IF(U13=0,0,U13/TrRail_act!U17*100)</f>
        <v>106.39227087183744</v>
      </c>
      <c r="V26" s="116">
        <f>IF(V13=0,0,V13/TrRail_act!V17*100)</f>
        <v>105.63515332572962</v>
      </c>
      <c r="W26" s="116">
        <f>IF(W13=0,0,W13/TrRail_act!W17*100)</f>
        <v>104.92770806700442</v>
      </c>
      <c r="X26" s="116">
        <f>IF(X13=0,0,X13/TrRail_act!X17*100)</f>
        <v>105.16005878689323</v>
      </c>
      <c r="Y26" s="116">
        <f>IF(Y13=0,0,Y13/TrRail_act!Y17*100)</f>
        <v>105.60731228105249</v>
      </c>
      <c r="DA26" s="176" t="s">
        <v>1115</v>
      </c>
    </row>
    <row r="27" spans="1:105" ht="11.45" customHeight="1" x14ac:dyDescent="0.25">
      <c r="A27" s="111" t="s">
        <v>92</v>
      </c>
      <c r="B27" s="87">
        <f>IF(B14=0,0,B14/TrRail_act!B18*100)</f>
        <v>232.05718308643014</v>
      </c>
      <c r="C27" s="87">
        <f>IF(C14=0,0,C14/TrRail_act!C18*100)</f>
        <v>231.37815849221775</v>
      </c>
      <c r="D27" s="87">
        <f>IF(D14=0,0,D14/TrRail_act!D18*100)</f>
        <v>229.96933875846346</v>
      </c>
      <c r="E27" s="87">
        <f>IF(E14=0,0,E14/TrRail_act!E18*100)</f>
        <v>228.36652042534928</v>
      </c>
      <c r="F27" s="87">
        <f>IF(F14=0,0,F14/TrRail_act!F18*100)</f>
        <v>225.49530789777893</v>
      </c>
      <c r="G27" s="87">
        <f>IF(G14=0,0,G14/TrRail_act!G18*100)</f>
        <v>225.93598235464444</v>
      </c>
      <c r="H27" s="87">
        <f>IF(H14=0,0,H14/TrRail_act!H18*100)</f>
        <v>222.79292627474709</v>
      </c>
      <c r="I27" s="87">
        <f>IF(I14=0,0,I14/TrRail_act!I18*100)</f>
        <v>222.18882004593553</v>
      </c>
      <c r="J27" s="87">
        <f>IF(J14=0,0,J14/TrRail_act!J18*100)</f>
        <v>218.81075751450916</v>
      </c>
      <c r="K27" s="87">
        <f>IF(K14=0,0,K14/TrRail_act!K18*100)</f>
        <v>216.96401486116775</v>
      </c>
      <c r="L27" s="87">
        <f>IF(L14=0,0,L14/TrRail_act!L18*100)</f>
        <v>213.66145501708868</v>
      </c>
      <c r="M27" s="87">
        <f>IF(M14=0,0,M14/TrRail_act!M18*100)</f>
        <v>210.29345868820454</v>
      </c>
      <c r="N27" s="87">
        <f>IF(N14=0,0,N14/TrRail_act!N18*100)</f>
        <v>206.43220416570429</v>
      </c>
      <c r="O27" s="87">
        <f>IF(O14=0,0,O14/TrRail_act!O18*100)</f>
        <v>199.97386016894862</v>
      </c>
      <c r="P27" s="87">
        <f>IF(P14=0,0,P14/TrRail_act!P18*100)</f>
        <v>198.91100043693342</v>
      </c>
      <c r="Q27" s="87">
        <f>IF(Q14=0,0,Q14/TrRail_act!Q18*100)</f>
        <v>196.57625021619407</v>
      </c>
      <c r="R27" s="87">
        <f>IF(R14=0,0,R14/TrRail_act!R18*100)</f>
        <v>191.92054157530103</v>
      </c>
      <c r="S27" s="87">
        <f>IF(S14=0,0,S14/TrRail_act!S18*100)</f>
        <v>186.61625320527432</v>
      </c>
      <c r="T27" s="87">
        <f>IF(T14=0,0,T14/TrRail_act!T18*100)</f>
        <v>181.27259070129784</v>
      </c>
      <c r="U27" s="87">
        <f>IF(U14=0,0,U14/TrRail_act!U18*100)</f>
        <v>177.3655004444152</v>
      </c>
      <c r="V27" s="87">
        <f>IF(V14=0,0,V14/TrRail_act!V18*100)</f>
        <v>174.4905469114147</v>
      </c>
      <c r="W27" s="87">
        <f>IF(W14=0,0,W14/TrRail_act!W18*100)</f>
        <v>172.36495499555267</v>
      </c>
      <c r="X27" s="87">
        <f>IF(X14=0,0,X14/TrRail_act!X18*100)</f>
        <v>170.78777087108736</v>
      </c>
      <c r="Y27" s="87">
        <f>IF(Y14=0,0,Y14/TrRail_act!Y18*100)</f>
        <v>169.61436078687106</v>
      </c>
      <c r="DA27" s="171" t="s">
        <v>1116</v>
      </c>
    </row>
    <row r="28" spans="1:105" ht="11.45" customHeight="1" x14ac:dyDescent="0.25">
      <c r="A28" s="111" t="s">
        <v>93</v>
      </c>
      <c r="B28" s="87">
        <f>IF(B15=0,0,B15/TrRail_act!B19*100)</f>
        <v>132.27335192559352</v>
      </c>
      <c r="C28" s="87">
        <f>IF(C15=0,0,C15/TrRail_act!C19*100)</f>
        <v>130.82985527739976</v>
      </c>
      <c r="D28" s="87">
        <f>IF(D15=0,0,D15/TrRail_act!D19*100)</f>
        <v>129.61556760147786</v>
      </c>
      <c r="E28" s="87">
        <f>IF(E15=0,0,E15/TrRail_act!E19*100)</f>
        <v>127.37700873560203</v>
      </c>
      <c r="F28" s="87">
        <f>IF(F15=0,0,F15/TrRail_act!F19*100)</f>
        <v>125.14620203099921</v>
      </c>
      <c r="G28" s="87">
        <f>IF(G15=0,0,G15/TrRail_act!G19*100)</f>
        <v>124.06557040009658</v>
      </c>
      <c r="H28" s="87">
        <f>IF(H15=0,0,H15/TrRail_act!H19*100)</f>
        <v>122.3969023385504</v>
      </c>
      <c r="I28" s="87">
        <f>IF(I15=0,0,I15/TrRail_act!I19*100)</f>
        <v>121.40167856434041</v>
      </c>
      <c r="J28" s="87">
        <f>IF(J15=0,0,J15/TrRail_act!J19*100)</f>
        <v>120.88311736160237</v>
      </c>
      <c r="K28" s="87">
        <f>IF(K15=0,0,K15/TrRail_act!K19*100)</f>
        <v>119.81103717329704</v>
      </c>
      <c r="L28" s="87">
        <f>IF(L15=0,0,L15/TrRail_act!L19*100)</f>
        <v>118.03538500105554</v>
      </c>
      <c r="M28" s="87">
        <f>IF(M15=0,0,M15/TrRail_act!M19*100)</f>
        <v>116.96800199277043</v>
      </c>
      <c r="N28" s="87">
        <f>IF(N15=0,0,N15/TrRail_act!N19*100)</f>
        <v>114.46355591811457</v>
      </c>
      <c r="O28" s="87">
        <f>IF(O15=0,0,O15/TrRail_act!O19*100)</f>
        <v>109.93844389623386</v>
      </c>
      <c r="P28" s="87">
        <f>IF(P15=0,0,P15/TrRail_act!P19*100)</f>
        <v>106.90196952927487</v>
      </c>
      <c r="Q28" s="87">
        <f>IF(Q15=0,0,Q15/TrRail_act!Q19*100)</f>
        <v>105.92398940511755</v>
      </c>
      <c r="R28" s="87">
        <f>IF(R15=0,0,R15/TrRail_act!R19*100)</f>
        <v>104.67039832689467</v>
      </c>
      <c r="S28" s="87">
        <f>IF(S15=0,0,S15/TrRail_act!S19*100)</f>
        <v>103.73995079520401</v>
      </c>
      <c r="T28" s="87">
        <f>IF(T15=0,0,T15/TrRail_act!T19*100)</f>
        <v>103.04754704570911</v>
      </c>
      <c r="U28" s="87">
        <f>IF(U15=0,0,U15/TrRail_act!U19*100)</f>
        <v>102.53127871229215</v>
      </c>
      <c r="V28" s="87">
        <f>IF(V15=0,0,V15/TrRail_act!V19*100)</f>
        <v>102.14577556588695</v>
      </c>
      <c r="W28" s="87">
        <f>IF(W15=0,0,W15/TrRail_act!W19*100)</f>
        <v>101.85759969779447</v>
      </c>
      <c r="X28" s="87">
        <f>IF(X15=0,0,X15/TrRail_act!X19*100)</f>
        <v>101.64200145875999</v>
      </c>
      <c r="Y28" s="87">
        <f>IF(Y15=0,0,Y15/TrRail_act!Y19*100)</f>
        <v>101.48060231129108</v>
      </c>
      <c r="DA28" s="171" t="s">
        <v>1117</v>
      </c>
    </row>
    <row r="29" spans="1:105" ht="11.45" customHeight="1" x14ac:dyDescent="0.25">
      <c r="A29" s="112" t="s">
        <v>25</v>
      </c>
      <c r="B29" s="117">
        <f>IF(B16=0,0,B16/TrRail_act!B20*100)</f>
        <v>179.63685274786539</v>
      </c>
      <c r="C29" s="117">
        <f>IF(C16=0,0,C16/TrRail_act!C20*100)</f>
        <v>177.71246477628611</v>
      </c>
      <c r="D29" s="117">
        <f>IF(D16=0,0,D16/TrRail_act!D20*100)</f>
        <v>175.9091029870624</v>
      </c>
      <c r="E29" s="117">
        <f>IF(E16=0,0,E16/TrRail_act!E20*100)</f>
        <v>175.20623032833689</v>
      </c>
      <c r="F29" s="117">
        <f>IF(F16=0,0,F16/TrRail_act!F20*100)</f>
        <v>173.66857840336695</v>
      </c>
      <c r="G29" s="117">
        <f>IF(G16=0,0,G16/TrRail_act!G20*100)</f>
        <v>172.70218307055615</v>
      </c>
      <c r="H29" s="117">
        <f>IF(H16=0,0,H16/TrRail_act!H20*100)</f>
        <v>171.83990823891992</v>
      </c>
      <c r="I29" s="117">
        <f>IF(I16=0,0,I16/TrRail_act!I20*100)</f>
        <v>170.38930325603991</v>
      </c>
      <c r="J29" s="117">
        <f>IF(J16=0,0,J16/TrRail_act!J20*100)</f>
        <v>169.37661645381681</v>
      </c>
      <c r="K29" s="117">
        <f>IF(K16=0,0,K16/TrRail_act!K20*100)</f>
        <v>168.40829969287154</v>
      </c>
      <c r="L29" s="117">
        <f>IF(L16=0,0,L16/TrRail_act!L20*100)</f>
        <v>167.03422162587864</v>
      </c>
      <c r="M29" s="117">
        <f>IF(M16=0,0,M16/TrRail_act!M20*100)</f>
        <v>165.13955398998317</v>
      </c>
      <c r="N29" s="117">
        <f>IF(N16=0,0,N16/TrRail_act!N20*100)</f>
        <v>163.07687766519655</v>
      </c>
      <c r="O29" s="117">
        <f>IF(O16=0,0,O16/TrRail_act!O20*100)</f>
        <v>161.59785253174641</v>
      </c>
      <c r="P29" s="117">
        <f>IF(P16=0,0,P16/TrRail_act!P20*100)</f>
        <v>160.23189666041065</v>
      </c>
      <c r="Q29" s="117">
        <f>IF(Q16=0,0,Q16/TrRail_act!Q20*100)</f>
        <v>158.28197201108344</v>
      </c>
      <c r="R29" s="117">
        <f>IF(R16=0,0,R16/TrRail_act!R20*100)</f>
        <v>156.83511679287309</v>
      </c>
      <c r="S29" s="117">
        <f>IF(S16=0,0,S16/TrRail_act!S20*100)</f>
        <v>155.75866137591356</v>
      </c>
      <c r="T29" s="117">
        <f>IF(T16=0,0,T16/TrRail_act!T20*100)</f>
        <v>154.95617121186805</v>
      </c>
      <c r="U29" s="117">
        <f>IF(U16=0,0,U16/TrRail_act!U20*100)</f>
        <v>154.35701804772847</v>
      </c>
      <c r="V29" s="117">
        <f>IF(V16=0,0,V16/TrRail_act!V20*100)</f>
        <v>153.90917398909886</v>
      </c>
      <c r="W29" s="117">
        <f>IF(W16=0,0,W16/TrRail_act!W20*100)</f>
        <v>153.57414385208256</v>
      </c>
      <c r="X29" s="117">
        <f>IF(X16=0,0,X16/TrRail_act!X20*100)</f>
        <v>153.32334993604852</v>
      </c>
      <c r="Y29" s="117">
        <f>IF(Y16=0,0,Y16/TrRail_act!Y20*100)</f>
        <v>153.13552330835168</v>
      </c>
      <c r="DA29" s="204" t="s">
        <v>1118</v>
      </c>
    </row>
    <row r="30" spans="1:105" ht="11.45" customHeight="1" x14ac:dyDescent="0.25">
      <c r="A30" s="27" t="s">
        <v>34</v>
      </c>
      <c r="B30" s="29">
        <f>IF(B17=0,0,B17/TrRail_act!B21*100)</f>
        <v>286.35454482053643</v>
      </c>
      <c r="C30" s="29">
        <f>IF(C17=0,0,C17/TrRail_act!C21*100)</f>
        <v>274.52223740513165</v>
      </c>
      <c r="D30" s="29">
        <f>IF(D17=0,0,D17/TrRail_act!D21*100)</f>
        <v>275.03833216847767</v>
      </c>
      <c r="E30" s="29">
        <f>IF(E17=0,0,E17/TrRail_act!E21*100)</f>
        <v>278.74722576360057</v>
      </c>
      <c r="F30" s="29">
        <f>IF(F17=0,0,F17/TrRail_act!F21*100)</f>
        <v>268.64745174112568</v>
      </c>
      <c r="G30" s="29">
        <f>IF(G17=0,0,G17/TrRail_act!G21*100)</f>
        <v>256.42216157791466</v>
      </c>
      <c r="H30" s="29">
        <f>IF(H17=0,0,H17/TrRail_act!H21*100)</f>
        <v>258.60259736500677</v>
      </c>
      <c r="I30" s="29">
        <f>IF(I17=0,0,I17/TrRail_act!I21*100)</f>
        <v>253.55266286718611</v>
      </c>
      <c r="J30" s="29">
        <f>IF(J17=0,0,J17/TrRail_act!J21*100)</f>
        <v>243.46846328372337</v>
      </c>
      <c r="K30" s="29">
        <f>IF(K17=0,0,K17/TrRail_act!K21*100)</f>
        <v>237.13358754900295</v>
      </c>
      <c r="L30" s="29">
        <f>IF(L17=0,0,L17/TrRail_act!L21*100)</f>
        <v>232.87579263533038</v>
      </c>
      <c r="M30" s="29">
        <f>IF(M17=0,0,M17/TrRail_act!M21*100)</f>
        <v>221.94531802299386</v>
      </c>
      <c r="N30" s="29">
        <f>IF(N17=0,0,N17/TrRail_act!N21*100)</f>
        <v>209.20995405275593</v>
      </c>
      <c r="O30" s="29">
        <f>IF(O17=0,0,O17/TrRail_act!O21*100)</f>
        <v>202.91155903637005</v>
      </c>
      <c r="P30" s="29">
        <f>IF(P17=0,0,P17/TrRail_act!P21*100)</f>
        <v>202.19579160481919</v>
      </c>
      <c r="Q30" s="29">
        <f>IF(Q17=0,0,Q17/TrRail_act!Q21*100)</f>
        <v>199.37979250187544</v>
      </c>
      <c r="R30" s="29">
        <f>IF(R17=0,0,R17/TrRail_act!R21*100)</f>
        <v>199.54199081158265</v>
      </c>
      <c r="S30" s="29">
        <f>IF(S17=0,0,S17/TrRail_act!S21*100)</f>
        <v>195.8527461324974</v>
      </c>
      <c r="T30" s="29">
        <f>IF(T17=0,0,T17/TrRail_act!T21*100)</f>
        <v>181.91056704471762</v>
      </c>
      <c r="U30" s="29">
        <f>IF(U17=0,0,U17/TrRail_act!U21*100)</f>
        <v>175.44362434408879</v>
      </c>
      <c r="V30" s="29">
        <f>IF(V17=0,0,V17/TrRail_act!V21*100)</f>
        <v>183.86706877733303</v>
      </c>
      <c r="W30" s="29">
        <f>IF(W17=0,0,W17/TrRail_act!W21*100)</f>
        <v>181.33129300811689</v>
      </c>
      <c r="X30" s="29">
        <f>IF(X17=0,0,X17/TrRail_act!X21*100)</f>
        <v>178.1765161243178</v>
      </c>
      <c r="Y30" s="29">
        <f>IF(Y17=0,0,Y17/TrRail_act!Y21*100)</f>
        <v>187.19182141930847</v>
      </c>
      <c r="DA30" s="173" t="s">
        <v>1119</v>
      </c>
    </row>
    <row r="31" spans="1:105" ht="11.45" customHeight="1" x14ac:dyDescent="0.25">
      <c r="A31" s="83" t="s">
        <v>92</v>
      </c>
      <c r="B31" s="87">
        <f>IF(B18=0,0,B18/TrRail_act!B22*100)</f>
        <v>470.72893566229402</v>
      </c>
      <c r="C31" s="87">
        <f>IF(C18=0,0,C18/TrRail_act!C22*100)</f>
        <v>468.06126129793665</v>
      </c>
      <c r="D31" s="87">
        <f>IF(D18=0,0,D18/TrRail_act!D22*100)</f>
        <v>465.03570870686877</v>
      </c>
      <c r="E31" s="87">
        <f>IF(E18=0,0,E18/TrRail_act!E22*100)</f>
        <v>461.96768570983505</v>
      </c>
      <c r="F31" s="87">
        <f>IF(F18=0,0,F18/TrRail_act!F22*100)</f>
        <v>463.28713563121147</v>
      </c>
      <c r="G31" s="87">
        <f>IF(G18=0,0,G18/TrRail_act!G22*100)</f>
        <v>461.81485970686015</v>
      </c>
      <c r="H31" s="87">
        <f>IF(H18=0,0,H18/TrRail_act!H22*100)</f>
        <v>455.4165455484162</v>
      </c>
      <c r="I31" s="87">
        <f>IF(I18=0,0,I18/TrRail_act!I22*100)</f>
        <v>456.76698586466154</v>
      </c>
      <c r="J31" s="87">
        <f>IF(J18=0,0,J18/TrRail_act!J22*100)</f>
        <v>428.64426163193798</v>
      </c>
      <c r="K31" s="87">
        <f>IF(K18=0,0,K18/TrRail_act!K22*100)</f>
        <v>428.10129081576645</v>
      </c>
      <c r="L31" s="87">
        <f>IF(L18=0,0,L18/TrRail_act!L22*100)</f>
        <v>425.18528083916169</v>
      </c>
      <c r="M31" s="87">
        <f>IF(M18=0,0,M18/TrRail_act!M22*100)</f>
        <v>404.85081150529493</v>
      </c>
      <c r="N31" s="87">
        <f>IF(N18=0,0,N18/TrRail_act!N22*100)</f>
        <v>402.95045920558505</v>
      </c>
      <c r="O31" s="87">
        <f>IF(O18=0,0,O18/TrRail_act!O22*100)</f>
        <v>401.07845255737527</v>
      </c>
      <c r="P31" s="87">
        <f>IF(P18=0,0,P18/TrRail_act!P22*100)</f>
        <v>391.10146976379252</v>
      </c>
      <c r="Q31" s="87">
        <f>IF(Q18=0,0,Q18/TrRail_act!Q22*100)</f>
        <v>393.8565335245986</v>
      </c>
      <c r="R31" s="87">
        <f>IF(R18=0,0,R18/TrRail_act!R22*100)</f>
        <v>393.95588238106939</v>
      </c>
      <c r="S31" s="87">
        <f>IF(S18=0,0,S18/TrRail_act!S22*100)</f>
        <v>392.06025841660801</v>
      </c>
      <c r="T31" s="87">
        <f>IF(T18=0,0,T18/TrRail_act!T22*100)</f>
        <v>390.64452870092242</v>
      </c>
      <c r="U31" s="87">
        <f>IF(U18=0,0,U18/TrRail_act!U22*100)</f>
        <v>389.58608730638178</v>
      </c>
      <c r="V31" s="87">
        <f>IF(V18=0,0,V18/TrRail_act!V22*100)</f>
        <v>388.794138692638</v>
      </c>
      <c r="W31" s="87">
        <f>IF(W18=0,0,W18/TrRail_act!W22*100)</f>
        <v>388.20123388801272</v>
      </c>
      <c r="X31" s="87">
        <f>IF(X18=0,0,X18/TrRail_act!X22*100)</f>
        <v>387.75714872173501</v>
      </c>
      <c r="Y31" s="87">
        <f>IF(Y18=0,0,Y18/TrRail_act!Y22*100)</f>
        <v>387.42441826296186</v>
      </c>
      <c r="DA31" s="171" t="s">
        <v>1120</v>
      </c>
    </row>
    <row r="32" spans="1:105" ht="11.45" customHeight="1" x14ac:dyDescent="0.25">
      <c r="A32" s="85" t="s">
        <v>93</v>
      </c>
      <c r="B32" s="88">
        <f>IF(B19=0,0,B19/TrRail_act!B23*100)</f>
        <v>179.19907492335324</v>
      </c>
      <c r="C32" s="88">
        <f>IF(C19=0,0,C19/TrRail_act!C23*100)</f>
        <v>177.24347872619333</v>
      </c>
      <c r="D32" s="88">
        <f>IF(D19=0,0,D19/TrRail_act!D23*100)</f>
        <v>175.59840641912402</v>
      </c>
      <c r="E32" s="88">
        <f>IF(E19=0,0,E19/TrRail_act!E23*100)</f>
        <v>172.56568915531656</v>
      </c>
      <c r="F32" s="88">
        <f>IF(F19=0,0,F19/TrRail_act!F23*100)</f>
        <v>169.54347423463841</v>
      </c>
      <c r="G32" s="88">
        <f>IF(G19=0,0,G19/TrRail_act!G23*100)</f>
        <v>168.07947422426898</v>
      </c>
      <c r="H32" s="88">
        <f>IF(H19=0,0,H19/TrRail_act!H23*100)</f>
        <v>165.81882407342511</v>
      </c>
      <c r="I32" s="88">
        <f>IF(I19=0,0,I19/TrRail_act!I23*100)</f>
        <v>164.47053148777655</v>
      </c>
      <c r="J32" s="88">
        <f>IF(J19=0,0,J19/TrRail_act!J23*100)</f>
        <v>163.76800383221314</v>
      </c>
      <c r="K32" s="88">
        <f>IF(K19=0,0,K19/TrRail_act!K23*100)</f>
        <v>162.31558900193019</v>
      </c>
      <c r="L32" s="88">
        <f>IF(L19=0,0,L19/TrRail_act!L23*100)</f>
        <v>159.91000071056897</v>
      </c>
      <c r="M32" s="88">
        <f>IF(M19=0,0,M19/TrRail_act!M23*100)</f>
        <v>158.46394944711267</v>
      </c>
      <c r="N32" s="88">
        <f>IF(N19=0,0,N19/TrRail_act!N23*100)</f>
        <v>155.07101796665691</v>
      </c>
      <c r="O32" s="88">
        <f>IF(O19=0,0,O19/TrRail_act!O23*100)</f>
        <v>148.94056253900797</v>
      </c>
      <c r="P32" s="88">
        <f>IF(P19=0,0,P19/TrRail_act!P23*100)</f>
        <v>144.82685868508574</v>
      </c>
      <c r="Q32" s="88">
        <f>IF(Q19=0,0,Q19/TrRail_act!Q23*100)</f>
        <v>142.08111600263905</v>
      </c>
      <c r="R32" s="88">
        <f>IF(R19=0,0,R19/TrRail_act!R23*100)</f>
        <v>139.35574489186328</v>
      </c>
      <c r="S32" s="88">
        <f>IF(S19=0,0,S19/TrRail_act!S23*100)</f>
        <v>137.34607884902707</v>
      </c>
      <c r="T32" s="88">
        <f>IF(T19=0,0,T19/TrRail_act!T23*100)</f>
        <v>135.85787147633175</v>
      </c>
      <c r="U32" s="88">
        <f>IF(U19=0,0,U19/TrRail_act!U23*100)</f>
        <v>134.75230783187021</v>
      </c>
      <c r="V32" s="88">
        <f>IF(V19=0,0,V19/TrRail_act!V23*100)</f>
        <v>133.92904318945293</v>
      </c>
      <c r="W32" s="88">
        <f>IF(W19=0,0,W19/TrRail_act!W23*100)</f>
        <v>133.31489713678019</v>
      </c>
      <c r="X32" s="88">
        <f>IF(X19=0,0,X19/TrRail_act!X23*100)</f>
        <v>132.85613645735438</v>
      </c>
      <c r="Y32" s="88">
        <f>IF(Y19=0,0,Y19/TrRail_act!Y23*100)</f>
        <v>132.51310225295779</v>
      </c>
      <c r="DA32" s="178" t="s">
        <v>1121</v>
      </c>
    </row>
    <row r="33" spans="1:105" x14ac:dyDescent="0.25">
      <c r="A33" s="106"/>
      <c r="B33" s="106"/>
      <c r="C33" s="106"/>
      <c r="D33" s="106"/>
      <c r="E33" s="106"/>
      <c r="F33" s="106"/>
      <c r="G33" s="106"/>
      <c r="H33" s="106"/>
      <c r="I33" s="106"/>
      <c r="J33" s="106"/>
      <c r="K33" s="106"/>
      <c r="L33" s="106"/>
      <c r="M33" s="106"/>
      <c r="N33" s="106"/>
      <c r="O33" s="106"/>
      <c r="P33" s="106"/>
      <c r="Q33" s="106"/>
      <c r="R33" s="106"/>
      <c r="S33" s="106"/>
      <c r="T33" s="106"/>
      <c r="U33" s="106"/>
      <c r="V33" s="106"/>
      <c r="W33" s="106"/>
      <c r="X33" s="106"/>
      <c r="Y33" s="106"/>
      <c r="DA33" s="171"/>
    </row>
    <row r="34" spans="1:105" ht="11.45" customHeight="1" x14ac:dyDescent="0.25">
      <c r="A34" s="53" t="s">
        <v>74</v>
      </c>
      <c r="B34" s="62"/>
      <c r="C34" s="62"/>
      <c r="D34" s="62"/>
      <c r="E34" s="62"/>
      <c r="F34" s="62"/>
      <c r="G34" s="62"/>
      <c r="H34" s="62"/>
      <c r="I34" s="62"/>
      <c r="J34" s="62"/>
      <c r="K34" s="62"/>
      <c r="L34" s="62"/>
      <c r="M34" s="62"/>
      <c r="N34" s="62"/>
      <c r="O34" s="62"/>
      <c r="P34" s="62"/>
      <c r="Q34" s="62"/>
      <c r="R34" s="62"/>
      <c r="S34" s="62"/>
      <c r="T34" s="62"/>
      <c r="U34" s="62"/>
      <c r="V34" s="62"/>
      <c r="W34" s="62"/>
      <c r="X34" s="62"/>
      <c r="Y34" s="62"/>
      <c r="DA34" s="172"/>
    </row>
    <row r="35" spans="1:105" ht="11.45" customHeight="1" x14ac:dyDescent="0.25">
      <c r="A35" s="27" t="s">
        <v>155</v>
      </c>
      <c r="B35" s="29">
        <f>IF(B11=0,0,B11/TrRail_act!B4*1000)</f>
        <v>10.033444442645679</v>
      </c>
      <c r="C35" s="29">
        <f>IF(C11=0,0,C11/TrRail_act!C4*1000)</f>
        <v>9.8115586419667693</v>
      </c>
      <c r="D35" s="29">
        <f>IF(D11=0,0,D11/TrRail_act!D4*1000)</f>
        <v>9.8926890752732337</v>
      </c>
      <c r="E35" s="29">
        <f>IF(E11=0,0,E11/TrRail_act!E4*1000)</f>
        <v>10.268851808705424</v>
      </c>
      <c r="F35" s="29">
        <f>IF(F11=0,0,F11/TrRail_act!F4*1000)</f>
        <v>9.9430318600468492</v>
      </c>
      <c r="G35" s="29">
        <f>IF(G11=0,0,G11/TrRail_act!G4*1000)</f>
        <v>9.1976549114745083</v>
      </c>
      <c r="H35" s="29">
        <f>IF(H11=0,0,H11/TrRail_act!H4*1000)</f>
        <v>8.7342126633731603</v>
      </c>
      <c r="I35" s="29">
        <f>IF(I11=0,0,I11/TrRail_act!I4*1000)</f>
        <v>8.1922155935789291</v>
      </c>
      <c r="J35" s="29">
        <f>IF(J11=0,0,J11/TrRail_act!J4*1000)</f>
        <v>8.4079243372303285</v>
      </c>
      <c r="K35" s="29">
        <f>IF(K11=0,0,K11/TrRail_act!K4*1000)</f>
        <v>8.7555211333825032</v>
      </c>
      <c r="L35" s="29">
        <f>IF(L11=0,0,L11/TrRail_act!L4*1000)</f>
        <v>8.8802215723113829</v>
      </c>
      <c r="M35" s="29">
        <f>IF(M11=0,0,M11/TrRail_act!M4*1000)</f>
        <v>8.3938604137102875</v>
      </c>
      <c r="N35" s="29">
        <f>IF(N11=0,0,N11/TrRail_act!N4*1000)</f>
        <v>8.2073727128006926</v>
      </c>
      <c r="O35" s="29">
        <f>IF(O11=0,0,O11/TrRail_act!O4*1000)</f>
        <v>7.5869242468804048</v>
      </c>
      <c r="P35" s="29">
        <f>IF(P11=0,0,P11/TrRail_act!P4*1000)</f>
        <v>7.0205473878810549</v>
      </c>
      <c r="Q35" s="29">
        <f>IF(Q11=0,0,Q11/TrRail_act!Q4*1000)</f>
        <v>7.9076291187405667</v>
      </c>
      <c r="R35" s="29">
        <f>IF(R11=0,0,R11/TrRail_act!R4*1000)</f>
        <v>8.0169339870349141</v>
      </c>
      <c r="S35" s="29">
        <f>IF(S11=0,0,S11/TrRail_act!S4*1000)</f>
        <v>7.9202412752283937</v>
      </c>
      <c r="T35" s="29">
        <f>IF(T11=0,0,T11/TrRail_act!T4*1000)</f>
        <v>7.6508701158049783</v>
      </c>
      <c r="U35" s="29">
        <f>IF(U11=0,0,U11/TrRail_act!U4*1000)</f>
        <v>7.5213966494522912</v>
      </c>
      <c r="V35" s="29">
        <f>IF(V11=0,0,V11/TrRail_act!V4*1000)</f>
        <v>14.075101590606335</v>
      </c>
      <c r="W35" s="29">
        <f>IF(W11=0,0,W11/TrRail_act!W4*1000)</f>
        <v>11.708639404786201</v>
      </c>
      <c r="X35" s="29">
        <f>IF(X11=0,0,X11/TrRail_act!X4*1000)</f>
        <v>7.9448061842298641</v>
      </c>
      <c r="Y35" s="29">
        <f>IF(Y11=0,0,Y11/TrRail_act!Y4*1000)</f>
        <v>7.2548163716697562</v>
      </c>
      <c r="DA35" s="173" t="s">
        <v>420</v>
      </c>
    </row>
    <row r="36" spans="1:105" ht="11.45" customHeight="1" x14ac:dyDescent="0.25">
      <c r="A36" s="107" t="s">
        <v>23</v>
      </c>
      <c r="B36" s="115">
        <f>IF(B12=0,0,B12/TrRail_act!B5*1000)</f>
        <v>4.2978280696196576</v>
      </c>
      <c r="C36" s="115">
        <f>IF(C12=0,0,C12/TrRail_act!C5*1000)</f>
        <v>4.2636925409900517</v>
      </c>
      <c r="D36" s="115">
        <f>IF(D12=0,0,D12/TrRail_act!D5*1000)</f>
        <v>4.2282473377982814</v>
      </c>
      <c r="E36" s="115">
        <f>IF(E12=0,0,E12/TrRail_act!E5*1000)</f>
        <v>4.1586810316358278</v>
      </c>
      <c r="F36" s="115">
        <f>IF(F12=0,0,F12/TrRail_act!F5*1000)</f>
        <v>4.1121791055711787</v>
      </c>
      <c r="G36" s="115">
        <f>IF(G12=0,0,G12/TrRail_act!G5*1000)</f>
        <v>4.0115822856473651</v>
      </c>
      <c r="H36" s="115">
        <f>IF(H12=0,0,H12/TrRail_act!H5*1000)</f>
        <v>3.9399087532226984</v>
      </c>
      <c r="I36" s="115">
        <f>IF(I12=0,0,I12/TrRail_act!I5*1000)</f>
        <v>3.9848703582003866</v>
      </c>
      <c r="J36" s="115">
        <f>IF(J12=0,0,J12/TrRail_act!J5*1000)</f>
        <v>3.9371625765901985</v>
      </c>
      <c r="K36" s="115">
        <f>IF(K12=0,0,K12/TrRail_act!K5*1000)</f>
        <v>3.8830168150853428</v>
      </c>
      <c r="L36" s="115">
        <f>IF(L12=0,0,L12/TrRail_act!L5*1000)</f>
        <v>3.8143936262268392</v>
      </c>
      <c r="M36" s="115">
        <f>IF(M12=0,0,M12/TrRail_act!M5*1000)</f>
        <v>3.7408087869667246</v>
      </c>
      <c r="N36" s="115">
        <f>IF(N12=0,0,N12/TrRail_act!N5*1000)</f>
        <v>3.7145928608105532</v>
      </c>
      <c r="O36" s="115">
        <f>IF(O12=0,0,O12/TrRail_act!O5*1000)</f>
        <v>3.6334994616369696</v>
      </c>
      <c r="P36" s="115">
        <f>IF(P12=0,0,P12/TrRail_act!P5*1000)</f>
        <v>3.5724424046249745</v>
      </c>
      <c r="Q36" s="115">
        <f>IF(Q12=0,0,Q12/TrRail_act!Q5*1000)</f>
        <v>3.6851689568645152</v>
      </c>
      <c r="R36" s="115">
        <f>IF(R12=0,0,R12/TrRail_act!R5*1000)</f>
        <v>3.658537821622847</v>
      </c>
      <c r="S36" s="115">
        <f>IF(S12=0,0,S12/TrRail_act!S5*1000)</f>
        <v>3.6376511029159357</v>
      </c>
      <c r="T36" s="115">
        <f>IF(T12=0,0,T12/TrRail_act!T5*1000)</f>
        <v>3.6210938493030906</v>
      </c>
      <c r="U36" s="115">
        <f>IF(U12=0,0,U12/TrRail_act!U5*1000)</f>
        <v>3.6079141506070469</v>
      </c>
      <c r="V36" s="115">
        <f>IF(V12=0,0,V12/TrRail_act!V5*1000)</f>
        <v>5.2670751103831339</v>
      </c>
      <c r="W36" s="115">
        <f>IF(W12=0,0,W12/TrRail_act!W5*1000)</f>
        <v>4.5110514661742034</v>
      </c>
      <c r="X36" s="115">
        <f>IF(X12=0,0,X12/TrRail_act!X5*1000)</f>
        <v>3.7329136766348197</v>
      </c>
      <c r="Y36" s="115">
        <f>IF(Y12=0,0,Y12/TrRail_act!Y5*1000)</f>
        <v>3.077145812420047</v>
      </c>
      <c r="DA36" s="203" t="s">
        <v>421</v>
      </c>
    </row>
    <row r="37" spans="1:105" ht="11.45" customHeight="1" x14ac:dyDescent="0.25">
      <c r="A37" s="109" t="s">
        <v>24</v>
      </c>
      <c r="B37" s="116">
        <f>IF(B13=0,0,B13/TrRail_act!B6*1000)</f>
        <v>10.32691697036295</v>
      </c>
      <c r="C37" s="116">
        <f>IF(C13=0,0,C13/TrRail_act!C6*1000)</f>
        <v>10.128458489284945</v>
      </c>
      <c r="D37" s="116">
        <f>IF(D13=0,0,D13/TrRail_act!D6*1000)</f>
        <v>10.213953459863864</v>
      </c>
      <c r="E37" s="116">
        <f>IF(E13=0,0,E13/TrRail_act!E6*1000)</f>
        <v>10.799462888037526</v>
      </c>
      <c r="F37" s="116">
        <f>IF(F13=0,0,F13/TrRail_act!F6*1000)</f>
        <v>10.436239104223295</v>
      </c>
      <c r="G37" s="116">
        <f>IF(G13=0,0,G13/TrRail_act!G6*1000)</f>
        <v>9.6187424499077725</v>
      </c>
      <c r="H37" s="116">
        <f>IF(H13=0,0,H13/TrRail_act!H6*1000)</f>
        <v>9.1179689184196047</v>
      </c>
      <c r="I37" s="116">
        <f>IF(I13=0,0,I13/TrRail_act!I6*1000)</f>
        <v>8.5308065431701294</v>
      </c>
      <c r="J37" s="116">
        <f>IF(J13=0,0,J13/TrRail_act!J6*1000)</f>
        <v>8.7932447973241405</v>
      </c>
      <c r="K37" s="116">
        <f>IF(K13=0,0,K13/TrRail_act!K6*1000)</f>
        <v>9.0532813616405292</v>
      </c>
      <c r="L37" s="116">
        <f>IF(L13=0,0,L13/TrRail_act!L6*1000)</f>
        <v>9.1948749022544458</v>
      </c>
      <c r="M37" s="116">
        <f>IF(M13=0,0,M13/TrRail_act!M6*1000)</f>
        <v>8.6850367548463083</v>
      </c>
      <c r="N37" s="116">
        <f>IF(N13=0,0,N13/TrRail_act!N6*1000)</f>
        <v>8.4682716276182148</v>
      </c>
      <c r="O37" s="116">
        <f>IF(O13=0,0,O13/TrRail_act!O6*1000)</f>
        <v>7.8106029997619624</v>
      </c>
      <c r="P37" s="116">
        <f>IF(P13=0,0,P13/TrRail_act!P6*1000)</f>
        <v>7.191090784873956</v>
      </c>
      <c r="Q37" s="116">
        <f>IF(Q13=0,0,Q13/TrRail_act!Q6*1000)</f>
        <v>8.311435379609259</v>
      </c>
      <c r="R37" s="116">
        <f>IF(R13=0,0,R13/TrRail_act!R6*1000)</f>
        <v>8.3087460745757511</v>
      </c>
      <c r="S37" s="116">
        <f>IF(S13=0,0,S13/TrRail_act!S6*1000)</f>
        <v>8.1985020014974026</v>
      </c>
      <c r="T37" s="116">
        <f>IF(T13=0,0,T13/TrRail_act!T6*1000)</f>
        <v>7.9356194650089602</v>
      </c>
      <c r="U37" s="116">
        <f>IF(U13=0,0,U13/TrRail_act!U6*1000)</f>
        <v>7.7996647806216632</v>
      </c>
      <c r="V37" s="116">
        <f>IF(V13=0,0,V13/TrRail_act!V6*1000)</f>
        <v>14.652960663569507</v>
      </c>
      <c r="W37" s="116">
        <f>IF(W13=0,0,W13/TrRail_act!W6*1000)</f>
        <v>12.164729661067625</v>
      </c>
      <c r="X37" s="116">
        <f>IF(X13=0,0,X13/TrRail_act!X6*1000)</f>
        <v>8.1749866496323111</v>
      </c>
      <c r="Y37" s="116">
        <f>IF(Y13=0,0,Y13/TrRail_act!Y6*1000)</f>
        <v>7.4948913872845679</v>
      </c>
      <c r="DA37" s="176" t="s">
        <v>422</v>
      </c>
    </row>
    <row r="38" spans="1:105" ht="11.45" customHeight="1" x14ac:dyDescent="0.25">
      <c r="A38" s="111" t="s">
        <v>92</v>
      </c>
      <c r="B38" s="87">
        <f>IF(B14=0,0,B14/TrRail_act!B7*1000)</f>
        <v>22.569160299471687</v>
      </c>
      <c r="C38" s="87">
        <f>IF(C14=0,0,C14/TrRail_act!C7*1000)</f>
        <v>22.448915455005341</v>
      </c>
      <c r="D38" s="87">
        <f>IF(D14=0,0,D14/TrRail_act!D7*1000)</f>
        <v>23.278133508573163</v>
      </c>
      <c r="E38" s="87">
        <f>IF(E14=0,0,E14/TrRail_act!E7*1000)</f>
        <v>22.67122636807634</v>
      </c>
      <c r="F38" s="87">
        <f>IF(F14=0,0,F14/TrRail_act!F7*1000)</f>
        <v>20.987320377380968</v>
      </c>
      <c r="G38" s="87">
        <f>IF(G14=0,0,G14/TrRail_act!G7*1000)</f>
        <v>19.659958405329025</v>
      </c>
      <c r="H38" s="87">
        <f>IF(H14=0,0,H14/TrRail_act!H7*1000)</f>
        <v>17.88463597495856</v>
      </c>
      <c r="I38" s="87">
        <f>IF(I14=0,0,I14/TrRail_act!I7*1000)</f>
        <v>16.078543499306384</v>
      </c>
      <c r="J38" s="87">
        <f>IF(J14=0,0,J14/TrRail_act!J7*1000)</f>
        <v>17.402182985037562</v>
      </c>
      <c r="K38" s="87">
        <f>IF(K14=0,0,K14/TrRail_act!K7*1000)</f>
        <v>18.695342714823894</v>
      </c>
      <c r="L38" s="87">
        <f>IF(L14=0,0,L14/TrRail_act!L7*1000)</f>
        <v>18.633618027731192</v>
      </c>
      <c r="M38" s="87">
        <f>IF(M14=0,0,M14/TrRail_act!M7*1000)</f>
        <v>17.556356734221772</v>
      </c>
      <c r="N38" s="87">
        <f>IF(N14=0,0,N14/TrRail_act!N7*1000)</f>
        <v>17.386948632179479</v>
      </c>
      <c r="O38" s="87">
        <f>IF(O14=0,0,O14/TrRail_act!O7*1000)</f>
        <v>16.02087263022484</v>
      </c>
      <c r="P38" s="87">
        <f>IF(P14=0,0,P14/TrRail_act!P7*1000)</f>
        <v>14.685986510394814</v>
      </c>
      <c r="Q38" s="87">
        <f>IF(Q14=0,0,Q14/TrRail_act!Q7*1000)</f>
        <v>17.198049624011006</v>
      </c>
      <c r="R38" s="87">
        <f>IF(R14=0,0,R14/TrRail_act!R7*1000)</f>
        <v>16.505535276683386</v>
      </c>
      <c r="S38" s="87">
        <f>IF(S14=0,0,S14/TrRail_act!S7*1000)</f>
        <v>16.650348217204314</v>
      </c>
      <c r="T38" s="87">
        <f>IF(T14=0,0,T14/TrRail_act!T7*1000)</f>
        <v>15.558716829396324</v>
      </c>
      <c r="U38" s="87">
        <f>IF(U14=0,0,U14/TrRail_act!U7*1000)</f>
        <v>14.956346153760766</v>
      </c>
      <c r="V38" s="87">
        <f>IF(V14=0,0,V14/TrRail_act!V7*1000)</f>
        <v>25.158341885454931</v>
      </c>
      <c r="W38" s="87">
        <f>IF(W14=0,0,W14/TrRail_act!W7*1000)</f>
        <v>19.808472496606569</v>
      </c>
      <c r="X38" s="87">
        <f>IF(X14=0,0,X14/TrRail_act!X7*1000)</f>
        <v>15.226756739911046</v>
      </c>
      <c r="Y38" s="87">
        <f>IF(Y14=0,0,Y14/TrRail_act!Y7*1000)</f>
        <v>14.679409207514979</v>
      </c>
      <c r="DA38" s="171" t="s">
        <v>1122</v>
      </c>
    </row>
    <row r="39" spans="1:105" ht="11.45" customHeight="1" x14ac:dyDescent="0.25">
      <c r="A39" s="111" t="s">
        <v>93</v>
      </c>
      <c r="B39" s="87">
        <f>IF(B15=0,0,B15/TrRail_act!B8*1000)</f>
        <v>9.4161395937929537</v>
      </c>
      <c r="C39" s="87">
        <f>IF(C15=0,0,C15/TrRail_act!C8*1000)</f>
        <v>9.2208250745969309</v>
      </c>
      <c r="D39" s="87">
        <f>IF(D15=0,0,D15/TrRail_act!D8*1000)</f>
        <v>9.2657812695607209</v>
      </c>
      <c r="E39" s="87">
        <f>IF(E15=0,0,E15/TrRail_act!E8*1000)</f>
        <v>9.9027509872222126</v>
      </c>
      <c r="F39" s="87">
        <f>IF(F15=0,0,F15/TrRail_act!F8*1000)</f>
        <v>9.6490539886709765</v>
      </c>
      <c r="G39" s="87">
        <f>IF(G15=0,0,G15/TrRail_act!G8*1000)</f>
        <v>8.8713061922354974</v>
      </c>
      <c r="H39" s="87">
        <f>IF(H15=0,0,H15/TrRail_act!H8*1000)</f>
        <v>8.4598310395623866</v>
      </c>
      <c r="I39" s="87">
        <f>IF(I15=0,0,I15/TrRail_act!I8*1000)</f>
        <v>7.9602198772996173</v>
      </c>
      <c r="J39" s="87">
        <f>IF(J15=0,0,J15/TrRail_act!J8*1000)</f>
        <v>8.1462086328455126</v>
      </c>
      <c r="K39" s="87">
        <f>IF(K15=0,0,K15/TrRail_act!K8*1000)</f>
        <v>8.4024283840969645</v>
      </c>
      <c r="L39" s="87">
        <f>IF(L15=0,0,L15/TrRail_act!L8*1000)</f>
        <v>8.5174697083531026</v>
      </c>
      <c r="M39" s="87">
        <f>IF(M15=0,0,M15/TrRail_act!M8*1000)</f>
        <v>8.0502379342522215</v>
      </c>
      <c r="N39" s="87">
        <f>IF(N15=0,0,N15/TrRail_act!N8*1000)</f>
        <v>7.9327981887639538</v>
      </c>
      <c r="O39" s="87">
        <f>IF(O15=0,0,O15/TrRail_act!O8*1000)</f>
        <v>7.302881098194816</v>
      </c>
      <c r="P39" s="87">
        <f>IF(P15=0,0,P15/TrRail_act!P8*1000)</f>
        <v>6.6954760151382553</v>
      </c>
      <c r="Q39" s="87">
        <f>IF(Q15=0,0,Q15/TrRail_act!Q8*1000)</f>
        <v>7.695010853544396</v>
      </c>
      <c r="R39" s="87">
        <f>IF(R15=0,0,R15/TrRail_act!R8*1000)</f>
        <v>7.7693587980045509</v>
      </c>
      <c r="S39" s="87">
        <f>IF(S15=0,0,S15/TrRail_act!S8*1000)</f>
        <v>7.6447598758056383</v>
      </c>
      <c r="T39" s="87">
        <f>IF(T15=0,0,T15/TrRail_act!T8*1000)</f>
        <v>7.5326611165644382</v>
      </c>
      <c r="U39" s="87">
        <f>IF(U15=0,0,U15/TrRail_act!U8*1000)</f>
        <v>7.4635787803583566</v>
      </c>
      <c r="V39" s="87">
        <f>IF(V15=0,0,V15/TrRail_act!V8*1000)</f>
        <v>14.14175616813098</v>
      </c>
      <c r="W39" s="87">
        <f>IF(W15=0,0,W15/TrRail_act!W8*1000)</f>
        <v>11.813537784937793</v>
      </c>
      <c r="X39" s="87">
        <f>IF(X15=0,0,X15/TrRail_act!X8*1000)</f>
        <v>7.8476247204314484</v>
      </c>
      <c r="Y39" s="87">
        <f>IF(Y15=0,0,Y15/TrRail_act!Y8*1000)</f>
        <v>7.1194096967948095</v>
      </c>
      <c r="DA39" s="171" t="s">
        <v>1123</v>
      </c>
    </row>
    <row r="40" spans="1:105" ht="11.45" customHeight="1" x14ac:dyDescent="0.25">
      <c r="A40" s="112" t="s">
        <v>25</v>
      </c>
      <c r="B40" s="117">
        <f>IF(B16=0,0,B16/TrRail_act!B9*1000)</f>
        <v>6.2049715327979582</v>
      </c>
      <c r="C40" s="117">
        <f>IF(C16=0,0,C16/TrRail_act!C9*1000)</f>
        <v>6.1384998016411654</v>
      </c>
      <c r="D40" s="117">
        <f>IF(D16=0,0,D16/TrRail_act!D9*1000)</f>
        <v>6.0762085268036214</v>
      </c>
      <c r="E40" s="117">
        <f>IF(E16=0,0,E16/TrRail_act!E9*1000)</f>
        <v>6.0519300740704551</v>
      </c>
      <c r="F40" s="117">
        <f>IF(F16=0,0,F16/TrRail_act!F9*1000)</f>
        <v>5.9988168833423696</v>
      </c>
      <c r="G40" s="117">
        <f>IF(G16=0,0,G16/TrRail_act!G9*1000)</f>
        <v>5.9654358958790876</v>
      </c>
      <c r="H40" s="117">
        <f>IF(H16=0,0,H16/TrRail_act!H9*1000)</f>
        <v>5.8880439146571097</v>
      </c>
      <c r="I40" s="117">
        <f>IF(I16=0,0,I16/TrRail_act!I9*1000)</f>
        <v>5.8024111193422208</v>
      </c>
      <c r="J40" s="117">
        <f>IF(J16=0,0,J16/TrRail_act!J9*1000)</f>
        <v>5.7857839137740967</v>
      </c>
      <c r="K40" s="117">
        <f>IF(K16=0,0,K16/TrRail_act!K9*1000)</f>
        <v>5.7561335796061792</v>
      </c>
      <c r="L40" s="117">
        <f>IF(L16=0,0,L16/TrRail_act!L9*1000)</f>
        <v>5.7148614391042249</v>
      </c>
      <c r="M40" s="117">
        <f>IF(M16=0,0,M16/TrRail_act!M9*1000)</f>
        <v>5.5745301033020525</v>
      </c>
      <c r="N40" s="117">
        <f>IF(N16=0,0,N16/TrRail_act!N9*1000)</f>
        <v>5.475246683899389</v>
      </c>
      <c r="O40" s="117">
        <f>IF(O16=0,0,O16/TrRail_act!O9*1000)</f>
        <v>5.3718850151707862</v>
      </c>
      <c r="P40" s="117">
        <f>IF(P16=0,0,P16/TrRail_act!P9*1000)</f>
        <v>5.2503849585750144</v>
      </c>
      <c r="Q40" s="117">
        <f>IF(Q16=0,0,Q16/TrRail_act!Q9*1000)</f>
        <v>5.0923172094680282</v>
      </c>
      <c r="R40" s="117">
        <f>IF(R16=0,0,R16/TrRail_act!R9*1000)</f>
        <v>4.9843489172529534</v>
      </c>
      <c r="S40" s="117">
        <f>IF(S16=0,0,S16/TrRail_act!S9*1000)</f>
        <v>4.9182285391190144</v>
      </c>
      <c r="T40" s="117">
        <f>IF(T16=0,0,T16/TrRail_act!T9*1000)</f>
        <v>4.8173716012195937</v>
      </c>
      <c r="U40" s="117">
        <f>IF(U16=0,0,U16/TrRail_act!U9*1000)</f>
        <v>4.7987447636103955</v>
      </c>
      <c r="V40" s="117">
        <f>IF(V16=0,0,V16/TrRail_act!V9*1000)</f>
        <v>5.7845963640708868</v>
      </c>
      <c r="W40" s="117">
        <f>IF(W16=0,0,W16/TrRail_act!W9*1000)</f>
        <v>5.4513375175863343</v>
      </c>
      <c r="X40" s="117">
        <f>IF(X16=0,0,X16/TrRail_act!X9*1000)</f>
        <v>5.0793430978111935</v>
      </c>
      <c r="Y40" s="117">
        <f>IF(Y16=0,0,Y16/TrRail_act!Y9*1000)</f>
        <v>4.7623100559638303</v>
      </c>
      <c r="DA40" s="204" t="s">
        <v>423</v>
      </c>
    </row>
    <row r="41" spans="1:105" ht="11.45" customHeight="1" x14ac:dyDescent="0.25">
      <c r="A41" s="27" t="s">
        <v>156</v>
      </c>
      <c r="B41" s="29">
        <f>IF(B17=0,0,B17/TrRail_act!B10*1000)</f>
        <v>5.2395263666417957</v>
      </c>
      <c r="C41" s="29">
        <f>IF(C17=0,0,C17/TrRail_act!C10*1000)</f>
        <v>5.3612658024710598</v>
      </c>
      <c r="D41" s="29">
        <f>IF(D17=0,0,D17/TrRail_act!D10*1000)</f>
        <v>5.0402597515495255</v>
      </c>
      <c r="E41" s="29">
        <f>IF(E17=0,0,E17/TrRail_act!E10*1000)</f>
        <v>4.5369345321898731</v>
      </c>
      <c r="F41" s="29">
        <f>IF(F17=0,0,F17/TrRail_act!F10*1000)</f>
        <v>4.3674026330135707</v>
      </c>
      <c r="G41" s="29">
        <f>IF(G17=0,0,G17/TrRail_act!G10*1000)</f>
        <v>4.4911884843563765</v>
      </c>
      <c r="H41" s="29">
        <f>IF(H17=0,0,H17/TrRail_act!H10*1000)</f>
        <v>4.239308952541001</v>
      </c>
      <c r="I41" s="29">
        <f>IF(I17=0,0,I17/TrRail_act!I10*1000)</f>
        <v>4.1463262678620785</v>
      </c>
      <c r="J41" s="29">
        <f>IF(J17=0,0,J17/TrRail_act!J10*1000)</f>
        <v>4.1146737340897701</v>
      </c>
      <c r="K41" s="29">
        <f>IF(K17=0,0,K17/TrRail_act!K10*1000)</f>
        <v>4.1688943058336561</v>
      </c>
      <c r="L41" s="29">
        <f>IF(L17=0,0,L17/TrRail_act!L10*1000)</f>
        <v>4.4759594068290234</v>
      </c>
      <c r="M41" s="29">
        <f>IF(M17=0,0,M17/TrRail_act!M10*1000)</f>
        <v>4.2981029374785695</v>
      </c>
      <c r="N41" s="29">
        <f>IF(N17=0,0,N17/TrRail_act!N10*1000)</f>
        <v>4.0752907553230671</v>
      </c>
      <c r="O41" s="29">
        <f>IF(O17=0,0,O17/TrRail_act!O10*1000)</f>
        <v>3.9978749612764917</v>
      </c>
      <c r="P41" s="29">
        <f>IF(P17=0,0,P17/TrRail_act!P10*1000)</f>
        <v>3.8639939452310443</v>
      </c>
      <c r="Q41" s="29">
        <f>IF(Q17=0,0,Q17/TrRail_act!Q10*1000)</f>
        <v>3.8185927333298459</v>
      </c>
      <c r="R41" s="29">
        <f>IF(R17=0,0,R17/TrRail_act!R10*1000)</f>
        <v>3.7434382662994423</v>
      </c>
      <c r="S41" s="29">
        <f>IF(S17=0,0,S17/TrRail_act!S10*1000)</f>
        <v>3.7320512252006521</v>
      </c>
      <c r="T41" s="29">
        <f>IF(T17=0,0,T17/TrRail_act!T10*1000)</f>
        <v>3.4601344123078297</v>
      </c>
      <c r="U41" s="29">
        <f>IF(U17=0,0,U17/TrRail_act!U10*1000)</f>
        <v>3.3715515965369378</v>
      </c>
      <c r="V41" s="29">
        <f>IF(V17=0,0,V17/TrRail_act!V10*1000)</f>
        <v>3.8350028210971043</v>
      </c>
      <c r="W41" s="29">
        <f>IF(W17=0,0,W17/TrRail_act!W10*1000)</f>
        <v>3.6178605641854467</v>
      </c>
      <c r="X41" s="29">
        <f>IF(X17=0,0,X17/TrRail_act!X10*1000)</f>
        <v>3.4740344171168629</v>
      </c>
      <c r="Y41" s="29">
        <f>IF(Y17=0,0,Y17/TrRail_act!Y10*1000)</f>
        <v>3.498257257860125</v>
      </c>
      <c r="DA41" s="173" t="s">
        <v>428</v>
      </c>
    </row>
    <row r="42" spans="1:105" ht="11.45" customHeight="1" x14ac:dyDescent="0.25">
      <c r="A42" s="83" t="s">
        <v>92</v>
      </c>
      <c r="B42" s="87">
        <f>IF(B18=0,0,B18/TrRail_act!B11*1000)</f>
        <v>7.8250644697997842</v>
      </c>
      <c r="C42" s="87">
        <f>IF(C18=0,0,C18/TrRail_act!C11*1000)</f>
        <v>7.7022539237015</v>
      </c>
      <c r="D42" s="87">
        <f>IF(D18=0,0,D18/TrRail_act!D11*1000)</f>
        <v>7.4753965906356088</v>
      </c>
      <c r="E42" s="87">
        <f>IF(E18=0,0,E18/TrRail_act!E11*1000)</f>
        <v>7.1431998706793021</v>
      </c>
      <c r="F42" s="87">
        <f>IF(F18=0,0,F18/TrRail_act!F11*1000)</f>
        <v>6.6235745795986158</v>
      </c>
      <c r="G42" s="87">
        <f>IF(G18=0,0,G18/TrRail_act!G11*1000)</f>
        <v>6.3711374863944448</v>
      </c>
      <c r="H42" s="87">
        <f>IF(H18=0,0,H18/TrRail_act!H11*1000)</f>
        <v>6.2520225856121057</v>
      </c>
      <c r="I42" s="87">
        <f>IF(I18=0,0,I18/TrRail_act!I11*1000)</f>
        <v>5.8797089812817678</v>
      </c>
      <c r="J42" s="87">
        <f>IF(J18=0,0,J18/TrRail_act!J11*1000)</f>
        <v>5.7122205251743177</v>
      </c>
      <c r="K42" s="87">
        <f>IF(K18=0,0,K18/TrRail_act!K11*1000)</f>
        <v>6.1517146631212638</v>
      </c>
      <c r="L42" s="87">
        <f>IF(L18=0,0,L18/TrRail_act!L11*1000)</f>
        <v>6.263731678424822</v>
      </c>
      <c r="M42" s="87">
        <f>IF(M18=0,0,M18/TrRail_act!M11*1000)</f>
        <v>5.7224963505389814</v>
      </c>
      <c r="N42" s="87">
        <f>IF(N18=0,0,N18/TrRail_act!N11*1000)</f>
        <v>5.6500753399679056</v>
      </c>
      <c r="O42" s="87">
        <f>IF(O18=0,0,O18/TrRail_act!O11*1000)</f>
        <v>5.5026131590982761</v>
      </c>
      <c r="P42" s="87">
        <f>IF(P18=0,0,P18/TrRail_act!P11*1000)</f>
        <v>5.3084150674812873</v>
      </c>
      <c r="Q42" s="87">
        <f>IF(Q18=0,0,Q18/TrRail_act!Q11*1000)</f>
        <v>5.0873983958668907</v>
      </c>
      <c r="R42" s="87">
        <f>IF(R18=0,0,R18/TrRail_act!R11*1000)</f>
        <v>5.3674722289211028</v>
      </c>
      <c r="S42" s="87">
        <f>IF(S18=0,0,S18/TrRail_act!S11*1000)</f>
        <v>5.2937722155386187</v>
      </c>
      <c r="T42" s="87">
        <f>IF(T18=0,0,T18/TrRail_act!T11*1000)</f>
        <v>5.1051274577680426</v>
      </c>
      <c r="U42" s="87">
        <f>IF(U18=0,0,U18/TrRail_act!U11*1000)</f>
        <v>5.1407549847024487</v>
      </c>
      <c r="V42" s="87">
        <f>IF(V18=0,0,V18/TrRail_act!V11*1000)</f>
        <v>6.2196691877016219</v>
      </c>
      <c r="W42" s="87">
        <f>IF(W18=0,0,W18/TrRail_act!W11*1000)</f>
        <v>6.0339947257345079</v>
      </c>
      <c r="X42" s="87">
        <f>IF(X18=0,0,X18/TrRail_act!X11*1000)</f>
        <v>5.4736338384851111</v>
      </c>
      <c r="Y42" s="87">
        <f>IF(Y18=0,0,Y18/TrRail_act!Y11*1000)</f>
        <v>5.6394549993510745</v>
      </c>
      <c r="DA42" s="171" t="s">
        <v>1124</v>
      </c>
    </row>
    <row r="43" spans="1:105" ht="11.45" customHeight="1" x14ac:dyDescent="0.25">
      <c r="A43" s="85" t="s">
        <v>93</v>
      </c>
      <c r="B43" s="88">
        <f>IF(B19=0,0,B19/TrRail_act!B12*1000)</f>
        <v>3.4827023618321551</v>
      </c>
      <c r="C43" s="88">
        <f>IF(C19=0,0,C19/TrRail_act!C12*1000)</f>
        <v>3.820128691324415</v>
      </c>
      <c r="D43" s="88">
        <f>IF(D19=0,0,D19/TrRail_act!D12*1000)</f>
        <v>3.4724234093388877</v>
      </c>
      <c r="E43" s="88">
        <f>IF(E19=0,0,E19/TrRail_act!E12*1000)</f>
        <v>2.8970482346497519</v>
      </c>
      <c r="F43" s="88">
        <f>IF(F19=0,0,F19/TrRail_act!F12*1000)</f>
        <v>2.9631126807831785</v>
      </c>
      <c r="G43" s="88">
        <f>IF(G19=0,0,G19/TrRail_act!G12*1000)</f>
        <v>3.3299813000879483</v>
      </c>
      <c r="H43" s="88">
        <f>IF(H19=0,0,H19/TrRail_act!H12*1000)</f>
        <v>2.9921213534067603</v>
      </c>
      <c r="I43" s="88">
        <f>IF(I19=0,0,I19/TrRail_act!I12*1000)</f>
        <v>3.0512222578688379</v>
      </c>
      <c r="J43" s="88">
        <f>IF(J19=0,0,J19/TrRail_act!J12*1000)</f>
        <v>3.1288868461685477</v>
      </c>
      <c r="K43" s="88">
        <f>IF(K19=0,0,K19/TrRail_act!K12*1000)</f>
        <v>3.1273169113656802</v>
      </c>
      <c r="L43" s="88">
        <f>IF(L19=0,0,L19/TrRail_act!L12*1000)</f>
        <v>3.4752888109887685</v>
      </c>
      <c r="M43" s="88">
        <f>IF(M19=0,0,M19/TrRail_act!M12*1000)</f>
        <v>3.5209765807611255</v>
      </c>
      <c r="N43" s="88">
        <f>IF(N19=0,0,N19/TrRail_act!N12*1000)</f>
        <v>3.3893407608276842</v>
      </c>
      <c r="O43" s="88">
        <f>IF(O19=0,0,O19/TrRail_act!O12*1000)</f>
        <v>3.3300170221237999</v>
      </c>
      <c r="P43" s="88">
        <f>IF(P19=0,0,P19/TrRail_act!P12*1000)</f>
        <v>3.1590460594738081</v>
      </c>
      <c r="Q43" s="88">
        <f>IF(Q19=0,0,Q19/TrRail_act!Q12*1000)</f>
        <v>3.1723952436611063</v>
      </c>
      <c r="R43" s="88">
        <f>IF(R19=0,0,R19/TrRail_act!R12*1000)</f>
        <v>2.9597076819480233</v>
      </c>
      <c r="S43" s="88">
        <f>IF(S19=0,0,S19/TrRail_act!S12*1000)</f>
        <v>2.9829914288045458</v>
      </c>
      <c r="T43" s="88">
        <f>IF(T19=0,0,T19/TrRail_act!T12*1000)</f>
        <v>2.872871519241325</v>
      </c>
      <c r="U43" s="88">
        <f>IF(U19=0,0,U19/TrRail_act!U12*1000)</f>
        <v>2.835458382984942</v>
      </c>
      <c r="V43" s="88">
        <f>IF(V19=0,0,V19/TrRail_act!V12*1000)</f>
        <v>3.0167661095783567</v>
      </c>
      <c r="W43" s="88">
        <f>IF(W19=0,0,W19/TrRail_act!W12*1000)</f>
        <v>2.8472818934177839</v>
      </c>
      <c r="X43" s="88">
        <f>IF(X19=0,0,X19/TrRail_act!X12*1000)</f>
        <v>2.8231281655762333</v>
      </c>
      <c r="Y43" s="88">
        <f>IF(Y19=0,0,Y19/TrRail_act!Y12*1000)</f>
        <v>2.684500150104502</v>
      </c>
      <c r="DA43" s="178" t="s">
        <v>1125</v>
      </c>
    </row>
    <row r="44" spans="1:105" x14ac:dyDescent="0.25">
      <c r="A44" s="106"/>
      <c r="B44" s="106"/>
      <c r="C44" s="106"/>
      <c r="D44" s="106"/>
      <c r="E44" s="106"/>
      <c r="F44" s="106"/>
      <c r="G44" s="106"/>
      <c r="H44" s="106"/>
      <c r="I44" s="106"/>
      <c r="J44" s="106"/>
      <c r="K44" s="106"/>
      <c r="L44" s="106"/>
      <c r="M44" s="106"/>
      <c r="N44" s="106"/>
      <c r="O44" s="106"/>
      <c r="P44" s="106"/>
      <c r="Q44" s="106"/>
      <c r="R44" s="106"/>
      <c r="S44" s="106"/>
      <c r="T44" s="106"/>
      <c r="U44" s="106"/>
      <c r="V44" s="106"/>
      <c r="W44" s="106"/>
      <c r="X44" s="106"/>
      <c r="Y44" s="106"/>
      <c r="DA44" s="171"/>
    </row>
    <row r="45" spans="1:105" ht="11.45" customHeight="1" x14ac:dyDescent="0.25">
      <c r="A45" s="53" t="s">
        <v>96</v>
      </c>
      <c r="B45" s="54">
        <f>IF(B10=0,0,1000000*B10/TrRail_act!B25)</f>
        <v>215843.07032995211</v>
      </c>
      <c r="C45" s="54">
        <f>IF(C10=0,0,1000000*C10/TrRail_act!C25)</f>
        <v>213232.42336146202</v>
      </c>
      <c r="D45" s="54">
        <f>IF(D10=0,0,1000000*D10/TrRail_act!D25)</f>
        <v>209917.22144048777</v>
      </c>
      <c r="E45" s="54">
        <f>IF(E10=0,0,1000000*E10/TrRail_act!E25)</f>
        <v>209755.58821919237</v>
      </c>
      <c r="F45" s="54">
        <f>IF(F10=0,0,1000000*F10/TrRail_act!F25)</f>
        <v>207597.72500814995</v>
      </c>
      <c r="G45" s="54">
        <f>IF(G10=0,0,1000000*G10/TrRail_act!G25)</f>
        <v>206580.30313409795</v>
      </c>
      <c r="H45" s="54">
        <f>IF(H10=0,0,1000000*H10/TrRail_act!H25)</f>
        <v>203910.37050755983</v>
      </c>
      <c r="I45" s="54">
        <f>IF(I10=0,0,1000000*I10/TrRail_act!I25)</f>
        <v>204166.06703528418</v>
      </c>
      <c r="J45" s="54">
        <f>IF(J10=0,0,1000000*J10/TrRail_act!J25)</f>
        <v>201910.16443445702</v>
      </c>
      <c r="K45" s="54">
        <f>IF(K10=0,0,1000000*K10/TrRail_act!K25)</f>
        <v>190526.89069204745</v>
      </c>
      <c r="L45" s="54">
        <f>IF(L10=0,0,1000000*L10/TrRail_act!L25)</f>
        <v>191302.03553462695</v>
      </c>
      <c r="M45" s="54">
        <f>IF(M10=0,0,1000000*M10/TrRail_act!M25)</f>
        <v>189315.63944143383</v>
      </c>
      <c r="N45" s="54">
        <f>IF(N10=0,0,1000000*N10/TrRail_act!N25)</f>
        <v>183100.6259621151</v>
      </c>
      <c r="O45" s="54">
        <f>IF(O10=0,0,1000000*O10/TrRail_act!O25)</f>
        <v>176933.92641867994</v>
      </c>
      <c r="P45" s="54">
        <f>IF(P10=0,0,1000000*P10/TrRail_act!P25)</f>
        <v>172721.20746971905</v>
      </c>
      <c r="Q45" s="54">
        <f>IF(Q10=0,0,1000000*Q10/TrRail_act!Q25)</f>
        <v>174766.70216897555</v>
      </c>
      <c r="R45" s="54">
        <f>IF(R10=0,0,1000000*R10/TrRail_act!R25)</f>
        <v>168533.80399806984</v>
      </c>
      <c r="S45" s="54">
        <f>IF(S10=0,0,1000000*S10/TrRail_act!S25)</f>
        <v>167426.19569724399</v>
      </c>
      <c r="T45" s="54">
        <f>IF(T10=0,0,1000000*T10/TrRail_act!T25)</f>
        <v>160999.13287379232</v>
      </c>
      <c r="U45" s="54">
        <f>IF(U10=0,0,1000000*U10/TrRail_act!U25)</f>
        <v>159367.25478915777</v>
      </c>
      <c r="V45" s="54">
        <f>IF(V10=0,0,1000000*V10/TrRail_act!V25)</f>
        <v>155601.26421755634</v>
      </c>
      <c r="W45" s="54">
        <f>IF(W10=0,0,1000000*W10/TrRail_act!W25)</f>
        <v>159074.27077719537</v>
      </c>
      <c r="X45" s="54">
        <f>IF(X10=0,0,1000000*X10/TrRail_act!X25)</f>
        <v>160858.82637661434</v>
      </c>
      <c r="Y45" s="54">
        <f>IF(Y10=0,0,1000000*Y10/TrRail_act!Y25)</f>
        <v>161376.14567907812</v>
      </c>
      <c r="DA45" s="172" t="s">
        <v>1126</v>
      </c>
    </row>
    <row r="46" spans="1:105" ht="11.45" customHeight="1" x14ac:dyDescent="0.25">
      <c r="A46" s="27" t="s">
        <v>33</v>
      </c>
      <c r="B46" s="28">
        <f>IF(B11=0,0,1000000*B11/TrRail_act!B26)</f>
        <v>196945.72879035288</v>
      </c>
      <c r="C46" s="28">
        <f>IF(C11=0,0,1000000*C11/TrRail_act!C26)</f>
        <v>194703.66945872601</v>
      </c>
      <c r="D46" s="28">
        <f>IF(D11=0,0,1000000*D11/TrRail_act!D26)</f>
        <v>193781.86192141206</v>
      </c>
      <c r="E46" s="28">
        <f>IF(E11=0,0,1000000*E11/TrRail_act!E26)</f>
        <v>192576.07980023941</v>
      </c>
      <c r="F46" s="28">
        <f>IF(F11=0,0,1000000*F11/TrRail_act!F26)</f>
        <v>188186.2148370549</v>
      </c>
      <c r="G46" s="28">
        <f>IF(G11=0,0,1000000*G11/TrRail_act!G26)</f>
        <v>186517.09659108706</v>
      </c>
      <c r="H46" s="28">
        <f>IF(H11=0,0,1000000*H11/TrRail_act!H26)</f>
        <v>183547.69924270065</v>
      </c>
      <c r="I46" s="28">
        <f>IF(I11=0,0,1000000*I11/TrRail_act!I26)</f>
        <v>181087.86603720594</v>
      </c>
      <c r="J46" s="28">
        <f>IF(J11=0,0,1000000*J11/TrRail_act!J26)</f>
        <v>180837.28590473527</v>
      </c>
      <c r="K46" s="28">
        <f>IF(K11=0,0,1000000*K11/TrRail_act!K26)</f>
        <v>175666.93969968741</v>
      </c>
      <c r="L46" s="28">
        <f>IF(L11=0,0,1000000*L11/TrRail_act!L26)</f>
        <v>174050.0660794033</v>
      </c>
      <c r="M46" s="28">
        <f>IF(M11=0,0,1000000*M11/TrRail_act!M26)</f>
        <v>171798.05019442842</v>
      </c>
      <c r="N46" s="28">
        <f>IF(N11=0,0,1000000*N11/TrRail_act!N26)</f>
        <v>167876.44625947365</v>
      </c>
      <c r="O46" s="28">
        <f>IF(O11=0,0,1000000*O11/TrRail_act!O26)</f>
        <v>162217.28277296785</v>
      </c>
      <c r="P46" s="28">
        <f>IF(P11=0,0,1000000*P11/TrRail_act!P26)</f>
        <v>157988.0712321827</v>
      </c>
      <c r="Q46" s="28">
        <f>IF(Q11=0,0,1000000*Q11/TrRail_act!Q26)</f>
        <v>159417.75459617094</v>
      </c>
      <c r="R46" s="28">
        <f>IF(R11=0,0,1000000*R11/TrRail_act!R26)</f>
        <v>153946.33698861636</v>
      </c>
      <c r="S46" s="28">
        <f>IF(S11=0,0,1000000*S11/TrRail_act!S26)</f>
        <v>153557.46239629891</v>
      </c>
      <c r="T46" s="28">
        <f>IF(T11=0,0,1000000*T11/TrRail_act!T26)</f>
        <v>147939.48335240656</v>
      </c>
      <c r="U46" s="28">
        <f>IF(U11=0,0,1000000*U11/TrRail_act!U26)</f>
        <v>146919.01502128143</v>
      </c>
      <c r="V46" s="28">
        <f>IF(V11=0,0,1000000*V11/TrRail_act!V26)</f>
        <v>140327.01463310726</v>
      </c>
      <c r="W46" s="28">
        <f>IF(W11=0,0,1000000*W11/TrRail_act!W26)</f>
        <v>143400.62275413674</v>
      </c>
      <c r="X46" s="28">
        <f>IF(X11=0,0,1000000*X11/TrRail_act!X26)</f>
        <v>146742.82063035973</v>
      </c>
      <c r="Y46" s="28">
        <f>IF(Y11=0,0,1000000*Y11/TrRail_act!Y26)</f>
        <v>149284.36061856293</v>
      </c>
      <c r="DA46" s="173" t="s">
        <v>1127</v>
      </c>
    </row>
    <row r="47" spans="1:105" ht="11.45" customHeight="1" x14ac:dyDescent="0.25">
      <c r="A47" s="107" t="s">
        <v>23</v>
      </c>
      <c r="B47" s="108">
        <f>IF(B12=0,0,1000000*B12/TrRail_act!B27)</f>
        <v>39825.57205223741</v>
      </c>
      <c r="C47" s="108">
        <f>IF(C12=0,0,1000000*C12/TrRail_act!C27)</f>
        <v>39564.860151094326</v>
      </c>
      <c r="D47" s="108">
        <f>IF(D12=0,0,1000000*D12/TrRail_act!D27)</f>
        <v>39243.868903004171</v>
      </c>
      <c r="E47" s="108">
        <f>IF(E12=0,0,1000000*E12/TrRail_act!E27)</f>
        <v>38937.115619366494</v>
      </c>
      <c r="F47" s="108">
        <f>IF(F12=0,0,1000000*F12/TrRail_act!F27)</f>
        <v>38474.80894660575</v>
      </c>
      <c r="G47" s="108">
        <f>IF(G12=0,0,1000000*G12/TrRail_act!G27)</f>
        <v>37992.823750029718</v>
      </c>
      <c r="H47" s="108">
        <f>IF(H12=0,0,1000000*H12/TrRail_act!H27)</f>
        <v>37709.291866195439</v>
      </c>
      <c r="I47" s="108">
        <f>IF(I12=0,0,1000000*I12/TrRail_act!I27)</f>
        <v>37335.342222572719</v>
      </c>
      <c r="J47" s="108">
        <f>IF(J12=0,0,1000000*J12/TrRail_act!J27)</f>
        <v>37086.867064736332</v>
      </c>
      <c r="K47" s="108">
        <f>IF(K12=0,0,1000000*K12/TrRail_act!K27)</f>
        <v>36830.259401751799</v>
      </c>
      <c r="L47" s="108">
        <f>IF(L12=0,0,1000000*L12/TrRail_act!L27)</f>
        <v>36615.361241003877</v>
      </c>
      <c r="M47" s="108">
        <f>IF(M12=0,0,1000000*M12/TrRail_act!M27)</f>
        <v>36199.371162052441</v>
      </c>
      <c r="N47" s="108">
        <f>IF(N12=0,0,1000000*N12/TrRail_act!N27)</f>
        <v>35775.22409644389</v>
      </c>
      <c r="O47" s="108">
        <f>IF(O12=0,0,1000000*O12/TrRail_act!O27)</f>
        <v>35544.508488816035</v>
      </c>
      <c r="P47" s="108">
        <f>IF(P12=0,0,1000000*P12/TrRail_act!P27)</f>
        <v>35250.353070141944</v>
      </c>
      <c r="Q47" s="108">
        <f>IF(Q12=0,0,1000000*Q12/TrRail_act!Q27)</f>
        <v>34994.618401768967</v>
      </c>
      <c r="R47" s="108">
        <f>IF(R12=0,0,1000000*R12/TrRail_act!R27)</f>
        <v>34804.035635008331</v>
      </c>
      <c r="S47" s="108">
        <f>IF(S12=0,0,1000000*S12/TrRail_act!S27)</f>
        <v>34661.779926920382</v>
      </c>
      <c r="T47" s="108">
        <f>IF(T12=0,0,1000000*T12/TrRail_act!T27)</f>
        <v>34555.469941950061</v>
      </c>
      <c r="U47" s="108">
        <f>IF(U12=0,0,1000000*U12/TrRail_act!U27)</f>
        <v>34475.951692055147</v>
      </c>
      <c r="V47" s="108">
        <f>IF(V12=0,0,1000000*V12/TrRail_act!V27)</f>
        <v>24068.40805924531</v>
      </c>
      <c r="W47" s="108">
        <f>IF(W12=0,0,1000000*W12/TrRail_act!W27)</f>
        <v>26804.426020208724</v>
      </c>
      <c r="X47" s="108">
        <f>IF(X12=0,0,1000000*X12/TrRail_act!X27)</f>
        <v>34262.27977005444</v>
      </c>
      <c r="Y47" s="108">
        <f>IF(Y12=0,0,1000000*Y12/TrRail_act!Y27)</f>
        <v>31509.77549006962</v>
      </c>
      <c r="DA47" s="203" t="s">
        <v>1128</v>
      </c>
    </row>
    <row r="48" spans="1:105" ht="11.45" customHeight="1" x14ac:dyDescent="0.25">
      <c r="A48" s="109" t="s">
        <v>24</v>
      </c>
      <c r="B48" s="110">
        <f>IF(B13=0,0,1000000*B13/TrRail_act!B28)</f>
        <v>212219.6635176714</v>
      </c>
      <c r="C48" s="110">
        <f>IF(C13=0,0,1000000*C13/TrRail_act!C28)</f>
        <v>210131.81790736786</v>
      </c>
      <c r="D48" s="110">
        <f>IF(D13=0,0,1000000*D13/TrRail_act!D28)</f>
        <v>208451.46068403937</v>
      </c>
      <c r="E48" s="110">
        <f>IF(E13=0,0,1000000*E13/TrRail_act!E28)</f>
        <v>204391.30390502015</v>
      </c>
      <c r="F48" s="110">
        <f>IF(F13=0,0,1000000*F13/TrRail_act!F28)</f>
        <v>200155.47288078847</v>
      </c>
      <c r="G48" s="110">
        <f>IF(G13=0,0,1000000*G13/TrRail_act!G28)</f>
        <v>198790.32963079205</v>
      </c>
      <c r="H48" s="110">
        <f>IF(H13=0,0,1000000*H13/TrRail_act!H28)</f>
        <v>195672.70993183926</v>
      </c>
      <c r="I48" s="110">
        <f>IF(I13=0,0,1000000*I13/TrRail_act!I28)</f>
        <v>193744.42139780015</v>
      </c>
      <c r="J48" s="110">
        <f>IF(J13=0,0,1000000*J13/TrRail_act!J28)</f>
        <v>193292.42363048746</v>
      </c>
      <c r="K48" s="110">
        <f>IF(K13=0,0,1000000*K13/TrRail_act!K28)</f>
        <v>190877.3403923735</v>
      </c>
      <c r="L48" s="110">
        <f>IF(L13=0,0,1000000*L13/TrRail_act!L28)</f>
        <v>188501.61161859691</v>
      </c>
      <c r="M48" s="110">
        <f>IF(M13=0,0,1000000*M13/TrRail_act!M28)</f>
        <v>186632.39391057438</v>
      </c>
      <c r="N48" s="110">
        <f>IF(N13=0,0,1000000*N13/TrRail_act!N28)</f>
        <v>180676.24208416959</v>
      </c>
      <c r="O48" s="110">
        <f>IF(O13=0,0,1000000*O13/TrRail_act!O28)</f>
        <v>174281.16282129707</v>
      </c>
      <c r="P48" s="110">
        <f>IF(P13=0,0,1000000*P13/TrRail_act!P28)</f>
        <v>170333.39001519285</v>
      </c>
      <c r="Q48" s="110">
        <f>IF(Q13=0,0,1000000*Q13/TrRail_act!Q28)</f>
        <v>169369.40772346299</v>
      </c>
      <c r="R48" s="110">
        <f>IF(R13=0,0,1000000*R13/TrRail_act!R28)</f>
        <v>166277.1097488954</v>
      </c>
      <c r="S48" s="110">
        <f>IF(S13=0,0,1000000*S13/TrRail_act!S28)</f>
        <v>164746.45578128815</v>
      </c>
      <c r="T48" s="110">
        <f>IF(T13=0,0,1000000*T13/TrRail_act!T28)</f>
        <v>160328.2675375806</v>
      </c>
      <c r="U48" s="110">
        <f>IF(U13=0,0,1000000*U13/TrRail_act!U28)</f>
        <v>158696.15963685839</v>
      </c>
      <c r="V48" s="110">
        <f>IF(V13=0,0,1000000*V13/TrRail_act!V28)</f>
        <v>154087.619752328</v>
      </c>
      <c r="W48" s="110">
        <f>IF(W13=0,0,1000000*W13/TrRail_act!W28)</f>
        <v>156683.1241191476</v>
      </c>
      <c r="X48" s="110">
        <f>IF(X13=0,0,1000000*X13/TrRail_act!X28)</f>
        <v>157740.08785063121</v>
      </c>
      <c r="Y48" s="110">
        <f>IF(Y13=0,0,1000000*Y13/TrRail_act!Y28)</f>
        <v>158410.96823758923</v>
      </c>
      <c r="DA48" s="176" t="s">
        <v>1129</v>
      </c>
    </row>
    <row r="49" spans="1:105" ht="11.45" customHeight="1" x14ac:dyDescent="0.25">
      <c r="A49" s="111" t="s">
        <v>92</v>
      </c>
      <c r="B49" s="84">
        <f>IF(B14=0,0,1000000*B14/TrRail_act!B29)</f>
        <v>348085.77218377712</v>
      </c>
      <c r="C49" s="84">
        <f>IF(C14=0,0,1000000*C14/TrRail_act!C29)</f>
        <v>347067.23519437533</v>
      </c>
      <c r="D49" s="84">
        <f>IF(D14=0,0,1000000*D14/TrRail_act!D29)</f>
        <v>344954.00527538656</v>
      </c>
      <c r="E49" s="84">
        <f>IF(E14=0,0,1000000*E14/TrRail_act!E29)</f>
        <v>342549.77864930965</v>
      </c>
      <c r="F49" s="84">
        <f>IF(F14=0,0,1000000*F14/TrRail_act!F29)</f>
        <v>338242.9578446169</v>
      </c>
      <c r="G49" s="84">
        <f>IF(G14=0,0,1000000*G14/TrRail_act!G29)</f>
        <v>338903.9718054079</v>
      </c>
      <c r="H49" s="84">
        <f>IF(H14=0,0,1000000*H14/TrRail_act!H29)</f>
        <v>334189.38581155817</v>
      </c>
      <c r="I49" s="84">
        <f>IF(I14=0,0,1000000*I14/TrRail_act!I29)</f>
        <v>333283.2283893025</v>
      </c>
      <c r="J49" s="84">
        <f>IF(J14=0,0,1000000*J14/TrRail_act!J29)</f>
        <v>328216.13454214513</v>
      </c>
      <c r="K49" s="84">
        <f>IF(K14=0,0,1000000*K14/TrRail_act!K29)</f>
        <v>325446.01893856633</v>
      </c>
      <c r="L49" s="84">
        <f>IF(L14=0,0,1000000*L14/TrRail_act!L29)</f>
        <v>320492.17942803021</v>
      </c>
      <c r="M49" s="84">
        <f>IF(M14=0,0,1000000*M14/TrRail_act!M29)</f>
        <v>315440.18686980114</v>
      </c>
      <c r="N49" s="84">
        <f>IF(N14=0,0,1000000*N14/TrRail_act!N29)</f>
        <v>299873.10687573109</v>
      </c>
      <c r="O49" s="84">
        <f>IF(O14=0,0,1000000*O14/TrRail_act!O29)</f>
        <v>299960.78853207018</v>
      </c>
      <c r="P49" s="84">
        <f>IF(P14=0,0,1000000*P14/TrRail_act!P29)</f>
        <v>298366.49893105833</v>
      </c>
      <c r="Q49" s="84">
        <f>IF(Q14=0,0,1000000*Q14/TrRail_act!Q29)</f>
        <v>294864.37524591206</v>
      </c>
      <c r="R49" s="84">
        <f>IF(R14=0,0,1000000*R14/TrRail_act!R29)</f>
        <v>287880.8123198931</v>
      </c>
      <c r="S49" s="84">
        <f>IF(S14=0,0,1000000*S14/TrRail_act!S29)</f>
        <v>279924.3791254781</v>
      </c>
      <c r="T49" s="84">
        <f>IF(T14=0,0,1000000*T14/TrRail_act!T29)</f>
        <v>243335.15621723907</v>
      </c>
      <c r="U49" s="84">
        <f>IF(U14=0,0,1000000*U14/TrRail_act!U29)</f>
        <v>239905.02541635931</v>
      </c>
      <c r="V49" s="84">
        <f>IF(V14=0,0,1000000*V14/TrRail_act!V29)</f>
        <v>227434.97083950049</v>
      </c>
      <c r="W49" s="84">
        <f>IF(W14=0,0,1000000*W14/TrRail_act!W29)</f>
        <v>234225.68197510589</v>
      </c>
      <c r="X49" s="84">
        <f>IF(X14=0,0,1000000*X14/TrRail_act!X29)</f>
        <v>256181.65081157806</v>
      </c>
      <c r="Y49" s="84">
        <f>IF(Y14=0,0,1000000*Y14/TrRail_act!Y29)</f>
        <v>254421.53882161819</v>
      </c>
      <c r="DA49" s="171" t="s">
        <v>1130</v>
      </c>
    </row>
    <row r="50" spans="1:105" ht="11.45" customHeight="1" x14ac:dyDescent="0.25">
      <c r="A50" s="111" t="s">
        <v>93</v>
      </c>
      <c r="B50" s="84">
        <f>IF(B15=0,0,1000000*B15/TrRail_act!B30)</f>
        <v>198410.02779536403</v>
      </c>
      <c r="C50" s="84">
        <f>IF(C15=0,0,1000000*C15/TrRail_act!C30)</f>
        <v>196244.78277218575</v>
      </c>
      <c r="D50" s="84">
        <f>IF(D15=0,0,1000000*D15/TrRail_act!D30)</f>
        <v>194423.35119142258</v>
      </c>
      <c r="E50" s="84">
        <f>IF(E15=0,0,1000000*E15/TrRail_act!E30)</f>
        <v>191065.51294765965</v>
      </c>
      <c r="F50" s="84">
        <f>IF(F15=0,0,1000000*F15/TrRail_act!F30)</f>
        <v>187719.30287994587</v>
      </c>
      <c r="G50" s="84">
        <f>IF(G15=0,0,1000000*G15/TrRail_act!G30)</f>
        <v>186098.35548847762</v>
      </c>
      <c r="H50" s="84">
        <f>IF(H15=0,0,1000000*H15/TrRail_act!H30)</f>
        <v>183595.35348831076</v>
      </c>
      <c r="I50" s="84">
        <f>IF(I15=0,0,1000000*I15/TrRail_act!I30)</f>
        <v>182102.51777763854</v>
      </c>
      <c r="J50" s="84">
        <f>IF(J15=0,0,1000000*J15/TrRail_act!J30)</f>
        <v>181324.67582942193</v>
      </c>
      <c r="K50" s="84">
        <f>IF(K15=0,0,1000000*K15/TrRail_act!K30)</f>
        <v>179716.55575628017</v>
      </c>
      <c r="L50" s="84">
        <f>IF(L15=0,0,1000000*L15/TrRail_act!L30)</f>
        <v>177053.07739903114</v>
      </c>
      <c r="M50" s="84">
        <f>IF(M15=0,0,1000000*M15/TrRail_act!M30)</f>
        <v>175452.00282974387</v>
      </c>
      <c r="N50" s="84">
        <f>IF(N15=0,0,1000000*N15/TrRail_act!N30)</f>
        <v>171695.3336662114</v>
      </c>
      <c r="O50" s="84">
        <f>IF(O15=0,0,1000000*O15/TrRail_act!O30)</f>
        <v>164907.66566017133</v>
      </c>
      <c r="P50" s="84">
        <f>IF(P15=0,0,1000000*P15/TrRail_act!P30)</f>
        <v>160352.95411582632</v>
      </c>
      <c r="Q50" s="84">
        <f>IF(Q15=0,0,1000000*Q15/TrRail_act!Q30)</f>
        <v>158885.98409203615</v>
      </c>
      <c r="R50" s="84">
        <f>IF(R15=0,0,1000000*R15/TrRail_act!R30)</f>
        <v>157005.59740051208</v>
      </c>
      <c r="S50" s="84">
        <f>IF(S15=0,0,1000000*S15/TrRail_act!S30)</f>
        <v>155609.92616944309</v>
      </c>
      <c r="T50" s="84">
        <f>IF(T15=0,0,1000000*T15/TrRail_act!T30)</f>
        <v>154571.32052496739</v>
      </c>
      <c r="U50" s="84">
        <f>IF(U15=0,0,1000000*U15/TrRail_act!U30)</f>
        <v>153796.91801306902</v>
      </c>
      <c r="V50" s="84">
        <f>IF(V15=0,0,1000000*V15/TrRail_act!V30)</f>
        <v>149902.59661299817</v>
      </c>
      <c r="W50" s="84">
        <f>IF(W15=0,0,1000000*W15/TrRail_act!W30)</f>
        <v>152786.39951928225</v>
      </c>
      <c r="X50" s="84">
        <f>IF(X15=0,0,1000000*X15/TrRail_act!X30)</f>
        <v>152463.00202768727</v>
      </c>
      <c r="Y50" s="84">
        <f>IF(Y15=0,0,1000000*Y15/TrRail_act!Y30)</f>
        <v>152220.90336972233</v>
      </c>
      <c r="DA50" s="171" t="s">
        <v>1131</v>
      </c>
    </row>
    <row r="51" spans="1:105" ht="11.45" customHeight="1" x14ac:dyDescent="0.25">
      <c r="A51" s="112" t="s">
        <v>25</v>
      </c>
      <c r="B51" s="113">
        <f>IF(B16=0,0,1000000*B16/TrRail_act!B31)</f>
        <v>808365.61423475388</v>
      </c>
      <c r="C51" s="113">
        <f>IF(C16=0,0,1000000*C16/TrRail_act!C31)</f>
        <v>799705.79351933813</v>
      </c>
      <c r="D51" s="113">
        <f>IF(D16=0,0,1000000*D16/TrRail_act!D31)</f>
        <v>791590.91293634102</v>
      </c>
      <c r="E51" s="113">
        <f>IF(E16=0,0,1000000*E16/TrRail_act!E31)</f>
        <v>788427.93384096585</v>
      </c>
      <c r="F51" s="113">
        <f>IF(F16=0,0,1000000*F16/TrRail_act!F31)</f>
        <v>781508.55989176815</v>
      </c>
      <c r="G51" s="113">
        <f>IF(G16=0,0,1000000*G16/TrRail_act!G31)</f>
        <v>777159.686248168</v>
      </c>
      <c r="H51" s="113">
        <f>IF(H16=0,0,1000000*H16/TrRail_act!H31)</f>
        <v>773279.5689643817</v>
      </c>
      <c r="I51" s="113">
        <f>IF(I16=0,0,1000000*I16/TrRail_act!I31)</f>
        <v>766751.74990787543</v>
      </c>
      <c r="J51" s="113">
        <f>IF(J16=0,0,1000000*J16/TrRail_act!J31)</f>
        <v>762194.6986672869</v>
      </c>
      <c r="K51" s="113">
        <f>IF(K16=0,0,1000000*K16/TrRail_act!K31)</f>
        <v>236640.19435089943</v>
      </c>
      <c r="L51" s="113">
        <f>IF(L16=0,0,1000000*L16/TrRail_act!L31)</f>
        <v>254176.96806817604</v>
      </c>
      <c r="M51" s="113">
        <f>IF(M16=0,0,1000000*M16/TrRail_act!M31)</f>
        <v>268975.39740558364</v>
      </c>
      <c r="N51" s="113">
        <f>IF(N16=0,0,1000000*N16/TrRail_act!N31)</f>
        <v>284546.83488323854</v>
      </c>
      <c r="O51" s="113">
        <f>IF(O16=0,0,1000000*O16/TrRail_act!O31)</f>
        <v>317192.61594676669</v>
      </c>
      <c r="P51" s="113">
        <f>IF(P16=0,0,1000000*P16/TrRail_act!P31)</f>
        <v>209636.73549251095</v>
      </c>
      <c r="Q51" s="113">
        <f>IF(Q16=0,0,1000000*Q16/TrRail_act!Q31)</f>
        <v>712268.80736584438</v>
      </c>
      <c r="R51" s="113">
        <f>IF(R16=0,0,1000000*R16/TrRail_act!R31)</f>
        <v>258638.40283063072</v>
      </c>
      <c r="S51" s="113">
        <f>IF(S16=0,0,1000000*S16/TrRail_act!S31)</f>
        <v>292374.22148911183</v>
      </c>
      <c r="T51" s="113">
        <f>IF(T16=0,0,1000000*T16/TrRail_act!T31)</f>
        <v>277360.03196237941</v>
      </c>
      <c r="U51" s="113">
        <f>IF(U16=0,0,1000000*U16/TrRail_act!U31)</f>
        <v>320205.25795281027</v>
      </c>
      <c r="V51" s="113">
        <f>IF(V16=0,0,1000000*V16/TrRail_act!V31)</f>
        <v>121969.57136469545</v>
      </c>
      <c r="W51" s="113">
        <f>IF(W16=0,0,1000000*W16/TrRail_act!W31)</f>
        <v>118105.04763113751</v>
      </c>
      <c r="X51" s="113">
        <f>IF(X16=0,0,1000000*X16/TrRail_act!X31)</f>
        <v>153620.1400299808</v>
      </c>
      <c r="Y51" s="113">
        <f>IF(Y16=0,0,1000000*Y16/TrRail_act!Y31)</f>
        <v>334928.82998502417</v>
      </c>
      <c r="DA51" s="204" t="s">
        <v>1132</v>
      </c>
    </row>
    <row r="52" spans="1:105" ht="11.45" customHeight="1" x14ac:dyDescent="0.25">
      <c r="A52" s="27" t="s">
        <v>34</v>
      </c>
      <c r="B52" s="28">
        <f>IF(B17=0,0,1000000*B17/TrRail_act!B32)</f>
        <v>572709.08890171291</v>
      </c>
      <c r="C52" s="28">
        <f>IF(C17=0,0,1000000*C17/TrRail_act!C32)</f>
        <v>549044.47250606504</v>
      </c>
      <c r="D52" s="28">
        <f>IF(D17=0,0,1000000*D17/TrRail_act!D32)</f>
        <v>534456.09067619673</v>
      </c>
      <c r="E52" s="28">
        <f>IF(E17=0,0,1000000*E17/TrRail_act!E32)</f>
        <v>557494.43881188403</v>
      </c>
      <c r="F52" s="28">
        <f>IF(F17=0,0,1000000*F17/TrRail_act!F32)</f>
        <v>537294.89737973711</v>
      </c>
      <c r="G52" s="28">
        <f>IF(G17=0,0,1000000*G17/TrRail_act!G32)</f>
        <v>512844.31459791661</v>
      </c>
      <c r="H52" s="28">
        <f>IF(H17=0,0,1000000*H17/TrRail_act!H32)</f>
        <v>517205.1869425897</v>
      </c>
      <c r="I52" s="28">
        <f>IF(I17=0,0,1000000*I17/TrRail_act!I32)</f>
        <v>507105.31983722193</v>
      </c>
      <c r="J52" s="28">
        <f>IF(J17=0,0,1000000*J17/TrRail_act!J32)</f>
        <v>486936.92077630427</v>
      </c>
      <c r="K52" s="28">
        <f>IF(K17=0,0,1000000*K17/TrRail_act!K32)</f>
        <v>423737.08415524877</v>
      </c>
      <c r="L52" s="28">
        <f>IF(L17=0,0,1000000*L17/TrRail_act!L32)</f>
        <v>465751.58193104219</v>
      </c>
      <c r="M52" s="28">
        <f>IF(M17=0,0,1000000*M17/TrRail_act!M32)</f>
        <v>443890.62548735773</v>
      </c>
      <c r="N52" s="28">
        <f>IF(N17=0,0,1000000*N17/TrRail_act!N32)</f>
        <v>409349.5747899196</v>
      </c>
      <c r="O52" s="28">
        <f>IF(O17=0,0,1000000*O17/TrRail_act!O32)</f>
        <v>405459.47932399117</v>
      </c>
      <c r="P52" s="28">
        <f>IF(P17=0,0,1000000*P17/TrRail_act!P32)</f>
        <v>404391.57476586022</v>
      </c>
      <c r="Q52" s="28">
        <f>IF(Q17=0,0,1000000*Q17/TrRail_act!Q32)</f>
        <v>398759.57537686458</v>
      </c>
      <c r="R52" s="28">
        <f>IF(R17=0,0,1000000*R17/TrRail_act!R32)</f>
        <v>399083.98065760685</v>
      </c>
      <c r="S52" s="28">
        <f>IF(S17=0,0,1000000*S17/TrRail_act!S32)</f>
        <v>391705.48715551477</v>
      </c>
      <c r="T52" s="28">
        <f>IF(T17=0,0,1000000*T17/TrRail_act!T32)</f>
        <v>360799.05107497668</v>
      </c>
      <c r="U52" s="28">
        <f>IF(U17=0,0,1000000*U17/TrRail_act!U32)</f>
        <v>349608.49061592272</v>
      </c>
      <c r="V52" s="28">
        <f>IF(V17=0,0,1000000*V17/TrRail_act!V32)</f>
        <v>367734.13223679899</v>
      </c>
      <c r="W52" s="28">
        <f>IF(W17=0,0,1000000*W17/TrRail_act!W32)</f>
        <v>362662.58180825511</v>
      </c>
      <c r="X52" s="28">
        <f>IF(X17=0,0,1000000*X17/TrRail_act!X32)</f>
        <v>356353.0275116546</v>
      </c>
      <c r="Y52" s="28">
        <f>IF(Y17=0,0,1000000*Y17/TrRail_act!Y32)</f>
        <v>334439.71665240655</v>
      </c>
      <c r="DA52" s="173" t="s">
        <v>1133</v>
      </c>
    </row>
    <row r="53" spans="1:105" ht="11.45" customHeight="1" x14ac:dyDescent="0.25">
      <c r="A53" s="83" t="s">
        <v>92</v>
      </c>
      <c r="B53" s="84">
        <f>IF(B18=0,0,1000000*B18/TrRail_act!B33)</f>
        <v>941457.86968710728</v>
      </c>
      <c r="C53" s="84">
        <f>IF(C18=0,0,1000000*C18/TrRail_act!C33)</f>
        <v>936122.51411899924</v>
      </c>
      <c r="D53" s="84">
        <f>IF(D18=0,0,1000000*D18/TrRail_act!D33)</f>
        <v>930071.40578088537</v>
      </c>
      <c r="E53" s="84">
        <f>IF(E18=0,0,1000000*E18/TrRail_act!E33)</f>
        <v>923935.33651155385</v>
      </c>
      <c r="F53" s="84">
        <f>IF(F18=0,0,1000000*F18/TrRail_act!F33)</f>
        <v>926574.2581793362</v>
      </c>
      <c r="G53" s="84">
        <f>IF(G18=0,0,1000000*G18/TrRail_act!G33)</f>
        <v>923629.70350788115</v>
      </c>
      <c r="H53" s="84">
        <f>IF(H18=0,0,1000000*H18/TrRail_act!H33)</f>
        <v>910833.09108008794</v>
      </c>
      <c r="I53" s="84">
        <f>IF(I18=0,0,1000000*I18/TrRail_act!I33)</f>
        <v>913533.95069578034</v>
      </c>
      <c r="J53" s="84">
        <f>IF(J18=0,0,1000000*J18/TrRail_act!J33)</f>
        <v>857288.49164485466</v>
      </c>
      <c r="K53" s="84">
        <f>IF(K18=0,0,1000000*K18/TrRail_act!K33)</f>
        <v>727815.77000716364</v>
      </c>
      <c r="L53" s="84">
        <f>IF(L18=0,0,1000000*L18/TrRail_act!L33)</f>
        <v>850370.55903831904</v>
      </c>
      <c r="M53" s="84">
        <f>IF(M18=0,0,1000000*M18/TrRail_act!M33)</f>
        <v>809701.58579259831</v>
      </c>
      <c r="N53" s="84">
        <f>IF(N18=0,0,1000000*N18/TrRail_act!N33)</f>
        <v>731671.55073321727</v>
      </c>
      <c r="O53" s="84">
        <f>IF(O18=0,0,1000000*O18/TrRail_act!O33)</f>
        <v>798810.01231472148</v>
      </c>
      <c r="P53" s="84">
        <f>IF(P18=0,0,1000000*P18/TrRail_act!P33)</f>
        <v>782202.90788180137</v>
      </c>
      <c r="Q53" s="84">
        <f>IF(Q18=0,0,1000000*Q18/TrRail_act!Q33)</f>
        <v>787713.03662779008</v>
      </c>
      <c r="R53" s="84">
        <f>IF(R18=0,0,1000000*R18/TrRail_act!R33)</f>
        <v>787911.75722999685</v>
      </c>
      <c r="S53" s="84">
        <f>IF(S18=0,0,1000000*S18/TrRail_act!S33)</f>
        <v>784120.49768448714</v>
      </c>
      <c r="T53" s="84">
        <f>IF(T18=0,0,1000000*T18/TrRail_act!T33)</f>
        <v>746687.07145942049</v>
      </c>
      <c r="U53" s="84">
        <f>IF(U18=0,0,1000000*U18/TrRail_act!U33)</f>
        <v>761723.67521825875</v>
      </c>
      <c r="V53" s="84">
        <f>IF(V18=0,0,1000000*V18/TrRail_act!V33)</f>
        <v>777588.26683727966</v>
      </c>
      <c r="W53" s="84">
        <f>IF(W18=0,0,1000000*W18/TrRail_act!W33)</f>
        <v>776402.4527107561</v>
      </c>
      <c r="X53" s="84">
        <f>IF(X18=0,0,1000000*X18/TrRail_act!X33)</f>
        <v>775514.2492064666</v>
      </c>
      <c r="Y53" s="84">
        <f>IF(Y18=0,0,1000000*Y18/TrRail_act!Y33)</f>
        <v>774848.8325132688</v>
      </c>
      <c r="DA53" s="171" t="s">
        <v>1134</v>
      </c>
    </row>
    <row r="54" spans="1:105" ht="11.45" customHeight="1" x14ac:dyDescent="0.25">
      <c r="A54" s="85" t="s">
        <v>93</v>
      </c>
      <c r="B54" s="86">
        <f>IF(B19=0,0,1000000*B19/TrRail_act!B34)</f>
        <v>358398.1494774014</v>
      </c>
      <c r="C54" s="86">
        <f>IF(C19=0,0,1000000*C19/TrRail_act!C34)</f>
        <v>354486.95683037641</v>
      </c>
      <c r="D54" s="86">
        <f>IF(D19=0,0,1000000*D19/TrRail_act!D34)</f>
        <v>336226.73609474441</v>
      </c>
      <c r="E54" s="86">
        <f>IF(E19=0,0,1000000*E19/TrRail_act!E34)</f>
        <v>345131.37343389378</v>
      </c>
      <c r="F54" s="86">
        <f>IF(F19=0,0,1000000*F19/TrRail_act!F34)</f>
        <v>339086.94509484211</v>
      </c>
      <c r="G54" s="86">
        <f>IF(G19=0,0,1000000*G19/TrRail_act!G34)</f>
        <v>336158.9429161906</v>
      </c>
      <c r="H54" s="86">
        <f>IF(H19=0,0,1000000*H19/TrRail_act!H34)</f>
        <v>331637.64080231858</v>
      </c>
      <c r="I54" s="86">
        <f>IF(I19=0,0,1000000*I19/TrRail_act!I34)</f>
        <v>328941.06079344742</v>
      </c>
      <c r="J54" s="86">
        <f>IF(J19=0,0,1000000*J19/TrRail_act!J34)</f>
        <v>327536.00729189435</v>
      </c>
      <c r="K54" s="86">
        <f>IF(K19=0,0,1000000*K19/TrRail_act!K34)</f>
        <v>295964.72020625527</v>
      </c>
      <c r="L54" s="86">
        <f>IF(L19=0,0,1000000*L19/TrRail_act!L34)</f>
        <v>319819.99863453169</v>
      </c>
      <c r="M54" s="86">
        <f>IF(M19=0,0,1000000*M19/TrRail_act!M34)</f>
        <v>316927.89379516686</v>
      </c>
      <c r="N54" s="86">
        <f>IF(N19=0,0,1000000*N19/TrRail_act!N34)</f>
        <v>310142.03385726624</v>
      </c>
      <c r="O54" s="86">
        <f>IF(O19=0,0,1000000*O19/TrRail_act!O34)</f>
        <v>297881.12345688889</v>
      </c>
      <c r="P54" s="86">
        <f>IF(P19=0,0,1000000*P19/TrRail_act!P34)</f>
        <v>289653.71304424247</v>
      </c>
      <c r="Q54" s="86">
        <f>IF(Q19=0,0,1000000*Q19/TrRail_act!Q34)</f>
        <v>284162.22635713336</v>
      </c>
      <c r="R54" s="86">
        <f>IF(R19=0,0,1000000*R19/TrRail_act!R34)</f>
        <v>278711.48972547811</v>
      </c>
      <c r="S54" s="86">
        <f>IF(S19=0,0,1000000*S19/TrRail_act!S34)</f>
        <v>274692.15504676162</v>
      </c>
      <c r="T54" s="86">
        <f>IF(T19=0,0,1000000*T19/TrRail_act!T34)</f>
        <v>271715.74144858698</v>
      </c>
      <c r="U54" s="86">
        <f>IF(U19=0,0,1000000*U19/TrRail_act!U34)</f>
        <v>269504.61284767842</v>
      </c>
      <c r="V54" s="86">
        <f>IF(V19=0,0,1000000*V19/TrRail_act!V34)</f>
        <v>267858.0824468683</v>
      </c>
      <c r="W54" s="86">
        <f>IF(W19=0,0,1000000*W19/TrRail_act!W34)</f>
        <v>266629.79166262917</v>
      </c>
      <c r="X54" s="86">
        <f>IF(X19=0,0,1000000*X19/TrRail_act!X34)</f>
        <v>265712.27219273569</v>
      </c>
      <c r="Y54" s="86">
        <f>IF(Y19=0,0,1000000*Y19/TrRail_act!Y34)</f>
        <v>230047.42783157551</v>
      </c>
      <c r="DA54" s="178" t="s">
        <v>1135</v>
      </c>
    </row>
    <row r="55" spans="1:105" x14ac:dyDescent="0.25">
      <c r="A55" s="106"/>
      <c r="B55" s="106"/>
      <c r="C55" s="106"/>
      <c r="D55" s="106"/>
      <c r="E55" s="106"/>
      <c r="F55" s="106"/>
      <c r="G55" s="106"/>
      <c r="H55" s="106"/>
      <c r="I55" s="106"/>
      <c r="J55" s="106"/>
      <c r="K55" s="106"/>
      <c r="L55" s="106"/>
      <c r="M55" s="106"/>
      <c r="N55" s="106"/>
      <c r="O55" s="106"/>
      <c r="P55" s="106"/>
      <c r="Q55" s="106"/>
      <c r="R55" s="106"/>
      <c r="S55" s="106"/>
      <c r="T55" s="106"/>
      <c r="U55" s="106"/>
      <c r="V55" s="106"/>
      <c r="W55" s="106"/>
      <c r="X55" s="106"/>
      <c r="Y55" s="106"/>
      <c r="DA55" s="171"/>
    </row>
    <row r="56" spans="1:105" ht="11.45" customHeight="1" x14ac:dyDescent="0.25">
      <c r="A56" s="53" t="s">
        <v>40</v>
      </c>
      <c r="B56" s="65">
        <f t="shared" ref="B56:B65" si="15">IF(B10=0,0,B10/B$10)</f>
        <v>1</v>
      </c>
      <c r="C56" s="65">
        <f t="shared" ref="C56:V56" si="16">IF(C10=0,0,C10/C$10)</f>
        <v>1</v>
      </c>
      <c r="D56" s="65">
        <f t="shared" si="16"/>
        <v>1</v>
      </c>
      <c r="E56" s="65">
        <f t="shared" si="16"/>
        <v>1</v>
      </c>
      <c r="F56" s="65">
        <f t="shared" si="16"/>
        <v>1</v>
      </c>
      <c r="G56" s="65">
        <f t="shared" si="16"/>
        <v>1</v>
      </c>
      <c r="H56" s="65">
        <f t="shared" si="16"/>
        <v>1</v>
      </c>
      <c r="I56" s="65">
        <f t="shared" si="16"/>
        <v>1</v>
      </c>
      <c r="J56" s="65">
        <f t="shared" si="16"/>
        <v>1</v>
      </c>
      <c r="K56" s="65">
        <f t="shared" si="16"/>
        <v>1</v>
      </c>
      <c r="L56" s="65">
        <f t="shared" si="16"/>
        <v>1</v>
      </c>
      <c r="M56" s="65">
        <f t="shared" si="16"/>
        <v>1</v>
      </c>
      <c r="N56" s="65">
        <f t="shared" si="16"/>
        <v>1</v>
      </c>
      <c r="O56" s="65">
        <f t="shared" si="16"/>
        <v>1</v>
      </c>
      <c r="P56" s="65">
        <f t="shared" si="16"/>
        <v>1</v>
      </c>
      <c r="Q56" s="65">
        <f t="shared" si="16"/>
        <v>1</v>
      </c>
      <c r="R56" s="65">
        <f t="shared" si="16"/>
        <v>1</v>
      </c>
      <c r="S56" s="65">
        <f t="shared" si="16"/>
        <v>1</v>
      </c>
      <c r="T56" s="65">
        <f t="shared" si="16"/>
        <v>1</v>
      </c>
      <c r="U56" s="65">
        <f t="shared" si="16"/>
        <v>1</v>
      </c>
      <c r="V56" s="65">
        <f t="shared" si="16"/>
        <v>1</v>
      </c>
      <c r="W56" s="65">
        <f t="shared" ref="W56:Y56" si="17">IF(W10=0,0,W10/W$10)</f>
        <v>1</v>
      </c>
      <c r="X56" s="65">
        <f t="shared" si="17"/>
        <v>1</v>
      </c>
      <c r="Y56" s="65">
        <f t="shared" si="17"/>
        <v>1</v>
      </c>
      <c r="DA56" s="172"/>
    </row>
    <row r="57" spans="1:105" ht="11.45" customHeight="1" x14ac:dyDescent="0.25">
      <c r="A57" s="27" t="s">
        <v>33</v>
      </c>
      <c r="B57" s="31">
        <f t="shared" si="15"/>
        <v>0.86656116338287292</v>
      </c>
      <c r="C57" s="31">
        <f t="shared" ref="C57:V57" si="18">IF(C11=0,0,C11/C$10)</f>
        <v>0.86535837981083219</v>
      </c>
      <c r="D57" s="31">
        <f t="shared" si="18"/>
        <v>0.8794122125983731</v>
      </c>
      <c r="E57" s="31">
        <f t="shared" si="18"/>
        <v>0.87487559683386351</v>
      </c>
      <c r="F57" s="31">
        <f t="shared" si="18"/>
        <v>0.85609072013658638</v>
      </c>
      <c r="G57" s="31">
        <f t="shared" si="18"/>
        <v>0.84736867286578377</v>
      </c>
      <c r="H57" s="31">
        <f t="shared" si="18"/>
        <v>0.84520482034472466</v>
      </c>
      <c r="I57" s="31">
        <f t="shared" si="18"/>
        <v>0.82417699269933464</v>
      </c>
      <c r="J57" s="31">
        <f t="shared" si="18"/>
        <v>0.83397420258131705</v>
      </c>
      <c r="K57" s="31">
        <f t="shared" si="18"/>
        <v>0.86677581524470748</v>
      </c>
      <c r="L57" s="31">
        <f t="shared" si="18"/>
        <v>0.85600920083290255</v>
      </c>
      <c r="M57" s="31">
        <f t="shared" si="18"/>
        <v>0.84904513010188376</v>
      </c>
      <c r="N57" s="31">
        <f t="shared" si="18"/>
        <v>0.85904853071730314</v>
      </c>
      <c r="O57" s="31">
        <f t="shared" si="18"/>
        <v>0.86135436525820042</v>
      </c>
      <c r="P57" s="31">
        <f t="shared" si="18"/>
        <v>0.86000750314968133</v>
      </c>
      <c r="Q57" s="31">
        <f t="shared" si="18"/>
        <v>0.85367705086578149</v>
      </c>
      <c r="R57" s="31">
        <f t="shared" si="18"/>
        <v>0.85908826843782049</v>
      </c>
      <c r="S57" s="31">
        <f t="shared" si="18"/>
        <v>0.86375327900332566</v>
      </c>
      <c r="T57" s="31">
        <f t="shared" si="18"/>
        <v>0.86250712416367659</v>
      </c>
      <c r="U57" s="31">
        <f t="shared" si="18"/>
        <v>0.86527145321419507</v>
      </c>
      <c r="V57" s="31">
        <f t="shared" si="18"/>
        <v>0.84126355491266902</v>
      </c>
      <c r="W57" s="31">
        <f t="shared" ref="W57:Y57" si="19">IF(W11=0,0,W11/W$10)</f>
        <v>0.83702927123831306</v>
      </c>
      <c r="X57" s="31">
        <f t="shared" si="19"/>
        <v>0.85081163413674199</v>
      </c>
      <c r="Y57" s="31">
        <f t="shared" si="19"/>
        <v>0.86465798206585898</v>
      </c>
      <c r="DA57" s="173"/>
    </row>
    <row r="58" spans="1:105" ht="11.45" customHeight="1" x14ac:dyDescent="0.25">
      <c r="A58" s="107" t="s">
        <v>23</v>
      </c>
      <c r="B58" s="123">
        <f t="shared" si="15"/>
        <v>1.6198178788584393E-2</v>
      </c>
      <c r="C58" s="123">
        <f t="shared" ref="C58:V58" si="20">IF(C12=0,0,C12/C$10)</f>
        <v>1.7078535878839642E-2</v>
      </c>
      <c r="D58" s="123">
        <f t="shared" si="20"/>
        <v>1.6680718114871509E-2</v>
      </c>
      <c r="E58" s="123">
        <f t="shared" si="20"/>
        <v>1.6738250102220596E-2</v>
      </c>
      <c r="F58" s="123">
        <f t="shared" si="20"/>
        <v>1.6899950465604174E-2</v>
      </c>
      <c r="G58" s="123">
        <f t="shared" si="20"/>
        <v>1.735023851308938E-2</v>
      </c>
      <c r="H58" s="123">
        <f t="shared" si="20"/>
        <v>1.7796987343875803E-2</v>
      </c>
      <c r="I58" s="123">
        <f t="shared" si="20"/>
        <v>1.8616131148126283E-2</v>
      </c>
      <c r="J58" s="123">
        <f t="shared" si="20"/>
        <v>1.8773419114345703E-2</v>
      </c>
      <c r="K58" s="123">
        <f t="shared" si="20"/>
        <v>1.835066459094151E-2</v>
      </c>
      <c r="L58" s="123">
        <f t="shared" si="20"/>
        <v>1.7685018391669999E-2</v>
      </c>
      <c r="M58" s="123">
        <f t="shared" si="20"/>
        <v>1.8331339697322251E-2</v>
      </c>
      <c r="N58" s="123">
        <f t="shared" si="20"/>
        <v>1.7071512806404308E-2</v>
      </c>
      <c r="O58" s="123">
        <f t="shared" si="20"/>
        <v>1.769600496776395E-2</v>
      </c>
      <c r="P58" s="123">
        <f t="shared" si="20"/>
        <v>1.7901576824722057E-2</v>
      </c>
      <c r="Q58" s="123">
        <f t="shared" si="20"/>
        <v>1.9772591307431524E-2</v>
      </c>
      <c r="R58" s="123">
        <f t="shared" si="20"/>
        <v>1.91907784184015E-2</v>
      </c>
      <c r="S58" s="123">
        <f t="shared" si="20"/>
        <v>1.8103777864376377E-2</v>
      </c>
      <c r="T58" s="123">
        <f t="shared" si="20"/>
        <v>2.1092507727263753E-2</v>
      </c>
      <c r="U58" s="123">
        <f t="shared" si="20"/>
        <v>2.0964119706606811E-2</v>
      </c>
      <c r="V58" s="123">
        <f t="shared" si="20"/>
        <v>1.5024112944598825E-2</v>
      </c>
      <c r="W58" s="123">
        <f t="shared" ref="W58:Y58" si="21">IF(W12=0,0,W12/W$10)</f>
        <v>1.5671337455421538E-2</v>
      </c>
      <c r="X58" s="123">
        <f t="shared" si="21"/>
        <v>1.7647916835692643E-2</v>
      </c>
      <c r="Y58" s="123">
        <f t="shared" si="21"/>
        <v>1.480404166004108E-2</v>
      </c>
      <c r="DA58" s="203"/>
    </row>
    <row r="59" spans="1:105" ht="11.45" customHeight="1" x14ac:dyDescent="0.25">
      <c r="A59" s="109" t="s">
        <v>24</v>
      </c>
      <c r="B59" s="124">
        <f t="shared" si="15"/>
        <v>0.84641406859492407</v>
      </c>
      <c r="C59" s="124">
        <f t="shared" ref="C59:V59" si="22">IF(C13=0,0,C13/C$10)</f>
        <v>0.84142106643056436</v>
      </c>
      <c r="D59" s="124">
        <f t="shared" si="22"/>
        <v>0.85547008106775602</v>
      </c>
      <c r="E59" s="124">
        <f t="shared" si="22"/>
        <v>0.83458241447850845</v>
      </c>
      <c r="F59" s="124">
        <f t="shared" si="22"/>
        <v>0.81691906282136306</v>
      </c>
      <c r="G59" s="124">
        <f t="shared" si="22"/>
        <v>0.80627118554671395</v>
      </c>
      <c r="H59" s="124">
        <f t="shared" si="22"/>
        <v>0.80234929180049441</v>
      </c>
      <c r="I59" s="124">
        <f t="shared" si="22"/>
        <v>0.77828275696723692</v>
      </c>
      <c r="J59" s="124">
        <f t="shared" si="22"/>
        <v>0.78621952454138466</v>
      </c>
      <c r="K59" s="124">
        <f t="shared" si="22"/>
        <v>0.83962022279527881</v>
      </c>
      <c r="L59" s="124">
        <f t="shared" si="22"/>
        <v>0.82948095462471394</v>
      </c>
      <c r="M59" s="124">
        <f t="shared" si="22"/>
        <v>0.82135124568111084</v>
      </c>
      <c r="N59" s="124">
        <f t="shared" si="22"/>
        <v>0.83198737654807253</v>
      </c>
      <c r="O59" s="124">
        <f t="shared" si="22"/>
        <v>0.83253208936483336</v>
      </c>
      <c r="P59" s="124">
        <f t="shared" si="22"/>
        <v>0.83464384350097631</v>
      </c>
      <c r="Q59" s="124">
        <f t="shared" si="22"/>
        <v>0.80421008103536351</v>
      </c>
      <c r="R59" s="124">
        <f t="shared" si="22"/>
        <v>0.82958545695575381</v>
      </c>
      <c r="S59" s="124">
        <f t="shared" si="22"/>
        <v>0.83418290915680637</v>
      </c>
      <c r="T59" s="124">
        <f t="shared" si="22"/>
        <v>0.83064818444370314</v>
      </c>
      <c r="U59" s="124">
        <f t="shared" si="22"/>
        <v>0.83206504405887005</v>
      </c>
      <c r="V59" s="124">
        <f t="shared" si="22"/>
        <v>0.82117416751948202</v>
      </c>
      <c r="W59" s="124">
        <f t="shared" ref="W59:Y59" si="23">IF(W13=0,0,W13/W$10)</f>
        <v>0.81647266094180582</v>
      </c>
      <c r="X59" s="124">
        <f t="shared" si="23"/>
        <v>0.8271755739865494</v>
      </c>
      <c r="Y59" s="124">
        <f t="shared" si="23"/>
        <v>0.83702792955975036</v>
      </c>
      <c r="DA59" s="176"/>
    </row>
    <row r="60" spans="1:105" ht="11.45" customHeight="1" x14ac:dyDescent="0.25">
      <c r="A60" s="111" t="s">
        <v>92</v>
      </c>
      <c r="B60" s="125">
        <f t="shared" si="15"/>
        <v>0.12808973282849689</v>
      </c>
      <c r="C60" s="125">
        <f t="shared" ref="C60:V60" si="24">IF(C14=0,0,C14/C$10)</f>
        <v>0.12796132120738177</v>
      </c>
      <c r="D60" s="125">
        <f t="shared" si="24"/>
        <v>0.13192748178137004</v>
      </c>
      <c r="E60" s="125">
        <f t="shared" si="24"/>
        <v>0.12304273512411319</v>
      </c>
      <c r="F60" s="125">
        <f t="shared" si="24"/>
        <v>0.11405707221789822</v>
      </c>
      <c r="G60" s="125">
        <f t="shared" si="24"/>
        <v>0.11417010640348463</v>
      </c>
      <c r="H60" s="125">
        <f t="shared" si="24"/>
        <v>0.10989805034518137</v>
      </c>
      <c r="I60" s="125">
        <f t="shared" si="24"/>
        <v>0.10309777172424109</v>
      </c>
      <c r="J60" s="125">
        <f t="shared" si="24"/>
        <v>0.10876891703839348</v>
      </c>
      <c r="K60" s="125">
        <f t="shared" si="24"/>
        <v>0.10963641883672234</v>
      </c>
      <c r="L60" s="125">
        <f t="shared" si="24"/>
        <v>0.11256182257155482</v>
      </c>
      <c r="M60" s="125">
        <f t="shared" si="24"/>
        <v>0.11087267608285464</v>
      </c>
      <c r="N60" s="125">
        <f t="shared" si="24"/>
        <v>9.6752178487449547E-2</v>
      </c>
      <c r="O60" s="125">
        <f t="shared" si="24"/>
        <v>9.9451661012515846E-2</v>
      </c>
      <c r="P60" s="125">
        <f t="shared" si="24"/>
        <v>0.10572538166578103</v>
      </c>
      <c r="Q60" s="125">
        <f t="shared" si="24"/>
        <v>0.10794190708014946</v>
      </c>
      <c r="R60" s="125">
        <f t="shared" si="24"/>
        <v>0.10175003230594237</v>
      </c>
      <c r="S60" s="125">
        <f t="shared" si="24"/>
        <v>0.10417069794257477</v>
      </c>
      <c r="T60" s="125">
        <f t="shared" si="24"/>
        <v>8.1765114755667903E-2</v>
      </c>
      <c r="U60" s="125">
        <f t="shared" si="24"/>
        <v>7.1567363842632514E-2</v>
      </c>
      <c r="V60" s="125">
        <f t="shared" si="24"/>
        <v>6.542437102083791E-2</v>
      </c>
      <c r="W60" s="125">
        <f t="shared" ref="W60:Y60" si="25">IF(W14=0,0,W14/W$10)</f>
        <v>5.8400923088120706E-2</v>
      </c>
      <c r="X60" s="125">
        <f t="shared" si="25"/>
        <v>6.835038261492131E-2</v>
      </c>
      <c r="Y60" s="125">
        <f t="shared" si="25"/>
        <v>8.1423577533811228E-2</v>
      </c>
      <c r="DA60" s="171"/>
    </row>
    <row r="61" spans="1:105" ht="11.45" customHeight="1" x14ac:dyDescent="0.25">
      <c r="A61" s="111" t="s">
        <v>93</v>
      </c>
      <c r="B61" s="125">
        <f t="shared" si="15"/>
        <v>0.71832433576642718</v>
      </c>
      <c r="C61" s="125">
        <f t="shared" ref="C61:V61" si="26">IF(C15=0,0,C15/C$10)</f>
        <v>0.71345974522318267</v>
      </c>
      <c r="D61" s="125">
        <f t="shared" si="26"/>
        <v>0.72354259928638598</v>
      </c>
      <c r="E61" s="125">
        <f t="shared" si="26"/>
        <v>0.71153967935439533</v>
      </c>
      <c r="F61" s="125">
        <f t="shared" si="26"/>
        <v>0.70286199060346477</v>
      </c>
      <c r="G61" s="125">
        <f t="shared" si="26"/>
        <v>0.69210107914322938</v>
      </c>
      <c r="H61" s="125">
        <f t="shared" si="26"/>
        <v>0.692451241455313</v>
      </c>
      <c r="I61" s="125">
        <f t="shared" si="26"/>
        <v>0.67518498524299586</v>
      </c>
      <c r="J61" s="125">
        <f t="shared" si="26"/>
        <v>0.67745060750299102</v>
      </c>
      <c r="K61" s="125">
        <f t="shared" si="26"/>
        <v>0.72998380395855644</v>
      </c>
      <c r="L61" s="125">
        <f t="shared" si="26"/>
        <v>0.71691913205315927</v>
      </c>
      <c r="M61" s="125">
        <f t="shared" si="26"/>
        <v>0.71047856959825628</v>
      </c>
      <c r="N61" s="125">
        <f t="shared" si="26"/>
        <v>0.7352351980606231</v>
      </c>
      <c r="O61" s="125">
        <f t="shared" si="26"/>
        <v>0.73308042835231746</v>
      </c>
      <c r="P61" s="125">
        <f t="shared" si="26"/>
        <v>0.72891846183519526</v>
      </c>
      <c r="Q61" s="125">
        <f t="shared" si="26"/>
        <v>0.69626817395521412</v>
      </c>
      <c r="R61" s="125">
        <f t="shared" si="26"/>
        <v>0.72783542464981132</v>
      </c>
      <c r="S61" s="125">
        <f t="shared" si="26"/>
        <v>0.73001221121423154</v>
      </c>
      <c r="T61" s="125">
        <f t="shared" si="26"/>
        <v>0.74888306968803531</v>
      </c>
      <c r="U61" s="125">
        <f t="shared" si="26"/>
        <v>0.76049768021623765</v>
      </c>
      <c r="V61" s="125">
        <f t="shared" si="26"/>
        <v>0.75574979649864404</v>
      </c>
      <c r="W61" s="125">
        <f t="shared" ref="W61:Y61" si="27">IF(W15=0,0,W15/W$10)</f>
        <v>0.75807173785368498</v>
      </c>
      <c r="X61" s="125">
        <f t="shared" si="27"/>
        <v>0.75882519137162807</v>
      </c>
      <c r="Y61" s="125">
        <f t="shared" si="27"/>
        <v>0.75560435202593912</v>
      </c>
      <c r="DA61" s="171"/>
    </row>
    <row r="62" spans="1:105" ht="11.45" customHeight="1" x14ac:dyDescent="0.25">
      <c r="A62" s="112" t="s">
        <v>25</v>
      </c>
      <c r="B62" s="126">
        <f t="shared" si="15"/>
        <v>3.9489159993645277E-3</v>
      </c>
      <c r="C62" s="126">
        <f t="shared" ref="C62:V62" si="28">IF(C16=0,0,C16/C$10)</f>
        <v>6.8587775014283155E-3</v>
      </c>
      <c r="D62" s="126">
        <f t="shared" si="28"/>
        <v>7.2614134157456267E-3</v>
      </c>
      <c r="E62" s="126">
        <f t="shared" si="28"/>
        <v>2.3554932253134445E-2</v>
      </c>
      <c r="F62" s="126">
        <f t="shared" si="28"/>
        <v>2.2271706849619023E-2</v>
      </c>
      <c r="G62" s="126">
        <f t="shared" si="28"/>
        <v>2.3747248805980475E-2</v>
      </c>
      <c r="H62" s="126">
        <f t="shared" si="28"/>
        <v>2.5058541200354535E-2</v>
      </c>
      <c r="I62" s="126">
        <f t="shared" si="28"/>
        <v>2.7278104583971476E-2</v>
      </c>
      <c r="J62" s="126">
        <f t="shared" si="28"/>
        <v>2.8981258925586742E-2</v>
      </c>
      <c r="K62" s="126">
        <f t="shared" si="28"/>
        <v>8.8049278584871483E-3</v>
      </c>
      <c r="L62" s="126">
        <f t="shared" si="28"/>
        <v>8.8432278165186343E-3</v>
      </c>
      <c r="M62" s="126">
        <f t="shared" si="28"/>
        <v>9.3625447234506991E-3</v>
      </c>
      <c r="N62" s="126">
        <f t="shared" si="28"/>
        <v>9.9896413628262001E-3</v>
      </c>
      <c r="O62" s="126">
        <f t="shared" si="28"/>
        <v>1.112627092560306E-2</v>
      </c>
      <c r="P62" s="126">
        <f t="shared" si="28"/>
        <v>7.4620828239828135E-3</v>
      </c>
      <c r="Q62" s="126">
        <f t="shared" si="28"/>
        <v>2.9694378522986457E-2</v>
      </c>
      <c r="R62" s="126">
        <f t="shared" si="28"/>
        <v>1.0312033063665278E-2</v>
      </c>
      <c r="S62" s="126">
        <f t="shared" si="28"/>
        <v>1.1466591982142805E-2</v>
      </c>
      <c r="T62" s="126">
        <f t="shared" si="28"/>
        <v>1.0766431992709586E-2</v>
      </c>
      <c r="U62" s="126">
        <f t="shared" si="28"/>
        <v>1.2242289448718344E-2</v>
      </c>
      <c r="V62" s="126">
        <f t="shared" si="28"/>
        <v>5.0652744485881456E-3</v>
      </c>
      <c r="W62" s="126">
        <f t="shared" ref="W62:Y62" si="29">IF(W16=0,0,W16/W$10)</f>
        <v>4.885272841085711E-3</v>
      </c>
      <c r="X62" s="126">
        <f t="shared" si="29"/>
        <v>5.9881433145000844E-3</v>
      </c>
      <c r="Y62" s="126">
        <f t="shared" si="29"/>
        <v>1.2826010846067524E-2</v>
      </c>
      <c r="DA62" s="204"/>
    </row>
    <row r="63" spans="1:105" ht="11.45" customHeight="1" x14ac:dyDescent="0.25">
      <c r="A63" s="27" t="s">
        <v>34</v>
      </c>
      <c r="B63" s="31">
        <f t="shared" si="15"/>
        <v>0.13343883661712705</v>
      </c>
      <c r="C63" s="31">
        <f t="shared" ref="C63:V63" si="30">IF(C17=0,0,C17/C$10)</f>
        <v>0.13464162018916775</v>
      </c>
      <c r="D63" s="31">
        <f t="shared" si="30"/>
        <v>0.12058778740162687</v>
      </c>
      <c r="E63" s="31">
        <f t="shared" si="30"/>
        <v>0.12512440316613641</v>
      </c>
      <c r="F63" s="31">
        <f t="shared" si="30"/>
        <v>0.14390927986341365</v>
      </c>
      <c r="G63" s="31">
        <f t="shared" si="30"/>
        <v>0.15263132713421632</v>
      </c>
      <c r="H63" s="31">
        <f t="shared" si="30"/>
        <v>0.15479517965527534</v>
      </c>
      <c r="I63" s="31">
        <f t="shared" si="30"/>
        <v>0.17582300730066541</v>
      </c>
      <c r="J63" s="31">
        <f t="shared" si="30"/>
        <v>0.16602579741868295</v>
      </c>
      <c r="K63" s="31">
        <f t="shared" si="30"/>
        <v>0.13322418475529257</v>
      </c>
      <c r="L63" s="31">
        <f t="shared" si="30"/>
        <v>0.14399079916709745</v>
      </c>
      <c r="M63" s="31">
        <f t="shared" si="30"/>
        <v>0.1509548698981163</v>
      </c>
      <c r="N63" s="31">
        <f t="shared" si="30"/>
        <v>0.14095146928269681</v>
      </c>
      <c r="O63" s="31">
        <f t="shared" si="30"/>
        <v>0.13864563474179967</v>
      </c>
      <c r="P63" s="31">
        <f t="shared" si="30"/>
        <v>0.13999249685031875</v>
      </c>
      <c r="Q63" s="31">
        <f t="shared" si="30"/>
        <v>0.14632294913421851</v>
      </c>
      <c r="R63" s="31">
        <f t="shared" si="30"/>
        <v>0.14091173156217943</v>
      </c>
      <c r="S63" s="31">
        <f t="shared" si="30"/>
        <v>0.13624672099667429</v>
      </c>
      <c r="T63" s="31">
        <f t="shared" si="30"/>
        <v>0.13749287583632344</v>
      </c>
      <c r="U63" s="31">
        <f t="shared" si="30"/>
        <v>0.13472854678580481</v>
      </c>
      <c r="V63" s="31">
        <f t="shared" si="30"/>
        <v>0.15873644508733098</v>
      </c>
      <c r="W63" s="31">
        <f t="shared" ref="W63:Y63" si="31">IF(W17=0,0,W17/W$10)</f>
        <v>0.16297072876168694</v>
      </c>
      <c r="X63" s="31">
        <f t="shared" si="31"/>
        <v>0.14918836586325795</v>
      </c>
      <c r="Y63" s="31">
        <f t="shared" si="31"/>
        <v>0.13534201793414105</v>
      </c>
      <c r="DA63" s="173"/>
    </row>
    <row r="64" spans="1:105" ht="11.45" customHeight="1" x14ac:dyDescent="0.25">
      <c r="A64" s="83" t="s">
        <v>92</v>
      </c>
      <c r="B64" s="125">
        <f t="shared" si="15"/>
        <v>8.0626974193294898E-2</v>
      </c>
      <c r="C64" s="125">
        <f t="shared" ref="C64:V64" si="32">IF(C18=0,0,C18/C$10)</f>
        <v>7.6789450400661458E-2</v>
      </c>
      <c r="D64" s="125">
        <f t="shared" si="32"/>
        <v>7.0049121460926012E-2</v>
      </c>
      <c r="E64" s="125">
        <f t="shared" si="32"/>
        <v>7.6083511106513277E-2</v>
      </c>
      <c r="F64" s="125">
        <f t="shared" si="32"/>
        <v>8.3729576930618513E-2</v>
      </c>
      <c r="G64" s="125">
        <f t="shared" si="32"/>
        <v>8.2674269240173487E-2</v>
      </c>
      <c r="H64" s="125">
        <f t="shared" si="32"/>
        <v>8.7339408112605918E-2</v>
      </c>
      <c r="I64" s="125">
        <f t="shared" si="32"/>
        <v>9.6531551553256684E-2</v>
      </c>
      <c r="J64" s="125">
        <f t="shared" si="32"/>
        <v>8.7952394437016385E-2</v>
      </c>
      <c r="K64" s="125">
        <f t="shared" si="32"/>
        <v>6.7703482641110216E-2</v>
      </c>
      <c r="L64" s="125">
        <f t="shared" si="32"/>
        <v>7.2312127008277161E-2</v>
      </c>
      <c r="M64" s="125">
        <f t="shared" si="32"/>
        <v>7.094550573532718E-2</v>
      </c>
      <c r="N64" s="125">
        <f t="shared" si="32"/>
        <v>5.9293641978366687E-2</v>
      </c>
      <c r="O64" s="125">
        <f t="shared" si="32"/>
        <v>5.8661216622428923E-2</v>
      </c>
      <c r="P64" s="125">
        <f t="shared" si="32"/>
        <v>6.3078190357944958E-2</v>
      </c>
      <c r="Q64" s="125">
        <f t="shared" si="32"/>
        <v>6.5781023436517871E-2</v>
      </c>
      <c r="R64" s="125">
        <f t="shared" si="32"/>
        <v>6.5765641675248884E-2</v>
      </c>
      <c r="S64" s="125">
        <f t="shared" si="32"/>
        <v>6.2647169471601136E-2</v>
      </c>
      <c r="T64" s="125">
        <f t="shared" si="32"/>
        <v>5.3368179560185906E-2</v>
      </c>
      <c r="U64" s="125">
        <f t="shared" si="32"/>
        <v>4.7771647586354903E-2</v>
      </c>
      <c r="V64" s="125">
        <f t="shared" si="32"/>
        <v>6.5767814819629095E-2</v>
      </c>
      <c r="W64" s="125">
        <f t="shared" ref="W64:Y64" si="33">IF(W18=0,0,W18/W$10)</f>
        <v>6.5725933595941921E-2</v>
      </c>
      <c r="X64" s="125">
        <f t="shared" si="33"/>
        <v>5.7725311685159604E-2</v>
      </c>
      <c r="Y64" s="125">
        <f t="shared" si="33"/>
        <v>6.0084435418070126E-2</v>
      </c>
      <c r="DA64" s="171"/>
    </row>
    <row r="65" spans="1:105" ht="11.45" customHeight="1" x14ac:dyDescent="0.25">
      <c r="A65" s="85" t="s">
        <v>93</v>
      </c>
      <c r="B65" s="127">
        <f t="shared" si="15"/>
        <v>5.2811862423832137E-2</v>
      </c>
      <c r="C65" s="127">
        <f t="shared" ref="C65:V65" si="34">IF(C19=0,0,C19/C$10)</f>
        <v>5.7852169788506269E-2</v>
      </c>
      <c r="D65" s="127">
        <f t="shared" si="34"/>
        <v>5.0538665940700868E-2</v>
      </c>
      <c r="E65" s="127">
        <f t="shared" si="34"/>
        <v>4.9040892059623142E-2</v>
      </c>
      <c r="F65" s="127">
        <f t="shared" si="34"/>
        <v>6.0179702932795134E-2</v>
      </c>
      <c r="G65" s="127">
        <f t="shared" si="34"/>
        <v>6.9957057894042843E-2</v>
      </c>
      <c r="H65" s="127">
        <f t="shared" si="34"/>
        <v>6.7455771542669421E-2</v>
      </c>
      <c r="I65" s="127">
        <f t="shared" si="34"/>
        <v>7.9291455747408729E-2</v>
      </c>
      <c r="J65" s="127">
        <f t="shared" si="34"/>
        <v>7.8073402981666568E-2</v>
      </c>
      <c r="K65" s="127">
        <f t="shared" si="34"/>
        <v>6.5520702114182344E-2</v>
      </c>
      <c r="L65" s="127">
        <f t="shared" si="34"/>
        <v>7.1678672158820261E-2</v>
      </c>
      <c r="M65" s="127">
        <f t="shared" si="34"/>
        <v>8.0009364162789115E-2</v>
      </c>
      <c r="N65" s="127">
        <f t="shared" si="34"/>
        <v>8.1657827304330091E-2</v>
      </c>
      <c r="O65" s="127">
        <f t="shared" si="34"/>
        <v>7.9984418119370751E-2</v>
      </c>
      <c r="P65" s="127">
        <f t="shared" si="34"/>
        <v>7.6914306492373796E-2</v>
      </c>
      <c r="Q65" s="127">
        <f t="shared" si="34"/>
        <v>8.0541925697700634E-2</v>
      </c>
      <c r="R65" s="127">
        <f t="shared" si="34"/>
        <v>7.5146089886930528E-2</v>
      </c>
      <c r="S65" s="127">
        <f t="shared" si="34"/>
        <v>7.3599551525073165E-2</v>
      </c>
      <c r="T65" s="127">
        <f t="shared" si="34"/>
        <v>8.4124696276137528E-2</v>
      </c>
      <c r="U65" s="127">
        <f t="shared" si="34"/>
        <v>8.6956899199449919E-2</v>
      </c>
      <c r="V65" s="127">
        <f t="shared" si="34"/>
        <v>9.2968630267701885E-2</v>
      </c>
      <c r="W65" s="127">
        <f t="shared" ref="W65:Y65" si="35">IF(W19=0,0,W19/W$10)</f>
        <v>9.7244795165745052E-2</v>
      </c>
      <c r="X65" s="127">
        <f t="shared" si="35"/>
        <v>9.1463054178098357E-2</v>
      </c>
      <c r="Y65" s="127">
        <f t="shared" si="35"/>
        <v>7.5257582516070939E-2</v>
      </c>
      <c r="DA65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 B13:Y13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>
    <pageSetUpPr fitToPage="1"/>
  </sheetPr>
  <dimension ref="A1:DA68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1136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106"/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DA2" s="171"/>
    </row>
    <row r="3" spans="1:105" ht="11.45" customHeight="1" x14ac:dyDescent="0.25">
      <c r="A3" s="53" t="s">
        <v>44</v>
      </c>
      <c r="B3" s="132"/>
      <c r="C3" s="132"/>
      <c r="D3" s="132"/>
      <c r="E3" s="132"/>
      <c r="F3" s="132"/>
      <c r="G3" s="132"/>
      <c r="H3" s="132"/>
      <c r="I3" s="132"/>
      <c r="J3" s="132"/>
      <c r="K3" s="132"/>
      <c r="L3" s="132"/>
      <c r="M3" s="132"/>
      <c r="N3" s="132"/>
      <c r="O3" s="132"/>
      <c r="P3" s="132"/>
      <c r="Q3" s="132"/>
      <c r="R3" s="132"/>
      <c r="S3" s="132"/>
      <c r="T3" s="132"/>
      <c r="U3" s="132"/>
      <c r="V3" s="132"/>
      <c r="W3" s="132"/>
      <c r="X3" s="132"/>
      <c r="Y3" s="132"/>
      <c r="DA3" s="172"/>
    </row>
    <row r="4" spans="1:105" ht="11.45" customHeight="1" x14ac:dyDescent="0.25">
      <c r="A4" s="20" t="s">
        <v>45</v>
      </c>
      <c r="B4" s="26">
        <f>SUM(B5:B6)</f>
        <v>114.97356000000001</v>
      </c>
      <c r="C4" s="26">
        <f t="shared" ref="C4:W4" si="0">SUM(C5:C6)</f>
        <v>108.58625855999999</v>
      </c>
      <c r="D4" s="26">
        <f t="shared" si="0"/>
        <v>105.39234108000004</v>
      </c>
      <c r="E4" s="26">
        <f t="shared" si="0"/>
        <v>105.39234108000004</v>
      </c>
      <c r="F4" s="26">
        <f t="shared" si="0"/>
        <v>108.58625855999999</v>
      </c>
      <c r="G4" s="26">
        <f t="shared" si="0"/>
        <v>105.39234108000004</v>
      </c>
      <c r="H4" s="26">
        <f t="shared" si="0"/>
        <v>105.39234108000004</v>
      </c>
      <c r="I4" s="26">
        <f t="shared" si="0"/>
        <v>105.39234108000004</v>
      </c>
      <c r="J4" s="26">
        <f t="shared" si="0"/>
        <v>105.63696</v>
      </c>
      <c r="K4" s="26">
        <f t="shared" si="0"/>
        <v>96.033599999999993</v>
      </c>
      <c r="L4" s="26">
        <f t="shared" si="0"/>
        <v>105.63696</v>
      </c>
      <c r="M4" s="26">
        <f t="shared" si="0"/>
        <v>102.43584</v>
      </c>
      <c r="N4" s="26">
        <f t="shared" si="0"/>
        <v>83.229119999999995</v>
      </c>
      <c r="O4" s="26">
        <f t="shared" si="0"/>
        <v>83.229119999999995</v>
      </c>
      <c r="P4" s="26">
        <f t="shared" si="0"/>
        <v>86.430240000000012</v>
      </c>
      <c r="Q4" s="26">
        <f t="shared" si="0"/>
        <v>89.444361239999992</v>
      </c>
      <c r="R4" s="26">
        <f t="shared" si="0"/>
        <v>89.700450840000016</v>
      </c>
      <c r="S4" s="26">
        <f t="shared" si="0"/>
        <v>88.824410999999984</v>
      </c>
      <c r="T4" s="26">
        <f t="shared" si="0"/>
        <v>69.888185640000003</v>
      </c>
      <c r="U4" s="26">
        <f t="shared" si="0"/>
        <v>60.752722680000005</v>
      </c>
      <c r="V4" s="26">
        <f t="shared" si="0"/>
        <v>61.496716319999997</v>
      </c>
      <c r="W4" s="26">
        <f t="shared" si="0"/>
        <v>56.806275240000012</v>
      </c>
      <c r="X4" s="26">
        <f t="shared" ref="X4:Y4" si="1">SUM(X5:X6)</f>
        <v>60.985337399999992</v>
      </c>
      <c r="Y4" s="26">
        <f t="shared" si="1"/>
        <v>68.812609320000007</v>
      </c>
      <c r="DA4" s="202" t="s">
        <v>1137</v>
      </c>
    </row>
    <row r="5" spans="1:105" ht="11.45" customHeight="1" x14ac:dyDescent="0.25">
      <c r="A5" s="107" t="s">
        <v>92</v>
      </c>
      <c r="B5" s="129">
        <v>114.97356000000001</v>
      </c>
      <c r="C5" s="129">
        <v>108.58625855999999</v>
      </c>
      <c r="D5" s="129">
        <v>105.39234108000004</v>
      </c>
      <c r="E5" s="129">
        <v>105.39234108000004</v>
      </c>
      <c r="F5" s="129">
        <v>108.58625855999999</v>
      </c>
      <c r="G5" s="129">
        <v>105.39234108000004</v>
      </c>
      <c r="H5" s="129">
        <v>105.39234108000004</v>
      </c>
      <c r="I5" s="129">
        <v>105.39234108000004</v>
      </c>
      <c r="J5" s="129">
        <v>105.63696</v>
      </c>
      <c r="K5" s="129">
        <v>96.033599999999993</v>
      </c>
      <c r="L5" s="129">
        <v>105.63696</v>
      </c>
      <c r="M5" s="129">
        <v>102.43584</v>
      </c>
      <c r="N5" s="129">
        <v>83.229119999999995</v>
      </c>
      <c r="O5" s="129">
        <v>83.229119999999995</v>
      </c>
      <c r="P5" s="129">
        <v>86.430240000000012</v>
      </c>
      <c r="Q5" s="129">
        <v>89.444361239999992</v>
      </c>
      <c r="R5" s="129">
        <v>89.700450840000016</v>
      </c>
      <c r="S5" s="129">
        <v>88.824410999999984</v>
      </c>
      <c r="T5" s="129">
        <v>69.888185640000003</v>
      </c>
      <c r="U5" s="129">
        <v>60.752722680000005</v>
      </c>
      <c r="V5" s="129">
        <v>61.496716319999997</v>
      </c>
      <c r="W5" s="129">
        <v>56.806275240000012</v>
      </c>
      <c r="X5" s="129">
        <v>60.985337399999992</v>
      </c>
      <c r="Y5" s="129">
        <v>68.812609320000007</v>
      </c>
      <c r="DA5" s="203" t="s">
        <v>1138</v>
      </c>
    </row>
    <row r="6" spans="1:105" ht="11.45" customHeight="1" x14ac:dyDescent="0.25">
      <c r="A6" s="85" t="s">
        <v>91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X6" s="98">
        <v>0</v>
      </c>
      <c r="Y6" s="98">
        <v>0</v>
      </c>
      <c r="DA6" s="178" t="s">
        <v>1139</v>
      </c>
    </row>
    <row r="7" spans="1:105" x14ac:dyDescent="0.25">
      <c r="A7" s="106"/>
      <c r="B7" s="106"/>
      <c r="C7" s="106"/>
      <c r="D7" s="106"/>
      <c r="E7" s="106"/>
      <c r="F7" s="106"/>
      <c r="G7" s="106"/>
      <c r="H7" s="106"/>
      <c r="I7" s="106"/>
      <c r="J7" s="106"/>
      <c r="K7" s="106"/>
      <c r="L7" s="106"/>
      <c r="M7" s="106"/>
      <c r="N7" s="106"/>
      <c r="O7" s="106"/>
      <c r="P7" s="106"/>
      <c r="Q7" s="106"/>
      <c r="R7" s="106"/>
      <c r="S7" s="106"/>
      <c r="T7" s="106"/>
      <c r="U7" s="106"/>
      <c r="V7" s="106"/>
      <c r="W7" s="106"/>
      <c r="X7" s="106"/>
      <c r="Y7" s="106"/>
      <c r="DA7" s="171"/>
    </row>
    <row r="8" spans="1:105" ht="11.45" customHeight="1" x14ac:dyDescent="0.25">
      <c r="A8" s="53" t="s">
        <v>47</v>
      </c>
      <c r="B8" s="79">
        <f t="shared" ref="B8:W8" si="2">SUM(B9,B15)</f>
        <v>114.97356000000002</v>
      </c>
      <c r="C8" s="79">
        <f t="shared" si="2"/>
        <v>108.58625855999999</v>
      </c>
      <c r="D8" s="79">
        <f t="shared" si="2"/>
        <v>105.39234108000002</v>
      </c>
      <c r="E8" s="79">
        <f t="shared" si="2"/>
        <v>105.39234108000005</v>
      </c>
      <c r="F8" s="79">
        <f t="shared" si="2"/>
        <v>108.58625855999998</v>
      </c>
      <c r="G8" s="79">
        <f t="shared" si="2"/>
        <v>105.39234108000002</v>
      </c>
      <c r="H8" s="79">
        <f t="shared" si="2"/>
        <v>105.39234108000002</v>
      </c>
      <c r="I8" s="79">
        <f t="shared" si="2"/>
        <v>105.39234108000002</v>
      </c>
      <c r="J8" s="79">
        <f t="shared" si="2"/>
        <v>105.63696000000002</v>
      </c>
      <c r="K8" s="79">
        <f t="shared" si="2"/>
        <v>96.033599999999993</v>
      </c>
      <c r="L8" s="79">
        <f t="shared" si="2"/>
        <v>105.63696000000002</v>
      </c>
      <c r="M8" s="79">
        <f t="shared" si="2"/>
        <v>102.43584</v>
      </c>
      <c r="N8" s="79">
        <f t="shared" si="2"/>
        <v>83.229119999999995</v>
      </c>
      <c r="O8" s="79">
        <f t="shared" si="2"/>
        <v>83.229119999999995</v>
      </c>
      <c r="P8" s="79">
        <f t="shared" si="2"/>
        <v>86.430240000000026</v>
      </c>
      <c r="Q8" s="79">
        <f t="shared" si="2"/>
        <v>89.444361239999992</v>
      </c>
      <c r="R8" s="79">
        <f t="shared" si="2"/>
        <v>89.700450840000002</v>
      </c>
      <c r="S8" s="79">
        <f t="shared" si="2"/>
        <v>88.824410999999984</v>
      </c>
      <c r="T8" s="79">
        <f t="shared" si="2"/>
        <v>69.888185640000003</v>
      </c>
      <c r="U8" s="79">
        <f t="shared" si="2"/>
        <v>60.752722680000005</v>
      </c>
      <c r="V8" s="79">
        <f t="shared" si="2"/>
        <v>61.496716320000004</v>
      </c>
      <c r="W8" s="79">
        <f t="shared" si="2"/>
        <v>56.806275240000005</v>
      </c>
      <c r="X8" s="79">
        <f t="shared" ref="X8:Y8" si="3">SUM(X9,X15)</f>
        <v>60.985337399999999</v>
      </c>
      <c r="Y8" s="79">
        <f t="shared" si="3"/>
        <v>68.812609320000007</v>
      </c>
      <c r="DA8" s="172" t="s">
        <v>1140</v>
      </c>
    </row>
    <row r="9" spans="1:105" ht="11.45" customHeight="1" x14ac:dyDescent="0.25">
      <c r="A9" s="27" t="s">
        <v>33</v>
      </c>
      <c r="B9" s="32">
        <f t="shared" ref="B9:W9" si="4">SUM(B10,B11,B14)</f>
        <v>70.55943337206611</v>
      </c>
      <c r="C9" s="32">
        <f t="shared" si="4"/>
        <v>67.862216103893473</v>
      </c>
      <c r="D9" s="32">
        <f t="shared" si="4"/>
        <v>68.840380195164926</v>
      </c>
      <c r="E9" s="32">
        <f t="shared" si="4"/>
        <v>65.123318262111354</v>
      </c>
      <c r="F9" s="32">
        <f t="shared" si="4"/>
        <v>62.618133164030937</v>
      </c>
      <c r="G9" s="32">
        <f t="shared" si="4"/>
        <v>61.127755140935939</v>
      </c>
      <c r="H9" s="32">
        <f t="shared" si="4"/>
        <v>58.723190293415968</v>
      </c>
      <c r="I9" s="32">
        <f t="shared" si="4"/>
        <v>54.429456273040344</v>
      </c>
      <c r="J9" s="32">
        <f t="shared" si="4"/>
        <v>58.407590170342786</v>
      </c>
      <c r="K9" s="32">
        <f t="shared" si="4"/>
        <v>59.370620510434605</v>
      </c>
      <c r="L9" s="32">
        <f t="shared" si="4"/>
        <v>64.317816412440607</v>
      </c>
      <c r="M9" s="32">
        <f t="shared" si="4"/>
        <v>62.465346391773181</v>
      </c>
      <c r="N9" s="32">
        <f t="shared" si="4"/>
        <v>51.604065072395684</v>
      </c>
      <c r="O9" s="32">
        <f t="shared" si="4"/>
        <v>52.350411632636238</v>
      </c>
      <c r="P9" s="32">
        <f t="shared" si="4"/>
        <v>54.133156081440582</v>
      </c>
      <c r="Q9" s="32">
        <f t="shared" si="4"/>
        <v>55.575823531742124</v>
      </c>
      <c r="R9" s="32">
        <f t="shared" si="4"/>
        <v>54.484595703279581</v>
      </c>
      <c r="S9" s="32">
        <f t="shared" si="4"/>
        <v>55.467085340654698</v>
      </c>
      <c r="T9" s="32">
        <f t="shared" si="4"/>
        <v>42.287250879590282</v>
      </c>
      <c r="U9" s="32">
        <f t="shared" si="4"/>
        <v>36.433284945194423</v>
      </c>
      <c r="V9" s="32">
        <f t="shared" si="4"/>
        <v>30.667863023301052</v>
      </c>
      <c r="W9" s="32">
        <f t="shared" si="4"/>
        <v>26.727003324171136</v>
      </c>
      <c r="X9" s="32">
        <f t="shared" ref="X9:Y9" si="5">SUM(X10,X11,X14)</f>
        <v>33.062448462656576</v>
      </c>
      <c r="Y9" s="32">
        <f t="shared" si="5"/>
        <v>39.594710669678655</v>
      </c>
      <c r="DA9" s="173" t="s">
        <v>407</v>
      </c>
    </row>
    <row r="10" spans="1:105" ht="11.45" customHeight="1" x14ac:dyDescent="0.25">
      <c r="A10" s="107" t="s">
        <v>23</v>
      </c>
      <c r="B10" s="129">
        <v>0</v>
      </c>
      <c r="C10" s="129">
        <v>0</v>
      </c>
      <c r="D10" s="129">
        <v>0</v>
      </c>
      <c r="E10" s="129">
        <v>0</v>
      </c>
      <c r="F10" s="129">
        <v>0</v>
      </c>
      <c r="G10" s="129">
        <v>0</v>
      </c>
      <c r="H10" s="129">
        <v>0</v>
      </c>
      <c r="I10" s="129">
        <v>0</v>
      </c>
      <c r="J10" s="129">
        <v>0</v>
      </c>
      <c r="K10" s="129">
        <v>0</v>
      </c>
      <c r="L10" s="129">
        <v>0</v>
      </c>
      <c r="M10" s="129">
        <v>0</v>
      </c>
      <c r="N10" s="129">
        <v>0</v>
      </c>
      <c r="O10" s="129">
        <v>0</v>
      </c>
      <c r="P10" s="129">
        <v>0</v>
      </c>
      <c r="Q10" s="129">
        <v>0</v>
      </c>
      <c r="R10" s="129">
        <v>0</v>
      </c>
      <c r="S10" s="129">
        <v>0</v>
      </c>
      <c r="T10" s="129">
        <v>0</v>
      </c>
      <c r="U10" s="129">
        <v>0</v>
      </c>
      <c r="V10" s="129">
        <v>0</v>
      </c>
      <c r="W10" s="129">
        <v>0</v>
      </c>
      <c r="X10" s="129">
        <v>0</v>
      </c>
      <c r="Y10" s="129">
        <v>0</v>
      </c>
      <c r="DA10" s="203" t="s">
        <v>408</v>
      </c>
    </row>
    <row r="11" spans="1:105" ht="11.45" customHeight="1" x14ac:dyDescent="0.25">
      <c r="A11" s="109" t="s">
        <v>24</v>
      </c>
      <c r="B11" s="130">
        <f t="shared" ref="B11:W11" si="6">SUM(B12:B13)</f>
        <v>70.55943337206611</v>
      </c>
      <c r="C11" s="130">
        <f t="shared" si="6"/>
        <v>67.862216103893473</v>
      </c>
      <c r="D11" s="130">
        <f t="shared" si="6"/>
        <v>68.840380195164926</v>
      </c>
      <c r="E11" s="130">
        <f t="shared" si="6"/>
        <v>65.123318262111354</v>
      </c>
      <c r="F11" s="130">
        <f t="shared" si="6"/>
        <v>62.618133164030937</v>
      </c>
      <c r="G11" s="130">
        <f t="shared" si="6"/>
        <v>61.127755140935939</v>
      </c>
      <c r="H11" s="130">
        <f t="shared" si="6"/>
        <v>58.723190293415968</v>
      </c>
      <c r="I11" s="130">
        <f t="shared" si="6"/>
        <v>54.429456273040344</v>
      </c>
      <c r="J11" s="130">
        <f t="shared" si="6"/>
        <v>58.407590170342786</v>
      </c>
      <c r="K11" s="130">
        <f t="shared" si="6"/>
        <v>59.370620510434605</v>
      </c>
      <c r="L11" s="130">
        <f t="shared" si="6"/>
        <v>64.317816412440607</v>
      </c>
      <c r="M11" s="130">
        <f t="shared" si="6"/>
        <v>62.465346391773181</v>
      </c>
      <c r="N11" s="130">
        <f t="shared" si="6"/>
        <v>51.604065072395684</v>
      </c>
      <c r="O11" s="130">
        <f t="shared" si="6"/>
        <v>52.350411632636238</v>
      </c>
      <c r="P11" s="130">
        <f t="shared" si="6"/>
        <v>54.133156081440582</v>
      </c>
      <c r="Q11" s="130">
        <f t="shared" si="6"/>
        <v>55.575823531742124</v>
      </c>
      <c r="R11" s="130">
        <f t="shared" si="6"/>
        <v>54.484595703279581</v>
      </c>
      <c r="S11" s="130">
        <f t="shared" si="6"/>
        <v>55.467085340654698</v>
      </c>
      <c r="T11" s="130">
        <f t="shared" si="6"/>
        <v>42.287250879590282</v>
      </c>
      <c r="U11" s="130">
        <f t="shared" si="6"/>
        <v>36.433284945194423</v>
      </c>
      <c r="V11" s="130">
        <f t="shared" si="6"/>
        <v>30.667863023301052</v>
      </c>
      <c r="W11" s="130">
        <f t="shared" si="6"/>
        <v>26.727003324171136</v>
      </c>
      <c r="X11" s="130">
        <f t="shared" ref="X11:Y11" si="7">SUM(X12:X13)</f>
        <v>33.062448462656576</v>
      </c>
      <c r="Y11" s="130">
        <f t="shared" si="7"/>
        <v>39.594710669678655</v>
      </c>
      <c r="DA11" s="176" t="s">
        <v>409</v>
      </c>
    </row>
    <row r="12" spans="1:105" ht="11.45" customHeight="1" x14ac:dyDescent="0.25">
      <c r="A12" s="111" t="s">
        <v>92</v>
      </c>
      <c r="B12" s="96">
        <v>70.55943337206611</v>
      </c>
      <c r="C12" s="96">
        <v>67.862216103893473</v>
      </c>
      <c r="D12" s="96">
        <v>68.840380195164926</v>
      </c>
      <c r="E12" s="96">
        <v>65.123318262111354</v>
      </c>
      <c r="F12" s="96">
        <v>62.618133164030937</v>
      </c>
      <c r="G12" s="96">
        <v>61.127755140935939</v>
      </c>
      <c r="H12" s="96">
        <v>58.723190293415968</v>
      </c>
      <c r="I12" s="96">
        <v>54.429456273040344</v>
      </c>
      <c r="J12" s="96">
        <v>58.407590170342786</v>
      </c>
      <c r="K12" s="96">
        <v>59.370620510434605</v>
      </c>
      <c r="L12" s="96">
        <v>64.317816412440607</v>
      </c>
      <c r="M12" s="96">
        <v>62.465346391773181</v>
      </c>
      <c r="N12" s="96">
        <v>51.604065072395684</v>
      </c>
      <c r="O12" s="96">
        <v>52.350411632636238</v>
      </c>
      <c r="P12" s="96">
        <v>54.133156081440582</v>
      </c>
      <c r="Q12" s="96">
        <v>55.575823531742124</v>
      </c>
      <c r="R12" s="96">
        <v>54.484595703279581</v>
      </c>
      <c r="S12" s="96">
        <v>55.467085340654698</v>
      </c>
      <c r="T12" s="96">
        <v>42.287250879590282</v>
      </c>
      <c r="U12" s="96">
        <v>36.433284945194423</v>
      </c>
      <c r="V12" s="96">
        <v>30.667863023301052</v>
      </c>
      <c r="W12" s="96">
        <v>26.727003324171136</v>
      </c>
      <c r="X12" s="96">
        <v>33.062448462656576</v>
      </c>
      <c r="Y12" s="96">
        <v>39.594710669678655</v>
      </c>
      <c r="DA12" s="171" t="s">
        <v>1141</v>
      </c>
    </row>
    <row r="13" spans="1:105" ht="11.45" customHeight="1" x14ac:dyDescent="0.25">
      <c r="A13" s="111" t="s">
        <v>93</v>
      </c>
      <c r="B13" s="96">
        <v>0</v>
      </c>
      <c r="C13" s="96">
        <v>0</v>
      </c>
      <c r="D13" s="96">
        <v>0</v>
      </c>
      <c r="E13" s="96">
        <v>0</v>
      </c>
      <c r="F13" s="96">
        <v>0</v>
      </c>
      <c r="G13" s="96">
        <v>0</v>
      </c>
      <c r="H13" s="96">
        <v>0</v>
      </c>
      <c r="I13" s="96">
        <v>0</v>
      </c>
      <c r="J13" s="96">
        <v>0</v>
      </c>
      <c r="K13" s="96">
        <v>0</v>
      </c>
      <c r="L13" s="96">
        <v>0</v>
      </c>
      <c r="M13" s="96">
        <v>0</v>
      </c>
      <c r="N13" s="96">
        <v>0</v>
      </c>
      <c r="O13" s="96">
        <v>0</v>
      </c>
      <c r="P13" s="96">
        <v>0</v>
      </c>
      <c r="Q13" s="96">
        <v>0</v>
      </c>
      <c r="R13" s="96">
        <v>0</v>
      </c>
      <c r="S13" s="96">
        <v>0</v>
      </c>
      <c r="T13" s="96">
        <v>0</v>
      </c>
      <c r="U13" s="96">
        <v>0</v>
      </c>
      <c r="V13" s="96">
        <v>0</v>
      </c>
      <c r="W13" s="96">
        <v>0</v>
      </c>
      <c r="X13" s="96">
        <v>0</v>
      </c>
      <c r="Y13" s="96">
        <v>0</v>
      </c>
      <c r="DA13" s="171" t="s">
        <v>1142</v>
      </c>
    </row>
    <row r="14" spans="1:105" ht="11.45" customHeight="1" x14ac:dyDescent="0.25">
      <c r="A14" s="112" t="s">
        <v>25</v>
      </c>
      <c r="B14" s="131">
        <v>0</v>
      </c>
      <c r="C14" s="131">
        <v>0</v>
      </c>
      <c r="D14" s="131">
        <v>0</v>
      </c>
      <c r="E14" s="131">
        <v>0</v>
      </c>
      <c r="F14" s="131">
        <v>0</v>
      </c>
      <c r="G14" s="131">
        <v>0</v>
      </c>
      <c r="H14" s="131">
        <v>0</v>
      </c>
      <c r="I14" s="131">
        <v>0</v>
      </c>
      <c r="J14" s="131">
        <v>0</v>
      </c>
      <c r="K14" s="131">
        <v>0</v>
      </c>
      <c r="L14" s="131">
        <v>0</v>
      </c>
      <c r="M14" s="131">
        <v>0</v>
      </c>
      <c r="N14" s="131">
        <v>0</v>
      </c>
      <c r="O14" s="131">
        <v>0</v>
      </c>
      <c r="P14" s="131">
        <v>0</v>
      </c>
      <c r="Q14" s="131">
        <v>0</v>
      </c>
      <c r="R14" s="131">
        <v>0</v>
      </c>
      <c r="S14" s="131">
        <v>0</v>
      </c>
      <c r="T14" s="131">
        <v>0</v>
      </c>
      <c r="U14" s="131">
        <v>0</v>
      </c>
      <c r="V14" s="131">
        <v>0</v>
      </c>
      <c r="W14" s="131">
        <v>0</v>
      </c>
      <c r="X14" s="131">
        <v>0</v>
      </c>
      <c r="Y14" s="131">
        <v>0</v>
      </c>
      <c r="DA14" s="204" t="s">
        <v>410</v>
      </c>
    </row>
    <row r="15" spans="1:105" ht="11.45" customHeight="1" x14ac:dyDescent="0.25">
      <c r="A15" s="27" t="s">
        <v>34</v>
      </c>
      <c r="B15" s="32">
        <f t="shared" ref="B15:W15" si="8">SUM(B16:B17)</f>
        <v>44.414126627933911</v>
      </c>
      <c r="C15" s="32">
        <f t="shared" si="8"/>
        <v>40.724042456106517</v>
      </c>
      <c r="D15" s="32">
        <f t="shared" si="8"/>
        <v>36.551960884835104</v>
      </c>
      <c r="E15" s="32">
        <f t="shared" si="8"/>
        <v>40.26902281788869</v>
      </c>
      <c r="F15" s="32">
        <f t="shared" si="8"/>
        <v>45.968125395969039</v>
      </c>
      <c r="G15" s="32">
        <f t="shared" si="8"/>
        <v>44.264585939064091</v>
      </c>
      <c r="H15" s="32">
        <f t="shared" si="8"/>
        <v>46.669150786584055</v>
      </c>
      <c r="I15" s="32">
        <f t="shared" si="8"/>
        <v>50.962884806959686</v>
      </c>
      <c r="J15" s="32">
        <f t="shared" si="8"/>
        <v>47.229369829657223</v>
      </c>
      <c r="K15" s="32">
        <f t="shared" si="8"/>
        <v>36.662979489565387</v>
      </c>
      <c r="L15" s="32">
        <f t="shared" si="8"/>
        <v>41.319143587559402</v>
      </c>
      <c r="M15" s="32">
        <f t="shared" si="8"/>
        <v>39.970493608226818</v>
      </c>
      <c r="N15" s="32">
        <f t="shared" si="8"/>
        <v>31.625054927604303</v>
      </c>
      <c r="O15" s="32">
        <f t="shared" si="8"/>
        <v>30.878708367363757</v>
      </c>
      <c r="P15" s="32">
        <f t="shared" si="8"/>
        <v>32.297083918559437</v>
      </c>
      <c r="Q15" s="32">
        <f t="shared" si="8"/>
        <v>33.868537708257868</v>
      </c>
      <c r="R15" s="32">
        <f t="shared" si="8"/>
        <v>35.215855136720428</v>
      </c>
      <c r="S15" s="32">
        <f t="shared" si="8"/>
        <v>33.357325659345285</v>
      </c>
      <c r="T15" s="32">
        <f t="shared" si="8"/>
        <v>27.600934760409718</v>
      </c>
      <c r="U15" s="32">
        <f t="shared" si="8"/>
        <v>24.319437734805582</v>
      </c>
      <c r="V15" s="32">
        <f t="shared" si="8"/>
        <v>30.828853296698949</v>
      </c>
      <c r="W15" s="32">
        <f t="shared" si="8"/>
        <v>30.079271915828873</v>
      </c>
      <c r="X15" s="32">
        <f t="shared" ref="X15:Y15" si="9">SUM(X16:X17)</f>
        <v>27.922888937343423</v>
      </c>
      <c r="Y15" s="32">
        <f t="shared" si="9"/>
        <v>29.217898650321359</v>
      </c>
      <c r="DA15" s="173" t="s">
        <v>414</v>
      </c>
    </row>
    <row r="16" spans="1:105" ht="11.45" customHeight="1" x14ac:dyDescent="0.25">
      <c r="A16" s="83" t="s">
        <v>92</v>
      </c>
      <c r="B16" s="96">
        <v>44.414126627933911</v>
      </c>
      <c r="C16" s="96">
        <v>40.724042456106517</v>
      </c>
      <c r="D16" s="96">
        <v>36.551960884835104</v>
      </c>
      <c r="E16" s="96">
        <v>40.26902281788869</v>
      </c>
      <c r="F16" s="96">
        <v>45.968125395969039</v>
      </c>
      <c r="G16" s="96">
        <v>44.264585939064091</v>
      </c>
      <c r="H16" s="96">
        <v>46.669150786584055</v>
      </c>
      <c r="I16" s="96">
        <v>50.962884806959686</v>
      </c>
      <c r="J16" s="96">
        <v>47.229369829657223</v>
      </c>
      <c r="K16" s="96">
        <v>36.662979489565387</v>
      </c>
      <c r="L16" s="96">
        <v>41.319143587559402</v>
      </c>
      <c r="M16" s="96">
        <v>39.970493608226818</v>
      </c>
      <c r="N16" s="96">
        <v>31.625054927604303</v>
      </c>
      <c r="O16" s="96">
        <v>30.878708367363757</v>
      </c>
      <c r="P16" s="96">
        <v>32.297083918559437</v>
      </c>
      <c r="Q16" s="96">
        <v>33.868537708257868</v>
      </c>
      <c r="R16" s="96">
        <v>35.215855136720428</v>
      </c>
      <c r="S16" s="96">
        <v>33.357325659345285</v>
      </c>
      <c r="T16" s="96">
        <v>27.600934760409718</v>
      </c>
      <c r="U16" s="96">
        <v>24.319437734805582</v>
      </c>
      <c r="V16" s="96">
        <v>30.828853296698949</v>
      </c>
      <c r="W16" s="96">
        <v>30.079271915828873</v>
      </c>
      <c r="X16" s="96">
        <v>27.922888937343423</v>
      </c>
      <c r="Y16" s="96">
        <v>29.217898650321359</v>
      </c>
      <c r="DA16" s="171" t="s">
        <v>1143</v>
      </c>
    </row>
    <row r="17" spans="1:105" ht="11.45" customHeight="1" x14ac:dyDescent="0.25">
      <c r="A17" s="85" t="s">
        <v>93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X17" s="98">
        <v>0</v>
      </c>
      <c r="Y17" s="98">
        <v>0</v>
      </c>
      <c r="DA17" s="178" t="s">
        <v>1144</v>
      </c>
    </row>
    <row r="18" spans="1:105" x14ac:dyDescent="0.25">
      <c r="A18" s="106"/>
      <c r="B18" s="106"/>
      <c r="C18" s="106"/>
      <c r="D18" s="106"/>
      <c r="E18" s="106"/>
      <c r="F18" s="106"/>
      <c r="G18" s="106"/>
      <c r="H18" s="106"/>
      <c r="I18" s="106"/>
      <c r="J18" s="106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DA18" s="171"/>
    </row>
    <row r="19" spans="1:105" ht="11.45" customHeight="1" x14ac:dyDescent="0.25">
      <c r="A19" s="68" t="s">
        <v>36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DA19" s="179"/>
    </row>
    <row r="20" spans="1:105" x14ac:dyDescent="0.25">
      <c r="A20" s="106"/>
      <c r="B20" s="106"/>
      <c r="C20" s="106"/>
      <c r="D20" s="106"/>
      <c r="E20" s="106"/>
      <c r="F20" s="106"/>
      <c r="G20" s="106"/>
      <c r="H20" s="106"/>
      <c r="I20" s="106"/>
      <c r="J20" s="106"/>
      <c r="K20" s="106"/>
      <c r="L20" s="106"/>
      <c r="M20" s="106"/>
      <c r="N20" s="106"/>
      <c r="O20" s="106"/>
      <c r="P20" s="106"/>
      <c r="Q20" s="106"/>
      <c r="R20" s="106"/>
      <c r="S20" s="106"/>
      <c r="T20" s="106"/>
      <c r="U20" s="106"/>
      <c r="V20" s="106"/>
      <c r="W20" s="106"/>
      <c r="X20" s="106"/>
      <c r="Y20" s="106"/>
      <c r="DA20" s="171"/>
    </row>
    <row r="21" spans="1:105" ht="11.45" customHeight="1" x14ac:dyDescent="0.25">
      <c r="A21" s="53" t="s">
        <v>48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  <c r="R21" s="132"/>
      <c r="S21" s="132"/>
      <c r="T21" s="132"/>
      <c r="U21" s="132"/>
      <c r="V21" s="132"/>
      <c r="W21" s="132"/>
      <c r="X21" s="132"/>
      <c r="Y21" s="132"/>
      <c r="DA21" s="172"/>
    </row>
    <row r="22" spans="1:105" ht="11.45" customHeight="1" x14ac:dyDescent="0.25">
      <c r="A22" s="133" t="s">
        <v>45</v>
      </c>
      <c r="B22" s="134">
        <f>IF(B4=0,0,B4/TrRail_ene!B4)</f>
        <v>0.64752663573849889</v>
      </c>
      <c r="C22" s="134">
        <f>IF(C4=0,0,C4/TrRail_ene!C4)</f>
        <v>0.6352226431512995</v>
      </c>
      <c r="D22" s="134">
        <f>IF(D4=0,0,D4/TrRail_ene!D4)</f>
        <v>0.62661601105904019</v>
      </c>
      <c r="E22" s="134">
        <f>IF(E4=0,0,E4/TrRail_ene!E4)</f>
        <v>0.61777300987932471</v>
      </c>
      <c r="F22" s="134">
        <f>IF(F4=0,0,F4/TrRail_ene!F4)</f>
        <v>0.61361701870736263</v>
      </c>
      <c r="G22" s="134">
        <f>IF(G4=0,0,G4/TrRail_ene!G4)</f>
        <v>0.61069369167114695</v>
      </c>
      <c r="H22" s="134">
        <f>IF(H4=0,0,H4/TrRail_ene!H4)</f>
        <v>0.61191319918365839</v>
      </c>
      <c r="I22" s="134">
        <f>IF(I4=0,0,I4/TrRail_ene!I4)</f>
        <v>0.61933376556738673</v>
      </c>
      <c r="J22" s="134">
        <f>IF(J4=0,0,J4/TrRail_ene!J4)</f>
        <v>0.61031189508196737</v>
      </c>
      <c r="K22" s="134">
        <f>IF(K4=0,0,K4/TrRail_ene!K4)</f>
        <v>0.55018264433497543</v>
      </c>
      <c r="L22" s="134">
        <f>IF(L4=0,0,L4/TrRail_ene!L4)</f>
        <v>0.57355641680672287</v>
      </c>
      <c r="M22" s="134">
        <f>IF(M4=0,0,M4/TrRail_ene!M4)</f>
        <v>0.56407614545454532</v>
      </c>
      <c r="N22" s="134">
        <f>IF(N4=0,0,N4/TrRail_ene!N4)</f>
        <v>0.46868008355291646</v>
      </c>
      <c r="O22" s="134">
        <f>IF(O4=0,0,O4/TrRail_ene!O4)</f>
        <v>0.47488844289149951</v>
      </c>
      <c r="P22" s="134">
        <f>IF(P4=0,0,P4/TrRail_ene!P4)</f>
        <v>0.50759726220257961</v>
      </c>
      <c r="Q22" s="134">
        <f>IF(Q4=0,0,Q4/TrRail_ene!Q4)</f>
        <v>0.5236636397883272</v>
      </c>
      <c r="R22" s="134">
        <f>IF(R4=0,0,R4/TrRail_ene!R4)</f>
        <v>0.50843755520458067</v>
      </c>
      <c r="S22" s="134">
        <f>IF(S4=0,0,S4/TrRail_ene!S4)</f>
        <v>0.5014272573592049</v>
      </c>
      <c r="T22" s="134">
        <f>IF(T4=0,0,T4/TrRail_ene!T4)</f>
        <v>0.39542882447592764</v>
      </c>
      <c r="U22" s="134">
        <f>IF(U4=0,0,U4/TrRail_ene!U4)</f>
        <v>0.34289590874688808</v>
      </c>
      <c r="V22" s="134">
        <f>IF(V4=0,0,V4/TrRail_ene!V4)</f>
        <v>0.3819114994751438</v>
      </c>
      <c r="W22" s="134">
        <f>IF(W4=0,0,W4/TrRail_ene!W4)</f>
        <v>0.35599674589122193</v>
      </c>
      <c r="X22" s="134">
        <f>IF(X4=0,0,X4/TrRail_ene!X4)</f>
        <v>0.36495880096593802</v>
      </c>
      <c r="Y22" s="134">
        <f>IF(Y4=0,0,Y4/TrRail_ene!Y4)</f>
        <v>0.41001857037031741</v>
      </c>
      <c r="DA22" s="205"/>
    </row>
    <row r="23" spans="1:105" ht="11.45" customHeight="1" x14ac:dyDescent="0.25">
      <c r="A23" s="107" t="s">
        <v>90</v>
      </c>
      <c r="B23" s="129">
        <f>IF(B5=0,0,B5/SUM(TrRail_ene!B5:B7))</f>
        <v>1.5512094000000001</v>
      </c>
      <c r="C23" s="129">
        <f>IF(C5=0,0,C5/SUM(TrRail_ene!C5:C7))</f>
        <v>1.5512094000000001</v>
      </c>
      <c r="D23" s="129">
        <f>IF(D5=0,0,D5/SUM(TrRail_ene!D5:D7))</f>
        <v>1.5512094000000001</v>
      </c>
      <c r="E23" s="129">
        <f>IF(E5=0,0,E5/SUM(TrRail_ene!E5:E7))</f>
        <v>1.5512094000000001</v>
      </c>
      <c r="F23" s="129">
        <f>IF(F5=0,0,F5/SUM(TrRail_ene!F5:F7))</f>
        <v>1.5512094000000001</v>
      </c>
      <c r="G23" s="129">
        <f>IF(G5=0,0,G5/SUM(TrRail_ene!G5:G7))</f>
        <v>1.5512094000000001</v>
      </c>
      <c r="H23" s="129">
        <f>IF(H5=0,0,H5/SUM(TrRail_ene!H5:H7))</f>
        <v>1.5512094000000001</v>
      </c>
      <c r="I23" s="129">
        <f>IF(I5=0,0,I5/SUM(TrRail_ene!I5:I7))</f>
        <v>1.5512094000000001</v>
      </c>
      <c r="J23" s="129">
        <f>IF(J5=0,0,J5/SUM(TrRail_ene!J5:J7))</f>
        <v>1.5512094000000001</v>
      </c>
      <c r="K23" s="129">
        <f>IF(K5=0,0,K5/SUM(TrRail_ene!K5:K7))</f>
        <v>1.5512094000000001</v>
      </c>
      <c r="L23" s="129">
        <f>IF(L5=0,0,L5/SUM(TrRail_ene!L5:L7))</f>
        <v>1.5512094000000001</v>
      </c>
      <c r="M23" s="129">
        <f>IF(M5=0,0,M5/SUM(TrRail_ene!M5:M7))</f>
        <v>1.5512094000000001</v>
      </c>
      <c r="N23" s="129">
        <f>IF(N5=0,0,N5/SUM(TrRail_ene!N5:N7))</f>
        <v>1.5017386628935268</v>
      </c>
      <c r="O23" s="129">
        <f>IF(O5=0,0,O5/SUM(TrRail_ene!O5:O7))</f>
        <v>1.5017386628935268</v>
      </c>
      <c r="P23" s="129">
        <f>IF(P5=0,0,P5/SUM(TrRail_ene!P5:P7))</f>
        <v>1.5035145764902267</v>
      </c>
      <c r="Q23" s="129">
        <f>IF(Q5=0,0,Q5/SUM(TrRail_ene!Q5:Q7))</f>
        <v>1.507180538087014</v>
      </c>
      <c r="R23" s="129">
        <f>IF(R5=0,0,R5/SUM(TrRail_ene!R5:R7))</f>
        <v>1.517582036119403</v>
      </c>
      <c r="S23" s="129">
        <f>IF(S5=0,0,S5/SUM(TrRail_ene!S5:S7))</f>
        <v>1.5029183178389987</v>
      </c>
      <c r="T23" s="129">
        <f>IF(T5=0,0,T5/SUM(TrRail_ene!T5:T7))</f>
        <v>1.4631065810904902</v>
      </c>
      <c r="U23" s="129">
        <f>IF(U5=0,0,U5/SUM(TrRail_ene!U5:U7))</f>
        <v>1.4366463432241854</v>
      </c>
      <c r="V23" s="129">
        <f>IF(V5=0,0,V5/SUM(TrRail_ene!V5:V7))</f>
        <v>1.455542100424936</v>
      </c>
      <c r="W23" s="129">
        <f>IF(W5=0,0,W5/SUM(TrRail_ene!W5:W7))</f>
        <v>1.4340037095974025</v>
      </c>
      <c r="X23" s="129">
        <f>IF(X5=0,0,X5/SUM(TrRail_ene!X5:X7))</f>
        <v>1.4473796991245433</v>
      </c>
      <c r="Y23" s="129">
        <f>IF(Y5=0,0,Y5/SUM(TrRail_ene!Y5:Y7))</f>
        <v>1.4487468300107531</v>
      </c>
      <c r="DA23" s="203"/>
    </row>
    <row r="24" spans="1:105" ht="11.45" customHeight="1" x14ac:dyDescent="0.25">
      <c r="A24" s="85" t="s">
        <v>91</v>
      </c>
      <c r="B24" s="98">
        <f>IF(B6=0,0,B6/TrRail_ene!B8)</f>
        <v>0</v>
      </c>
      <c r="C24" s="98">
        <f>IF(C6=0,0,C6/TrRail_ene!C8)</f>
        <v>0</v>
      </c>
      <c r="D24" s="98">
        <f>IF(D6=0,0,D6/TrRail_ene!D8)</f>
        <v>0</v>
      </c>
      <c r="E24" s="98">
        <f>IF(E6=0,0,E6/TrRail_ene!E8)</f>
        <v>0</v>
      </c>
      <c r="F24" s="98">
        <f>IF(F6=0,0,F6/TrRail_ene!F8)</f>
        <v>0</v>
      </c>
      <c r="G24" s="98">
        <f>IF(G6=0,0,G6/TrRail_ene!G8)</f>
        <v>0</v>
      </c>
      <c r="H24" s="98">
        <f>IF(H6=0,0,H6/TrRail_ene!H8)</f>
        <v>0</v>
      </c>
      <c r="I24" s="98">
        <f>IF(I6=0,0,I6/TrRail_ene!I8)</f>
        <v>0</v>
      </c>
      <c r="J24" s="98">
        <f>IF(J6=0,0,J6/TrRail_ene!J8)</f>
        <v>0</v>
      </c>
      <c r="K24" s="98">
        <f>IF(K6=0,0,K6/TrRail_ene!K8)</f>
        <v>0</v>
      </c>
      <c r="L24" s="98">
        <f>IF(L6=0,0,L6/TrRail_ene!L8)</f>
        <v>0</v>
      </c>
      <c r="M24" s="98">
        <f>IF(M6=0,0,M6/TrRail_ene!M8)</f>
        <v>0</v>
      </c>
      <c r="N24" s="98">
        <f>IF(N6=0,0,N6/TrRail_ene!N8)</f>
        <v>0</v>
      </c>
      <c r="O24" s="98">
        <f>IF(O6=0,0,O6/TrRail_ene!O8)</f>
        <v>0</v>
      </c>
      <c r="P24" s="98">
        <f>IF(P6=0,0,P6/TrRail_ene!P8)</f>
        <v>0</v>
      </c>
      <c r="Q24" s="98">
        <f>IF(Q6=0,0,Q6/TrRail_ene!Q8)</f>
        <v>0</v>
      </c>
      <c r="R24" s="98">
        <f>IF(R6=0,0,R6/TrRail_ene!R8)</f>
        <v>0</v>
      </c>
      <c r="S24" s="98">
        <f>IF(S6=0,0,S6/TrRail_ene!S8)</f>
        <v>0</v>
      </c>
      <c r="T24" s="98">
        <f>IF(T6=0,0,T6/TrRail_ene!T8)</f>
        <v>0</v>
      </c>
      <c r="U24" s="98">
        <f>IF(U6=0,0,U6/TrRail_ene!U8)</f>
        <v>0</v>
      </c>
      <c r="V24" s="98">
        <f>IF(V6=0,0,V6/TrRail_ene!V8)</f>
        <v>0</v>
      </c>
      <c r="W24" s="98">
        <f>IF(W6=0,0,W6/TrRail_ene!W8)</f>
        <v>0</v>
      </c>
      <c r="X24" s="98">
        <f>IF(X6=0,0,X6/TrRail_ene!X8)</f>
        <v>0</v>
      </c>
      <c r="Y24" s="98">
        <f>IF(Y6=0,0,Y6/TrRail_ene!Y8)</f>
        <v>0</v>
      </c>
      <c r="DA24" s="178"/>
    </row>
    <row r="25" spans="1:105" x14ac:dyDescent="0.25">
      <c r="A25" s="106"/>
      <c r="B25" s="106"/>
      <c r="C25" s="106"/>
      <c r="D25" s="106"/>
      <c r="E25" s="106"/>
      <c r="F25" s="106"/>
      <c r="G25" s="106"/>
      <c r="H25" s="106"/>
      <c r="I25" s="106"/>
      <c r="J25" s="106"/>
      <c r="K25" s="106"/>
      <c r="L25" s="106"/>
      <c r="M25" s="106"/>
      <c r="N25" s="106"/>
      <c r="O25" s="106"/>
      <c r="P25" s="106"/>
      <c r="Q25" s="106"/>
      <c r="R25" s="106"/>
      <c r="S25" s="106"/>
      <c r="T25" s="106"/>
      <c r="U25" s="106"/>
      <c r="V25" s="106"/>
      <c r="W25" s="106"/>
      <c r="X25" s="106"/>
      <c r="Y25" s="106"/>
      <c r="DA25" s="171"/>
    </row>
    <row r="26" spans="1:105" ht="11.45" customHeight="1" x14ac:dyDescent="0.25">
      <c r="A26" s="53" t="s">
        <v>129</v>
      </c>
      <c r="B26" s="54">
        <f>IF(B8=0,0,B8/TrRail_act!B14*1000)</f>
        <v>936.00870310180733</v>
      </c>
      <c r="C26" s="54">
        <f>IF(C8=0,0,C8/TrRail_act!C14*1000)</f>
        <v>906.13302870392556</v>
      </c>
      <c r="D26" s="54">
        <f>IF(D8=0,0,D8/TrRail_act!D14*1000)</f>
        <v>882.16370557341554</v>
      </c>
      <c r="E26" s="54">
        <f>IF(E8=0,0,E8/TrRail_act!E14*1000)</f>
        <v>860.27913603007869</v>
      </c>
      <c r="F26" s="54">
        <f>IF(F8=0,0,F8/TrRail_act!F14*1000)</f>
        <v>844.12942842301049</v>
      </c>
      <c r="G26" s="54">
        <f>IF(G8=0,0,G8/TrRail_act!G14*1000)</f>
        <v>834.40545031733734</v>
      </c>
      <c r="H26" s="54">
        <f>IF(H8=0,0,H8/TrRail_act!H14*1000)</f>
        <v>825.31990959478776</v>
      </c>
      <c r="I26" s="54">
        <f>IF(I8=0,0,I8/TrRail_act!I14*1000)</f>
        <v>833.82751081685592</v>
      </c>
      <c r="J26" s="54">
        <f>IF(J8=0,0,J8/TrRail_act!J14*1000)</f>
        <v>812.54488986946853</v>
      </c>
      <c r="K26" s="54">
        <f>IF(K8=0,0,K8/TrRail_act!K14*1000)</f>
        <v>708.97249595631979</v>
      </c>
      <c r="L26" s="54">
        <f>IF(L8=0,0,L8/TrRail_act!L14*1000)</f>
        <v>735.03282298898546</v>
      </c>
      <c r="M26" s="54">
        <f>IF(M8=0,0,M8/TrRail_act!M14*1000)</f>
        <v>714.45141742838189</v>
      </c>
      <c r="N26" s="54">
        <f>IF(N8=0,0,N8/TrRail_act!N14*1000)</f>
        <v>575.06484850091863</v>
      </c>
      <c r="O26" s="54">
        <f>IF(O8=0,0,O8/TrRail_act!O14*1000)</f>
        <v>560.98935092682564</v>
      </c>
      <c r="P26" s="54">
        <f>IF(P8=0,0,P8/TrRail_act!P14*1000)</f>
        <v>586.97732439844026</v>
      </c>
      <c r="Q26" s="54">
        <f>IF(Q8=0,0,Q8/TrRail_act!Q14*1000)</f>
        <v>604.31520999914972</v>
      </c>
      <c r="R26" s="54">
        <f>IF(R8=0,0,R8/TrRail_act!R14*1000)</f>
        <v>573.71336769346533</v>
      </c>
      <c r="S26" s="54">
        <f>IF(S8=0,0,S8/TrRail_act!S14*1000)</f>
        <v>560.94608352277737</v>
      </c>
      <c r="T26" s="54">
        <f>IF(T8=0,0,T8/TrRail_act!T14*1000)</f>
        <v>429.10690441658141</v>
      </c>
      <c r="U26" s="54">
        <f>IF(U8=0,0,U8/TrRail_act!U14*1000)</f>
        <v>367.24978492656231</v>
      </c>
      <c r="V26" s="54">
        <f>IF(V8=0,0,V8/TrRail_act!V14*1000)</f>
        <v>417.38468389262471</v>
      </c>
      <c r="W26" s="54">
        <f>IF(W8=0,0,W8/TrRail_act!W14*1000)</f>
        <v>386.39135917490142</v>
      </c>
      <c r="X26" s="54">
        <f>IF(X8=0,0,X8/TrRail_act!X14*1000)</f>
        <v>392.10971552186902</v>
      </c>
      <c r="Y26" s="54">
        <f>IF(Y8=0,0,Y8/TrRail_act!Y14*1000)</f>
        <v>445.32386763099896</v>
      </c>
      <c r="DA26" s="172" t="s">
        <v>1145</v>
      </c>
    </row>
    <row r="27" spans="1:105" ht="11.45" customHeight="1" x14ac:dyDescent="0.25">
      <c r="A27" s="27" t="s">
        <v>33</v>
      </c>
      <c r="B27" s="28">
        <f>IF(B9=0,0,B9/TrRail_act!B15*1000)</f>
        <v>615.9179121374375</v>
      </c>
      <c r="C27" s="28">
        <f>IF(C9=0,0,C9/TrRail_act!C15*1000)</f>
        <v>608.8984309861612</v>
      </c>
      <c r="D27" s="28">
        <f>IF(D9=0,0,D9/TrRail_act!D15*1000)</f>
        <v>614.11970485581071</v>
      </c>
      <c r="E27" s="28">
        <f>IF(E9=0,0,E9/TrRail_act!E15*1000)</f>
        <v>567.02174090399626</v>
      </c>
      <c r="F27" s="28">
        <f>IF(F9=0,0,F9/TrRail_act!F15*1000)</f>
        <v>525.50719189468271</v>
      </c>
      <c r="G27" s="28">
        <f>IF(G9=0,0,G9/TrRail_act!G15*1000)</f>
        <v>526.8005272574145</v>
      </c>
      <c r="H27" s="28">
        <f>IF(H9=0,0,H9/TrRail_act!H15*1000)</f>
        <v>500.24385846811293</v>
      </c>
      <c r="I27" s="28">
        <f>IF(I9=0,0,I9/TrRail_act!I15*1000)</f>
        <v>474.96991030759068</v>
      </c>
      <c r="J27" s="28">
        <f>IF(J9=0,0,J9/TrRail_act!J15*1000)</f>
        <v>494.12359424349768</v>
      </c>
      <c r="K27" s="28">
        <f>IF(K9=0,0,K9/TrRail_act!K15*1000)</f>
        <v>472.51433822258815</v>
      </c>
      <c r="L27" s="28">
        <f>IF(L9=0,0,L9/TrRail_act!L15*1000)</f>
        <v>486.04377606416404</v>
      </c>
      <c r="M27" s="28">
        <f>IF(M9=0,0,M9/TrRail_act!M15*1000)</f>
        <v>476.74176288629457</v>
      </c>
      <c r="N27" s="28">
        <f>IF(N9=0,0,N9/TrRail_act!N15*1000)</f>
        <v>388.68519826324012</v>
      </c>
      <c r="O27" s="28">
        <f>IF(O9=0,0,O9/TrRail_act!O15*1000)</f>
        <v>383.83976055043519</v>
      </c>
      <c r="P27" s="28">
        <f>IF(P9=0,0,P9/TrRail_act!P15*1000)</f>
        <v>399.63278921234314</v>
      </c>
      <c r="Q27" s="28">
        <f>IF(Q9=0,0,Q9/TrRail_act!Q15*1000)</f>
        <v>410.23169261697325</v>
      </c>
      <c r="R27" s="28">
        <f>IF(R9=0,0,R9/TrRail_act!R15*1000)</f>
        <v>378.64918214982976</v>
      </c>
      <c r="S27" s="28">
        <f>IF(S9=0,0,S9/TrRail_act!S15*1000)</f>
        <v>379.84811760377954</v>
      </c>
      <c r="T27" s="28">
        <f>IF(T9=0,0,T9/TrRail_act!T15*1000)</f>
        <v>282.83811949525119</v>
      </c>
      <c r="U27" s="28">
        <f>IF(U9=0,0,U9/TrRail_act!U15*1000)</f>
        <v>239.97634295325469</v>
      </c>
      <c r="V27" s="28">
        <f>IF(V9=0,0,V9/TrRail_act!V15*1000)</f>
        <v>229.83077454905376</v>
      </c>
      <c r="W27" s="28">
        <f>IF(W9=0,0,W9/TrRail_act!W15*1000)</f>
        <v>201.44534331552711</v>
      </c>
      <c r="X27" s="28">
        <f>IF(X9=0,0,X9/TrRail_act!X15*1000)</f>
        <v>233.59125782975917</v>
      </c>
      <c r="Y27" s="28">
        <f>IF(Y9=0,0,Y9/TrRail_act!Y15*1000)</f>
        <v>278.07531540379665</v>
      </c>
      <c r="DA27" s="173" t="s">
        <v>1146</v>
      </c>
    </row>
    <row r="28" spans="1:105" ht="11.45" customHeight="1" x14ac:dyDescent="0.25">
      <c r="A28" s="107" t="s">
        <v>23</v>
      </c>
      <c r="B28" s="108">
        <f>IF(B10=0,0,B10/TrRail_act!B16*1000)</f>
        <v>0</v>
      </c>
      <c r="C28" s="108">
        <f>IF(C10=0,0,C10/TrRail_act!C16*1000)</f>
        <v>0</v>
      </c>
      <c r="D28" s="108">
        <f>IF(D10=0,0,D10/TrRail_act!D16*1000)</f>
        <v>0</v>
      </c>
      <c r="E28" s="108">
        <f>IF(E10=0,0,E10/TrRail_act!E16*1000)</f>
        <v>0</v>
      </c>
      <c r="F28" s="108">
        <f>IF(F10=0,0,F10/TrRail_act!F16*1000)</f>
        <v>0</v>
      </c>
      <c r="G28" s="108">
        <f>IF(G10=0,0,G10/TrRail_act!G16*1000)</f>
        <v>0</v>
      </c>
      <c r="H28" s="108">
        <f>IF(H10=0,0,H10/TrRail_act!H16*1000)</f>
        <v>0</v>
      </c>
      <c r="I28" s="108">
        <f>IF(I10=0,0,I10/TrRail_act!I16*1000)</f>
        <v>0</v>
      </c>
      <c r="J28" s="108">
        <f>IF(J10=0,0,J10/TrRail_act!J16*1000)</f>
        <v>0</v>
      </c>
      <c r="K28" s="108">
        <f>IF(K10=0,0,K10/TrRail_act!K16*1000)</f>
        <v>0</v>
      </c>
      <c r="L28" s="108">
        <f>IF(L10=0,0,L10/TrRail_act!L16*1000)</f>
        <v>0</v>
      </c>
      <c r="M28" s="108">
        <f>IF(M10=0,0,M10/TrRail_act!M16*1000)</f>
        <v>0</v>
      </c>
      <c r="N28" s="108">
        <f>IF(N10=0,0,N10/TrRail_act!N16*1000)</f>
        <v>0</v>
      </c>
      <c r="O28" s="108">
        <f>IF(O10=0,0,O10/TrRail_act!O16*1000)</f>
        <v>0</v>
      </c>
      <c r="P28" s="108">
        <f>IF(P10=0,0,P10/TrRail_act!P16*1000)</f>
        <v>0</v>
      </c>
      <c r="Q28" s="108">
        <f>IF(Q10=0,0,Q10/TrRail_act!Q16*1000)</f>
        <v>0</v>
      </c>
      <c r="R28" s="108">
        <f>IF(R10=0,0,R10/TrRail_act!R16*1000)</f>
        <v>0</v>
      </c>
      <c r="S28" s="108">
        <f>IF(S10=0,0,S10/TrRail_act!S16*1000)</f>
        <v>0</v>
      </c>
      <c r="T28" s="108">
        <f>IF(T10=0,0,T10/TrRail_act!T16*1000)</f>
        <v>0</v>
      </c>
      <c r="U28" s="108">
        <f>IF(U10=0,0,U10/TrRail_act!U16*1000)</f>
        <v>0</v>
      </c>
      <c r="V28" s="108">
        <f>IF(V10=0,0,V10/TrRail_act!V16*1000)</f>
        <v>0</v>
      </c>
      <c r="W28" s="108">
        <f>IF(W10=0,0,W10/TrRail_act!W16*1000)</f>
        <v>0</v>
      </c>
      <c r="X28" s="108">
        <f>IF(X10=0,0,X10/TrRail_act!X16*1000)</f>
        <v>0</v>
      </c>
      <c r="Y28" s="108">
        <f>IF(Y10=0,0,Y10/TrRail_act!Y16*1000)</f>
        <v>0</v>
      </c>
      <c r="DA28" s="203" t="s">
        <v>1147</v>
      </c>
    </row>
    <row r="29" spans="1:105" ht="11.45" customHeight="1" x14ac:dyDescent="0.25">
      <c r="A29" s="109" t="s">
        <v>24</v>
      </c>
      <c r="B29" s="110">
        <f>IF(B11=0,0,B11/TrRail_act!B17*1000)</f>
        <v>664.24184765629036</v>
      </c>
      <c r="C29" s="110">
        <f>IF(C11=0,0,C11/TrRail_act!C17*1000)</f>
        <v>660.94651522781919</v>
      </c>
      <c r="D29" s="110">
        <f>IF(D11=0,0,D11/TrRail_act!D17*1000)</f>
        <v>664.8819688986722</v>
      </c>
      <c r="E29" s="110">
        <f>IF(E11=0,0,E11/TrRail_act!E17*1000)</f>
        <v>623.24431580079829</v>
      </c>
      <c r="F29" s="110">
        <f>IF(F11=0,0,F11/TrRail_act!F17*1000)</f>
        <v>577.98933325263681</v>
      </c>
      <c r="G29" s="110">
        <f>IF(G11=0,0,G11/TrRail_act!G17*1000)</f>
        <v>582.20467068409926</v>
      </c>
      <c r="H29" s="110">
        <f>IF(H11=0,0,H11/TrRail_act!H17*1000)</f>
        <v>554.32688028343921</v>
      </c>
      <c r="I29" s="110">
        <f>IF(I11=0,0,I11/TrRail_act!I17*1000)</f>
        <v>530.823622482676</v>
      </c>
      <c r="J29" s="110">
        <f>IF(J11=0,0,J11/TrRail_act!J17*1000)</f>
        <v>553.07620789318344</v>
      </c>
      <c r="K29" s="110">
        <f>IF(K11=0,0,K11/TrRail_act!K17*1000)</f>
        <v>515.50809676062647</v>
      </c>
      <c r="L29" s="110">
        <f>IF(L11=0,0,L11/TrRail_act!L17*1000)</f>
        <v>529.06487607939084</v>
      </c>
      <c r="M29" s="110">
        <f>IF(M11=0,0,M11/TrRail_act!M17*1000)</f>
        <v>521.06487881986527</v>
      </c>
      <c r="N29" s="110">
        <f>IF(N11=0,0,N11/TrRail_act!N17*1000)</f>
        <v>421.63809383030093</v>
      </c>
      <c r="O29" s="110">
        <f>IF(O11=0,0,O11/TrRail_act!O17*1000)</f>
        <v>416.86420695090561</v>
      </c>
      <c r="P29" s="110">
        <f>IF(P11=0,0,P11/TrRail_act!P17*1000)</f>
        <v>432.53796974918475</v>
      </c>
      <c r="Q29" s="110">
        <f>IF(Q11=0,0,Q11/TrRail_act!Q17*1000)</f>
        <v>456.83519708053882</v>
      </c>
      <c r="R29" s="110">
        <f>IF(R11=0,0,R11/TrRail_act!R17*1000)</f>
        <v>412.66421196798234</v>
      </c>
      <c r="S29" s="110">
        <f>IF(S11=0,0,S11/TrRail_act!S17*1000)</f>
        <v>412.26311558754458</v>
      </c>
      <c r="T29" s="110">
        <f>IF(T11=0,0,T11/TrRail_act!T17*1000)</f>
        <v>309.98866309464034</v>
      </c>
      <c r="U29" s="110">
        <f>IF(U11=0,0,U11/TrRail_act!U17*1000)</f>
        <v>262.93456970097265</v>
      </c>
      <c r="V29" s="110">
        <f>IF(V11=0,0,V11/TrRail_act!V17*1000)</f>
        <v>245.00080508107976</v>
      </c>
      <c r="W29" s="110">
        <f>IF(W11=0,0,W11/TrRail_act!W17*1000)</f>
        <v>215.25265730744562</v>
      </c>
      <c r="X29" s="110">
        <f>IF(X11=0,0,X11/TrRail_act!X17*1000)</f>
        <v>251.53970159267342</v>
      </c>
      <c r="Y29" s="110">
        <f>IF(Y11=0,0,Y11/TrRail_act!Y17*1000)</f>
        <v>297.66427512341824</v>
      </c>
      <c r="DA29" s="176" t="s">
        <v>1148</v>
      </c>
    </row>
    <row r="30" spans="1:105" ht="11.45" customHeight="1" x14ac:dyDescent="0.25">
      <c r="A30" s="111" t="s">
        <v>92</v>
      </c>
      <c r="B30" s="84">
        <f>IF(B12=0,0,B12/TrRail_act!B18*1000)</f>
        <v>7199.3856748238304</v>
      </c>
      <c r="C30" s="84">
        <f>IF(C12=0,0,C12/TrRail_act!C18*1000)</f>
        <v>7178.3194881563595</v>
      </c>
      <c r="D30" s="84">
        <f>IF(D12=0,0,D12/TrRail_act!D18*1000)</f>
        <v>7134.611999878256</v>
      </c>
      <c r="E30" s="84">
        <f>IF(E12=0,0,E12/TrRail_act!E18*1000)</f>
        <v>7084.8858625818757</v>
      </c>
      <c r="F30" s="84">
        <f>IF(F12=0,0,F12/TrRail_act!F18*1000)</f>
        <v>6995.8088253385786</v>
      </c>
      <c r="G30" s="84">
        <f>IF(G12=0,0,G12/TrRail_act!G18*1000)</f>
        <v>7009.4803925351716</v>
      </c>
      <c r="H30" s="84">
        <f>IF(H12=0,0,H12/TrRail_act!H18*1000)</f>
        <v>6911.9696298178942</v>
      </c>
      <c r="I30" s="84">
        <f>IF(I12=0,0,I12/TrRail_act!I18*1000)</f>
        <v>6893.2277246032727</v>
      </c>
      <c r="J30" s="84">
        <f>IF(J12=0,0,J12/TrRail_act!J18*1000)</f>
        <v>6788.4260775525445</v>
      </c>
      <c r="K30" s="84">
        <f>IF(K12=0,0,K12/TrRail_act!K18*1000)</f>
        <v>6731.1323862876616</v>
      </c>
      <c r="L30" s="84">
        <f>IF(L12=0,0,L12/TrRail_act!L18*1000)</f>
        <v>6628.673148803704</v>
      </c>
      <c r="M30" s="84">
        <f>IF(M12=0,0,M12/TrRail_act!M18*1000)</f>
        <v>6524.183797513092</v>
      </c>
      <c r="N30" s="84">
        <f>IF(N12=0,0,N12/TrRail_act!N18*1000)</f>
        <v>6200.1444452393653</v>
      </c>
      <c r="O30" s="84">
        <f>IF(O12=0,0,O12/TrRail_act!O18*1000)</f>
        <v>6006.1695476754803</v>
      </c>
      <c r="P30" s="84">
        <f>IF(P12=0,0,P12/TrRail_act!P18*1000)</f>
        <v>5981.3117716236657</v>
      </c>
      <c r="Q30" s="84">
        <f>IF(Q12=0,0,Q12/TrRail_act!Q18*1000)</f>
        <v>5925.517971519419</v>
      </c>
      <c r="R30" s="84">
        <f>IF(R12=0,0,R12/TrRail_act!R18*1000)</f>
        <v>5825.1033251396775</v>
      </c>
      <c r="S30" s="84">
        <f>IF(S12=0,0,S12/TrRail_act!S18*1000)</f>
        <v>5609.3797069737493</v>
      </c>
      <c r="T30" s="84">
        <f>IF(T12=0,0,T12/TrRail_act!T18*1000)</f>
        <v>5304.4224085278338</v>
      </c>
      <c r="U30" s="84">
        <f>IF(U12=0,0,U12/TrRail_act!U18*1000)</f>
        <v>5096.2299525519347</v>
      </c>
      <c r="V30" s="84">
        <f>IF(V12=0,0,V12/TrRail_act!V18*1000)</f>
        <v>5079.5667431147276</v>
      </c>
      <c r="W30" s="84">
        <f>IF(W12=0,0,W12/TrRail_act!W18*1000)</f>
        <v>4943.4396973642361</v>
      </c>
      <c r="X30" s="84">
        <f>IF(X12=0,0,X12/TrRail_act!X18*1000)</f>
        <v>4943.8950483509179</v>
      </c>
      <c r="Y30" s="84">
        <f>IF(Y12=0,0,Y12/TrRail_act!Y18*1000)</f>
        <v>4914.565350285593</v>
      </c>
      <c r="DA30" s="171" t="s">
        <v>1149</v>
      </c>
    </row>
    <row r="31" spans="1:105" ht="11.45" customHeight="1" x14ac:dyDescent="0.25">
      <c r="A31" s="111" t="s">
        <v>93</v>
      </c>
      <c r="B31" s="84">
        <f>IF(B13=0,0,B13/TrRail_act!B19*1000)</f>
        <v>0</v>
      </c>
      <c r="C31" s="84">
        <f>IF(C13=0,0,C13/TrRail_act!C19*1000)</f>
        <v>0</v>
      </c>
      <c r="D31" s="84">
        <f>IF(D13=0,0,D13/TrRail_act!D19*1000)</f>
        <v>0</v>
      </c>
      <c r="E31" s="84">
        <f>IF(E13=0,0,E13/TrRail_act!E19*1000)</f>
        <v>0</v>
      </c>
      <c r="F31" s="84">
        <f>IF(F13=0,0,F13/TrRail_act!F19*1000)</f>
        <v>0</v>
      </c>
      <c r="G31" s="84">
        <f>IF(G13=0,0,G13/TrRail_act!G19*1000)</f>
        <v>0</v>
      </c>
      <c r="H31" s="84">
        <f>IF(H13=0,0,H13/TrRail_act!H19*1000)</f>
        <v>0</v>
      </c>
      <c r="I31" s="84">
        <f>IF(I13=0,0,I13/TrRail_act!I19*1000)</f>
        <v>0</v>
      </c>
      <c r="J31" s="84">
        <f>IF(J13=0,0,J13/TrRail_act!J19*1000)</f>
        <v>0</v>
      </c>
      <c r="K31" s="84">
        <f>IF(K13=0,0,K13/TrRail_act!K19*1000)</f>
        <v>0</v>
      </c>
      <c r="L31" s="84">
        <f>IF(L13=0,0,L13/TrRail_act!L19*1000)</f>
        <v>0</v>
      </c>
      <c r="M31" s="84">
        <f>IF(M13=0,0,M13/TrRail_act!M19*1000)</f>
        <v>0</v>
      </c>
      <c r="N31" s="84">
        <f>IF(N13=0,0,N13/TrRail_act!N19*1000)</f>
        <v>0</v>
      </c>
      <c r="O31" s="84">
        <f>IF(O13=0,0,O13/TrRail_act!O19*1000)</f>
        <v>0</v>
      </c>
      <c r="P31" s="84">
        <f>IF(P13=0,0,P13/TrRail_act!P19*1000)</f>
        <v>0</v>
      </c>
      <c r="Q31" s="84">
        <f>IF(Q13=0,0,Q13/TrRail_act!Q19*1000)</f>
        <v>0</v>
      </c>
      <c r="R31" s="84">
        <f>IF(R13=0,0,R13/TrRail_act!R19*1000)</f>
        <v>0</v>
      </c>
      <c r="S31" s="84">
        <f>IF(S13=0,0,S13/TrRail_act!S19*1000)</f>
        <v>0</v>
      </c>
      <c r="T31" s="84">
        <f>IF(T13=0,0,T13/TrRail_act!T19*1000)</f>
        <v>0</v>
      </c>
      <c r="U31" s="84">
        <f>IF(U13=0,0,U13/TrRail_act!U19*1000)</f>
        <v>0</v>
      </c>
      <c r="V31" s="84">
        <f>IF(V13=0,0,V13/TrRail_act!V19*1000)</f>
        <v>0</v>
      </c>
      <c r="W31" s="84">
        <f>IF(W13=0,0,W13/TrRail_act!W19*1000)</f>
        <v>0</v>
      </c>
      <c r="X31" s="84">
        <f>IF(X13=0,0,X13/TrRail_act!X19*1000)</f>
        <v>0</v>
      </c>
      <c r="Y31" s="84">
        <f>IF(Y13=0,0,Y13/TrRail_act!Y19*1000)</f>
        <v>0</v>
      </c>
      <c r="DA31" s="171" t="s">
        <v>1150</v>
      </c>
    </row>
    <row r="32" spans="1:105" ht="11.45" customHeight="1" x14ac:dyDescent="0.25">
      <c r="A32" s="112" t="s">
        <v>25</v>
      </c>
      <c r="B32" s="113">
        <f>IF(B14=0,0,B14/TrRail_act!B20*1000)</f>
        <v>0</v>
      </c>
      <c r="C32" s="113">
        <f>IF(C14=0,0,C14/TrRail_act!C20*1000)</f>
        <v>0</v>
      </c>
      <c r="D32" s="113">
        <f>IF(D14=0,0,D14/TrRail_act!D20*1000)</f>
        <v>0</v>
      </c>
      <c r="E32" s="113">
        <f>IF(E14=0,0,E14/TrRail_act!E20*1000)</f>
        <v>0</v>
      </c>
      <c r="F32" s="113">
        <f>IF(F14=0,0,F14/TrRail_act!F20*1000)</f>
        <v>0</v>
      </c>
      <c r="G32" s="113">
        <f>IF(G14=0,0,G14/TrRail_act!G20*1000)</f>
        <v>0</v>
      </c>
      <c r="H32" s="113">
        <f>IF(H14=0,0,H14/TrRail_act!H20*1000)</f>
        <v>0</v>
      </c>
      <c r="I32" s="113">
        <f>IF(I14=0,0,I14/TrRail_act!I20*1000)</f>
        <v>0</v>
      </c>
      <c r="J32" s="113">
        <f>IF(J14=0,0,J14/TrRail_act!J20*1000)</f>
        <v>0</v>
      </c>
      <c r="K32" s="113">
        <f>IF(K14=0,0,K14/TrRail_act!K20*1000)</f>
        <v>0</v>
      </c>
      <c r="L32" s="113">
        <f>IF(L14=0,0,L14/TrRail_act!L20*1000)</f>
        <v>0</v>
      </c>
      <c r="M32" s="113">
        <f>IF(M14=0,0,M14/TrRail_act!M20*1000)</f>
        <v>0</v>
      </c>
      <c r="N32" s="113">
        <f>IF(N14=0,0,N14/TrRail_act!N20*1000)</f>
        <v>0</v>
      </c>
      <c r="O32" s="113">
        <f>IF(O14=0,0,O14/TrRail_act!O20*1000)</f>
        <v>0</v>
      </c>
      <c r="P32" s="113">
        <f>IF(P14=0,0,P14/TrRail_act!P20*1000)</f>
        <v>0</v>
      </c>
      <c r="Q32" s="113">
        <f>IF(Q14=0,0,Q14/TrRail_act!Q20*1000)</f>
        <v>0</v>
      </c>
      <c r="R32" s="113">
        <f>IF(R14=0,0,R14/TrRail_act!R20*1000)</f>
        <v>0</v>
      </c>
      <c r="S32" s="113">
        <f>IF(S14=0,0,S14/TrRail_act!S20*1000)</f>
        <v>0</v>
      </c>
      <c r="T32" s="113">
        <f>IF(T14=0,0,T14/TrRail_act!T20*1000)</f>
        <v>0</v>
      </c>
      <c r="U32" s="113">
        <f>IF(U14=0,0,U14/TrRail_act!U20*1000)</f>
        <v>0</v>
      </c>
      <c r="V32" s="113">
        <f>IF(V14=0,0,V14/TrRail_act!V20*1000)</f>
        <v>0</v>
      </c>
      <c r="W32" s="113">
        <f>IF(W14=0,0,W14/TrRail_act!W20*1000)</f>
        <v>0</v>
      </c>
      <c r="X32" s="113">
        <f>IF(X14=0,0,X14/TrRail_act!X20*1000)</f>
        <v>0</v>
      </c>
      <c r="Y32" s="113">
        <f>IF(Y14=0,0,Y14/TrRail_act!Y20*1000)</f>
        <v>0</v>
      </c>
      <c r="DA32" s="204" t="s">
        <v>1151</v>
      </c>
    </row>
    <row r="33" spans="1:105" ht="11.45" customHeight="1" x14ac:dyDescent="0.25">
      <c r="A33" s="27" t="s">
        <v>34</v>
      </c>
      <c r="B33" s="28">
        <f>IF(B15=0,0,B15/TrRail_act!B21*1000)</f>
        <v>5367.8777757117177</v>
      </c>
      <c r="C33" s="28">
        <f>IF(C15=0,0,C15/TrRail_act!C21*1000)</f>
        <v>4857.358785539298</v>
      </c>
      <c r="D33" s="28">
        <f>IF(D15=0,0,D15/TrRail_act!D21*1000)</f>
        <v>4956.7043495822763</v>
      </c>
      <c r="E33" s="28">
        <f>IF(E15=0,0,E15/TrRail_act!E21*1000)</f>
        <v>5258.4712586621808</v>
      </c>
      <c r="F33" s="28">
        <f>IF(F15=0,0,F15/TrRail_act!F21*1000)</f>
        <v>4849.2351639548269</v>
      </c>
      <c r="G33" s="28">
        <f>IF(G15=0,0,G15/TrRail_act!G21*1000)</f>
        <v>4309.0612248616872</v>
      </c>
      <c r="H33" s="28">
        <f>IF(H15=0,0,H15/TrRail_act!H21*1000)</f>
        <v>4526.7459103709862</v>
      </c>
      <c r="I33" s="28">
        <f>IF(I15=0,0,I15/TrRail_act!I21*1000)</f>
        <v>4318.7909445919768</v>
      </c>
      <c r="J33" s="28">
        <f>IF(J15=0,0,J15/TrRail_act!J21*1000)</f>
        <v>4001.4300614881577</v>
      </c>
      <c r="K33" s="28">
        <f>IF(K15=0,0,K15/TrRail_act!K21*1000)</f>
        <v>3738.7070167535103</v>
      </c>
      <c r="L33" s="28">
        <f>IF(L15=0,0,L15/TrRail_act!L21*1000)</f>
        <v>3628.283081054451</v>
      </c>
      <c r="M33" s="28">
        <f>IF(M15=0,0,M15/TrRail_act!M21*1000)</f>
        <v>3236.1166813935506</v>
      </c>
      <c r="N33" s="28">
        <f>IF(N15=0,0,N15/TrRail_act!N21*1000)</f>
        <v>2643.2924844426279</v>
      </c>
      <c r="O33" s="28">
        <f>IF(O15=0,0,O15/TrRail_act!O21*1000)</f>
        <v>2578.5526944458343</v>
      </c>
      <c r="P33" s="28">
        <f>IF(P15=0,0,P15/TrRail_act!P21*1000)</f>
        <v>2739.581448571133</v>
      </c>
      <c r="Q33" s="28">
        <f>IF(Q15=0,0,Q15/TrRail_act!Q21*1000)</f>
        <v>2701.8708958561069</v>
      </c>
      <c r="R33" s="28">
        <f>IF(R15=0,0,R15/TrRail_act!R21*1000)</f>
        <v>2826.6262239177299</v>
      </c>
      <c r="S33" s="28">
        <f>IF(S15=0,0,S15/TrRail_act!S21*1000)</f>
        <v>2706.8889121458051</v>
      </c>
      <c r="T33" s="28">
        <f>IF(T15=0,0,T15/TrRail_act!T21*1000)</f>
        <v>2066.1701360229031</v>
      </c>
      <c r="U33" s="28">
        <f>IF(U15=0,0,U15/TrRail_act!U21*1000)</f>
        <v>1787.4259235622483</v>
      </c>
      <c r="V33" s="28">
        <f>IF(V15=0,0,V15/TrRail_act!V21*1000)</f>
        <v>2217.6626502044192</v>
      </c>
      <c r="W33" s="28">
        <f>IF(W15=0,0,W15/TrRail_act!W21*1000)</f>
        <v>2097.3947902938712</v>
      </c>
      <c r="X33" s="28">
        <f>IF(X15=0,0,X15/TrRail_act!X21*1000)</f>
        <v>1995.6954407967046</v>
      </c>
      <c r="Y33" s="28">
        <f>IF(Y15=0,0,Y15/TrRail_act!Y21*1000)</f>
        <v>2407.9014135102939</v>
      </c>
      <c r="DA33" s="173" t="s">
        <v>1152</v>
      </c>
    </row>
    <row r="34" spans="1:105" ht="11.45" customHeight="1" x14ac:dyDescent="0.25">
      <c r="A34" s="83" t="s">
        <v>92</v>
      </c>
      <c r="B34" s="84">
        <f>IF(B16=0,0,B16/TrRail_act!B22*1000)</f>
        <v>14603.982997026917</v>
      </c>
      <c r="C34" s="84">
        <f>IF(C16=0,0,C16/TrRail_act!C22*1000)</f>
        <v>14521.220566024313</v>
      </c>
      <c r="D34" s="84">
        <f>IF(D16=0,0,D16/TrRail_act!D22*1000)</f>
        <v>14427.355253635136</v>
      </c>
      <c r="E34" s="84">
        <f>IF(E16=0,0,E16/TrRail_act!E22*1000)</f>
        <v>14332.172331386837</v>
      </c>
      <c r="F34" s="84">
        <f>IF(F16=0,0,F16/TrRail_act!F22*1000)</f>
        <v>14373.107193804204</v>
      </c>
      <c r="G34" s="84">
        <f>IF(G16=0,0,G16/TrRail_act!G22*1000)</f>
        <v>14327.431028739255</v>
      </c>
      <c r="H34" s="84">
        <f>IF(H16=0,0,H16/TrRail_act!H22*1000)</f>
        <v>14128.928527404625</v>
      </c>
      <c r="I34" s="84">
        <f>IF(I16=0,0,I16/TrRail_act!I22*1000)</f>
        <v>14170.824841658603</v>
      </c>
      <c r="J34" s="84">
        <f>IF(J16=0,0,J16/TrRail_act!J22*1000)</f>
        <v>13298.340157990431</v>
      </c>
      <c r="K34" s="84">
        <f>IF(K16=0,0,K16/TrRail_act!K22*1000)</f>
        <v>13281.494929311013</v>
      </c>
      <c r="L34" s="84">
        <f>IF(L16=0,0,L16/TrRail_act!L22*1000)</f>
        <v>13191.02808758695</v>
      </c>
      <c r="M34" s="84">
        <f>IF(M16=0,0,M16/TrRail_act!M22*1000)</f>
        <v>12560.167688092833</v>
      </c>
      <c r="N34" s="84">
        <f>IF(N16=0,0,N16/TrRail_act!N22*1000)</f>
        <v>12102.525676394558</v>
      </c>
      <c r="O34" s="84">
        <f>IF(O16=0,0,O16/TrRail_act!O22*1000)</f>
        <v>12046.300381178349</v>
      </c>
      <c r="P34" s="84">
        <f>IF(P16=0,0,P16/TrRail_act!P22*1000)</f>
        <v>11760.535213532277</v>
      </c>
      <c r="Q34" s="84">
        <f>IF(Q16=0,0,Q16/TrRail_act!Q22*1000)</f>
        <v>11872.258042533811</v>
      </c>
      <c r="R34" s="84">
        <f>IF(R16=0,0,R16/TrRail_act!R22*1000)</f>
        <v>11957.207402501586</v>
      </c>
      <c r="S34" s="84">
        <f>IF(S16=0,0,S16/TrRail_act!S22*1000)</f>
        <v>11784.690881420231</v>
      </c>
      <c r="T34" s="84">
        <f>IF(T16=0,0,T16/TrRail_act!T22*1000)</f>
        <v>11431.09161618625</v>
      </c>
      <c r="U34" s="84">
        <f>IF(U16=0,0,U16/TrRail_act!U22*1000)</f>
        <v>11193.948553994633</v>
      </c>
      <c r="V34" s="84">
        <f>IF(V16=0,0,V16/TrRail_act!V22*1000)</f>
        <v>11318.124745311725</v>
      </c>
      <c r="W34" s="84">
        <f>IF(W16=0,0,W16/TrRail_act!W22*1000)</f>
        <v>11133.640189313981</v>
      </c>
      <c r="X34" s="84">
        <f>IF(X16=0,0,X16/TrRail_act!X22*1000)</f>
        <v>11224.636505005112</v>
      </c>
      <c r="Y34" s="84">
        <f>IF(Y16=0,0,Y16/TrRail_act!Y22*1000)</f>
        <v>11225.597956544523</v>
      </c>
      <c r="DA34" s="171" t="s">
        <v>1153</v>
      </c>
    </row>
    <row r="35" spans="1:105" ht="11.45" customHeight="1" x14ac:dyDescent="0.25">
      <c r="A35" s="85" t="s">
        <v>93</v>
      </c>
      <c r="B35" s="86">
        <f>IF(B17=0,0,B17/TrRail_act!B23*1000)</f>
        <v>0</v>
      </c>
      <c r="C35" s="86">
        <f>IF(C17=0,0,C17/TrRail_act!C23*1000)</f>
        <v>0</v>
      </c>
      <c r="D35" s="86">
        <f>IF(D17=0,0,D17/TrRail_act!D23*1000)</f>
        <v>0</v>
      </c>
      <c r="E35" s="86">
        <f>IF(E17=0,0,E17/TrRail_act!E23*1000)</f>
        <v>0</v>
      </c>
      <c r="F35" s="86">
        <f>IF(F17=0,0,F17/TrRail_act!F23*1000)</f>
        <v>0</v>
      </c>
      <c r="G35" s="86">
        <f>IF(G17=0,0,G17/TrRail_act!G23*1000)</f>
        <v>0</v>
      </c>
      <c r="H35" s="86">
        <f>IF(H17=0,0,H17/TrRail_act!H23*1000)</f>
        <v>0</v>
      </c>
      <c r="I35" s="86">
        <f>IF(I17=0,0,I17/TrRail_act!I23*1000)</f>
        <v>0</v>
      </c>
      <c r="J35" s="86">
        <f>IF(J17=0,0,J17/TrRail_act!J23*1000)</f>
        <v>0</v>
      </c>
      <c r="K35" s="86">
        <f>IF(K17=0,0,K17/TrRail_act!K23*1000)</f>
        <v>0</v>
      </c>
      <c r="L35" s="86">
        <f>IF(L17=0,0,L17/TrRail_act!L23*1000)</f>
        <v>0</v>
      </c>
      <c r="M35" s="86">
        <f>IF(M17=0,0,M17/TrRail_act!M23*1000)</f>
        <v>0</v>
      </c>
      <c r="N35" s="86">
        <f>IF(N17=0,0,N17/TrRail_act!N23*1000)</f>
        <v>0</v>
      </c>
      <c r="O35" s="86">
        <f>IF(O17=0,0,O17/TrRail_act!O23*1000)</f>
        <v>0</v>
      </c>
      <c r="P35" s="86">
        <f>IF(P17=0,0,P17/TrRail_act!P23*1000)</f>
        <v>0</v>
      </c>
      <c r="Q35" s="86">
        <f>IF(Q17=0,0,Q17/TrRail_act!Q23*1000)</f>
        <v>0</v>
      </c>
      <c r="R35" s="86">
        <f>IF(R17=0,0,R17/TrRail_act!R23*1000)</f>
        <v>0</v>
      </c>
      <c r="S35" s="86">
        <f>IF(S17=0,0,S17/TrRail_act!S23*1000)</f>
        <v>0</v>
      </c>
      <c r="T35" s="86">
        <f>IF(T17=0,0,T17/TrRail_act!T23*1000)</f>
        <v>0</v>
      </c>
      <c r="U35" s="86">
        <f>IF(U17=0,0,U17/TrRail_act!U23*1000)</f>
        <v>0</v>
      </c>
      <c r="V35" s="86">
        <f>IF(V17=0,0,V17/TrRail_act!V23*1000)</f>
        <v>0</v>
      </c>
      <c r="W35" s="86">
        <f>IF(W17=0,0,W17/TrRail_act!W23*1000)</f>
        <v>0</v>
      </c>
      <c r="X35" s="86">
        <f>IF(X17=0,0,X17/TrRail_act!X23*1000)</f>
        <v>0</v>
      </c>
      <c r="Y35" s="86">
        <f>IF(Y17=0,0,Y17/TrRail_act!Y23*1000)</f>
        <v>0</v>
      </c>
      <c r="DA35" s="178" t="s">
        <v>1154</v>
      </c>
    </row>
    <row r="36" spans="1:105" x14ac:dyDescent="0.25">
      <c r="A36" s="106"/>
      <c r="B36" s="106"/>
      <c r="C36" s="106"/>
      <c r="D36" s="106"/>
      <c r="E36" s="106"/>
      <c r="F36" s="106"/>
      <c r="G36" s="106"/>
      <c r="H36" s="106"/>
      <c r="I36" s="106"/>
      <c r="J36" s="106"/>
      <c r="K36" s="106"/>
      <c r="L36" s="106"/>
      <c r="M36" s="106"/>
      <c r="N36" s="106"/>
      <c r="O36" s="106"/>
      <c r="P36" s="106"/>
      <c r="Q36" s="106"/>
      <c r="R36" s="106"/>
      <c r="S36" s="106"/>
      <c r="T36" s="106"/>
      <c r="U36" s="106"/>
      <c r="V36" s="106"/>
      <c r="W36" s="106"/>
      <c r="X36" s="106"/>
      <c r="Y36" s="106"/>
      <c r="DA36" s="171"/>
    </row>
    <row r="37" spans="1:105" ht="11.45" customHeight="1" x14ac:dyDescent="0.25">
      <c r="A37" s="53" t="s">
        <v>71</v>
      </c>
      <c r="B37" s="62"/>
      <c r="C37" s="62"/>
      <c r="D37" s="62"/>
      <c r="E37" s="62"/>
      <c r="F37" s="62"/>
      <c r="G37" s="62"/>
      <c r="H37" s="62"/>
      <c r="I37" s="62"/>
      <c r="J37" s="62"/>
      <c r="K37" s="62"/>
      <c r="L37" s="62"/>
      <c r="M37" s="62"/>
      <c r="N37" s="62"/>
      <c r="O37" s="62"/>
      <c r="P37" s="62"/>
      <c r="Q37" s="62"/>
      <c r="R37" s="62"/>
      <c r="S37" s="62"/>
      <c r="T37" s="62"/>
      <c r="U37" s="62"/>
      <c r="V37" s="62"/>
      <c r="W37" s="62"/>
      <c r="X37" s="62"/>
      <c r="Y37" s="62"/>
      <c r="DA37" s="172"/>
    </row>
    <row r="38" spans="1:105" ht="11.45" customHeight="1" x14ac:dyDescent="0.25">
      <c r="A38" s="27" t="s">
        <v>160</v>
      </c>
      <c r="B38" s="29">
        <f>IF(B9=0,0,B9/TrRail_act!B4*1000)</f>
        <v>4.60114131654597</v>
      </c>
      <c r="C38" s="29">
        <f>IF(C9=0,0,C9/TrRail_act!C4*1000)</f>
        <v>4.5011256789938558</v>
      </c>
      <c r="D38" s="29">
        <f>IF(D9=0,0,D9/TrRail_act!D4*1000)</f>
        <v>4.6042358627252247</v>
      </c>
      <c r="E38" s="29">
        <f>IF(E9=0,0,E9/TrRail_act!E4*1000)</f>
        <v>4.4805567638363151</v>
      </c>
      <c r="F38" s="29">
        <f>IF(F9=0,0,F9/TrRail_act!F4*1000)</f>
        <v>4.1098094306305715</v>
      </c>
      <c r="G38" s="29">
        <f>IF(G9=0,0,G9/TrRail_act!G4*1000)</f>
        <v>3.8446564325929353</v>
      </c>
      <c r="H38" s="29">
        <f>IF(H9=0,0,H9/TrRail_act!H4*1000)</f>
        <v>3.5233209658874962</v>
      </c>
      <c r="I38" s="29">
        <f>IF(I9=0,0,I9/TrRail_act!I4*1000)</f>
        <v>3.1792932544308004</v>
      </c>
      <c r="J38" s="29">
        <f>IF(J9=0,0,J9/TrRail_act!J4*1000)</f>
        <v>3.4020555920830855</v>
      </c>
      <c r="K38" s="29">
        <f>IF(K9=0,0,K9/TrRail_act!K4*1000)</f>
        <v>3.4358206081677407</v>
      </c>
      <c r="L38" s="29">
        <f>IF(L9=0,0,L9/TrRail_act!L4*1000)</f>
        <v>3.6227378560302044</v>
      </c>
      <c r="M38" s="29">
        <f>IF(M9=0,0,M9/TrRail_act!M4*1000)</f>
        <v>3.4006029010315393</v>
      </c>
      <c r="N38" s="29">
        <f>IF(N9=0,0,N9/TrRail_act!N4*1000)</f>
        <v>2.7763330738392167</v>
      </c>
      <c r="O38" s="29">
        <f>IF(O9=0,0,O9/TrRail_act!O4*1000)</f>
        <v>2.6309966034081609</v>
      </c>
      <c r="P38" s="29">
        <f>IF(P9=0,0,P9/TrRail_act!P4*1000)</f>
        <v>2.5952884564969647</v>
      </c>
      <c r="Q38" s="29">
        <f>IF(Q9=0,0,Q9/TrRail_act!Q4*1000)</f>
        <v>3.0139638940075444</v>
      </c>
      <c r="R38" s="29">
        <f>IF(R9=0,0,R9/TrRail_act!R4*1000)</f>
        <v>2.8819553476167168</v>
      </c>
      <c r="S38" s="29">
        <f>IF(S9=0,0,S9/TrRail_act!S4*1000)</f>
        <v>2.8711749087489826</v>
      </c>
      <c r="T38" s="29">
        <f>IF(T9=0,0,T9/TrRail_act!T4*1000)</f>
        <v>2.1223751320870989</v>
      </c>
      <c r="U38" s="29">
        <f>IF(U9=0,0,U9/TrRail_act!U4*1000)</f>
        <v>1.7874792308097376</v>
      </c>
      <c r="V38" s="29">
        <f>IF(V9=0,0,V9/TrRail_act!V4*1000)</f>
        <v>3.1864990007516347</v>
      </c>
      <c r="W38" s="29">
        <f>IF(W9=0,0,W9/TrRail_act!W4*1000)</f>
        <v>2.3429648191781318</v>
      </c>
      <c r="X38" s="29">
        <f>IF(X9=0,0,X9/TrRail_act!X4*1000)</f>
        <v>1.8475802437919293</v>
      </c>
      <c r="Y38" s="29">
        <f>IF(Y9=0,0,Y9/TrRail_act!Y4*1000)</f>
        <v>1.979496526137841</v>
      </c>
      <c r="DA38" s="173" t="s">
        <v>440</v>
      </c>
    </row>
    <row r="39" spans="1:105" ht="11.45" customHeight="1" x14ac:dyDescent="0.25">
      <c r="A39" s="107" t="s">
        <v>23</v>
      </c>
      <c r="B39" s="115">
        <f>IF(B10=0,0,B10/TrRail_act!B5*1000)</f>
        <v>0</v>
      </c>
      <c r="C39" s="115">
        <f>IF(C10=0,0,C10/TrRail_act!C5*1000)</f>
        <v>0</v>
      </c>
      <c r="D39" s="115">
        <f>IF(D10=0,0,D10/TrRail_act!D5*1000)</f>
        <v>0</v>
      </c>
      <c r="E39" s="115">
        <f>IF(E10=0,0,E10/TrRail_act!E5*1000)</f>
        <v>0</v>
      </c>
      <c r="F39" s="115">
        <f>IF(F10=0,0,F10/TrRail_act!F5*1000)</f>
        <v>0</v>
      </c>
      <c r="G39" s="115">
        <f>IF(G10=0,0,G10/TrRail_act!G5*1000)</f>
        <v>0</v>
      </c>
      <c r="H39" s="115">
        <f>IF(H10=0,0,H10/TrRail_act!H5*1000)</f>
        <v>0</v>
      </c>
      <c r="I39" s="115">
        <f>IF(I10=0,0,I10/TrRail_act!I5*1000)</f>
        <v>0</v>
      </c>
      <c r="J39" s="115">
        <f>IF(J10=0,0,J10/TrRail_act!J5*1000)</f>
        <v>0</v>
      </c>
      <c r="K39" s="115">
        <f>IF(K10=0,0,K10/TrRail_act!K5*1000)</f>
        <v>0</v>
      </c>
      <c r="L39" s="115">
        <f>IF(L10=0,0,L10/TrRail_act!L5*1000)</f>
        <v>0</v>
      </c>
      <c r="M39" s="115">
        <f>IF(M10=0,0,M10/TrRail_act!M5*1000)</f>
        <v>0</v>
      </c>
      <c r="N39" s="115">
        <f>IF(N10=0,0,N10/TrRail_act!N5*1000)</f>
        <v>0</v>
      </c>
      <c r="O39" s="115">
        <f>IF(O10=0,0,O10/TrRail_act!O5*1000)</f>
        <v>0</v>
      </c>
      <c r="P39" s="115">
        <f>IF(P10=0,0,P10/TrRail_act!P5*1000)</f>
        <v>0</v>
      </c>
      <c r="Q39" s="115">
        <f>IF(Q10=0,0,Q10/TrRail_act!Q5*1000)</f>
        <v>0</v>
      </c>
      <c r="R39" s="115">
        <f>IF(R10=0,0,R10/TrRail_act!R5*1000)</f>
        <v>0</v>
      </c>
      <c r="S39" s="115">
        <f>IF(S10=0,0,S10/TrRail_act!S5*1000)</f>
        <v>0</v>
      </c>
      <c r="T39" s="115">
        <f>IF(T10=0,0,T10/TrRail_act!T5*1000)</f>
        <v>0</v>
      </c>
      <c r="U39" s="115">
        <f>IF(U10=0,0,U10/TrRail_act!U5*1000)</f>
        <v>0</v>
      </c>
      <c r="V39" s="115">
        <f>IF(V10=0,0,V10/TrRail_act!V5*1000)</f>
        <v>0</v>
      </c>
      <c r="W39" s="115">
        <f>IF(W10=0,0,W10/TrRail_act!W5*1000)</f>
        <v>0</v>
      </c>
      <c r="X39" s="115">
        <f>IF(X10=0,0,X10/TrRail_act!X5*1000)</f>
        <v>0</v>
      </c>
      <c r="Y39" s="115">
        <f>IF(Y10=0,0,Y10/TrRail_act!Y5*1000)</f>
        <v>0</v>
      </c>
      <c r="DA39" s="203" t="s">
        <v>441</v>
      </c>
    </row>
    <row r="40" spans="1:105" ht="11.45" customHeight="1" x14ac:dyDescent="0.25">
      <c r="A40" s="109" t="s">
        <v>24</v>
      </c>
      <c r="B40" s="116">
        <f>IF(B11=0,0,B11/TrRail_act!B6*1000)</f>
        <v>4.8484459130121698</v>
      </c>
      <c r="C40" s="116">
        <f>IF(C11=0,0,C11/TrRail_act!C6*1000)</f>
        <v>4.7786927754308479</v>
      </c>
      <c r="D40" s="116">
        <f>IF(D11=0,0,D11/TrRail_act!D6*1000)</f>
        <v>4.8868020298974182</v>
      </c>
      <c r="E40" s="116">
        <f>IF(E11=0,0,E11/TrRail_act!E6*1000)</f>
        <v>4.9395720769198537</v>
      </c>
      <c r="F40" s="116">
        <f>IF(F11=0,0,F11/TrRail_act!F6*1000)</f>
        <v>4.5205120678624695</v>
      </c>
      <c r="G40" s="116">
        <f>IF(G11=0,0,G11/TrRail_act!G6*1000)</f>
        <v>4.2256155911057611</v>
      </c>
      <c r="H40" s="116">
        <f>IF(H11=0,0,H11/TrRail_act!H6*1000)</f>
        <v>3.8745836825954054</v>
      </c>
      <c r="I40" s="116">
        <f>IF(I11=0,0,I11/TrRail_act!I6*1000)</f>
        <v>3.5059231093745793</v>
      </c>
      <c r="J40" s="116">
        <f>IF(J11=0,0,J11/TrRail_act!J6*1000)</f>
        <v>3.7740753534726537</v>
      </c>
      <c r="K40" s="116">
        <f>IF(K11=0,0,K11/TrRail_act!K6*1000)</f>
        <v>3.6675698363253399</v>
      </c>
      <c r="L40" s="116">
        <f>IF(L11=0,0,L11/TrRail_act!L6*1000)</f>
        <v>3.8710692995751197</v>
      </c>
      <c r="M40" s="116">
        <f>IF(M11=0,0,M11/TrRail_act!M6*1000)</f>
        <v>3.6372042850688935</v>
      </c>
      <c r="N40" s="116">
        <f>IF(N11=0,0,N11/TrRail_act!N6*1000)</f>
        <v>2.9577615104256139</v>
      </c>
      <c r="O40" s="116">
        <f>IF(O11=0,0,O11/TrRail_act!O6*1000)</f>
        <v>2.8023345448657051</v>
      </c>
      <c r="P40" s="116">
        <f>IF(P11=0,0,P11/TrRail_act!P6*1000)</f>
        <v>2.7391163326134991</v>
      </c>
      <c r="Q40" s="116">
        <f>IF(Q11=0,0,Q11/TrRail_act!Q6*1000)</f>
        <v>3.3627290816084057</v>
      </c>
      <c r="R40" s="116">
        <f>IF(R11=0,0,R11/TrRail_act!R6*1000)</f>
        <v>3.0930795176428942</v>
      </c>
      <c r="S40" s="116">
        <f>IF(S11=0,0,S11/TrRail_act!S6*1000)</f>
        <v>3.077401539095356</v>
      </c>
      <c r="T40" s="116">
        <f>IF(T11=0,0,T11/TrRail_act!T6*1000)</f>
        <v>2.2857973448427176</v>
      </c>
      <c r="U40" s="116">
        <f>IF(U11=0,0,U11/TrRail_act!U6*1000)</f>
        <v>1.9275850455105246</v>
      </c>
      <c r="V40" s="116">
        <f>IF(V11=0,0,V11/TrRail_act!V6*1000)</f>
        <v>3.39847772864595</v>
      </c>
      <c r="W40" s="116">
        <f>IF(W11=0,0,W11/TrRail_act!W6*1000)</f>
        <v>2.4955185176630379</v>
      </c>
      <c r="X40" s="116">
        <f>IF(X11=0,0,X11/TrRail_act!X6*1000)</f>
        <v>1.9554322487968165</v>
      </c>
      <c r="Y40" s="116">
        <f>IF(Y11=0,0,Y11/TrRail_act!Y6*1000)</f>
        <v>2.1125065715028892</v>
      </c>
      <c r="DA40" s="176" t="s">
        <v>442</v>
      </c>
    </row>
    <row r="41" spans="1:105" ht="11.45" customHeight="1" x14ac:dyDescent="0.25">
      <c r="A41" s="111" t="s">
        <v>92</v>
      </c>
      <c r="B41" s="87">
        <f>IF(B12=0,0,B12/TrRail_act!B7*1000)</f>
        <v>70.018987213294608</v>
      </c>
      <c r="C41" s="87">
        <f>IF(C12=0,0,C12/TrRail_act!C7*1000)</f>
        <v>69.645937347219117</v>
      </c>
      <c r="D41" s="87">
        <f>IF(D12=0,0,D12/TrRail_act!D7*1000)</f>
        <v>72.218519025907341</v>
      </c>
      <c r="E41" s="87">
        <f>IF(E12=0,0,E12/TrRail_act!E7*1000)</f>
        <v>70.335638903375767</v>
      </c>
      <c r="F41" s="87">
        <f>IF(F12=0,0,F12/TrRail_act!F7*1000)</f>
        <v>65.111457300409811</v>
      </c>
      <c r="G41" s="87">
        <f>IF(G12=0,0,G12/TrRail_act!G7*1000)</f>
        <v>60.993424563910786</v>
      </c>
      <c r="H41" s="87">
        <f>IF(H12=0,0,H12/TrRail_act!H7*1000)</f>
        <v>55.485630879867763</v>
      </c>
      <c r="I41" s="87">
        <f>IF(I12=0,0,I12/TrRail_act!I7*1000)</f>
        <v>49.882375628865923</v>
      </c>
      <c r="J41" s="87">
        <f>IF(J12=0,0,J12/TrRail_act!J7*1000)</f>
        <v>53.988859653820647</v>
      </c>
      <c r="K41" s="87">
        <f>IF(K12=0,0,K12/TrRail_act!K7*1000)</f>
        <v>58.000782710912688</v>
      </c>
      <c r="L41" s="87">
        <f>IF(L12=0,0,L12/TrRail_act!L7*1000)</f>
        <v>57.809286881252177</v>
      </c>
      <c r="M41" s="87">
        <f>IF(M12=0,0,M12/TrRail_act!M7*1000)</f>
        <v>54.467171191756222</v>
      </c>
      <c r="N41" s="87">
        <f>IF(N12=0,0,N12/TrRail_act!N7*1000)</f>
        <v>52.221305981375281</v>
      </c>
      <c r="O41" s="87">
        <f>IF(O12=0,0,O12/TrRail_act!O7*1000)</f>
        <v>48.118327684202697</v>
      </c>
      <c r="P41" s="87">
        <f>IF(P12=0,0,P12/TrRail_act!P7*1000)</f>
        <v>44.161189577034889</v>
      </c>
      <c r="Q41" s="87">
        <f>IF(Q12=0,0,Q12/TrRail_act!Q7*1000)</f>
        <v>51.841131372728157</v>
      </c>
      <c r="R41" s="87">
        <f>IF(R12=0,0,R12/TrRail_act!R7*1000)</f>
        <v>50.097007664859618</v>
      </c>
      <c r="S41" s="87">
        <f>IF(S12=0,0,S12/TrRail_act!S7*1000)</f>
        <v>50.048226668068558</v>
      </c>
      <c r="T41" s="87">
        <f>IF(T12=0,0,T12/TrRail_act!T7*1000)</f>
        <v>45.528121972826256</v>
      </c>
      <c r="U41" s="87">
        <f>IF(U12=0,0,U12/TrRail_act!U7*1000)</f>
        <v>42.973960019591019</v>
      </c>
      <c r="V41" s="87">
        <f>IF(V12=0,0,V12/TrRail_act!V7*1000)</f>
        <v>73.238051582327444</v>
      </c>
      <c r="W41" s="87">
        <f>IF(W12=0,0,W12/TrRail_act!W7*1000)</f>
        <v>56.810846083183876</v>
      </c>
      <c r="X41" s="87">
        <f>IF(X12=0,0,X12/TrRail_act!X7*1000)</f>
        <v>44.077797177710131</v>
      </c>
      <c r="Y41" s="87">
        <f>IF(Y12=0,0,Y12/TrRail_act!Y7*1000)</f>
        <v>42.533495111635979</v>
      </c>
      <c r="DA41" s="171" t="s">
        <v>1155</v>
      </c>
    </row>
    <row r="42" spans="1:105" ht="11.45" customHeight="1" x14ac:dyDescent="0.25">
      <c r="A42" s="111" t="s">
        <v>93</v>
      </c>
      <c r="B42" s="87">
        <f>IF(B13=0,0,B13/TrRail_act!B8*1000)</f>
        <v>0</v>
      </c>
      <c r="C42" s="87">
        <f>IF(C13=0,0,C13/TrRail_act!C8*1000)</f>
        <v>0</v>
      </c>
      <c r="D42" s="87">
        <f>IF(D13=0,0,D13/TrRail_act!D8*1000)</f>
        <v>0</v>
      </c>
      <c r="E42" s="87">
        <f>IF(E13=0,0,E13/TrRail_act!E8*1000)</f>
        <v>0</v>
      </c>
      <c r="F42" s="87">
        <f>IF(F13=0,0,F13/TrRail_act!F8*1000)</f>
        <v>0</v>
      </c>
      <c r="G42" s="87">
        <f>IF(G13=0,0,G13/TrRail_act!G8*1000)</f>
        <v>0</v>
      </c>
      <c r="H42" s="87">
        <f>IF(H13=0,0,H13/TrRail_act!H8*1000)</f>
        <v>0</v>
      </c>
      <c r="I42" s="87">
        <f>IF(I13=0,0,I13/TrRail_act!I8*1000)</f>
        <v>0</v>
      </c>
      <c r="J42" s="87">
        <f>IF(J13=0,0,J13/TrRail_act!J8*1000)</f>
        <v>0</v>
      </c>
      <c r="K42" s="87">
        <f>IF(K13=0,0,K13/TrRail_act!K8*1000)</f>
        <v>0</v>
      </c>
      <c r="L42" s="87">
        <f>IF(L13=0,0,L13/TrRail_act!L8*1000)</f>
        <v>0</v>
      </c>
      <c r="M42" s="87">
        <f>IF(M13=0,0,M13/TrRail_act!M8*1000)</f>
        <v>0</v>
      </c>
      <c r="N42" s="87">
        <f>IF(N13=0,0,N13/TrRail_act!N8*1000)</f>
        <v>0</v>
      </c>
      <c r="O42" s="87">
        <f>IF(O13=0,0,O13/TrRail_act!O8*1000)</f>
        <v>0</v>
      </c>
      <c r="P42" s="87">
        <f>IF(P13=0,0,P13/TrRail_act!P8*1000)</f>
        <v>0</v>
      </c>
      <c r="Q42" s="87">
        <f>IF(Q13=0,0,Q13/TrRail_act!Q8*1000)</f>
        <v>0</v>
      </c>
      <c r="R42" s="87">
        <f>IF(R13=0,0,R13/TrRail_act!R8*1000)</f>
        <v>0</v>
      </c>
      <c r="S42" s="87">
        <f>IF(S13=0,0,S13/TrRail_act!S8*1000)</f>
        <v>0</v>
      </c>
      <c r="T42" s="87">
        <f>IF(T13=0,0,T13/TrRail_act!T8*1000)</f>
        <v>0</v>
      </c>
      <c r="U42" s="87">
        <f>IF(U13=0,0,U13/TrRail_act!U8*1000)</f>
        <v>0</v>
      </c>
      <c r="V42" s="87">
        <f>IF(V13=0,0,V13/TrRail_act!V8*1000)</f>
        <v>0</v>
      </c>
      <c r="W42" s="87">
        <f>IF(W13=0,0,W13/TrRail_act!W8*1000)</f>
        <v>0</v>
      </c>
      <c r="X42" s="87">
        <f>IF(X13=0,0,X13/TrRail_act!X8*1000)</f>
        <v>0</v>
      </c>
      <c r="Y42" s="87">
        <f>IF(Y13=0,0,Y13/TrRail_act!Y8*1000)</f>
        <v>0</v>
      </c>
      <c r="DA42" s="171" t="s">
        <v>1156</v>
      </c>
    </row>
    <row r="43" spans="1:105" ht="11.45" customHeight="1" x14ac:dyDescent="0.25">
      <c r="A43" s="112" t="s">
        <v>25</v>
      </c>
      <c r="B43" s="117">
        <f>IF(B14=0,0,B14/TrRail_act!B9*1000)</f>
        <v>0</v>
      </c>
      <c r="C43" s="117">
        <f>IF(C14=0,0,C14/TrRail_act!C9*1000)</f>
        <v>0</v>
      </c>
      <c r="D43" s="117">
        <f>IF(D14=0,0,D14/TrRail_act!D9*1000)</f>
        <v>0</v>
      </c>
      <c r="E43" s="117">
        <f>IF(E14=0,0,E14/TrRail_act!E9*1000)</f>
        <v>0</v>
      </c>
      <c r="F43" s="117">
        <f>IF(F14=0,0,F14/TrRail_act!F9*1000)</f>
        <v>0</v>
      </c>
      <c r="G43" s="117">
        <f>IF(G14=0,0,G14/TrRail_act!G9*1000)</f>
        <v>0</v>
      </c>
      <c r="H43" s="117">
        <f>IF(H14=0,0,H14/TrRail_act!H9*1000)</f>
        <v>0</v>
      </c>
      <c r="I43" s="117">
        <f>IF(I14=0,0,I14/TrRail_act!I9*1000)</f>
        <v>0</v>
      </c>
      <c r="J43" s="117">
        <f>IF(J14=0,0,J14/TrRail_act!J9*1000)</f>
        <v>0</v>
      </c>
      <c r="K43" s="117">
        <f>IF(K14=0,0,K14/TrRail_act!K9*1000)</f>
        <v>0</v>
      </c>
      <c r="L43" s="117">
        <f>IF(L14=0,0,L14/TrRail_act!L9*1000)</f>
        <v>0</v>
      </c>
      <c r="M43" s="117">
        <f>IF(M14=0,0,M14/TrRail_act!M9*1000)</f>
        <v>0</v>
      </c>
      <c r="N43" s="117">
        <f>IF(N14=0,0,N14/TrRail_act!N9*1000)</f>
        <v>0</v>
      </c>
      <c r="O43" s="117">
        <f>IF(O14=0,0,O14/TrRail_act!O9*1000)</f>
        <v>0</v>
      </c>
      <c r="P43" s="117">
        <f>IF(P14=0,0,P14/TrRail_act!P9*1000)</f>
        <v>0</v>
      </c>
      <c r="Q43" s="117">
        <f>IF(Q14=0,0,Q14/TrRail_act!Q9*1000)</f>
        <v>0</v>
      </c>
      <c r="R43" s="117">
        <f>IF(R14=0,0,R14/TrRail_act!R9*1000)</f>
        <v>0</v>
      </c>
      <c r="S43" s="117">
        <f>IF(S14=0,0,S14/TrRail_act!S9*1000)</f>
        <v>0</v>
      </c>
      <c r="T43" s="117">
        <f>IF(T14=0,0,T14/TrRail_act!T9*1000)</f>
        <v>0</v>
      </c>
      <c r="U43" s="117">
        <f>IF(U14=0,0,U14/TrRail_act!U9*1000)</f>
        <v>0</v>
      </c>
      <c r="V43" s="117">
        <f>IF(V14=0,0,V14/TrRail_act!V9*1000)</f>
        <v>0</v>
      </c>
      <c r="W43" s="117">
        <f>IF(W14=0,0,W14/TrRail_act!W9*1000)</f>
        <v>0</v>
      </c>
      <c r="X43" s="117">
        <f>IF(X14=0,0,X14/TrRail_act!X9*1000)</f>
        <v>0</v>
      </c>
      <c r="Y43" s="117">
        <f>IF(Y14=0,0,Y14/TrRail_act!Y9*1000)</f>
        <v>0</v>
      </c>
      <c r="DA43" s="204" t="s">
        <v>443</v>
      </c>
    </row>
    <row r="44" spans="1:105" ht="11.45" customHeight="1" x14ac:dyDescent="0.25">
      <c r="A44" s="27" t="s">
        <v>159</v>
      </c>
      <c r="B44" s="29">
        <f>IF(B15=0,0,B15/TrRail_act!B10*1000)</f>
        <v>9.8217882856996699</v>
      </c>
      <c r="C44" s="29">
        <f>IF(C15=0,0,C15/TrRail_act!C10*1000)</f>
        <v>9.4861501178911052</v>
      </c>
      <c r="D44" s="29">
        <f>IF(D15=0,0,D15/TrRail_act!D10*1000)</f>
        <v>9.0834892854958014</v>
      </c>
      <c r="E44" s="29">
        <f>IF(E15=0,0,E15/TrRail_act!E10*1000)</f>
        <v>8.5587721185735788</v>
      </c>
      <c r="F44" s="29">
        <f>IF(F15=0,0,F15/TrRail_act!F10*1000)</f>
        <v>7.883403429252108</v>
      </c>
      <c r="G44" s="29">
        <f>IF(G15=0,0,G15/TrRail_act!G10*1000)</f>
        <v>7.5472439793800667</v>
      </c>
      <c r="H44" s="29">
        <f>IF(H15=0,0,H15/TrRail_act!H10*1000)</f>
        <v>7.4207585922378838</v>
      </c>
      <c r="I44" s="29">
        <f>IF(I15=0,0,I15/TrRail_act!I10*1000)</f>
        <v>7.062484036441198</v>
      </c>
      <c r="J44" s="29">
        <f>IF(J15=0,0,J15/TrRail_act!J10*1000)</f>
        <v>6.7625099985190751</v>
      </c>
      <c r="K44" s="29">
        <f>IF(K15=0,0,K15/TrRail_act!K10*1000)</f>
        <v>6.5727822677600187</v>
      </c>
      <c r="L44" s="29">
        <f>IF(L15=0,0,L15/TrRail_act!L10*1000)</f>
        <v>6.9736951202631907</v>
      </c>
      <c r="M44" s="29">
        <f>IF(M15=0,0,M15/TrRail_act!M10*1000)</f>
        <v>6.2669322057426813</v>
      </c>
      <c r="N44" s="29">
        <f>IF(N15=0,0,N15/TrRail_act!N10*1000)</f>
        <v>5.1489832184311792</v>
      </c>
      <c r="O44" s="29">
        <f>IF(O15=0,0,O15/TrRail_act!O10*1000)</f>
        <v>5.0804061150647843</v>
      </c>
      <c r="P44" s="29">
        <f>IF(P15=0,0,P15/TrRail_act!P10*1000)</f>
        <v>5.2353840036569039</v>
      </c>
      <c r="Q44" s="29">
        <f>IF(Q15=0,0,Q15/TrRail_act!Q10*1000)</f>
        <v>5.1747192831562829</v>
      </c>
      <c r="R44" s="29">
        <f>IF(R15=0,0,R15/TrRail_act!R10*1000)</f>
        <v>5.3027940275139933</v>
      </c>
      <c r="S44" s="29">
        <f>IF(S15=0,0,S15/TrRail_act!S10*1000)</f>
        <v>5.1580834481746223</v>
      </c>
      <c r="T44" s="29">
        <f>IF(T15=0,0,T15/TrRail_act!T10*1000)</f>
        <v>3.9300775680492261</v>
      </c>
      <c r="U44" s="29">
        <f>IF(U15=0,0,U15/TrRail_act!U10*1000)</f>
        <v>3.4349488325996584</v>
      </c>
      <c r="V44" s="29">
        <f>IF(V15=0,0,V15/TrRail_act!V10*1000)</f>
        <v>4.6254843655962414</v>
      </c>
      <c r="W44" s="29">
        <f>IF(W15=0,0,W15/TrRail_act!W10*1000)</f>
        <v>4.1846510734319526</v>
      </c>
      <c r="X44" s="29">
        <f>IF(X15=0,0,X15/TrRail_act!X10*1000)</f>
        <v>3.8911495174670323</v>
      </c>
      <c r="Y44" s="29">
        <f>IF(Y15=0,0,Y15/TrRail_act!Y10*1000)</f>
        <v>4.4999073849255131</v>
      </c>
      <c r="DA44" s="173" t="s">
        <v>448</v>
      </c>
    </row>
    <row r="45" spans="1:105" ht="11.45" customHeight="1" x14ac:dyDescent="0.25">
      <c r="A45" s="83" t="s">
        <v>92</v>
      </c>
      <c r="B45" s="87">
        <f>IF(B16=0,0,B16/TrRail_act!B11*1000)</f>
        <v>24.276627122318882</v>
      </c>
      <c r="C45" s="87">
        <f>IF(C16=0,0,C16/TrRail_act!C11*1000)</f>
        <v>23.895617375265303</v>
      </c>
      <c r="D45" s="87">
        <f>IF(D16=0,0,D16/TrRail_act!D11*1000)</f>
        <v>23.191810920243817</v>
      </c>
      <c r="E45" s="87">
        <f>IF(E16=0,0,E16/TrRail_act!E11*1000)</f>
        <v>22.161197570953039</v>
      </c>
      <c r="F45" s="87">
        <f>IF(F16=0,0,F16/TrRail_act!F11*1000)</f>
        <v>20.549102298948846</v>
      </c>
      <c r="G45" s="87">
        <f>IF(G16=0,0,G16/TrRail_act!G11*1000)</f>
        <v>19.765936715174867</v>
      </c>
      <c r="H45" s="87">
        <f>IF(H16=0,0,H16/TrRail_act!H11*1000)</f>
        <v>19.396392407627609</v>
      </c>
      <c r="I45" s="87">
        <f>IF(I16=0,0,I16/TrRail_act!I11*1000)</f>
        <v>18.241319682057405</v>
      </c>
      <c r="J45" s="87">
        <f>IF(J16=0,0,J16/TrRail_act!J11*1000)</f>
        <v>17.721700347046678</v>
      </c>
      <c r="K45" s="87">
        <f>IF(K16=0,0,K16/TrRail_act!K11*1000)</f>
        <v>19.085195223103078</v>
      </c>
      <c r="L45" s="87">
        <f>IF(L16=0,0,L16/TrRail_act!L11*1000)</f>
        <v>19.432718917300726</v>
      </c>
      <c r="M45" s="87">
        <f>IF(M16=0,0,M16/TrRail_act!M11*1000)</f>
        <v>17.753580260843524</v>
      </c>
      <c r="N45" s="87">
        <f>IF(N16=0,0,N16/TrRail_act!N11*1000)</f>
        <v>16.969873172582179</v>
      </c>
      <c r="O45" s="87">
        <f>IF(O16=0,0,O16/TrRail_act!O11*1000)</f>
        <v>16.526973855929139</v>
      </c>
      <c r="P45" s="87">
        <f>IF(P16=0,0,P16/TrRail_act!P11*1000)</f>
        <v>15.962558864036934</v>
      </c>
      <c r="Q45" s="87">
        <f>IF(Q16=0,0,Q16/TrRail_act!Q11*1000)</f>
        <v>15.335255703491342</v>
      </c>
      <c r="R45" s="87">
        <f>IF(R16=0,0,R16/TrRail_act!R11*1000)</f>
        <v>16.291158867960874</v>
      </c>
      <c r="S45" s="87">
        <f>IF(S16=0,0,S16/TrRail_act!S11*1000)</f>
        <v>15.912214466400256</v>
      </c>
      <c r="T45" s="87">
        <f>IF(T16=0,0,T16/TrRail_act!T11*1000)</f>
        <v>14.938691161532372</v>
      </c>
      <c r="U45" s="87">
        <f>IF(U16=0,0,U16/TrRail_act!U11*1000)</f>
        <v>14.770893700368553</v>
      </c>
      <c r="V45" s="87">
        <f>IF(V16=0,0,V16/TrRail_act!V11*1000)</f>
        <v>18.105980706830952</v>
      </c>
      <c r="W45" s="87">
        <f>IF(W16=0,0,W16/TrRail_act!W11*1000)</f>
        <v>17.305541640788892</v>
      </c>
      <c r="X45" s="87">
        <f>IF(X16=0,0,X16/TrRail_act!X11*1000)</f>
        <v>15.844852996528997</v>
      </c>
      <c r="Y45" s="87">
        <f>IF(Y16=0,0,Y16/TrRail_act!Y11*1000)</f>
        <v>16.340285106596333</v>
      </c>
      <c r="DA45" s="171" t="s">
        <v>1157</v>
      </c>
    </row>
    <row r="46" spans="1:105" ht="11.45" customHeight="1" x14ac:dyDescent="0.25">
      <c r="A46" s="85" t="s">
        <v>93</v>
      </c>
      <c r="B46" s="88">
        <f>IF(B17=0,0,B17/TrRail_act!B12*1000)</f>
        <v>0</v>
      </c>
      <c r="C46" s="88">
        <f>IF(C17=0,0,C17/TrRail_act!C12*1000)</f>
        <v>0</v>
      </c>
      <c r="D46" s="88">
        <f>IF(D17=0,0,D17/TrRail_act!D12*1000)</f>
        <v>0</v>
      </c>
      <c r="E46" s="88">
        <f>IF(E17=0,0,E17/TrRail_act!E12*1000)</f>
        <v>0</v>
      </c>
      <c r="F46" s="88">
        <f>IF(F17=0,0,F17/TrRail_act!F12*1000)</f>
        <v>0</v>
      </c>
      <c r="G46" s="88">
        <f>IF(G17=0,0,G17/TrRail_act!G12*1000)</f>
        <v>0</v>
      </c>
      <c r="H46" s="88">
        <f>IF(H17=0,0,H17/TrRail_act!H12*1000)</f>
        <v>0</v>
      </c>
      <c r="I46" s="88">
        <f>IF(I17=0,0,I17/TrRail_act!I12*1000)</f>
        <v>0</v>
      </c>
      <c r="J46" s="88">
        <f>IF(J17=0,0,J17/TrRail_act!J12*1000)</f>
        <v>0</v>
      </c>
      <c r="K46" s="88">
        <f>IF(K17=0,0,K17/TrRail_act!K12*1000)</f>
        <v>0</v>
      </c>
      <c r="L46" s="88">
        <f>IF(L17=0,0,L17/TrRail_act!L12*1000)</f>
        <v>0</v>
      </c>
      <c r="M46" s="88">
        <f>IF(M17=0,0,M17/TrRail_act!M12*1000)</f>
        <v>0</v>
      </c>
      <c r="N46" s="88">
        <f>IF(N17=0,0,N17/TrRail_act!N12*1000)</f>
        <v>0</v>
      </c>
      <c r="O46" s="88">
        <f>IF(O17=0,0,O17/TrRail_act!O12*1000)</f>
        <v>0</v>
      </c>
      <c r="P46" s="88">
        <f>IF(P17=0,0,P17/TrRail_act!P12*1000)</f>
        <v>0</v>
      </c>
      <c r="Q46" s="88">
        <f>IF(Q17=0,0,Q17/TrRail_act!Q12*1000)</f>
        <v>0</v>
      </c>
      <c r="R46" s="88">
        <f>IF(R17=0,0,R17/TrRail_act!R12*1000)</f>
        <v>0</v>
      </c>
      <c r="S46" s="88">
        <f>IF(S17=0,0,S17/TrRail_act!S12*1000)</f>
        <v>0</v>
      </c>
      <c r="T46" s="88">
        <f>IF(T17=0,0,T17/TrRail_act!T12*1000)</f>
        <v>0</v>
      </c>
      <c r="U46" s="88">
        <f>IF(U17=0,0,U17/TrRail_act!U12*1000)</f>
        <v>0</v>
      </c>
      <c r="V46" s="88">
        <f>IF(V17=0,0,V17/TrRail_act!V12*1000)</f>
        <v>0</v>
      </c>
      <c r="W46" s="88">
        <f>IF(W17=0,0,W17/TrRail_act!W12*1000)</f>
        <v>0</v>
      </c>
      <c r="X46" s="88">
        <f>IF(X17=0,0,X17/TrRail_act!X12*1000)</f>
        <v>0</v>
      </c>
      <c r="Y46" s="88">
        <f>IF(Y17=0,0,Y17/TrRail_act!Y12*1000)</f>
        <v>0</v>
      </c>
      <c r="DA46" s="178" t="s">
        <v>1158</v>
      </c>
    </row>
    <row r="47" spans="1:105" x14ac:dyDescent="0.25">
      <c r="A47" s="106"/>
      <c r="B47" s="106"/>
      <c r="C47" s="106"/>
      <c r="D47" s="106"/>
      <c r="E47" s="106"/>
      <c r="F47" s="106"/>
      <c r="G47" s="106"/>
      <c r="H47" s="106"/>
      <c r="I47" s="106"/>
      <c r="J47" s="106"/>
      <c r="K47" s="106"/>
      <c r="L47" s="106"/>
      <c r="M47" s="106"/>
      <c r="N47" s="106"/>
      <c r="O47" s="106"/>
      <c r="P47" s="106"/>
      <c r="Q47" s="106"/>
      <c r="R47" s="106"/>
      <c r="S47" s="106"/>
      <c r="T47" s="106"/>
      <c r="U47" s="106"/>
      <c r="V47" s="106"/>
      <c r="W47" s="106"/>
      <c r="X47" s="106"/>
      <c r="Y47" s="106"/>
      <c r="DA47" s="171"/>
    </row>
    <row r="48" spans="1:105" ht="11.45" customHeight="1" x14ac:dyDescent="0.25">
      <c r="A48" s="53" t="s">
        <v>94</v>
      </c>
      <c r="B48" s="62">
        <f>IF(B8=0,0,1000000*B8/TrRail_act!B25/1000)</f>
        <v>139.76413717822209</v>
      </c>
      <c r="C48" s="62">
        <f>IF(C8=0,0,1000000*C8/TrRail_act!C25/1000)</f>
        <v>135.45006357322481</v>
      </c>
      <c r="D48" s="62">
        <f>IF(D8=0,0,1000000*D8/TrRail_act!D25/1000)</f>
        <v>131.5374919516357</v>
      </c>
      <c r="E48" s="62">
        <f>IF(E8=0,0,1000000*E8/TrRail_act!E25/1000)</f>
        <v>129.58134107317872</v>
      </c>
      <c r="F48" s="62">
        <f>IF(F8=0,0,1000000*F8/TrRail_act!F25/1000)</f>
        <v>127.3854971099318</v>
      </c>
      <c r="G48" s="62">
        <f>IF(G8=0,0,1000000*G8/TrRail_act!G25/1000)</f>
        <v>126.1572879475069</v>
      </c>
      <c r="H48" s="62">
        <f>IF(H8=0,0,1000000*H8/TrRail_act!H25/1000)</f>
        <v>124.77544716400604</v>
      </c>
      <c r="I48" s="62">
        <f>IF(I8=0,0,1000000*I8/TrRail_act!I25/1000)</f>
        <v>126.44693909804607</v>
      </c>
      <c r="J48" s="62">
        <f>IF(J8=0,0,1000000*J8/TrRail_act!J25/1000)</f>
        <v>123.22817509230512</v>
      </c>
      <c r="K48" s="62">
        <f>IF(K8=0,0,1000000*K8/TrRail_act!K25/1000)</f>
        <v>104.82458853787152</v>
      </c>
      <c r="L48" s="62">
        <f>IF(L8=0,0,1000000*L8/TrRail_act!L25/1000)</f>
        <v>109.72251002907302</v>
      </c>
      <c r="M48" s="62">
        <f>IF(M8=0,0,1000000*M8/TrRail_act!M25/1000)</f>
        <v>106.78843617038653</v>
      </c>
      <c r="N48" s="62">
        <f>IF(N8=0,0,1000000*N8/TrRail_act!N25/1000)</f>
        <v>85.815616674515411</v>
      </c>
      <c r="O48" s="62">
        <f>IF(O8=0,0,1000000*O8/TrRail_act!O25/1000)</f>
        <v>84.023876811646062</v>
      </c>
      <c r="P48" s="62">
        <f>IF(P8=0,0,1000000*P8/TrRail_act!P25/1000)</f>
        <v>87.672812035953172</v>
      </c>
      <c r="Q48" s="62">
        <f>IF(Q8=0,0,1000000*Q8/TrRail_act!Q25/1000)</f>
        <v>91.518967371608284</v>
      </c>
      <c r="R48" s="62">
        <f>IF(R8=0,0,1000000*R8/TrRail_act!R25/1000)</f>
        <v>85.688915274106606</v>
      </c>
      <c r="S48" s="62">
        <f>IF(S8=0,0,1000000*S8/TrRail_act!S25/1000)</f>
        <v>83.952058118554547</v>
      </c>
      <c r="T48" s="62">
        <f>IF(T8=0,0,1000000*T8/TrRail_act!T25/1000)</f>
        <v>63.663697853927381</v>
      </c>
      <c r="U48" s="62">
        <f>IF(U8=0,0,1000000*U8/TrRail_act!U25/1000)</f>
        <v>54.646379655425093</v>
      </c>
      <c r="V48" s="62">
        <f>IF(V8=0,0,1000000*V8/TrRail_act!V25/1000)</f>
        <v>59.425912137554988</v>
      </c>
      <c r="W48" s="62">
        <f>IF(W8=0,0,1000000*W8/TrRail_act!W25/1000)</f>
        <v>56.629922751700626</v>
      </c>
      <c r="X48" s="62">
        <f>IF(X8=0,0,1000000*X8/TrRail_act!X25/1000)</f>
        <v>58.706844399197173</v>
      </c>
      <c r="Y48" s="62">
        <f>IF(Y8=0,0,1000000*Y8/TrRail_act!Y25/1000)</f>
        <v>66.167216543207701</v>
      </c>
      <c r="DA48" s="172" t="s">
        <v>1159</v>
      </c>
    </row>
    <row r="49" spans="1:105" ht="11.45" customHeight="1" x14ac:dyDescent="0.25">
      <c r="A49" s="27" t="s">
        <v>33</v>
      </c>
      <c r="B49" s="29">
        <f>IF(B9=0,0,1000000*B9/TrRail_act!B26/1000)</f>
        <v>90.31545797004523</v>
      </c>
      <c r="C49" s="29">
        <f>IF(C9=0,0,1000000*C9/TrRail_act!C26/1000)</f>
        <v>89.321760015422797</v>
      </c>
      <c r="D49" s="29">
        <f>IF(D9=0,0,1000000*D9/TrRail_act!D26/1000)</f>
        <v>90.189572462590519</v>
      </c>
      <c r="E49" s="29">
        <f>IF(E9=0,0,1000000*E9/TrRail_act!E26/1000)</f>
        <v>84.02575798888877</v>
      </c>
      <c r="F49" s="29">
        <f>IF(F9=0,0,1000000*F9/TrRail_act!F26/1000)</f>
        <v>77.7840694204871</v>
      </c>
      <c r="G49" s="29">
        <f>IF(G9=0,0,1000000*G9/TrRail_act!G26/1000)</f>
        <v>77.964890192050149</v>
      </c>
      <c r="H49" s="29">
        <f>IF(H9=0,0,1000000*H9/TrRail_act!H26/1000)</f>
        <v>74.041872107618758</v>
      </c>
      <c r="I49" s="29">
        <f>IF(I9=0,0,1000000*I9/TrRail_act!I26/1000)</f>
        <v>70.277866149252262</v>
      </c>
      <c r="J49" s="29">
        <f>IF(J9=0,0,1000000*J9/TrRail_act!J26/1000)</f>
        <v>73.171269756215821</v>
      </c>
      <c r="K49" s="29">
        <f>IF(K9=0,0,1000000*K9/TrRail_act!K26/1000)</f>
        <v>68.934799242586436</v>
      </c>
      <c r="L49" s="29">
        <f>IF(L9=0,0,1000000*L9/TrRail_act!L26/1000)</f>
        <v>71.004733169770873</v>
      </c>
      <c r="M49" s="29">
        <f>IF(M9=0,0,1000000*M9/TrRail_act!M26/1000)</f>
        <v>69.600507881748001</v>
      </c>
      <c r="N49" s="29">
        <f>IF(N9=0,0,1000000*N9/TrRail_act!N26/1000)</f>
        <v>56.788079008748049</v>
      </c>
      <c r="O49" s="29">
        <f>IF(O9=0,0,1000000*O9/TrRail_act!O26/1000)</f>
        <v>56.253773743064393</v>
      </c>
      <c r="P49" s="29">
        <f>IF(P9=0,0,1000000*P9/TrRail_act!P26/1000)</f>
        <v>58.403511133746193</v>
      </c>
      <c r="Q49" s="29">
        <f>IF(Q9=0,0,1000000*Q9/TrRail_act!Q26/1000)</f>
        <v>60.761493641363323</v>
      </c>
      <c r="R49" s="29">
        <f>IF(R9=0,0,1000000*R9/TrRail_act!R26/1000)</f>
        <v>55.341165319291775</v>
      </c>
      <c r="S49" s="29">
        <f>IF(S9=0,0,1000000*S9/TrRail_act!S26/1000)</f>
        <v>55.666275529050104</v>
      </c>
      <c r="T49" s="29">
        <f>IF(T9=0,0,1000000*T9/TrRail_act!T26/1000)</f>
        <v>41.03887215028557</v>
      </c>
      <c r="U49" s="29">
        <f>IF(U9=0,0,1000000*U9/TrRail_act!U26/1000)</f>
        <v>34.915681249264793</v>
      </c>
      <c r="V49" s="29">
        <f>IF(V9=0,0,1000000*V9/TrRail_act!V26/1000)</f>
        <v>31.768999252217373</v>
      </c>
      <c r="W49" s="29">
        <f>IF(W9=0,0,1000000*W9/TrRail_act!W26/1000)</f>
        <v>28.695273852556788</v>
      </c>
      <c r="X49" s="29">
        <f>IF(X9=0,0,1000000*X9/TrRail_act!X26/1000)</f>
        <v>34.125330439541308</v>
      </c>
      <c r="Y49" s="29">
        <f>IF(Y9=0,0,1000000*Y9/TrRail_act!Y26/1000)</f>
        <v>40.732646853078165</v>
      </c>
      <c r="DA49" s="173" t="s">
        <v>1160</v>
      </c>
    </row>
    <row r="50" spans="1:105" ht="11.45" customHeight="1" x14ac:dyDescent="0.25">
      <c r="A50" s="107" t="s">
        <v>23</v>
      </c>
      <c r="B50" s="115">
        <f>IF(B10=0,0,1000000*B10/TrRail_act!B27/1000)</f>
        <v>0</v>
      </c>
      <c r="C50" s="115">
        <f>IF(C10=0,0,1000000*C10/TrRail_act!C27/1000)</f>
        <v>0</v>
      </c>
      <c r="D50" s="115">
        <f>IF(D10=0,0,1000000*D10/TrRail_act!D27/1000)</f>
        <v>0</v>
      </c>
      <c r="E50" s="115">
        <f>IF(E10=0,0,1000000*E10/TrRail_act!E27/1000)</f>
        <v>0</v>
      </c>
      <c r="F50" s="115">
        <f>IF(F10=0,0,1000000*F10/TrRail_act!F27/1000)</f>
        <v>0</v>
      </c>
      <c r="G50" s="115">
        <f>IF(G10=0,0,1000000*G10/TrRail_act!G27/1000)</f>
        <v>0</v>
      </c>
      <c r="H50" s="115">
        <f>IF(H10=0,0,1000000*H10/TrRail_act!H27/1000)</f>
        <v>0</v>
      </c>
      <c r="I50" s="115">
        <f>IF(I10=0,0,1000000*I10/TrRail_act!I27/1000)</f>
        <v>0</v>
      </c>
      <c r="J50" s="115">
        <f>IF(J10=0,0,1000000*J10/TrRail_act!J27/1000)</f>
        <v>0</v>
      </c>
      <c r="K50" s="115">
        <f>IF(K10=0,0,1000000*K10/TrRail_act!K27/1000)</f>
        <v>0</v>
      </c>
      <c r="L50" s="115">
        <f>IF(L10=0,0,1000000*L10/TrRail_act!L27/1000)</f>
        <v>0</v>
      </c>
      <c r="M50" s="115">
        <f>IF(M10=0,0,1000000*M10/TrRail_act!M27/1000)</f>
        <v>0</v>
      </c>
      <c r="N50" s="115">
        <f>IF(N10=0,0,1000000*N10/TrRail_act!N27/1000)</f>
        <v>0</v>
      </c>
      <c r="O50" s="115">
        <f>IF(O10=0,0,1000000*O10/TrRail_act!O27/1000)</f>
        <v>0</v>
      </c>
      <c r="P50" s="115">
        <f>IF(P10=0,0,1000000*P10/TrRail_act!P27/1000)</f>
        <v>0</v>
      </c>
      <c r="Q50" s="115">
        <f>IF(Q10=0,0,1000000*Q10/TrRail_act!Q27/1000)</f>
        <v>0</v>
      </c>
      <c r="R50" s="115">
        <f>IF(R10=0,0,1000000*R10/TrRail_act!R27/1000)</f>
        <v>0</v>
      </c>
      <c r="S50" s="115">
        <f>IF(S10=0,0,1000000*S10/TrRail_act!S27/1000)</f>
        <v>0</v>
      </c>
      <c r="T50" s="115">
        <f>IF(T10=0,0,1000000*T10/TrRail_act!T27/1000)</f>
        <v>0</v>
      </c>
      <c r="U50" s="115">
        <f>IF(U10=0,0,1000000*U10/TrRail_act!U27/1000)</f>
        <v>0</v>
      </c>
      <c r="V50" s="115">
        <f>IF(V10=0,0,1000000*V10/TrRail_act!V27/1000)</f>
        <v>0</v>
      </c>
      <c r="W50" s="115">
        <f>IF(W10=0,0,1000000*W10/TrRail_act!W27/1000)</f>
        <v>0</v>
      </c>
      <c r="X50" s="115">
        <f>IF(X10=0,0,1000000*X10/TrRail_act!X27/1000)</f>
        <v>0</v>
      </c>
      <c r="Y50" s="115">
        <f>IF(Y10=0,0,1000000*Y10/TrRail_act!Y27/1000)</f>
        <v>0</v>
      </c>
      <c r="DA50" s="203" t="s">
        <v>1161</v>
      </c>
    </row>
    <row r="51" spans="1:105" ht="11.45" customHeight="1" x14ac:dyDescent="0.25">
      <c r="A51" s="109" t="s">
        <v>24</v>
      </c>
      <c r="B51" s="116">
        <f>IF(B11=0,0,1000000*B11/TrRail_act!B28/1000)</f>
        <v>99.636277041443947</v>
      </c>
      <c r="C51" s="116">
        <f>IF(C11=0,0,1000000*C11/TrRail_act!C28/1000)</f>
        <v>99.141977151251709</v>
      </c>
      <c r="D51" s="116">
        <f>IF(D11=0,0,1000000*D11/TrRail_act!D28/1000)</f>
        <v>99.732295159627881</v>
      </c>
      <c r="E51" s="116">
        <f>IF(E11=0,0,1000000*E11/TrRail_act!E28/1000)</f>
        <v>93.48664725287486</v>
      </c>
      <c r="F51" s="116">
        <f>IF(F11=0,0,1000000*F11/TrRail_act!F28/1000)</f>
        <v>86.69839983257674</v>
      </c>
      <c r="G51" s="116">
        <f>IF(G11=0,0,1000000*G11/TrRail_act!G28/1000)</f>
        <v>87.330700517611092</v>
      </c>
      <c r="H51" s="116">
        <f>IF(H11=0,0,1000000*H11/TrRail_act!H28/1000)</f>
        <v>83.149031962541144</v>
      </c>
      <c r="I51" s="116">
        <f>IF(I11=0,0,1000000*I11/TrRail_act!I28/1000)</f>
        <v>79.623543313706122</v>
      </c>
      <c r="J51" s="116">
        <f>IF(J11=0,0,1000000*J11/TrRail_act!J28/1000)</f>
        <v>82.961431058852256</v>
      </c>
      <c r="K51" s="116">
        <f>IF(K11=0,0,1000000*K11/TrRail_act!K28/1000)</f>
        <v>77.326214451620388</v>
      </c>
      <c r="L51" s="116">
        <f>IF(L11=0,0,1000000*L11/TrRail_act!L28/1000)</f>
        <v>79.359731308391261</v>
      </c>
      <c r="M51" s="116">
        <f>IF(M11=0,0,1000000*M11/TrRail_act!M28/1000)</f>
        <v>78.159731734632047</v>
      </c>
      <c r="N51" s="116">
        <f>IF(N11=0,0,1000000*N11/TrRail_act!N28/1000)</f>
        <v>63.105821138522181</v>
      </c>
      <c r="O51" s="116">
        <f>IF(O11=0,0,1000000*O11/TrRail_act!O28/1000)</f>
        <v>62.529630952740746</v>
      </c>
      <c r="P51" s="116">
        <f>IF(P11=0,0,1000000*P11/TrRail_act!P28/1000)</f>
        <v>64.880695368417278</v>
      </c>
      <c r="Q51" s="116">
        <f>IF(Q11=0,0,1000000*Q11/TrRail_act!Q28/1000)</f>
        <v>68.52527955445116</v>
      </c>
      <c r="R51" s="116">
        <f>IF(R11=0,0,1000000*R11/TrRail_act!R28/1000)</f>
        <v>61.899631761634836</v>
      </c>
      <c r="S51" s="116">
        <f>IF(S11=0,0,1000000*S11/TrRail_act!S28/1000)</f>
        <v>61.839467318449472</v>
      </c>
      <c r="T51" s="116">
        <f>IF(T11=0,0,1000000*T11/TrRail_act!T28/1000)</f>
        <v>46.181388845139239</v>
      </c>
      <c r="U51" s="116">
        <f>IF(U11=0,0,1000000*U11/TrRail_act!U28/1000)</f>
        <v>39.219678370789886</v>
      </c>
      <c r="V51" s="116">
        <f>IF(V11=0,0,1000000*V11/TrRail_act!V28/1000)</f>
        <v>35.737715811269119</v>
      </c>
      <c r="W51" s="116">
        <f>IF(W11=0,0,1000000*W11/TrRail_act!W28/1000)</f>
        <v>32.142566956996625</v>
      </c>
      <c r="X51" s="116">
        <f>IF(X11=0,0,1000000*X11/TrRail_act!X28/1000)</f>
        <v>37.730955160035698</v>
      </c>
      <c r="Y51" s="116">
        <f>IF(Y11=0,0,1000000*Y11/TrRail_act!Y28/1000)</f>
        <v>44.649641216653549</v>
      </c>
      <c r="DA51" s="176" t="s">
        <v>1162</v>
      </c>
    </row>
    <row r="52" spans="1:105" ht="11.45" customHeight="1" x14ac:dyDescent="0.25">
      <c r="A52" s="111" t="s">
        <v>92</v>
      </c>
      <c r="B52" s="87">
        <f>IF(B12=0,0,1000000*B12/TrRail_act!B29/1000)</f>
        <v>1079.9078436354673</v>
      </c>
      <c r="C52" s="87">
        <f>IF(C12=0,0,1000000*C12/TrRail_act!C29/1000)</f>
        <v>1076.7479153310517</v>
      </c>
      <c r="D52" s="87">
        <f>IF(D12=0,0,1000000*D12/TrRail_act!D29/1000)</f>
        <v>1070.1917911016583</v>
      </c>
      <c r="E52" s="87">
        <f>IF(E12=0,0,1000000*E12/TrRail_act!E29/1000)</f>
        <v>1062.7328732174569</v>
      </c>
      <c r="F52" s="87">
        <f>IF(F12=0,0,1000000*F12/TrRail_act!F29/1000)</f>
        <v>1049.3713113847471</v>
      </c>
      <c r="G52" s="87">
        <f>IF(G12=0,0,1000000*G12/TrRail_act!G29/1000)</f>
        <v>1051.4220535237675</v>
      </c>
      <c r="H52" s="87">
        <f>IF(H12=0,0,1000000*H12/TrRail_act!H29/1000)</f>
        <v>1036.7954333022312</v>
      </c>
      <c r="I52" s="87">
        <f>IF(I12=0,0,1000000*I12/TrRail_act!I29/1000)</f>
        <v>1033.9841534796658</v>
      </c>
      <c r="J52" s="87">
        <f>IF(J12=0,0,1000000*J12/TrRail_act!J29/1000)</f>
        <v>1018.2639062668804</v>
      </c>
      <c r="K52" s="87">
        <f>IF(K12=0,0,1000000*K12/TrRail_act!K29/1000)</f>
        <v>1009.6698475401643</v>
      </c>
      <c r="L52" s="87">
        <f>IF(L12=0,0,1000000*L12/TrRail_act!L29/1000)</f>
        <v>994.30096271049422</v>
      </c>
      <c r="M52" s="87">
        <f>IF(M12=0,0,1000000*M12/TrRail_act!M29/1000)</f>
        <v>978.62756602038405</v>
      </c>
      <c r="N52" s="87">
        <f>IF(N12=0,0,1000000*N12/TrRail_act!N29/1000)</f>
        <v>900.66207711457605</v>
      </c>
      <c r="O52" s="87">
        <f>IF(O12=0,0,1000000*O12/TrRail_act!O29/1000)</f>
        <v>900.92542698127795</v>
      </c>
      <c r="P52" s="87">
        <f>IF(P12=0,0,1000000*P12/TrRail_act!P29/1000)</f>
        <v>897.19676055840375</v>
      </c>
      <c r="Q52" s="87">
        <f>IF(Q12=0,0,1000000*Q12/TrRail_act!Q29/1000)</f>
        <v>888.82769549165016</v>
      </c>
      <c r="R52" s="87">
        <f>IF(R12=0,0,1000000*R12/TrRail_act!R29/1000)</f>
        <v>873.76549864026231</v>
      </c>
      <c r="S52" s="87">
        <f>IF(S12=0,0,1000000*S12/TrRail_act!S29/1000)</f>
        <v>841.4069539947792</v>
      </c>
      <c r="T52" s="87">
        <f>IF(T12=0,0,1000000*T12/TrRail_act!T29/1000)</f>
        <v>712.05053694424987</v>
      </c>
      <c r="U52" s="87">
        <f>IF(U12=0,0,1000000*U12/TrRail_act!U29/1000)</f>
        <v>689.31735497103557</v>
      </c>
      <c r="V52" s="87">
        <f>IF(V12=0,0,1000000*V12/TrRail_act!V29/1000)</f>
        <v>662.08235033162134</v>
      </c>
      <c r="W52" s="87">
        <f>IF(W12=0,0,1000000*W12/TrRail_act!W29/1000)</f>
        <v>671.76099367056645</v>
      </c>
      <c r="X52" s="87">
        <f>IF(X12=0,0,1000000*X12/TrRail_act!X29/1000)</f>
        <v>741.58424134578149</v>
      </c>
      <c r="Y52" s="87">
        <f>IF(Y12=0,0,1000000*Y12/TrRail_act!Y29/1000)</f>
        <v>737.18479570855447</v>
      </c>
      <c r="DA52" s="171" t="s">
        <v>1163</v>
      </c>
    </row>
    <row r="53" spans="1:105" ht="11.45" customHeight="1" x14ac:dyDescent="0.25">
      <c r="A53" s="111" t="s">
        <v>93</v>
      </c>
      <c r="B53" s="87">
        <f>IF(B13=0,0,1000000*B13/TrRail_act!B30/1000)</f>
        <v>0</v>
      </c>
      <c r="C53" s="87">
        <f>IF(C13=0,0,1000000*C13/TrRail_act!C30/1000)</f>
        <v>0</v>
      </c>
      <c r="D53" s="87">
        <f>IF(D13=0,0,1000000*D13/TrRail_act!D30/1000)</f>
        <v>0</v>
      </c>
      <c r="E53" s="87">
        <f>IF(E13=0,0,1000000*E13/TrRail_act!E30/1000)</f>
        <v>0</v>
      </c>
      <c r="F53" s="87">
        <f>IF(F13=0,0,1000000*F13/TrRail_act!F30/1000)</f>
        <v>0</v>
      </c>
      <c r="G53" s="87">
        <f>IF(G13=0,0,1000000*G13/TrRail_act!G30/1000)</f>
        <v>0</v>
      </c>
      <c r="H53" s="87">
        <f>IF(H13=0,0,1000000*H13/TrRail_act!H30/1000)</f>
        <v>0</v>
      </c>
      <c r="I53" s="87">
        <f>IF(I13=0,0,1000000*I13/TrRail_act!I30/1000)</f>
        <v>0</v>
      </c>
      <c r="J53" s="87">
        <f>IF(J13=0,0,1000000*J13/TrRail_act!J30/1000)</f>
        <v>0</v>
      </c>
      <c r="K53" s="87">
        <f>IF(K13=0,0,1000000*K13/TrRail_act!K30/1000)</f>
        <v>0</v>
      </c>
      <c r="L53" s="87">
        <f>IF(L13=0,0,1000000*L13/TrRail_act!L30/1000)</f>
        <v>0</v>
      </c>
      <c r="M53" s="87">
        <f>IF(M13=0,0,1000000*M13/TrRail_act!M30/1000)</f>
        <v>0</v>
      </c>
      <c r="N53" s="87">
        <f>IF(N13=0,0,1000000*N13/TrRail_act!N30/1000)</f>
        <v>0</v>
      </c>
      <c r="O53" s="87">
        <f>IF(O13=0,0,1000000*O13/TrRail_act!O30/1000)</f>
        <v>0</v>
      </c>
      <c r="P53" s="87">
        <f>IF(P13=0,0,1000000*P13/TrRail_act!P30/1000)</f>
        <v>0</v>
      </c>
      <c r="Q53" s="87">
        <f>IF(Q13=0,0,1000000*Q13/TrRail_act!Q30/1000)</f>
        <v>0</v>
      </c>
      <c r="R53" s="87">
        <f>IF(R13=0,0,1000000*R13/TrRail_act!R30/1000)</f>
        <v>0</v>
      </c>
      <c r="S53" s="87">
        <f>IF(S13=0,0,1000000*S13/TrRail_act!S30/1000)</f>
        <v>0</v>
      </c>
      <c r="T53" s="87">
        <f>IF(T13=0,0,1000000*T13/TrRail_act!T30/1000)</f>
        <v>0</v>
      </c>
      <c r="U53" s="87">
        <f>IF(U13=0,0,1000000*U13/TrRail_act!U30/1000)</f>
        <v>0</v>
      </c>
      <c r="V53" s="87">
        <f>IF(V13=0,0,1000000*V13/TrRail_act!V30/1000)</f>
        <v>0</v>
      </c>
      <c r="W53" s="87">
        <f>IF(W13=0,0,1000000*W13/TrRail_act!W30/1000)</f>
        <v>0</v>
      </c>
      <c r="X53" s="87">
        <f>IF(X13=0,0,1000000*X13/TrRail_act!X30/1000)</f>
        <v>0</v>
      </c>
      <c r="Y53" s="87">
        <f>IF(Y13=0,0,1000000*Y13/TrRail_act!Y30/1000)</f>
        <v>0</v>
      </c>
      <c r="DA53" s="171" t="s">
        <v>1164</v>
      </c>
    </row>
    <row r="54" spans="1:105" ht="11.45" customHeight="1" x14ac:dyDescent="0.25">
      <c r="A54" s="112" t="s">
        <v>25</v>
      </c>
      <c r="B54" s="117">
        <f>IF(B14=0,0,1000000*B14/TrRail_act!B31/1000)</f>
        <v>0</v>
      </c>
      <c r="C54" s="117">
        <f>IF(C14=0,0,1000000*C14/TrRail_act!C31/1000)</f>
        <v>0</v>
      </c>
      <c r="D54" s="117">
        <f>IF(D14=0,0,1000000*D14/TrRail_act!D31/1000)</f>
        <v>0</v>
      </c>
      <c r="E54" s="117">
        <f>IF(E14=0,0,1000000*E14/TrRail_act!E31/1000)</f>
        <v>0</v>
      </c>
      <c r="F54" s="117">
        <f>IF(F14=0,0,1000000*F14/TrRail_act!F31/1000)</f>
        <v>0</v>
      </c>
      <c r="G54" s="117">
        <f>IF(G14=0,0,1000000*G14/TrRail_act!G31/1000)</f>
        <v>0</v>
      </c>
      <c r="H54" s="117">
        <f>IF(H14=0,0,1000000*H14/TrRail_act!H31/1000)</f>
        <v>0</v>
      </c>
      <c r="I54" s="117">
        <f>IF(I14=0,0,1000000*I14/TrRail_act!I31/1000)</f>
        <v>0</v>
      </c>
      <c r="J54" s="117">
        <f>IF(J14=0,0,1000000*J14/TrRail_act!J31/1000)</f>
        <v>0</v>
      </c>
      <c r="K54" s="117">
        <f>IF(K14=0,0,1000000*K14/TrRail_act!K31/1000)</f>
        <v>0</v>
      </c>
      <c r="L54" s="117">
        <f>IF(L14=0,0,1000000*L14/TrRail_act!L31/1000)</f>
        <v>0</v>
      </c>
      <c r="M54" s="117">
        <f>IF(M14=0,0,1000000*M14/TrRail_act!M31/1000)</f>
        <v>0</v>
      </c>
      <c r="N54" s="117">
        <f>IF(N14=0,0,1000000*N14/TrRail_act!N31/1000)</f>
        <v>0</v>
      </c>
      <c r="O54" s="117">
        <f>IF(O14=0,0,1000000*O14/TrRail_act!O31/1000)</f>
        <v>0</v>
      </c>
      <c r="P54" s="117">
        <f>IF(P14=0,0,1000000*P14/TrRail_act!P31/1000)</f>
        <v>0</v>
      </c>
      <c r="Q54" s="117">
        <f>IF(Q14=0,0,1000000*Q14/TrRail_act!Q31/1000)</f>
        <v>0</v>
      </c>
      <c r="R54" s="117">
        <f>IF(R14=0,0,1000000*R14/TrRail_act!R31/1000)</f>
        <v>0</v>
      </c>
      <c r="S54" s="117">
        <f>IF(S14=0,0,1000000*S14/TrRail_act!S31/1000)</f>
        <v>0</v>
      </c>
      <c r="T54" s="117">
        <f>IF(T14=0,0,1000000*T14/TrRail_act!T31/1000)</f>
        <v>0</v>
      </c>
      <c r="U54" s="117">
        <f>IF(U14=0,0,1000000*U14/TrRail_act!U31/1000)</f>
        <v>0</v>
      </c>
      <c r="V54" s="117">
        <f>IF(V14=0,0,1000000*V14/TrRail_act!V31/1000)</f>
        <v>0</v>
      </c>
      <c r="W54" s="117">
        <f>IF(W14=0,0,1000000*W14/TrRail_act!W31/1000)</f>
        <v>0</v>
      </c>
      <c r="X54" s="117">
        <f>IF(X14=0,0,1000000*X14/TrRail_act!X31/1000)</f>
        <v>0</v>
      </c>
      <c r="Y54" s="117">
        <f>IF(Y14=0,0,1000000*Y14/TrRail_act!Y31/1000)</f>
        <v>0</v>
      </c>
      <c r="DA54" s="204" t="s">
        <v>1165</v>
      </c>
    </row>
    <row r="55" spans="1:105" ht="11.45" customHeight="1" x14ac:dyDescent="0.25">
      <c r="A55" s="27" t="s">
        <v>34</v>
      </c>
      <c r="B55" s="29">
        <f>IF(B15=0,0,1000000*B15/TrRail_act!B32/1000)</f>
        <v>1073.5755537563716</v>
      </c>
      <c r="C55" s="29">
        <f>IF(C15=0,0,1000000*C15/TrRail_act!C32/1000)</f>
        <v>971.47175303084282</v>
      </c>
      <c r="D55" s="29">
        <f>IF(D15=0,0,1000000*D15/TrRail_act!D32/1000)</f>
        <v>963.1896792090364</v>
      </c>
      <c r="E55" s="29">
        <f>IF(E15=0,0,1000000*E15/TrRail_act!E32/1000)</f>
        <v>1051.6942277454245</v>
      </c>
      <c r="F55" s="29">
        <f>IF(F15=0,0,1000000*F15/TrRail_act!F32/1000)</f>
        <v>969.84702177558961</v>
      </c>
      <c r="G55" s="29">
        <f>IF(G15=0,0,1000000*G15/TrRail_act!G32/1000)</f>
        <v>861.81223059114302</v>
      </c>
      <c r="H55" s="29">
        <f>IF(H15=0,0,1000000*H15/TrRail_act!H32/1000)</f>
        <v>905.34916844259044</v>
      </c>
      <c r="I55" s="29">
        <f>IF(I15=0,0,1000000*I15/TrRail_act!I32/1000)</f>
        <v>863.75817887371318</v>
      </c>
      <c r="J55" s="29">
        <f>IF(J15=0,0,1000000*J15/TrRail_act!J32/1000)</f>
        <v>800.28600277982741</v>
      </c>
      <c r="K55" s="29">
        <f>IF(K15=0,0,1000000*K15/TrRail_act!K32/1000)</f>
        <v>668.07440741077005</v>
      </c>
      <c r="L55" s="29">
        <f>IF(L15=0,0,1000000*L15/TrRail_act!L32/1000)</f>
        <v>725.65661100765215</v>
      </c>
      <c r="M55" s="29">
        <f>IF(M15=0,0,1000000*M15/TrRail_act!M32/1000)</f>
        <v>647.22332088349515</v>
      </c>
      <c r="N55" s="29">
        <f>IF(N15=0,0,1000000*N15/TrRail_act!N32/1000)</f>
        <v>517.19845714373957</v>
      </c>
      <c r="O55" s="29">
        <f>IF(O15=0,0,1000000*O15/TrRail_act!O32/1000)</f>
        <v>515.24843526143638</v>
      </c>
      <c r="P55" s="29">
        <f>IF(P15=0,0,1000000*P15/TrRail_act!P32/1000)</f>
        <v>547.91627827362345</v>
      </c>
      <c r="Q55" s="29">
        <f>IF(Q15=0,0,1000000*Q15/TrRail_act!Q32/1000)</f>
        <v>540.37416612546406</v>
      </c>
      <c r="R55" s="29">
        <f>IF(R15=0,0,1000000*R15/TrRail_act!R32/1000)</f>
        <v>565.32524341577721</v>
      </c>
      <c r="S55" s="29">
        <f>IF(S15=0,0,1000000*S15/TrRail_act!S32/1000)</f>
        <v>541.37777536732744</v>
      </c>
      <c r="T55" s="29">
        <f>IF(T15=0,0,1000000*T15/TrRail_act!T32/1000)</f>
        <v>409.80149561804473</v>
      </c>
      <c r="U55" s="29">
        <f>IF(U15=0,0,1000000*U15/TrRail_act!U32/1000)</f>
        <v>356.18238141204017</v>
      </c>
      <c r="V55" s="29">
        <f>IF(V15=0,0,1000000*V15/TrRail_act!V32/1000)</f>
        <v>443.53252362688312</v>
      </c>
      <c r="W55" s="29">
        <f>IF(W15=0,0,1000000*W15/TrRail_act!W32/1000)</f>
        <v>419.47895319155447</v>
      </c>
      <c r="X55" s="29">
        <f>IF(X15=0,0,1000000*X15/TrRail_act!X32/1000)</f>
        <v>399.13908285360725</v>
      </c>
      <c r="Y55" s="29">
        <f>IF(Y15=0,0,1000000*Y15/TrRail_act!Y32/1000)</f>
        <v>430.19927919684591</v>
      </c>
      <c r="DA55" s="173" t="s">
        <v>1166</v>
      </c>
    </row>
    <row r="56" spans="1:105" ht="11.45" customHeight="1" x14ac:dyDescent="0.25">
      <c r="A56" s="83" t="s">
        <v>92</v>
      </c>
      <c r="B56" s="87">
        <f>IF(B16=0,0,1000000*B16/TrRail_act!B33/1000)</f>
        <v>2920.796594325232</v>
      </c>
      <c r="C56" s="87">
        <f>IF(C16=0,0,1000000*C16/TrRail_act!C33/1000)</f>
        <v>2904.2440869060483</v>
      </c>
      <c r="D56" s="87">
        <f>IF(D16=0,0,1000000*D16/TrRail_act!D33/1000)</f>
        <v>2885.4710146370476</v>
      </c>
      <c r="E56" s="87">
        <f>IF(E16=0,0,1000000*E16/TrRail_act!E33/1000)</f>
        <v>2866.434357977771</v>
      </c>
      <c r="F56" s="87">
        <f>IF(F16=0,0,1000000*F16/TrRail_act!F33/1000)</f>
        <v>2874.6213981716264</v>
      </c>
      <c r="G56" s="87">
        <f>IF(G16=0,0,1000000*G16/TrRail_act!G33/1000)</f>
        <v>2865.4861564012767</v>
      </c>
      <c r="H56" s="87">
        <f>IF(H16=0,0,1000000*H16/TrRail_act!H33/1000)</f>
        <v>2825.7857054289771</v>
      </c>
      <c r="I56" s="87">
        <f>IF(I16=0,0,1000000*I16/TrRail_act!I33/1000)</f>
        <v>2834.1649030768626</v>
      </c>
      <c r="J56" s="87">
        <f>IF(J16=0,0,1000000*J16/TrRail_act!J33/1000)</f>
        <v>2659.6679335026402</v>
      </c>
      <c r="K56" s="87">
        <f>IF(K16=0,0,1000000*K16/TrRail_act!K33/1000)</f>
        <v>2257.9893278067011</v>
      </c>
      <c r="L56" s="87">
        <f>IF(L16=0,0,1000000*L16/TrRail_act!L33/1000)</f>
        <v>2638.2056093269912</v>
      </c>
      <c r="M56" s="87">
        <f>IF(M16=0,0,1000000*M16/TrRail_act!M33/1000)</f>
        <v>2512.0334221527705</v>
      </c>
      <c r="N56" s="87">
        <f>IF(N16=0,0,1000000*N16/TrRail_act!N33/1000)</f>
        <v>2197.5589125506699</v>
      </c>
      <c r="O56" s="87">
        <f>IF(O16=0,0,1000000*O16/TrRail_act!O33/1000)</f>
        <v>2399.2077595989426</v>
      </c>
      <c r="P56" s="87">
        <f>IF(P16=0,0,1000000*P16/TrRail_act!P33/1000)</f>
        <v>2352.1069475466611</v>
      </c>
      <c r="Q56" s="87">
        <f>IF(Q16=0,0,1000000*Q16/TrRail_act!Q33/1000)</f>
        <v>2374.4515168056569</v>
      </c>
      <c r="R56" s="87">
        <f>IF(R16=0,0,1000000*R16/TrRail_act!R33/1000)</f>
        <v>2391.4414576390304</v>
      </c>
      <c r="S56" s="87">
        <f>IF(S16=0,0,1000000*S16/TrRail_act!S33/1000)</f>
        <v>2356.9381187260947</v>
      </c>
      <c r="T56" s="87">
        <f>IF(T16=0,0,1000000*T16/TrRail_act!T33/1000)</f>
        <v>2184.9655365349263</v>
      </c>
      <c r="U56" s="87">
        <f>IF(U16=0,0,1000000*U16/TrRail_act!U33/1000)</f>
        <v>2188.6550650991971</v>
      </c>
      <c r="V56" s="87">
        <f>IF(V16=0,0,1000000*V16/TrRail_act!V33/1000)</f>
        <v>2263.62491835624</v>
      </c>
      <c r="W56" s="87">
        <f>IF(W16=0,0,1000000*W16/TrRail_act!W33/1000)</f>
        <v>2226.7279946554922</v>
      </c>
      <c r="X56" s="87">
        <f>IF(X16=0,0,1000000*X16/TrRail_act!X33/1000)</f>
        <v>2244.9271613665032</v>
      </c>
      <c r="Y56" s="87">
        <f>IF(Y16=0,0,1000000*Y16/TrRail_act!Y33/1000)</f>
        <v>2245.1195796822626</v>
      </c>
      <c r="DA56" s="171" t="s">
        <v>1167</v>
      </c>
    </row>
    <row r="57" spans="1:105" ht="11.45" customHeight="1" x14ac:dyDescent="0.25">
      <c r="A57" s="85" t="s">
        <v>93</v>
      </c>
      <c r="B57" s="88">
        <f>IF(B17=0,0,1000000*B17/TrRail_act!B34/1000)</f>
        <v>0</v>
      </c>
      <c r="C57" s="88">
        <f>IF(C17=0,0,1000000*C17/TrRail_act!C34/1000)</f>
        <v>0</v>
      </c>
      <c r="D57" s="88">
        <f>IF(D17=0,0,1000000*D17/TrRail_act!D34/1000)</f>
        <v>0</v>
      </c>
      <c r="E57" s="88">
        <f>IF(E17=0,0,1000000*E17/TrRail_act!E34/1000)</f>
        <v>0</v>
      </c>
      <c r="F57" s="88">
        <f>IF(F17=0,0,1000000*F17/TrRail_act!F34/1000)</f>
        <v>0</v>
      </c>
      <c r="G57" s="88">
        <f>IF(G17=0,0,1000000*G17/TrRail_act!G34/1000)</f>
        <v>0</v>
      </c>
      <c r="H57" s="88">
        <f>IF(H17=0,0,1000000*H17/TrRail_act!H34/1000)</f>
        <v>0</v>
      </c>
      <c r="I57" s="88">
        <f>IF(I17=0,0,1000000*I17/TrRail_act!I34/1000)</f>
        <v>0</v>
      </c>
      <c r="J57" s="88">
        <f>IF(J17=0,0,1000000*J17/TrRail_act!J34/1000)</f>
        <v>0</v>
      </c>
      <c r="K57" s="88">
        <f>IF(K17=0,0,1000000*K17/TrRail_act!K34/1000)</f>
        <v>0</v>
      </c>
      <c r="L57" s="88">
        <f>IF(L17=0,0,1000000*L17/TrRail_act!L34/1000)</f>
        <v>0</v>
      </c>
      <c r="M57" s="88">
        <f>IF(M17=0,0,1000000*M17/TrRail_act!M34/1000)</f>
        <v>0</v>
      </c>
      <c r="N57" s="88">
        <f>IF(N17=0,0,1000000*N17/TrRail_act!N34/1000)</f>
        <v>0</v>
      </c>
      <c r="O57" s="88">
        <f>IF(O17=0,0,1000000*O17/TrRail_act!O34/1000)</f>
        <v>0</v>
      </c>
      <c r="P57" s="88">
        <f>IF(P17=0,0,1000000*P17/TrRail_act!P34/1000)</f>
        <v>0</v>
      </c>
      <c r="Q57" s="88">
        <f>IF(Q17=0,0,1000000*Q17/TrRail_act!Q34/1000)</f>
        <v>0</v>
      </c>
      <c r="R57" s="88">
        <f>IF(R17=0,0,1000000*R17/TrRail_act!R34/1000)</f>
        <v>0</v>
      </c>
      <c r="S57" s="88">
        <f>IF(S17=0,0,1000000*S17/TrRail_act!S34/1000)</f>
        <v>0</v>
      </c>
      <c r="T57" s="88">
        <f>IF(T17=0,0,1000000*T17/TrRail_act!T34/1000)</f>
        <v>0</v>
      </c>
      <c r="U57" s="88">
        <f>IF(U17=0,0,1000000*U17/TrRail_act!U34/1000)</f>
        <v>0</v>
      </c>
      <c r="V57" s="88">
        <f>IF(V17=0,0,1000000*V17/TrRail_act!V34/1000)</f>
        <v>0</v>
      </c>
      <c r="W57" s="88">
        <f>IF(W17=0,0,1000000*W17/TrRail_act!W34/1000)</f>
        <v>0</v>
      </c>
      <c r="X57" s="88">
        <f>IF(X17=0,0,1000000*X17/TrRail_act!X34/1000)</f>
        <v>0</v>
      </c>
      <c r="Y57" s="88">
        <f>IF(Y17=0,0,1000000*Y17/TrRail_act!Y34/1000)</f>
        <v>0</v>
      </c>
      <c r="DA57" s="178" t="s">
        <v>1168</v>
      </c>
    </row>
    <row r="58" spans="1:105" x14ac:dyDescent="0.25">
      <c r="A58" s="106"/>
      <c r="B58" s="106"/>
      <c r="C58" s="106"/>
      <c r="D58" s="106"/>
      <c r="E58" s="106"/>
      <c r="F58" s="106"/>
      <c r="G58" s="106"/>
      <c r="H58" s="106"/>
      <c r="I58" s="106"/>
      <c r="J58" s="106"/>
      <c r="K58" s="106"/>
      <c r="L58" s="106"/>
      <c r="M58" s="106"/>
      <c r="N58" s="106"/>
      <c r="O58" s="106"/>
      <c r="P58" s="106"/>
      <c r="Q58" s="106"/>
      <c r="R58" s="106"/>
      <c r="S58" s="106"/>
      <c r="T58" s="106"/>
      <c r="U58" s="106"/>
      <c r="V58" s="106"/>
      <c r="W58" s="106"/>
      <c r="X58" s="106"/>
      <c r="Y58" s="106"/>
      <c r="DA58" s="171"/>
    </row>
    <row r="59" spans="1:105" ht="11.45" customHeight="1" x14ac:dyDescent="0.25">
      <c r="A59" s="53" t="s">
        <v>41</v>
      </c>
      <c r="B59" s="65">
        <f t="shared" ref="B59:B68" si="10">IF(B8=0,0,B8/B$8)</f>
        <v>1</v>
      </c>
      <c r="C59" s="65">
        <f t="shared" ref="C59:V59" si="11">IF(C8=0,0,C8/C$8)</f>
        <v>1</v>
      </c>
      <c r="D59" s="65">
        <f t="shared" si="11"/>
        <v>1</v>
      </c>
      <c r="E59" s="65">
        <f t="shared" si="11"/>
        <v>1</v>
      </c>
      <c r="F59" s="65">
        <f t="shared" si="11"/>
        <v>1</v>
      </c>
      <c r="G59" s="65">
        <f t="shared" si="11"/>
        <v>1</v>
      </c>
      <c r="H59" s="65">
        <f t="shared" si="11"/>
        <v>1</v>
      </c>
      <c r="I59" s="65">
        <f t="shared" si="11"/>
        <v>1</v>
      </c>
      <c r="J59" s="65">
        <f t="shared" si="11"/>
        <v>1</v>
      </c>
      <c r="K59" s="65">
        <f t="shared" si="11"/>
        <v>1</v>
      </c>
      <c r="L59" s="65">
        <f t="shared" si="11"/>
        <v>1</v>
      </c>
      <c r="M59" s="65">
        <f t="shared" si="11"/>
        <v>1</v>
      </c>
      <c r="N59" s="65">
        <f t="shared" si="11"/>
        <v>1</v>
      </c>
      <c r="O59" s="65">
        <f t="shared" si="11"/>
        <v>1</v>
      </c>
      <c r="P59" s="65">
        <f t="shared" si="11"/>
        <v>1</v>
      </c>
      <c r="Q59" s="65">
        <f t="shared" si="11"/>
        <v>1</v>
      </c>
      <c r="R59" s="65">
        <f t="shared" si="11"/>
        <v>1</v>
      </c>
      <c r="S59" s="65">
        <f t="shared" si="11"/>
        <v>1</v>
      </c>
      <c r="T59" s="65">
        <f t="shared" si="11"/>
        <v>1</v>
      </c>
      <c r="U59" s="65">
        <f t="shared" si="11"/>
        <v>1</v>
      </c>
      <c r="V59" s="65">
        <f t="shared" si="11"/>
        <v>1</v>
      </c>
      <c r="W59" s="65">
        <f t="shared" ref="W59:Y59" si="12">IF(W8=0,0,W8/W$8)</f>
        <v>1</v>
      </c>
      <c r="X59" s="65">
        <f t="shared" si="12"/>
        <v>1</v>
      </c>
      <c r="Y59" s="65">
        <f t="shared" si="12"/>
        <v>1</v>
      </c>
      <c r="DA59" s="172"/>
    </row>
    <row r="60" spans="1:105" ht="11.45" customHeight="1" x14ac:dyDescent="0.25">
      <c r="A60" s="27" t="s">
        <v>33</v>
      </c>
      <c r="B60" s="31">
        <f t="shared" si="10"/>
        <v>0.61370138814581454</v>
      </c>
      <c r="C60" s="31">
        <f t="shared" ref="C60:V60" si="13">IF(C9=0,0,C9/C$8)</f>
        <v>0.62496136255026968</v>
      </c>
      <c r="D60" s="31">
        <f t="shared" si="13"/>
        <v>0.65318200060581588</v>
      </c>
      <c r="E60" s="31">
        <f t="shared" si="13"/>
        <v>0.61791319553930646</v>
      </c>
      <c r="F60" s="31">
        <f t="shared" si="13"/>
        <v>0.57666719522738619</v>
      </c>
      <c r="G60" s="31">
        <f t="shared" si="13"/>
        <v>0.58000187219046373</v>
      </c>
      <c r="H60" s="31">
        <f t="shared" si="13"/>
        <v>0.55718650607486775</v>
      </c>
      <c r="I60" s="31">
        <f t="shared" si="13"/>
        <v>0.51644603123223776</v>
      </c>
      <c r="J60" s="31">
        <f t="shared" si="13"/>
        <v>0.55290866161183339</v>
      </c>
      <c r="K60" s="31">
        <f t="shared" si="13"/>
        <v>0.61822758399596189</v>
      </c>
      <c r="L60" s="31">
        <f t="shared" si="13"/>
        <v>0.60885713118250084</v>
      </c>
      <c r="M60" s="31">
        <f t="shared" si="13"/>
        <v>0.60979971845570047</v>
      </c>
      <c r="N60" s="31">
        <f t="shared" si="13"/>
        <v>0.62002415828012702</v>
      </c>
      <c r="O60" s="31">
        <f t="shared" si="13"/>
        <v>0.62899153124094354</v>
      </c>
      <c r="P60" s="31">
        <f t="shared" si="13"/>
        <v>0.62632194566902244</v>
      </c>
      <c r="Q60" s="31">
        <f t="shared" si="13"/>
        <v>0.62134518891156576</v>
      </c>
      <c r="R60" s="31">
        <f t="shared" si="13"/>
        <v>0.60740604080646754</v>
      </c>
      <c r="S60" s="31">
        <f t="shared" si="13"/>
        <v>0.62445767685028286</v>
      </c>
      <c r="T60" s="31">
        <f t="shared" si="13"/>
        <v>0.60507009149465563</v>
      </c>
      <c r="U60" s="31">
        <f t="shared" si="13"/>
        <v>0.59969797793421986</v>
      </c>
      <c r="V60" s="31">
        <f t="shared" si="13"/>
        <v>0.49869106610050379</v>
      </c>
      <c r="W60" s="31">
        <f t="shared" ref="W60:Y60" si="14">IF(W9=0,0,W9/W$8)</f>
        <v>0.4704938532099246</v>
      </c>
      <c r="X60" s="31">
        <f t="shared" si="14"/>
        <v>0.54213766574416911</v>
      </c>
      <c r="Y60" s="31">
        <f t="shared" si="14"/>
        <v>0.5753990592850643</v>
      </c>
      <c r="DA60" s="173"/>
    </row>
    <row r="61" spans="1:105" ht="11.45" customHeight="1" x14ac:dyDescent="0.25">
      <c r="A61" s="107" t="s">
        <v>23</v>
      </c>
      <c r="B61" s="123">
        <f t="shared" si="10"/>
        <v>0</v>
      </c>
      <c r="C61" s="123">
        <f t="shared" ref="C61:V61" si="15">IF(C10=0,0,C10/C$8)</f>
        <v>0</v>
      </c>
      <c r="D61" s="123">
        <f t="shared" si="15"/>
        <v>0</v>
      </c>
      <c r="E61" s="123">
        <f t="shared" si="15"/>
        <v>0</v>
      </c>
      <c r="F61" s="123">
        <f t="shared" si="15"/>
        <v>0</v>
      </c>
      <c r="G61" s="123">
        <f t="shared" si="15"/>
        <v>0</v>
      </c>
      <c r="H61" s="123">
        <f t="shared" si="15"/>
        <v>0</v>
      </c>
      <c r="I61" s="123">
        <f t="shared" si="15"/>
        <v>0</v>
      </c>
      <c r="J61" s="123">
        <f t="shared" si="15"/>
        <v>0</v>
      </c>
      <c r="K61" s="123">
        <f t="shared" si="15"/>
        <v>0</v>
      </c>
      <c r="L61" s="123">
        <f t="shared" si="15"/>
        <v>0</v>
      </c>
      <c r="M61" s="123">
        <f t="shared" si="15"/>
        <v>0</v>
      </c>
      <c r="N61" s="123">
        <f t="shared" si="15"/>
        <v>0</v>
      </c>
      <c r="O61" s="123">
        <f t="shared" si="15"/>
        <v>0</v>
      </c>
      <c r="P61" s="123">
        <f t="shared" si="15"/>
        <v>0</v>
      </c>
      <c r="Q61" s="123">
        <f t="shared" si="15"/>
        <v>0</v>
      </c>
      <c r="R61" s="123">
        <f t="shared" si="15"/>
        <v>0</v>
      </c>
      <c r="S61" s="123">
        <f t="shared" si="15"/>
        <v>0</v>
      </c>
      <c r="T61" s="123">
        <f t="shared" si="15"/>
        <v>0</v>
      </c>
      <c r="U61" s="123">
        <f t="shared" si="15"/>
        <v>0</v>
      </c>
      <c r="V61" s="123">
        <f t="shared" si="15"/>
        <v>0</v>
      </c>
      <c r="W61" s="123">
        <f t="shared" ref="W61:Y61" si="16">IF(W10=0,0,W10/W$8)</f>
        <v>0</v>
      </c>
      <c r="X61" s="123">
        <f t="shared" si="16"/>
        <v>0</v>
      </c>
      <c r="Y61" s="123">
        <f t="shared" si="16"/>
        <v>0</v>
      </c>
      <c r="DA61" s="203"/>
    </row>
    <row r="62" spans="1:105" ht="11.45" customHeight="1" x14ac:dyDescent="0.25">
      <c r="A62" s="109" t="s">
        <v>24</v>
      </c>
      <c r="B62" s="124">
        <f t="shared" si="10"/>
        <v>0.61370138814581454</v>
      </c>
      <c r="C62" s="124">
        <f t="shared" ref="C62:V62" si="17">IF(C11=0,0,C11/C$8)</f>
        <v>0.62496136255026968</v>
      </c>
      <c r="D62" s="124">
        <f t="shared" si="17"/>
        <v>0.65318200060581588</v>
      </c>
      <c r="E62" s="124">
        <f t="shared" si="17"/>
        <v>0.61791319553930646</v>
      </c>
      <c r="F62" s="124">
        <f t="shared" si="17"/>
        <v>0.57666719522738619</v>
      </c>
      <c r="G62" s="124">
        <f t="shared" si="17"/>
        <v>0.58000187219046373</v>
      </c>
      <c r="H62" s="124">
        <f t="shared" si="17"/>
        <v>0.55718650607486775</v>
      </c>
      <c r="I62" s="124">
        <f t="shared" si="17"/>
        <v>0.51644603123223776</v>
      </c>
      <c r="J62" s="124">
        <f t="shared" si="17"/>
        <v>0.55290866161183339</v>
      </c>
      <c r="K62" s="124">
        <f t="shared" si="17"/>
        <v>0.61822758399596189</v>
      </c>
      <c r="L62" s="124">
        <f t="shared" si="17"/>
        <v>0.60885713118250084</v>
      </c>
      <c r="M62" s="124">
        <f t="shared" si="17"/>
        <v>0.60979971845570047</v>
      </c>
      <c r="N62" s="124">
        <f t="shared" si="17"/>
        <v>0.62002415828012702</v>
      </c>
      <c r="O62" s="124">
        <f t="shared" si="17"/>
        <v>0.62899153124094354</v>
      </c>
      <c r="P62" s="124">
        <f t="shared" si="17"/>
        <v>0.62632194566902244</v>
      </c>
      <c r="Q62" s="124">
        <f t="shared" si="17"/>
        <v>0.62134518891156576</v>
      </c>
      <c r="R62" s="124">
        <f t="shared" si="17"/>
        <v>0.60740604080646754</v>
      </c>
      <c r="S62" s="124">
        <f t="shared" si="17"/>
        <v>0.62445767685028286</v>
      </c>
      <c r="T62" s="124">
        <f t="shared" si="17"/>
        <v>0.60507009149465563</v>
      </c>
      <c r="U62" s="124">
        <f t="shared" si="17"/>
        <v>0.59969797793421986</v>
      </c>
      <c r="V62" s="124">
        <f t="shared" si="17"/>
        <v>0.49869106610050379</v>
      </c>
      <c r="W62" s="124">
        <f t="shared" ref="W62:Y62" si="18">IF(W11=0,0,W11/W$8)</f>
        <v>0.4704938532099246</v>
      </c>
      <c r="X62" s="124">
        <f t="shared" si="18"/>
        <v>0.54213766574416911</v>
      </c>
      <c r="Y62" s="124">
        <f t="shared" si="18"/>
        <v>0.5753990592850643</v>
      </c>
      <c r="DA62" s="176"/>
    </row>
    <row r="63" spans="1:105" ht="11.45" customHeight="1" x14ac:dyDescent="0.25">
      <c r="A63" s="111" t="s">
        <v>92</v>
      </c>
      <c r="B63" s="125">
        <f t="shared" si="10"/>
        <v>0.61370138814581454</v>
      </c>
      <c r="C63" s="125">
        <f t="shared" ref="C63:V63" si="19">IF(C12=0,0,C12/C$8)</f>
        <v>0.62496136255026968</v>
      </c>
      <c r="D63" s="125">
        <f t="shared" si="19"/>
        <v>0.65318200060581588</v>
      </c>
      <c r="E63" s="125">
        <f t="shared" si="19"/>
        <v>0.61791319553930646</v>
      </c>
      <c r="F63" s="125">
        <f t="shared" si="19"/>
        <v>0.57666719522738619</v>
      </c>
      <c r="G63" s="125">
        <f t="shared" si="19"/>
        <v>0.58000187219046373</v>
      </c>
      <c r="H63" s="125">
        <f t="shared" si="19"/>
        <v>0.55718650607486775</v>
      </c>
      <c r="I63" s="125">
        <f t="shared" si="19"/>
        <v>0.51644603123223776</v>
      </c>
      <c r="J63" s="125">
        <f t="shared" si="19"/>
        <v>0.55290866161183339</v>
      </c>
      <c r="K63" s="125">
        <f t="shared" si="19"/>
        <v>0.61822758399596189</v>
      </c>
      <c r="L63" s="125">
        <f t="shared" si="19"/>
        <v>0.60885713118250084</v>
      </c>
      <c r="M63" s="125">
        <f t="shared" si="19"/>
        <v>0.60979971845570047</v>
      </c>
      <c r="N63" s="125">
        <f t="shared" si="19"/>
        <v>0.62002415828012702</v>
      </c>
      <c r="O63" s="125">
        <f t="shared" si="19"/>
        <v>0.62899153124094354</v>
      </c>
      <c r="P63" s="125">
        <f t="shared" si="19"/>
        <v>0.62632194566902244</v>
      </c>
      <c r="Q63" s="125">
        <f t="shared" si="19"/>
        <v>0.62134518891156576</v>
      </c>
      <c r="R63" s="125">
        <f t="shared" si="19"/>
        <v>0.60740604080646754</v>
      </c>
      <c r="S63" s="125">
        <f t="shared" si="19"/>
        <v>0.62445767685028286</v>
      </c>
      <c r="T63" s="125">
        <f t="shared" si="19"/>
        <v>0.60507009149465563</v>
      </c>
      <c r="U63" s="125">
        <f t="shared" si="19"/>
        <v>0.59969797793421986</v>
      </c>
      <c r="V63" s="125">
        <f t="shared" si="19"/>
        <v>0.49869106610050379</v>
      </c>
      <c r="W63" s="125">
        <f t="shared" ref="W63:Y63" si="20">IF(W12=0,0,W12/W$8)</f>
        <v>0.4704938532099246</v>
      </c>
      <c r="X63" s="125">
        <f t="shared" si="20"/>
        <v>0.54213766574416911</v>
      </c>
      <c r="Y63" s="125">
        <f t="shared" si="20"/>
        <v>0.5753990592850643</v>
      </c>
      <c r="DA63" s="171"/>
    </row>
    <row r="64" spans="1:105" ht="11.45" customHeight="1" x14ac:dyDescent="0.25">
      <c r="A64" s="111" t="s">
        <v>93</v>
      </c>
      <c r="B64" s="125">
        <f t="shared" si="10"/>
        <v>0</v>
      </c>
      <c r="C64" s="125">
        <f t="shared" ref="C64:V64" si="21">IF(C13=0,0,C13/C$8)</f>
        <v>0</v>
      </c>
      <c r="D64" s="125">
        <f t="shared" si="21"/>
        <v>0</v>
      </c>
      <c r="E64" s="125">
        <f t="shared" si="21"/>
        <v>0</v>
      </c>
      <c r="F64" s="125">
        <f t="shared" si="21"/>
        <v>0</v>
      </c>
      <c r="G64" s="125">
        <f t="shared" si="21"/>
        <v>0</v>
      </c>
      <c r="H64" s="125">
        <f t="shared" si="21"/>
        <v>0</v>
      </c>
      <c r="I64" s="125">
        <f t="shared" si="21"/>
        <v>0</v>
      </c>
      <c r="J64" s="125">
        <f t="shared" si="21"/>
        <v>0</v>
      </c>
      <c r="K64" s="125">
        <f t="shared" si="21"/>
        <v>0</v>
      </c>
      <c r="L64" s="125">
        <f t="shared" si="21"/>
        <v>0</v>
      </c>
      <c r="M64" s="125">
        <f t="shared" si="21"/>
        <v>0</v>
      </c>
      <c r="N64" s="125">
        <f t="shared" si="21"/>
        <v>0</v>
      </c>
      <c r="O64" s="125">
        <f t="shared" si="21"/>
        <v>0</v>
      </c>
      <c r="P64" s="125">
        <f t="shared" si="21"/>
        <v>0</v>
      </c>
      <c r="Q64" s="125">
        <f t="shared" si="21"/>
        <v>0</v>
      </c>
      <c r="R64" s="125">
        <f t="shared" si="21"/>
        <v>0</v>
      </c>
      <c r="S64" s="125">
        <f t="shared" si="21"/>
        <v>0</v>
      </c>
      <c r="T64" s="125">
        <f t="shared" si="21"/>
        <v>0</v>
      </c>
      <c r="U64" s="125">
        <f t="shared" si="21"/>
        <v>0</v>
      </c>
      <c r="V64" s="125">
        <f t="shared" si="21"/>
        <v>0</v>
      </c>
      <c r="W64" s="125">
        <f t="shared" ref="W64:Y64" si="22">IF(W13=0,0,W13/W$8)</f>
        <v>0</v>
      </c>
      <c r="X64" s="125">
        <f t="shared" si="22"/>
        <v>0</v>
      </c>
      <c r="Y64" s="125">
        <f t="shared" si="22"/>
        <v>0</v>
      </c>
      <c r="DA64" s="171"/>
    </row>
    <row r="65" spans="1:105" ht="11.45" customHeight="1" x14ac:dyDescent="0.25">
      <c r="A65" s="112" t="s">
        <v>25</v>
      </c>
      <c r="B65" s="126">
        <f t="shared" si="10"/>
        <v>0</v>
      </c>
      <c r="C65" s="126">
        <f t="shared" ref="C65:V65" si="23">IF(C14=0,0,C14/C$8)</f>
        <v>0</v>
      </c>
      <c r="D65" s="126">
        <f t="shared" si="23"/>
        <v>0</v>
      </c>
      <c r="E65" s="126">
        <f t="shared" si="23"/>
        <v>0</v>
      </c>
      <c r="F65" s="126">
        <f t="shared" si="23"/>
        <v>0</v>
      </c>
      <c r="G65" s="126">
        <f t="shared" si="23"/>
        <v>0</v>
      </c>
      <c r="H65" s="126">
        <f t="shared" si="23"/>
        <v>0</v>
      </c>
      <c r="I65" s="126">
        <f t="shared" si="23"/>
        <v>0</v>
      </c>
      <c r="J65" s="126">
        <f t="shared" si="23"/>
        <v>0</v>
      </c>
      <c r="K65" s="126">
        <f t="shared" si="23"/>
        <v>0</v>
      </c>
      <c r="L65" s="126">
        <f t="shared" si="23"/>
        <v>0</v>
      </c>
      <c r="M65" s="126">
        <f t="shared" si="23"/>
        <v>0</v>
      </c>
      <c r="N65" s="126">
        <f t="shared" si="23"/>
        <v>0</v>
      </c>
      <c r="O65" s="126">
        <f t="shared" si="23"/>
        <v>0</v>
      </c>
      <c r="P65" s="126">
        <f t="shared" si="23"/>
        <v>0</v>
      </c>
      <c r="Q65" s="126">
        <f t="shared" si="23"/>
        <v>0</v>
      </c>
      <c r="R65" s="126">
        <f t="shared" si="23"/>
        <v>0</v>
      </c>
      <c r="S65" s="126">
        <f t="shared" si="23"/>
        <v>0</v>
      </c>
      <c r="T65" s="126">
        <f t="shared" si="23"/>
        <v>0</v>
      </c>
      <c r="U65" s="126">
        <f t="shared" si="23"/>
        <v>0</v>
      </c>
      <c r="V65" s="126">
        <f t="shared" si="23"/>
        <v>0</v>
      </c>
      <c r="W65" s="126">
        <f t="shared" ref="W65:Y65" si="24">IF(W14=0,0,W14/W$8)</f>
        <v>0</v>
      </c>
      <c r="X65" s="126">
        <f t="shared" si="24"/>
        <v>0</v>
      </c>
      <c r="Y65" s="126">
        <f t="shared" si="24"/>
        <v>0</v>
      </c>
      <c r="DA65" s="204"/>
    </row>
    <row r="66" spans="1:105" ht="11.45" customHeight="1" x14ac:dyDescent="0.25">
      <c r="A66" s="27" t="s">
        <v>34</v>
      </c>
      <c r="B66" s="31">
        <f t="shared" si="10"/>
        <v>0.38629861185418546</v>
      </c>
      <c r="C66" s="31">
        <f t="shared" ref="C66:V66" si="25">IF(C15=0,0,C15/C$8)</f>
        <v>0.37503863744973037</v>
      </c>
      <c r="D66" s="31">
        <f t="shared" si="25"/>
        <v>0.34681799939418423</v>
      </c>
      <c r="E66" s="31">
        <f t="shared" si="25"/>
        <v>0.38208680446069343</v>
      </c>
      <c r="F66" s="31">
        <f t="shared" si="25"/>
        <v>0.42333280477261387</v>
      </c>
      <c r="G66" s="31">
        <f t="shared" si="25"/>
        <v>0.41999812780953627</v>
      </c>
      <c r="H66" s="31">
        <f t="shared" si="25"/>
        <v>0.44281349392513225</v>
      </c>
      <c r="I66" s="31">
        <f t="shared" si="25"/>
        <v>0.48355396876776235</v>
      </c>
      <c r="J66" s="31">
        <f t="shared" si="25"/>
        <v>0.44709133838816656</v>
      </c>
      <c r="K66" s="31">
        <f t="shared" si="25"/>
        <v>0.38177241600403805</v>
      </c>
      <c r="L66" s="31">
        <f t="shared" si="25"/>
        <v>0.39114286881749905</v>
      </c>
      <c r="M66" s="31">
        <f t="shared" si="25"/>
        <v>0.39020028154429953</v>
      </c>
      <c r="N66" s="31">
        <f t="shared" si="25"/>
        <v>0.37997584171987286</v>
      </c>
      <c r="O66" s="31">
        <f t="shared" si="25"/>
        <v>0.37100846875905641</v>
      </c>
      <c r="P66" s="31">
        <f t="shared" si="25"/>
        <v>0.3736780543309775</v>
      </c>
      <c r="Q66" s="31">
        <f t="shared" si="25"/>
        <v>0.37865481108843424</v>
      </c>
      <c r="R66" s="31">
        <f t="shared" si="25"/>
        <v>0.39259395919353252</v>
      </c>
      <c r="S66" s="31">
        <f t="shared" si="25"/>
        <v>0.37554232314971714</v>
      </c>
      <c r="T66" s="31">
        <f t="shared" si="25"/>
        <v>0.39492990850534426</v>
      </c>
      <c r="U66" s="31">
        <f t="shared" si="25"/>
        <v>0.40030202206578014</v>
      </c>
      <c r="V66" s="31">
        <f t="shared" si="25"/>
        <v>0.50130893389949616</v>
      </c>
      <c r="W66" s="31">
        <f t="shared" ref="W66:Y66" si="26">IF(W15=0,0,W15/W$8)</f>
        <v>0.52950614679007546</v>
      </c>
      <c r="X66" s="31">
        <f t="shared" si="26"/>
        <v>0.45786233425583089</v>
      </c>
      <c r="Y66" s="31">
        <f t="shared" si="26"/>
        <v>0.42460094071493576</v>
      </c>
      <c r="DA66" s="173"/>
    </row>
    <row r="67" spans="1:105" ht="11.45" customHeight="1" x14ac:dyDescent="0.25">
      <c r="A67" s="83" t="s">
        <v>92</v>
      </c>
      <c r="B67" s="125">
        <f t="shared" si="10"/>
        <v>0.38629861185418546</v>
      </c>
      <c r="C67" s="125">
        <f t="shared" ref="C67:V67" si="27">IF(C16=0,0,C16/C$8)</f>
        <v>0.37503863744973037</v>
      </c>
      <c r="D67" s="125">
        <f t="shared" si="27"/>
        <v>0.34681799939418423</v>
      </c>
      <c r="E67" s="125">
        <f t="shared" si="27"/>
        <v>0.38208680446069343</v>
      </c>
      <c r="F67" s="125">
        <f t="shared" si="27"/>
        <v>0.42333280477261387</v>
      </c>
      <c r="G67" s="125">
        <f t="shared" si="27"/>
        <v>0.41999812780953627</v>
      </c>
      <c r="H67" s="125">
        <f t="shared" si="27"/>
        <v>0.44281349392513225</v>
      </c>
      <c r="I67" s="125">
        <f t="shared" si="27"/>
        <v>0.48355396876776235</v>
      </c>
      <c r="J67" s="125">
        <f t="shared" si="27"/>
        <v>0.44709133838816656</v>
      </c>
      <c r="K67" s="125">
        <f t="shared" si="27"/>
        <v>0.38177241600403805</v>
      </c>
      <c r="L67" s="125">
        <f t="shared" si="27"/>
        <v>0.39114286881749905</v>
      </c>
      <c r="M67" s="125">
        <f t="shared" si="27"/>
        <v>0.39020028154429953</v>
      </c>
      <c r="N67" s="125">
        <f t="shared" si="27"/>
        <v>0.37997584171987286</v>
      </c>
      <c r="O67" s="125">
        <f t="shared" si="27"/>
        <v>0.37100846875905641</v>
      </c>
      <c r="P67" s="125">
        <f t="shared" si="27"/>
        <v>0.3736780543309775</v>
      </c>
      <c r="Q67" s="125">
        <f t="shared" si="27"/>
        <v>0.37865481108843424</v>
      </c>
      <c r="R67" s="125">
        <f t="shared" si="27"/>
        <v>0.39259395919353252</v>
      </c>
      <c r="S67" s="125">
        <f t="shared" si="27"/>
        <v>0.37554232314971714</v>
      </c>
      <c r="T67" s="125">
        <f t="shared" si="27"/>
        <v>0.39492990850534426</v>
      </c>
      <c r="U67" s="125">
        <f t="shared" si="27"/>
        <v>0.40030202206578014</v>
      </c>
      <c r="V67" s="125">
        <f t="shared" si="27"/>
        <v>0.50130893389949616</v>
      </c>
      <c r="W67" s="125">
        <f t="shared" ref="W67:Y67" si="28">IF(W16=0,0,W16/W$8)</f>
        <v>0.52950614679007546</v>
      </c>
      <c r="X67" s="125">
        <f t="shared" si="28"/>
        <v>0.45786233425583089</v>
      </c>
      <c r="Y67" s="125">
        <f t="shared" si="28"/>
        <v>0.42460094071493576</v>
      </c>
      <c r="DA67" s="171"/>
    </row>
    <row r="68" spans="1:105" ht="11.45" customHeight="1" x14ac:dyDescent="0.25">
      <c r="A68" s="85" t="s">
        <v>93</v>
      </c>
      <c r="B68" s="127">
        <f t="shared" si="10"/>
        <v>0</v>
      </c>
      <c r="C68" s="127">
        <f t="shared" ref="C68:V68" si="29">IF(C17=0,0,C17/C$8)</f>
        <v>0</v>
      </c>
      <c r="D68" s="127">
        <f t="shared" si="29"/>
        <v>0</v>
      </c>
      <c r="E68" s="127">
        <f t="shared" si="29"/>
        <v>0</v>
      </c>
      <c r="F68" s="127">
        <f t="shared" si="29"/>
        <v>0</v>
      </c>
      <c r="G68" s="127">
        <f t="shared" si="29"/>
        <v>0</v>
      </c>
      <c r="H68" s="127">
        <f t="shared" si="29"/>
        <v>0</v>
      </c>
      <c r="I68" s="127">
        <f t="shared" si="29"/>
        <v>0</v>
      </c>
      <c r="J68" s="127">
        <f t="shared" si="29"/>
        <v>0</v>
      </c>
      <c r="K68" s="127">
        <f t="shared" si="29"/>
        <v>0</v>
      </c>
      <c r="L68" s="127">
        <f t="shared" si="29"/>
        <v>0</v>
      </c>
      <c r="M68" s="127">
        <f t="shared" si="29"/>
        <v>0</v>
      </c>
      <c r="N68" s="127">
        <f t="shared" si="29"/>
        <v>0</v>
      </c>
      <c r="O68" s="127">
        <f t="shared" si="29"/>
        <v>0</v>
      </c>
      <c r="P68" s="127">
        <f t="shared" si="29"/>
        <v>0</v>
      </c>
      <c r="Q68" s="127">
        <f t="shared" si="29"/>
        <v>0</v>
      </c>
      <c r="R68" s="127">
        <f t="shared" si="29"/>
        <v>0</v>
      </c>
      <c r="S68" s="127">
        <f t="shared" si="29"/>
        <v>0</v>
      </c>
      <c r="T68" s="127">
        <f t="shared" si="29"/>
        <v>0</v>
      </c>
      <c r="U68" s="127">
        <f t="shared" si="29"/>
        <v>0</v>
      </c>
      <c r="V68" s="127">
        <f t="shared" si="29"/>
        <v>0</v>
      </c>
      <c r="W68" s="127">
        <f t="shared" ref="W68:Y68" si="30">IF(W17=0,0,W17/W$8)</f>
        <v>0</v>
      </c>
      <c r="X68" s="127">
        <f t="shared" si="30"/>
        <v>0</v>
      </c>
      <c r="Y68" s="127">
        <f t="shared" si="30"/>
        <v>0</v>
      </c>
      <c r="DA68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11:Y11" formulaRange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DA1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189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17</v>
      </c>
      <c r="B3" s="62"/>
      <c r="C3" s="62"/>
      <c r="D3" s="62"/>
      <c r="E3" s="62"/>
      <c r="F3" s="62"/>
      <c r="G3" s="62"/>
      <c r="H3" s="62"/>
      <c r="I3" s="62"/>
      <c r="J3" s="62"/>
      <c r="K3" s="62"/>
      <c r="L3" s="62"/>
      <c r="M3" s="62"/>
      <c r="N3" s="62"/>
      <c r="O3" s="62"/>
      <c r="P3" s="62"/>
      <c r="Q3" s="62"/>
      <c r="R3" s="62"/>
      <c r="S3" s="62"/>
      <c r="T3" s="62"/>
      <c r="U3" s="62"/>
      <c r="V3" s="62"/>
      <c r="W3" s="62"/>
      <c r="X3" s="62"/>
      <c r="Y3" s="62"/>
      <c r="DA3" s="172"/>
    </row>
    <row r="4" spans="1:105" ht="11.45" customHeight="1" x14ac:dyDescent="0.25">
      <c r="A4" s="10" t="s">
        <v>18</v>
      </c>
      <c r="B4" s="11">
        <f t="shared" ref="B4:C4" si="0">SUM(B5:B7)</f>
        <v>62370.612771918029</v>
      </c>
      <c r="C4" s="11">
        <f t="shared" si="0"/>
        <v>61228.091244699841</v>
      </c>
      <c r="D4" s="11">
        <f t="shared" ref="D4:V4" si="1">SUM(D5:D7)</f>
        <v>62755.963004590034</v>
      </c>
      <c r="E4" s="11">
        <f t="shared" si="1"/>
        <v>61882.082466807762</v>
      </c>
      <c r="F4" s="11">
        <f t="shared" si="1"/>
        <v>69586.660528509237</v>
      </c>
      <c r="G4" s="11">
        <f t="shared" si="1"/>
        <v>73455.132246865629</v>
      </c>
      <c r="H4" s="11">
        <f t="shared" si="1"/>
        <v>74001.22713788609</v>
      </c>
      <c r="I4" s="11">
        <f t="shared" si="1"/>
        <v>75391.173817718198</v>
      </c>
      <c r="J4" s="11">
        <f t="shared" si="1"/>
        <v>75753.411677890952</v>
      </c>
      <c r="K4" s="11">
        <f t="shared" si="1"/>
        <v>69031.863825449502</v>
      </c>
      <c r="L4" s="11">
        <f t="shared" si="1"/>
        <v>72658.936305363692</v>
      </c>
      <c r="M4" s="11">
        <f t="shared" si="1"/>
        <v>79379.352069777742</v>
      </c>
      <c r="N4" s="11">
        <f t="shared" si="1"/>
        <v>81735.573577363655</v>
      </c>
      <c r="O4" s="11">
        <f t="shared" si="1"/>
        <v>85191.184518411988</v>
      </c>
      <c r="P4" s="11">
        <f t="shared" si="1"/>
        <v>88173.988275762269</v>
      </c>
      <c r="Q4" s="11">
        <f t="shared" si="1"/>
        <v>92073.252760929987</v>
      </c>
      <c r="R4" s="11">
        <f t="shared" si="1"/>
        <v>98370.748806146352</v>
      </c>
      <c r="S4" s="11">
        <f t="shared" si="1"/>
        <v>105717.71449823685</v>
      </c>
      <c r="T4" s="11">
        <f t="shared" si="1"/>
        <v>111088.93563713334</v>
      </c>
      <c r="U4" s="11">
        <f t="shared" si="1"/>
        <v>113132.58414510297</v>
      </c>
      <c r="V4" s="11">
        <f t="shared" si="1"/>
        <v>33919.547874073571</v>
      </c>
      <c r="W4" s="11">
        <f t="shared" ref="W4:Y4" si="2">SUM(W5:W7)</f>
        <v>42495.586462662846</v>
      </c>
      <c r="X4" s="11">
        <f t="shared" si="2"/>
        <v>85846.104708336861</v>
      </c>
      <c r="Y4" s="11">
        <f t="shared" si="2"/>
        <v>101344.80171236319</v>
      </c>
      <c r="DA4" s="189" t="s">
        <v>190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191</v>
      </c>
    </row>
    <row r="6" spans="1:105" ht="11.45" customHeight="1" x14ac:dyDescent="0.25">
      <c r="A6" s="83" t="s">
        <v>181</v>
      </c>
      <c r="B6" s="84">
        <v>15953.701663510992</v>
      </c>
      <c r="C6" s="84">
        <v>15760.049269690926</v>
      </c>
      <c r="D6" s="84">
        <v>16106.93704988213</v>
      </c>
      <c r="E6" s="84">
        <v>15982.184444591121</v>
      </c>
      <c r="F6" s="84">
        <v>16783.797030709586</v>
      </c>
      <c r="G6" s="84">
        <v>17541.507276013548</v>
      </c>
      <c r="H6" s="84">
        <v>18321.788014855421</v>
      </c>
      <c r="I6" s="84">
        <v>18244.184448657994</v>
      </c>
      <c r="J6" s="84">
        <v>17228.022123210587</v>
      </c>
      <c r="K6" s="84">
        <v>15776.711656963887</v>
      </c>
      <c r="L6" s="84">
        <v>16505.539114552128</v>
      </c>
      <c r="M6" s="84">
        <v>18996.356918604779</v>
      </c>
      <c r="N6" s="84">
        <v>19452.383140136317</v>
      </c>
      <c r="O6" s="84">
        <v>20371.733524288727</v>
      </c>
      <c r="P6" s="84">
        <v>21399.586770551381</v>
      </c>
      <c r="Q6" s="84">
        <v>22555.045547366204</v>
      </c>
      <c r="R6" s="84">
        <v>25921.982470582374</v>
      </c>
      <c r="S6" s="84">
        <v>28795.434257107201</v>
      </c>
      <c r="T6" s="84">
        <v>29986.194536349409</v>
      </c>
      <c r="U6" s="84">
        <v>30128.675255017199</v>
      </c>
      <c r="V6" s="84">
        <v>9370.954238667071</v>
      </c>
      <c r="W6" s="84">
        <v>13130.453002835669</v>
      </c>
      <c r="X6" s="84">
        <v>24792.200030472581</v>
      </c>
      <c r="Y6" s="84">
        <v>27745.335468082922</v>
      </c>
      <c r="DA6" s="171" t="s">
        <v>192</v>
      </c>
    </row>
    <row r="7" spans="1:105" ht="11.45" customHeight="1" x14ac:dyDescent="0.25">
      <c r="A7" s="83" t="s">
        <v>182</v>
      </c>
      <c r="B7" s="84">
        <v>46416.911108407039</v>
      </c>
      <c r="C7" s="84">
        <v>45468.041975008913</v>
      </c>
      <c r="D7" s="84">
        <v>46649.025954707904</v>
      </c>
      <c r="E7" s="84">
        <v>45899.898022216643</v>
      </c>
      <c r="F7" s="84">
        <v>52802.863497799655</v>
      </c>
      <c r="G7" s="84">
        <v>55913.624970852077</v>
      </c>
      <c r="H7" s="84">
        <v>55679.439123030672</v>
      </c>
      <c r="I7" s="84">
        <v>57146.989369060211</v>
      </c>
      <c r="J7" s="84">
        <v>58525.389554680361</v>
      </c>
      <c r="K7" s="84">
        <v>53255.152168485612</v>
      </c>
      <c r="L7" s="84">
        <v>56153.397190811564</v>
      </c>
      <c r="M7" s="84">
        <v>60382.995151172967</v>
      </c>
      <c r="N7" s="84">
        <v>62283.190437227342</v>
      </c>
      <c r="O7" s="84">
        <v>64819.450994123254</v>
      </c>
      <c r="P7" s="84">
        <v>66774.401505210888</v>
      </c>
      <c r="Q7" s="84">
        <v>69518.207213563786</v>
      </c>
      <c r="R7" s="84">
        <v>72448.766335563982</v>
      </c>
      <c r="S7" s="84">
        <v>76922.280241129643</v>
      </c>
      <c r="T7" s="84">
        <v>81102.741100783926</v>
      </c>
      <c r="U7" s="84">
        <v>83003.908890085775</v>
      </c>
      <c r="V7" s="84">
        <v>24548.593635406498</v>
      </c>
      <c r="W7" s="84">
        <v>29365.133459827179</v>
      </c>
      <c r="X7" s="84">
        <v>61053.904677864281</v>
      </c>
      <c r="Y7" s="84">
        <v>73599.466244280266</v>
      </c>
      <c r="DA7" s="171" t="s">
        <v>193</v>
      </c>
    </row>
    <row r="8" spans="1:105" ht="11.45" customHeight="1" x14ac:dyDescent="0.25">
      <c r="A8" s="12" t="s">
        <v>28</v>
      </c>
      <c r="B8" s="13">
        <f t="shared" ref="B8:C8" si="3">SUM(B9:B11)</f>
        <v>4549.7709823072964</v>
      </c>
      <c r="C8" s="13">
        <f t="shared" si="3"/>
        <v>4666.5025786428214</v>
      </c>
      <c r="D8" s="13">
        <f t="shared" ref="D8:V8" si="4">SUM(D9:D11)</f>
        <v>4685.1459534893793</v>
      </c>
      <c r="E8" s="13">
        <f t="shared" si="4"/>
        <v>4772.2915841372505</v>
      </c>
      <c r="F8" s="13">
        <f t="shared" si="4"/>
        <v>4882.1071960326672</v>
      </c>
      <c r="G8" s="13">
        <f t="shared" si="4"/>
        <v>5031.2329217968336</v>
      </c>
      <c r="H8" s="13">
        <f t="shared" si="4"/>
        <v>5383.282478076504</v>
      </c>
      <c r="I8" s="13">
        <f t="shared" si="4"/>
        <v>5227.2085265577007</v>
      </c>
      <c r="J8" s="13">
        <f t="shared" si="4"/>
        <v>5358.2576692793828</v>
      </c>
      <c r="K8" s="13">
        <f t="shared" si="4"/>
        <v>4483.5369043042674</v>
      </c>
      <c r="L8" s="13">
        <f t="shared" si="4"/>
        <v>5312.049901444565</v>
      </c>
      <c r="M8" s="13">
        <f t="shared" si="4"/>
        <v>5308.3229412615456</v>
      </c>
      <c r="N8" s="13">
        <f t="shared" si="4"/>
        <v>4897.1048929158624</v>
      </c>
      <c r="O8" s="13">
        <f t="shared" si="4"/>
        <v>5046.1983557970661</v>
      </c>
      <c r="P8" s="13">
        <f t="shared" si="4"/>
        <v>5504.9856774165473</v>
      </c>
      <c r="Q8" s="13">
        <f t="shared" si="4"/>
        <v>5566.2651935874801</v>
      </c>
      <c r="R8" s="13">
        <f t="shared" si="4"/>
        <v>5488.711507284389</v>
      </c>
      <c r="S8" s="13">
        <f t="shared" si="4"/>
        <v>6015.1879195803594</v>
      </c>
      <c r="T8" s="13">
        <f t="shared" si="4"/>
        <v>6046.6194163641585</v>
      </c>
      <c r="U8" s="13">
        <f t="shared" si="4"/>
        <v>5604.3659229263658</v>
      </c>
      <c r="V8" s="13">
        <f t="shared" si="4"/>
        <v>5129.9310224493856</v>
      </c>
      <c r="W8" s="13">
        <f t="shared" ref="W8:Y8" si="5">SUM(W9:W11)</f>
        <v>5985.4466169555699</v>
      </c>
      <c r="X8" s="13">
        <f t="shared" si="5"/>
        <v>5615.4366153033516</v>
      </c>
      <c r="Y8" s="13">
        <f t="shared" si="5"/>
        <v>5106.3850890883414</v>
      </c>
      <c r="DA8" s="193" t="s">
        <v>194</v>
      </c>
    </row>
    <row r="9" spans="1:105" ht="11.45" customHeight="1" x14ac:dyDescent="0.25">
      <c r="A9" s="92" t="s">
        <v>27</v>
      </c>
      <c r="B9" s="102">
        <v>0</v>
      </c>
      <c r="C9" s="102">
        <v>0</v>
      </c>
      <c r="D9" s="102">
        <v>0</v>
      </c>
      <c r="E9" s="102">
        <v>0</v>
      </c>
      <c r="F9" s="102">
        <v>0</v>
      </c>
      <c r="G9" s="102">
        <v>0</v>
      </c>
      <c r="H9" s="102">
        <v>0</v>
      </c>
      <c r="I9" s="102">
        <v>0</v>
      </c>
      <c r="J9" s="102">
        <v>0</v>
      </c>
      <c r="K9" s="102">
        <v>0</v>
      </c>
      <c r="L9" s="102">
        <v>0</v>
      </c>
      <c r="M9" s="102">
        <v>0</v>
      </c>
      <c r="N9" s="102">
        <v>0</v>
      </c>
      <c r="O9" s="102">
        <v>0</v>
      </c>
      <c r="P9" s="102">
        <v>0</v>
      </c>
      <c r="Q9" s="102">
        <v>0</v>
      </c>
      <c r="R9" s="102">
        <v>0</v>
      </c>
      <c r="S9" s="102">
        <v>0</v>
      </c>
      <c r="T9" s="102">
        <v>0</v>
      </c>
      <c r="U9" s="102">
        <v>0</v>
      </c>
      <c r="V9" s="102">
        <v>0</v>
      </c>
      <c r="W9" s="102">
        <v>0</v>
      </c>
      <c r="X9" s="102">
        <v>0</v>
      </c>
      <c r="Y9" s="102">
        <v>0</v>
      </c>
      <c r="DA9" s="175" t="s">
        <v>195</v>
      </c>
    </row>
    <row r="10" spans="1:105" ht="11.45" customHeight="1" x14ac:dyDescent="0.25">
      <c r="A10" s="92" t="s">
        <v>181</v>
      </c>
      <c r="B10" s="102">
        <v>61.169847567912811</v>
      </c>
      <c r="C10" s="102">
        <v>84.889743007706699</v>
      </c>
      <c r="D10" s="102">
        <v>63.804251283246046</v>
      </c>
      <c r="E10" s="102">
        <v>69.81313493736306</v>
      </c>
      <c r="F10" s="102">
        <v>66.7111620126025</v>
      </c>
      <c r="G10" s="102">
        <v>65.797506781098093</v>
      </c>
      <c r="H10" s="102">
        <v>62.180607958113484</v>
      </c>
      <c r="I10" s="102">
        <v>63.34749060095546</v>
      </c>
      <c r="J10" s="102">
        <v>78.094813443058584</v>
      </c>
      <c r="K10" s="102">
        <v>76.951243070667857</v>
      </c>
      <c r="L10" s="102">
        <v>87.986256213073503</v>
      </c>
      <c r="M10" s="102">
        <v>76.32770002886987</v>
      </c>
      <c r="N10" s="102">
        <v>62.054689372928955</v>
      </c>
      <c r="O10" s="102">
        <v>66.225618885580374</v>
      </c>
      <c r="P10" s="102">
        <v>78.141826521101123</v>
      </c>
      <c r="Q10" s="102">
        <v>77.4942719463711</v>
      </c>
      <c r="R10" s="102">
        <v>90.233605470757681</v>
      </c>
      <c r="S10" s="102">
        <v>76.06550034942768</v>
      </c>
      <c r="T10" s="102">
        <v>63.958386928610444</v>
      </c>
      <c r="U10" s="102">
        <v>63.846314230023118</v>
      </c>
      <c r="V10" s="102">
        <v>52.594517963816877</v>
      </c>
      <c r="W10" s="102">
        <v>62.539866231420888</v>
      </c>
      <c r="X10" s="102">
        <v>55.778463772024566</v>
      </c>
      <c r="Y10" s="102">
        <v>48.467406175023108</v>
      </c>
      <c r="DA10" s="175" t="s">
        <v>196</v>
      </c>
    </row>
    <row r="11" spans="1:105" ht="11.45" customHeight="1" x14ac:dyDescent="0.25">
      <c r="A11" s="85" t="s">
        <v>182</v>
      </c>
      <c r="B11" s="86">
        <v>4488.6011347393833</v>
      </c>
      <c r="C11" s="86">
        <v>4581.6128356351146</v>
      </c>
      <c r="D11" s="86">
        <v>4621.341702206133</v>
      </c>
      <c r="E11" s="86">
        <v>4702.4784491998871</v>
      </c>
      <c r="F11" s="86">
        <v>4815.3960340200647</v>
      </c>
      <c r="G11" s="86">
        <v>4965.4354150157351</v>
      </c>
      <c r="H11" s="86">
        <v>5321.1018701183903</v>
      </c>
      <c r="I11" s="86">
        <v>5163.8610359567456</v>
      </c>
      <c r="J11" s="86">
        <v>5280.1628558363245</v>
      </c>
      <c r="K11" s="86">
        <v>4406.5856612335992</v>
      </c>
      <c r="L11" s="86">
        <v>5224.0636452314911</v>
      </c>
      <c r="M11" s="86">
        <v>5231.9952412326757</v>
      </c>
      <c r="N11" s="86">
        <v>4835.0502035429336</v>
      </c>
      <c r="O11" s="86">
        <v>4979.9727369114862</v>
      </c>
      <c r="P11" s="86">
        <v>5426.8438508954459</v>
      </c>
      <c r="Q11" s="86">
        <v>5488.7709216411085</v>
      </c>
      <c r="R11" s="86">
        <v>5398.4779018136314</v>
      </c>
      <c r="S11" s="86">
        <v>5939.1224192309319</v>
      </c>
      <c r="T11" s="86">
        <v>5982.6610294355478</v>
      </c>
      <c r="U11" s="86">
        <v>5540.5196086963424</v>
      </c>
      <c r="V11" s="86">
        <v>5077.3365044855691</v>
      </c>
      <c r="W11" s="86">
        <v>5922.9067507241489</v>
      </c>
      <c r="X11" s="86">
        <v>5559.6581515313273</v>
      </c>
      <c r="Y11" s="86">
        <v>5057.9176829133185</v>
      </c>
      <c r="DA11" s="178" t="s">
        <v>197</v>
      </c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64</v>
      </c>
      <c r="B13" s="54">
        <f t="shared" ref="B13:C13" si="6">SUM(B14,B18)</f>
        <v>435.58777801076144</v>
      </c>
      <c r="C13" s="54">
        <f t="shared" si="6"/>
        <v>425.27542406012935</v>
      </c>
      <c r="D13" s="54">
        <f t="shared" ref="D13:V13" si="7">SUM(D14,D18)</f>
        <v>438.64210973851732</v>
      </c>
      <c r="E13" s="54">
        <f t="shared" si="7"/>
        <v>443.66329655057223</v>
      </c>
      <c r="F13" s="54">
        <f t="shared" si="7"/>
        <v>475.19528051432695</v>
      </c>
      <c r="G13" s="54">
        <f t="shared" si="7"/>
        <v>492.73176664939137</v>
      </c>
      <c r="H13" s="54">
        <f t="shared" si="7"/>
        <v>513.86581088635774</v>
      </c>
      <c r="I13" s="54">
        <f t="shared" si="7"/>
        <v>522.93719282502138</v>
      </c>
      <c r="J13" s="54">
        <f t="shared" si="7"/>
        <v>538.27874152732306</v>
      </c>
      <c r="K13" s="54">
        <f t="shared" si="7"/>
        <v>475.70079460275781</v>
      </c>
      <c r="L13" s="54">
        <f t="shared" si="7"/>
        <v>495.19668421720144</v>
      </c>
      <c r="M13" s="54">
        <f t="shared" si="7"/>
        <v>521.25912506727809</v>
      </c>
      <c r="N13" s="54">
        <f t="shared" si="7"/>
        <v>512.89700688640892</v>
      </c>
      <c r="O13" s="54">
        <f t="shared" si="7"/>
        <v>524.88022231915602</v>
      </c>
      <c r="P13" s="54">
        <f t="shared" si="7"/>
        <v>529.98796237171564</v>
      </c>
      <c r="Q13" s="54">
        <f t="shared" si="7"/>
        <v>544.25326040076095</v>
      </c>
      <c r="R13" s="54">
        <f t="shared" si="7"/>
        <v>562.54067954515153</v>
      </c>
      <c r="S13" s="54">
        <f t="shared" si="7"/>
        <v>591.10917101554685</v>
      </c>
      <c r="T13" s="54">
        <f t="shared" si="7"/>
        <v>607.03780500022242</v>
      </c>
      <c r="U13" s="54">
        <f t="shared" si="7"/>
        <v>604.53807466752119</v>
      </c>
      <c r="V13" s="54">
        <f t="shared" si="7"/>
        <v>322.93984871463692</v>
      </c>
      <c r="W13" s="54">
        <f t="shared" ref="W13:Y13" si="8">SUM(W14,W18)</f>
        <v>395.7083063864219</v>
      </c>
      <c r="X13" s="54">
        <f t="shared" si="8"/>
        <v>520.48090342891146</v>
      </c>
      <c r="Y13" s="54">
        <f t="shared" si="8"/>
        <v>561.75567609588018</v>
      </c>
      <c r="DA13" s="172" t="s">
        <v>198</v>
      </c>
    </row>
    <row r="14" spans="1:105" ht="11.45" customHeight="1" x14ac:dyDescent="0.25">
      <c r="A14" s="10" t="s">
        <v>33</v>
      </c>
      <c r="B14" s="11">
        <f t="shared" ref="B14:C14" si="9">SUM(B15:B17)</f>
        <v>369.76621509902225</v>
      </c>
      <c r="C14" s="11">
        <f t="shared" si="9"/>
        <v>360.35296330934324</v>
      </c>
      <c r="D14" s="11">
        <f t="shared" ref="D14:V14" si="10">SUM(D15:D17)</f>
        <v>370.11482849579573</v>
      </c>
      <c r="E14" s="11">
        <f t="shared" si="10"/>
        <v>367.00636425645143</v>
      </c>
      <c r="F14" s="11">
        <f t="shared" si="10"/>
        <v>394.2566878293232</v>
      </c>
      <c r="G14" s="11">
        <f t="shared" si="10"/>
        <v>404.24146246829281</v>
      </c>
      <c r="H14" s="11">
        <f t="shared" si="10"/>
        <v>415.82431159551265</v>
      </c>
      <c r="I14" s="11">
        <f t="shared" si="10"/>
        <v>426.0357250400088</v>
      </c>
      <c r="J14" s="11">
        <f t="shared" si="10"/>
        <v>436.46019416308991</v>
      </c>
      <c r="K14" s="11">
        <f t="shared" si="10"/>
        <v>399.51009075315631</v>
      </c>
      <c r="L14" s="11">
        <f t="shared" si="10"/>
        <v>406.50016855077024</v>
      </c>
      <c r="M14" s="11">
        <f t="shared" si="10"/>
        <v>437.63771417677947</v>
      </c>
      <c r="N14" s="11">
        <f t="shared" si="10"/>
        <v>441.54920589721246</v>
      </c>
      <c r="O14" s="11">
        <f t="shared" si="10"/>
        <v>452.03947872658819</v>
      </c>
      <c r="P14" s="11">
        <f t="shared" si="10"/>
        <v>461.72581019924729</v>
      </c>
      <c r="Q14" s="11">
        <f t="shared" si="10"/>
        <v>475.32894706880381</v>
      </c>
      <c r="R14" s="11">
        <f t="shared" si="10"/>
        <v>499.63286318840107</v>
      </c>
      <c r="S14" s="11">
        <f t="shared" si="10"/>
        <v>521.58025656825907</v>
      </c>
      <c r="T14" s="11">
        <f t="shared" si="10"/>
        <v>537.84580362466716</v>
      </c>
      <c r="U14" s="11">
        <f t="shared" si="10"/>
        <v>543.46112704405095</v>
      </c>
      <c r="V14" s="11">
        <f t="shared" si="10"/>
        <v>238.73840422967027</v>
      </c>
      <c r="W14" s="11">
        <f t="shared" ref="W14:Y14" si="11">SUM(W15:W17)</f>
        <v>302.3446341118119</v>
      </c>
      <c r="X14" s="11">
        <f t="shared" si="11"/>
        <v>441.02325302351187</v>
      </c>
      <c r="Y14" s="11">
        <f t="shared" si="11"/>
        <v>491.36365516918045</v>
      </c>
      <c r="DA14" s="189" t="s">
        <v>199</v>
      </c>
    </row>
    <row r="15" spans="1:105" ht="11.45" customHeight="1" x14ac:dyDescent="0.25">
      <c r="A15" s="83" t="s">
        <v>27</v>
      </c>
      <c r="B15" s="84">
        <v>0</v>
      </c>
      <c r="C15" s="84">
        <v>0</v>
      </c>
      <c r="D15" s="84">
        <v>0</v>
      </c>
      <c r="E15" s="84">
        <v>0</v>
      </c>
      <c r="F15" s="84">
        <v>0</v>
      </c>
      <c r="G15" s="84">
        <v>0</v>
      </c>
      <c r="H15" s="84">
        <v>0</v>
      </c>
      <c r="I15" s="84">
        <v>0</v>
      </c>
      <c r="J15" s="84">
        <v>0</v>
      </c>
      <c r="K15" s="84">
        <v>0</v>
      </c>
      <c r="L15" s="84">
        <v>0</v>
      </c>
      <c r="M15" s="84">
        <v>0</v>
      </c>
      <c r="N15" s="84">
        <v>0</v>
      </c>
      <c r="O15" s="84">
        <v>0</v>
      </c>
      <c r="P15" s="84">
        <v>0</v>
      </c>
      <c r="Q15" s="84">
        <v>0</v>
      </c>
      <c r="R15" s="84">
        <v>0</v>
      </c>
      <c r="S15" s="84">
        <v>0</v>
      </c>
      <c r="T15" s="84">
        <v>0</v>
      </c>
      <c r="U15" s="84">
        <v>0</v>
      </c>
      <c r="V15" s="84">
        <v>0</v>
      </c>
      <c r="W15" s="84">
        <v>0</v>
      </c>
      <c r="X15" s="84">
        <v>0</v>
      </c>
      <c r="Y15" s="84">
        <v>0</v>
      </c>
      <c r="DA15" s="171" t="s">
        <v>200</v>
      </c>
    </row>
    <row r="16" spans="1:105" ht="11.45" customHeight="1" x14ac:dyDescent="0.25">
      <c r="A16" s="83" t="s">
        <v>181</v>
      </c>
      <c r="B16" s="84">
        <v>145.67703226464192</v>
      </c>
      <c r="C16" s="84">
        <v>141.96740125539253</v>
      </c>
      <c r="D16" s="84">
        <v>145.06725036634319</v>
      </c>
      <c r="E16" s="84">
        <v>145.68717757977979</v>
      </c>
      <c r="F16" s="84">
        <v>149.67888362589946</v>
      </c>
      <c r="G16" s="84">
        <v>152.49645471262912</v>
      </c>
      <c r="H16" s="84">
        <v>165.46261790694135</v>
      </c>
      <c r="I16" s="84">
        <v>171.9453355470848</v>
      </c>
      <c r="J16" s="84">
        <v>167.96522157277596</v>
      </c>
      <c r="K16" s="84">
        <v>152.11730520847541</v>
      </c>
      <c r="L16" s="84">
        <v>150.832200272899</v>
      </c>
      <c r="M16" s="84">
        <v>168.163372085021</v>
      </c>
      <c r="N16" s="84">
        <v>167.609549783673</v>
      </c>
      <c r="O16" s="84">
        <v>169.97205191535514</v>
      </c>
      <c r="P16" s="84">
        <v>176.33539498894277</v>
      </c>
      <c r="Q16" s="84">
        <v>182.31727075941981</v>
      </c>
      <c r="R16" s="84">
        <v>201.46760286242031</v>
      </c>
      <c r="S16" s="84">
        <v>215.26026168476028</v>
      </c>
      <c r="T16" s="84">
        <v>220.93666412920803</v>
      </c>
      <c r="U16" s="84">
        <v>219.11197014624986</v>
      </c>
      <c r="V16" s="84">
        <v>93.193871532352915</v>
      </c>
      <c r="W16" s="84">
        <v>120.9680688084523</v>
      </c>
      <c r="X16" s="84">
        <v>193.50222083305704</v>
      </c>
      <c r="Y16" s="84">
        <v>207.98660436549895</v>
      </c>
      <c r="DA16" s="171" t="s">
        <v>201</v>
      </c>
    </row>
    <row r="17" spans="1:105" ht="11.45" customHeight="1" x14ac:dyDescent="0.25">
      <c r="A17" s="83" t="s">
        <v>182</v>
      </c>
      <c r="B17" s="84">
        <v>224.08918283438035</v>
      </c>
      <c r="C17" s="84">
        <v>218.38556205395071</v>
      </c>
      <c r="D17" s="84">
        <v>225.04757812945255</v>
      </c>
      <c r="E17" s="84">
        <v>221.31918667667168</v>
      </c>
      <c r="F17" s="84">
        <v>244.57780420342374</v>
      </c>
      <c r="G17" s="84">
        <v>251.74500775566369</v>
      </c>
      <c r="H17" s="84">
        <v>250.36169368857128</v>
      </c>
      <c r="I17" s="84">
        <v>254.090389492924</v>
      </c>
      <c r="J17" s="84">
        <v>268.49497259031392</v>
      </c>
      <c r="K17" s="84">
        <v>247.39278554468092</v>
      </c>
      <c r="L17" s="84">
        <v>255.66796827787124</v>
      </c>
      <c r="M17" s="84">
        <v>269.4743420917585</v>
      </c>
      <c r="N17" s="84">
        <v>273.93965611353946</v>
      </c>
      <c r="O17" s="84">
        <v>282.06742681123308</v>
      </c>
      <c r="P17" s="84">
        <v>285.39041521030452</v>
      </c>
      <c r="Q17" s="84">
        <v>293.01167630938397</v>
      </c>
      <c r="R17" s="84">
        <v>298.1652603259808</v>
      </c>
      <c r="S17" s="84">
        <v>306.31999488349885</v>
      </c>
      <c r="T17" s="84">
        <v>316.90913949545916</v>
      </c>
      <c r="U17" s="84">
        <v>324.34915689780104</v>
      </c>
      <c r="V17" s="84">
        <v>145.54453269731735</v>
      </c>
      <c r="W17" s="84">
        <v>181.3765653033596</v>
      </c>
      <c r="X17" s="84">
        <v>247.52103219045486</v>
      </c>
      <c r="Y17" s="84">
        <v>283.37705080368147</v>
      </c>
      <c r="DA17" s="171" t="s">
        <v>202</v>
      </c>
    </row>
    <row r="18" spans="1:105" ht="11.45" customHeight="1" x14ac:dyDescent="0.25">
      <c r="A18" s="12" t="s">
        <v>34</v>
      </c>
      <c r="B18" s="13">
        <f t="shared" ref="B18:C18" si="12">SUM(B19:B21)</f>
        <v>65.821562911739179</v>
      </c>
      <c r="C18" s="13">
        <f t="shared" si="12"/>
        <v>64.922460750786129</v>
      </c>
      <c r="D18" s="13">
        <f t="shared" ref="D18:V18" si="13">SUM(D19:D21)</f>
        <v>68.527281242721585</v>
      </c>
      <c r="E18" s="13">
        <f t="shared" si="13"/>
        <v>76.656932294120779</v>
      </c>
      <c r="F18" s="13">
        <f t="shared" si="13"/>
        <v>80.938592685003769</v>
      </c>
      <c r="G18" s="13">
        <f t="shared" si="13"/>
        <v>88.490304181098594</v>
      </c>
      <c r="H18" s="13">
        <f t="shared" si="13"/>
        <v>98.041499290845039</v>
      </c>
      <c r="I18" s="13">
        <f t="shared" si="13"/>
        <v>96.901467785012528</v>
      </c>
      <c r="J18" s="13">
        <f t="shared" si="13"/>
        <v>101.8185473642332</v>
      </c>
      <c r="K18" s="13">
        <f t="shared" si="13"/>
        <v>76.190703849601476</v>
      </c>
      <c r="L18" s="13">
        <f t="shared" si="13"/>
        <v>88.696515666431168</v>
      </c>
      <c r="M18" s="13">
        <f t="shared" si="13"/>
        <v>83.621410890498595</v>
      </c>
      <c r="N18" s="13">
        <f t="shared" si="13"/>
        <v>71.347800989196443</v>
      </c>
      <c r="O18" s="13">
        <f t="shared" si="13"/>
        <v>72.840743592567861</v>
      </c>
      <c r="P18" s="13">
        <f t="shared" si="13"/>
        <v>68.262152172468376</v>
      </c>
      <c r="Q18" s="13">
        <f t="shared" si="13"/>
        <v>68.924313331957137</v>
      </c>
      <c r="R18" s="13">
        <f t="shared" si="13"/>
        <v>62.907816356750466</v>
      </c>
      <c r="S18" s="13">
        <f t="shared" si="13"/>
        <v>69.528914447287761</v>
      </c>
      <c r="T18" s="13">
        <f t="shared" si="13"/>
        <v>69.192001375555279</v>
      </c>
      <c r="U18" s="13">
        <f t="shared" si="13"/>
        <v>61.076947623470204</v>
      </c>
      <c r="V18" s="13">
        <f t="shared" si="13"/>
        <v>84.201444484966629</v>
      </c>
      <c r="W18" s="13">
        <f t="shared" ref="W18:Y18" si="14">SUM(W19:W21)</f>
        <v>93.363672274609982</v>
      </c>
      <c r="X18" s="13">
        <f t="shared" si="14"/>
        <v>79.457650405399548</v>
      </c>
      <c r="Y18" s="13">
        <f t="shared" si="14"/>
        <v>70.392020926699729</v>
      </c>
      <c r="DA18" s="193" t="s">
        <v>203</v>
      </c>
    </row>
    <row r="19" spans="1:105" ht="11.45" customHeight="1" x14ac:dyDescent="0.25">
      <c r="A19" s="92" t="s">
        <v>27</v>
      </c>
      <c r="B19" s="102">
        <v>0</v>
      </c>
      <c r="C19" s="102">
        <v>0</v>
      </c>
      <c r="D19" s="102">
        <v>0</v>
      </c>
      <c r="E19" s="102">
        <v>0</v>
      </c>
      <c r="F19" s="102">
        <v>0</v>
      </c>
      <c r="G19" s="102">
        <v>0</v>
      </c>
      <c r="H19" s="102">
        <v>0</v>
      </c>
      <c r="I19" s="102">
        <v>0</v>
      </c>
      <c r="J19" s="102">
        <v>0</v>
      </c>
      <c r="K19" s="102">
        <v>0</v>
      </c>
      <c r="L19" s="102">
        <v>0</v>
      </c>
      <c r="M19" s="102">
        <v>0</v>
      </c>
      <c r="N19" s="102">
        <v>0</v>
      </c>
      <c r="O19" s="102">
        <v>0</v>
      </c>
      <c r="P19" s="102">
        <v>0</v>
      </c>
      <c r="Q19" s="102">
        <v>0</v>
      </c>
      <c r="R19" s="102">
        <v>0</v>
      </c>
      <c r="S19" s="102">
        <v>0</v>
      </c>
      <c r="T19" s="102">
        <v>0</v>
      </c>
      <c r="U19" s="102">
        <v>0</v>
      </c>
      <c r="V19" s="102">
        <v>0</v>
      </c>
      <c r="W19" s="102">
        <v>0</v>
      </c>
      <c r="X19" s="102">
        <v>0</v>
      </c>
      <c r="Y19" s="102">
        <v>0</v>
      </c>
      <c r="DA19" s="175" t="s">
        <v>204</v>
      </c>
    </row>
    <row r="20" spans="1:105" ht="11.45" customHeight="1" x14ac:dyDescent="0.25">
      <c r="A20" s="92" t="s">
        <v>181</v>
      </c>
      <c r="B20" s="102">
        <v>2.3689714912843334</v>
      </c>
      <c r="C20" s="102">
        <v>3.1167836022568185</v>
      </c>
      <c r="D20" s="102">
        <v>2.4999365239042932</v>
      </c>
      <c r="E20" s="102">
        <v>2.7139608810135134</v>
      </c>
      <c r="F20" s="102">
        <v>2.9247275434045199</v>
      </c>
      <c r="G20" s="102">
        <v>2.9494758247080237</v>
      </c>
      <c r="H20" s="102">
        <v>3.2166701795235877</v>
      </c>
      <c r="I20" s="102">
        <v>3.3175843107553855</v>
      </c>
      <c r="J20" s="102">
        <v>4.1592965876877095</v>
      </c>
      <c r="K20" s="102">
        <v>3.9244301720665793</v>
      </c>
      <c r="L20" s="102">
        <v>4.4216921007371939</v>
      </c>
      <c r="M20" s="102">
        <v>3.6602284742549256</v>
      </c>
      <c r="N20" s="102">
        <v>2.7339597142453753</v>
      </c>
      <c r="O20" s="102">
        <v>2.8925510327469679</v>
      </c>
      <c r="P20" s="102">
        <v>2.9578076881690647</v>
      </c>
      <c r="Q20" s="102">
        <v>3.0085334336339105</v>
      </c>
      <c r="R20" s="102">
        <v>3.2183218736843244</v>
      </c>
      <c r="S20" s="102">
        <v>3.0106299719028633</v>
      </c>
      <c r="T20" s="102">
        <v>2.4754784444356934</v>
      </c>
      <c r="U20" s="102">
        <v>2.3535191568699996</v>
      </c>
      <c r="V20" s="102">
        <v>2.3214369380360211</v>
      </c>
      <c r="W20" s="102">
        <v>2.769739167565787</v>
      </c>
      <c r="X20" s="102">
        <v>2.4740319658851027</v>
      </c>
      <c r="Y20" s="102">
        <v>2.1704349796827076</v>
      </c>
      <c r="DA20" s="175" t="s">
        <v>205</v>
      </c>
    </row>
    <row r="21" spans="1:105" ht="11.45" customHeight="1" x14ac:dyDescent="0.25">
      <c r="A21" s="85" t="s">
        <v>182</v>
      </c>
      <c r="B21" s="86">
        <v>63.452591420454844</v>
      </c>
      <c r="C21" s="86">
        <v>61.805677148529313</v>
      </c>
      <c r="D21" s="86">
        <v>66.02734471881729</v>
      </c>
      <c r="E21" s="86">
        <v>73.942971413107259</v>
      </c>
      <c r="F21" s="86">
        <v>78.013865141599254</v>
      </c>
      <c r="G21" s="86">
        <v>85.540828356390577</v>
      </c>
      <c r="H21" s="86">
        <v>94.824829111321449</v>
      </c>
      <c r="I21" s="86">
        <v>93.583883474257149</v>
      </c>
      <c r="J21" s="86">
        <v>97.659250776545491</v>
      </c>
      <c r="K21" s="86">
        <v>72.266273677534898</v>
      </c>
      <c r="L21" s="86">
        <v>84.274823565693978</v>
      </c>
      <c r="M21" s="86">
        <v>79.961182416243673</v>
      </c>
      <c r="N21" s="86">
        <v>68.613841274951071</v>
      </c>
      <c r="O21" s="86">
        <v>69.948192559820896</v>
      </c>
      <c r="P21" s="86">
        <v>65.304344484299307</v>
      </c>
      <c r="Q21" s="86">
        <v>65.915779898323223</v>
      </c>
      <c r="R21" s="86">
        <v>59.689494483066142</v>
      </c>
      <c r="S21" s="86">
        <v>66.518284475384903</v>
      </c>
      <c r="T21" s="86">
        <v>66.716522931119584</v>
      </c>
      <c r="U21" s="86">
        <v>58.723428466600204</v>
      </c>
      <c r="V21" s="86">
        <v>81.880007546930614</v>
      </c>
      <c r="W21" s="86">
        <v>90.593933107044194</v>
      </c>
      <c r="X21" s="86">
        <v>76.983618439514444</v>
      </c>
      <c r="Y21" s="86">
        <v>68.221585947017019</v>
      </c>
      <c r="DA21" s="178" t="s">
        <v>206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138</v>
      </c>
      <c r="B23" s="54">
        <f t="shared" ref="B23:C23" si="15">SUM(B24,B28)</f>
        <v>213770</v>
      </c>
      <c r="C23" s="54">
        <f t="shared" si="15"/>
        <v>209369</v>
      </c>
      <c r="D23" s="54">
        <f t="shared" ref="D23:V23" si="16">SUM(D24,D28)</f>
        <v>214647</v>
      </c>
      <c r="E23" s="54">
        <f t="shared" si="16"/>
        <v>217172</v>
      </c>
      <c r="F23" s="54">
        <f t="shared" si="16"/>
        <v>225364</v>
      </c>
      <c r="G23" s="54">
        <f t="shared" si="16"/>
        <v>229102</v>
      </c>
      <c r="H23" s="54">
        <f t="shared" si="16"/>
        <v>243049</v>
      </c>
      <c r="I23" s="54">
        <f t="shared" si="16"/>
        <v>249138</v>
      </c>
      <c r="J23" s="54">
        <f t="shared" si="16"/>
        <v>248262</v>
      </c>
      <c r="K23" s="54">
        <f t="shared" si="16"/>
        <v>224218</v>
      </c>
      <c r="L23" s="54">
        <f t="shared" si="16"/>
        <v>224212</v>
      </c>
      <c r="M23" s="54">
        <f t="shared" si="16"/>
        <v>243772</v>
      </c>
      <c r="N23" s="54">
        <f t="shared" si="16"/>
        <v>245127</v>
      </c>
      <c r="O23" s="54">
        <f t="shared" si="16"/>
        <v>249520</v>
      </c>
      <c r="P23" s="54">
        <f t="shared" si="16"/>
        <v>255370</v>
      </c>
      <c r="Q23" s="54">
        <f t="shared" si="16"/>
        <v>262890</v>
      </c>
      <c r="R23" s="54">
        <f t="shared" si="16"/>
        <v>276533</v>
      </c>
      <c r="S23" s="54">
        <f t="shared" si="16"/>
        <v>285550</v>
      </c>
      <c r="T23" s="54">
        <f t="shared" si="16"/>
        <v>289549</v>
      </c>
      <c r="U23" s="54">
        <f t="shared" si="16"/>
        <v>288021</v>
      </c>
      <c r="V23" s="54">
        <f t="shared" si="16"/>
        <v>130773</v>
      </c>
      <c r="W23" s="54">
        <f t="shared" ref="W23:Y23" si="17">SUM(W24,W28)</f>
        <v>154131</v>
      </c>
      <c r="X23" s="54">
        <f t="shared" si="17"/>
        <v>233812</v>
      </c>
      <c r="Y23" s="54">
        <f t="shared" si="17"/>
        <v>255448</v>
      </c>
      <c r="DA23" s="172" t="s">
        <v>207</v>
      </c>
    </row>
    <row r="24" spans="1:105" ht="11.45" customHeight="1" x14ac:dyDescent="0.25">
      <c r="A24" s="10" t="s">
        <v>33</v>
      </c>
      <c r="B24" s="11">
        <f t="shared" ref="B24:C24" si="18">SUM(B25:B27)</f>
        <v>199820</v>
      </c>
      <c r="C24" s="11">
        <f t="shared" si="18"/>
        <v>194732</v>
      </c>
      <c r="D24" s="11">
        <f t="shared" ref="D24:V24" si="19">SUM(D25:D27)</f>
        <v>200077</v>
      </c>
      <c r="E24" s="11">
        <f t="shared" si="19"/>
        <v>200973</v>
      </c>
      <c r="F24" s="11">
        <f t="shared" si="19"/>
        <v>208051</v>
      </c>
      <c r="G24" s="11">
        <f t="shared" si="19"/>
        <v>210484</v>
      </c>
      <c r="H24" s="11">
        <f t="shared" si="19"/>
        <v>223223</v>
      </c>
      <c r="I24" s="11">
        <f t="shared" si="19"/>
        <v>230028</v>
      </c>
      <c r="J24" s="11">
        <f t="shared" si="19"/>
        <v>227724</v>
      </c>
      <c r="K24" s="11">
        <f t="shared" si="19"/>
        <v>208291</v>
      </c>
      <c r="L24" s="11">
        <f t="shared" si="19"/>
        <v>206175</v>
      </c>
      <c r="M24" s="11">
        <f t="shared" si="19"/>
        <v>225904</v>
      </c>
      <c r="N24" s="11">
        <f t="shared" si="19"/>
        <v>228737</v>
      </c>
      <c r="O24" s="11">
        <f t="shared" si="19"/>
        <v>232653</v>
      </c>
      <c r="P24" s="11">
        <f t="shared" si="19"/>
        <v>239163</v>
      </c>
      <c r="Q24" s="11">
        <f t="shared" si="19"/>
        <v>246590</v>
      </c>
      <c r="R24" s="11">
        <f t="shared" si="19"/>
        <v>261368</v>
      </c>
      <c r="S24" s="11">
        <f t="shared" si="19"/>
        <v>269840</v>
      </c>
      <c r="T24" s="11">
        <f t="shared" si="19"/>
        <v>274595</v>
      </c>
      <c r="U24" s="11">
        <f t="shared" si="19"/>
        <v>274403</v>
      </c>
      <c r="V24" s="11">
        <f t="shared" si="19"/>
        <v>113612</v>
      </c>
      <c r="W24" s="11">
        <f t="shared" ref="W24:Y24" si="20">SUM(W25:W27)</f>
        <v>135743</v>
      </c>
      <c r="X24" s="11">
        <f t="shared" si="20"/>
        <v>219029</v>
      </c>
      <c r="Y24" s="11">
        <f t="shared" si="20"/>
        <v>242969</v>
      </c>
      <c r="DA24" s="189" t="s">
        <v>208</v>
      </c>
    </row>
    <row r="25" spans="1:105" ht="11.45" customHeight="1" x14ac:dyDescent="0.25">
      <c r="A25" s="83" t="s">
        <v>27</v>
      </c>
      <c r="B25" s="84">
        <v>0</v>
      </c>
      <c r="C25" s="84">
        <v>0</v>
      </c>
      <c r="D25" s="84">
        <v>0</v>
      </c>
      <c r="E25" s="84">
        <v>0</v>
      </c>
      <c r="F25" s="84">
        <v>0</v>
      </c>
      <c r="G25" s="84">
        <v>0</v>
      </c>
      <c r="H25" s="84">
        <v>0</v>
      </c>
      <c r="I25" s="84">
        <v>0</v>
      </c>
      <c r="J25" s="84">
        <v>0</v>
      </c>
      <c r="K25" s="84">
        <v>0</v>
      </c>
      <c r="L25" s="84">
        <v>0</v>
      </c>
      <c r="M25" s="84">
        <v>0</v>
      </c>
      <c r="N25" s="84">
        <v>0</v>
      </c>
      <c r="O25" s="84">
        <v>0</v>
      </c>
      <c r="P25" s="84">
        <v>0</v>
      </c>
      <c r="Q25" s="84">
        <v>0</v>
      </c>
      <c r="R25" s="84">
        <v>0</v>
      </c>
      <c r="S25" s="84">
        <v>0</v>
      </c>
      <c r="T25" s="84">
        <v>0</v>
      </c>
      <c r="U25" s="84">
        <v>0</v>
      </c>
      <c r="V25" s="84">
        <v>0</v>
      </c>
      <c r="W25" s="84">
        <v>0</v>
      </c>
      <c r="X25" s="84">
        <v>0</v>
      </c>
      <c r="Y25" s="84">
        <v>0</v>
      </c>
      <c r="DA25" s="171" t="s">
        <v>209</v>
      </c>
    </row>
    <row r="26" spans="1:105" ht="11.45" customHeight="1" x14ac:dyDescent="0.25">
      <c r="A26" s="83" t="s">
        <v>181</v>
      </c>
      <c r="B26" s="84">
        <v>161474</v>
      </c>
      <c r="C26" s="84">
        <v>157362</v>
      </c>
      <c r="D26" s="84">
        <v>161567</v>
      </c>
      <c r="E26" s="84">
        <v>163101</v>
      </c>
      <c r="F26" s="84">
        <v>166199</v>
      </c>
      <c r="G26" s="84">
        <v>167533</v>
      </c>
      <c r="H26" s="84">
        <v>181018</v>
      </c>
      <c r="I26" s="84">
        <v>187301</v>
      </c>
      <c r="J26" s="84">
        <v>182193</v>
      </c>
      <c r="K26" s="84">
        <v>165530</v>
      </c>
      <c r="L26" s="84">
        <v>161192</v>
      </c>
      <c r="M26" s="84">
        <v>178729</v>
      </c>
      <c r="N26" s="84">
        <v>180720</v>
      </c>
      <c r="O26" s="84">
        <v>182977</v>
      </c>
      <c r="P26" s="84">
        <v>189000</v>
      </c>
      <c r="Q26" s="84">
        <v>195406</v>
      </c>
      <c r="R26" s="84">
        <v>210190</v>
      </c>
      <c r="S26" s="84">
        <v>217599</v>
      </c>
      <c r="T26" s="84">
        <v>220827</v>
      </c>
      <c r="U26" s="84">
        <v>219115</v>
      </c>
      <c r="V26" s="84">
        <v>91141</v>
      </c>
      <c r="W26" s="84">
        <v>105677</v>
      </c>
      <c r="X26" s="84">
        <v>177321</v>
      </c>
      <c r="Y26" s="84">
        <v>196617</v>
      </c>
      <c r="DA26" s="171" t="s">
        <v>210</v>
      </c>
    </row>
    <row r="27" spans="1:105" ht="11.45" customHeight="1" x14ac:dyDescent="0.25">
      <c r="A27" s="83" t="s">
        <v>182</v>
      </c>
      <c r="B27" s="84">
        <v>38346</v>
      </c>
      <c r="C27" s="84">
        <v>37370</v>
      </c>
      <c r="D27" s="84">
        <v>38510</v>
      </c>
      <c r="E27" s="84">
        <v>37872</v>
      </c>
      <c r="F27" s="84">
        <v>41852</v>
      </c>
      <c r="G27" s="84">
        <v>42951</v>
      </c>
      <c r="H27" s="84">
        <v>42205</v>
      </c>
      <c r="I27" s="84">
        <v>42727</v>
      </c>
      <c r="J27" s="84">
        <v>45531</v>
      </c>
      <c r="K27" s="84">
        <v>42761</v>
      </c>
      <c r="L27" s="84">
        <v>44983</v>
      </c>
      <c r="M27" s="84">
        <v>47175</v>
      </c>
      <c r="N27" s="84">
        <v>48017</v>
      </c>
      <c r="O27" s="84">
        <v>49676</v>
      </c>
      <c r="P27" s="84">
        <v>50163</v>
      </c>
      <c r="Q27" s="84">
        <v>51184</v>
      </c>
      <c r="R27" s="84">
        <v>51178</v>
      </c>
      <c r="S27" s="84">
        <v>52241</v>
      </c>
      <c r="T27" s="84">
        <v>53768</v>
      </c>
      <c r="U27" s="84">
        <v>55288</v>
      </c>
      <c r="V27" s="84">
        <v>22471</v>
      </c>
      <c r="W27" s="84">
        <v>30066</v>
      </c>
      <c r="X27" s="84">
        <v>41708</v>
      </c>
      <c r="Y27" s="84">
        <v>46352</v>
      </c>
      <c r="DA27" s="171" t="s">
        <v>211</v>
      </c>
    </row>
    <row r="28" spans="1:105" ht="11.45" customHeight="1" x14ac:dyDescent="0.25">
      <c r="A28" s="12" t="s">
        <v>34</v>
      </c>
      <c r="B28" s="13">
        <f t="shared" ref="B28:C28" si="21">SUM(B29:B31)</f>
        <v>13950</v>
      </c>
      <c r="C28" s="13">
        <f t="shared" si="21"/>
        <v>14637</v>
      </c>
      <c r="D28" s="13">
        <f t="shared" ref="D28:V28" si="22">SUM(D29:D31)</f>
        <v>14570</v>
      </c>
      <c r="E28" s="13">
        <f t="shared" si="22"/>
        <v>16199</v>
      </c>
      <c r="F28" s="13">
        <f t="shared" si="22"/>
        <v>17313</v>
      </c>
      <c r="G28" s="13">
        <f t="shared" si="22"/>
        <v>18618</v>
      </c>
      <c r="H28" s="13">
        <f t="shared" si="22"/>
        <v>19826</v>
      </c>
      <c r="I28" s="13">
        <f t="shared" si="22"/>
        <v>19110</v>
      </c>
      <c r="J28" s="13">
        <f t="shared" si="22"/>
        <v>20538</v>
      </c>
      <c r="K28" s="13">
        <f t="shared" si="22"/>
        <v>15927</v>
      </c>
      <c r="L28" s="13">
        <f t="shared" si="22"/>
        <v>18037</v>
      </c>
      <c r="M28" s="13">
        <f t="shared" si="22"/>
        <v>17868</v>
      </c>
      <c r="N28" s="13">
        <f t="shared" si="22"/>
        <v>16390</v>
      </c>
      <c r="O28" s="13">
        <f t="shared" si="22"/>
        <v>16867</v>
      </c>
      <c r="P28" s="13">
        <f t="shared" si="22"/>
        <v>16207</v>
      </c>
      <c r="Q28" s="13">
        <f t="shared" si="22"/>
        <v>16300</v>
      </c>
      <c r="R28" s="13">
        <f t="shared" si="22"/>
        <v>15165</v>
      </c>
      <c r="S28" s="13">
        <f t="shared" si="22"/>
        <v>15710</v>
      </c>
      <c r="T28" s="13">
        <f t="shared" si="22"/>
        <v>14954</v>
      </c>
      <c r="U28" s="13">
        <f t="shared" si="22"/>
        <v>13618</v>
      </c>
      <c r="V28" s="13">
        <f t="shared" si="22"/>
        <v>17161</v>
      </c>
      <c r="W28" s="13">
        <f t="shared" ref="W28:Y28" si="23">SUM(W29:W31)</f>
        <v>18388</v>
      </c>
      <c r="X28" s="13">
        <f t="shared" si="23"/>
        <v>14783</v>
      </c>
      <c r="Y28" s="13">
        <f t="shared" si="23"/>
        <v>12479</v>
      </c>
      <c r="DA28" s="193" t="s">
        <v>212</v>
      </c>
    </row>
    <row r="29" spans="1:105" ht="11.45" customHeight="1" x14ac:dyDescent="0.25">
      <c r="A29" s="92" t="s">
        <v>27</v>
      </c>
      <c r="B29" s="102">
        <v>0</v>
      </c>
      <c r="C29" s="102">
        <v>0</v>
      </c>
      <c r="D29" s="102">
        <v>0</v>
      </c>
      <c r="E29" s="102">
        <v>0</v>
      </c>
      <c r="F29" s="102">
        <v>0</v>
      </c>
      <c r="G29" s="102">
        <v>0</v>
      </c>
      <c r="H29" s="102">
        <v>0</v>
      </c>
      <c r="I29" s="102">
        <v>0</v>
      </c>
      <c r="J29" s="102">
        <v>0</v>
      </c>
      <c r="K29" s="102">
        <v>0</v>
      </c>
      <c r="L29" s="102">
        <v>0</v>
      </c>
      <c r="M29" s="102">
        <v>0</v>
      </c>
      <c r="N29" s="102">
        <v>0</v>
      </c>
      <c r="O29" s="102">
        <v>0</v>
      </c>
      <c r="P29" s="102">
        <v>0</v>
      </c>
      <c r="Q29" s="102">
        <v>0</v>
      </c>
      <c r="R29" s="102">
        <v>0</v>
      </c>
      <c r="S29" s="102">
        <v>0</v>
      </c>
      <c r="T29" s="102">
        <v>0</v>
      </c>
      <c r="U29" s="102">
        <v>0</v>
      </c>
      <c r="V29" s="102">
        <v>0</v>
      </c>
      <c r="W29" s="102">
        <v>0</v>
      </c>
      <c r="X29" s="102">
        <v>0</v>
      </c>
      <c r="Y29" s="102">
        <v>0</v>
      </c>
      <c r="DA29" s="175" t="s">
        <v>213</v>
      </c>
    </row>
    <row r="30" spans="1:105" ht="11.45" customHeight="1" x14ac:dyDescent="0.25">
      <c r="A30" s="92" t="s">
        <v>181</v>
      </c>
      <c r="B30" s="102">
        <v>3008</v>
      </c>
      <c r="C30" s="102">
        <v>3979</v>
      </c>
      <c r="D30" s="102">
        <v>3184</v>
      </c>
      <c r="E30" s="102">
        <v>3448</v>
      </c>
      <c r="F30" s="102">
        <v>3860</v>
      </c>
      <c r="G30" s="102">
        <v>3911</v>
      </c>
      <c r="H30" s="102">
        <v>4180</v>
      </c>
      <c r="I30" s="102">
        <v>4134</v>
      </c>
      <c r="J30" s="102">
        <v>5213</v>
      </c>
      <c r="K30" s="102">
        <v>4696</v>
      </c>
      <c r="L30" s="102">
        <v>5084</v>
      </c>
      <c r="M30" s="102">
        <v>4986</v>
      </c>
      <c r="N30" s="102">
        <v>4706</v>
      </c>
      <c r="O30" s="102">
        <v>4837</v>
      </c>
      <c r="P30" s="102">
        <v>4937</v>
      </c>
      <c r="Q30" s="102">
        <v>4933</v>
      </c>
      <c r="R30" s="102">
        <v>4995</v>
      </c>
      <c r="S30" s="102">
        <v>4389</v>
      </c>
      <c r="T30" s="102">
        <v>3598</v>
      </c>
      <c r="U30" s="102">
        <v>3442</v>
      </c>
      <c r="V30" s="102">
        <v>3472</v>
      </c>
      <c r="W30" s="102">
        <v>3837</v>
      </c>
      <c r="X30" s="102">
        <v>3287</v>
      </c>
      <c r="Y30" s="102">
        <v>2856</v>
      </c>
      <c r="DA30" s="175" t="s">
        <v>214</v>
      </c>
    </row>
    <row r="31" spans="1:105" ht="11.45" customHeight="1" x14ac:dyDescent="0.25">
      <c r="A31" s="85" t="s">
        <v>182</v>
      </c>
      <c r="B31" s="86">
        <v>10942</v>
      </c>
      <c r="C31" s="86">
        <v>10658</v>
      </c>
      <c r="D31" s="86">
        <v>11386</v>
      </c>
      <c r="E31" s="86">
        <v>12751</v>
      </c>
      <c r="F31" s="86">
        <v>13453</v>
      </c>
      <c r="G31" s="86">
        <v>14707</v>
      </c>
      <c r="H31" s="86">
        <v>15646</v>
      </c>
      <c r="I31" s="86">
        <v>14976</v>
      </c>
      <c r="J31" s="86">
        <v>15325</v>
      </c>
      <c r="K31" s="86">
        <v>11231</v>
      </c>
      <c r="L31" s="86">
        <v>12953</v>
      </c>
      <c r="M31" s="86">
        <v>12882</v>
      </c>
      <c r="N31" s="86">
        <v>11684</v>
      </c>
      <c r="O31" s="86">
        <v>12030</v>
      </c>
      <c r="P31" s="86">
        <v>11270</v>
      </c>
      <c r="Q31" s="86">
        <v>11367</v>
      </c>
      <c r="R31" s="86">
        <v>10170</v>
      </c>
      <c r="S31" s="86">
        <v>11321</v>
      </c>
      <c r="T31" s="86">
        <v>11356</v>
      </c>
      <c r="U31" s="86">
        <v>10176</v>
      </c>
      <c r="V31" s="86">
        <v>13689</v>
      </c>
      <c r="W31" s="86">
        <v>14551</v>
      </c>
      <c r="X31" s="86">
        <v>11496</v>
      </c>
      <c r="Y31" s="86">
        <v>9623</v>
      </c>
      <c r="DA31" s="178" t="s">
        <v>215</v>
      </c>
    </row>
    <row r="32" spans="1:105" x14ac:dyDescent="0.25">
      <c r="A32" s="50"/>
      <c r="B32" s="50"/>
      <c r="C32" s="50"/>
      <c r="D32" s="51"/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DA32" s="181"/>
    </row>
    <row r="33" spans="1:105" ht="11.45" customHeight="1" x14ac:dyDescent="0.25">
      <c r="A33" s="53" t="s">
        <v>140</v>
      </c>
      <c r="B33" s="54"/>
      <c r="C33" s="54"/>
      <c r="D33" s="54"/>
      <c r="E33" s="54"/>
      <c r="F33" s="54"/>
      <c r="G33" s="54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DA33" s="172"/>
    </row>
    <row r="34" spans="1:105" ht="11.45" customHeight="1" x14ac:dyDescent="0.25">
      <c r="A34" s="10" t="s">
        <v>79</v>
      </c>
      <c r="B34" s="11">
        <f t="shared" ref="B34:C34" si="24">SUM(B35:B37)</f>
        <v>20132089</v>
      </c>
      <c r="C34" s="11">
        <f t="shared" si="24"/>
        <v>19757496</v>
      </c>
      <c r="D34" s="11">
        <f t="shared" ref="D34:V34" si="25">SUM(D35:D37)</f>
        <v>20400405</v>
      </c>
      <c r="E34" s="11">
        <f t="shared" si="25"/>
        <v>20531963</v>
      </c>
      <c r="F34" s="11">
        <f t="shared" si="25"/>
        <v>22476417</v>
      </c>
      <c r="G34" s="11">
        <f t="shared" si="25"/>
        <v>23450221</v>
      </c>
      <c r="H34" s="11">
        <f t="shared" si="25"/>
        <v>24524625</v>
      </c>
      <c r="I34" s="11">
        <f t="shared" si="25"/>
        <v>25383122</v>
      </c>
      <c r="J34" s="11">
        <f t="shared" si="25"/>
        <v>25323013</v>
      </c>
      <c r="K34" s="11">
        <f t="shared" si="25"/>
        <v>23312952</v>
      </c>
      <c r="L34" s="11">
        <f t="shared" si="25"/>
        <v>24376473</v>
      </c>
      <c r="M34" s="11">
        <f t="shared" si="25"/>
        <v>27039354</v>
      </c>
      <c r="N34" s="11">
        <f t="shared" si="25"/>
        <v>27966129</v>
      </c>
      <c r="O34" s="11">
        <f t="shared" si="25"/>
        <v>29172054</v>
      </c>
      <c r="P34" s="11">
        <f t="shared" si="25"/>
        <v>30602862</v>
      </c>
      <c r="Q34" s="11">
        <f t="shared" si="25"/>
        <v>32499353</v>
      </c>
      <c r="R34" s="11">
        <f t="shared" si="25"/>
        <v>35365088</v>
      </c>
      <c r="S34" s="11">
        <f t="shared" si="25"/>
        <v>38332805</v>
      </c>
      <c r="T34" s="11">
        <f t="shared" si="25"/>
        <v>40075452</v>
      </c>
      <c r="U34" s="11">
        <f t="shared" si="25"/>
        <v>40776508</v>
      </c>
      <c r="V34" s="11">
        <f t="shared" si="25"/>
        <v>11736390</v>
      </c>
      <c r="W34" s="11">
        <f t="shared" ref="W34:Y34" si="26">SUM(W35:W37)</f>
        <v>14629451</v>
      </c>
      <c r="X34" s="11">
        <f t="shared" si="26"/>
        <v>30547284</v>
      </c>
      <c r="Y34" s="11">
        <f t="shared" si="26"/>
        <v>35643292</v>
      </c>
      <c r="DA34" s="189" t="s">
        <v>216</v>
      </c>
    </row>
    <row r="35" spans="1:105" ht="11.45" customHeight="1" x14ac:dyDescent="0.25">
      <c r="A35" s="83" t="s">
        <v>27</v>
      </c>
      <c r="B35" s="84">
        <v>0</v>
      </c>
      <c r="C35" s="84">
        <v>0</v>
      </c>
      <c r="D35" s="84">
        <v>0</v>
      </c>
      <c r="E35" s="84">
        <v>0</v>
      </c>
      <c r="F35" s="84">
        <v>0</v>
      </c>
      <c r="G35" s="84">
        <v>0</v>
      </c>
      <c r="H35" s="84">
        <v>0</v>
      </c>
      <c r="I35" s="84">
        <v>0</v>
      </c>
      <c r="J35" s="84">
        <v>0</v>
      </c>
      <c r="K35" s="84">
        <v>0</v>
      </c>
      <c r="L35" s="84">
        <v>0</v>
      </c>
      <c r="M35" s="84">
        <v>0</v>
      </c>
      <c r="N35" s="84">
        <v>0</v>
      </c>
      <c r="O35" s="84">
        <v>0</v>
      </c>
      <c r="P35" s="84">
        <v>0</v>
      </c>
      <c r="Q35" s="84">
        <v>0</v>
      </c>
      <c r="R35" s="84">
        <v>0</v>
      </c>
      <c r="S35" s="84">
        <v>0</v>
      </c>
      <c r="T35" s="84">
        <v>0</v>
      </c>
      <c r="U35" s="84">
        <v>0</v>
      </c>
      <c r="V35" s="84">
        <v>0</v>
      </c>
      <c r="W35" s="84">
        <v>0</v>
      </c>
      <c r="X35" s="84">
        <v>0</v>
      </c>
      <c r="Y35" s="84">
        <v>0</v>
      </c>
      <c r="DA35" s="171" t="s">
        <v>217</v>
      </c>
    </row>
    <row r="36" spans="1:105" ht="11.45" customHeight="1" x14ac:dyDescent="0.25">
      <c r="A36" s="83" t="s">
        <v>181</v>
      </c>
      <c r="B36" s="84">
        <v>12822643</v>
      </c>
      <c r="C36" s="84">
        <v>12597472</v>
      </c>
      <c r="D36" s="84">
        <v>13054407</v>
      </c>
      <c r="E36" s="84">
        <v>13303933</v>
      </c>
      <c r="F36" s="84">
        <v>14161351</v>
      </c>
      <c r="G36" s="84">
        <v>14671341</v>
      </c>
      <c r="H36" s="84">
        <v>15886889</v>
      </c>
      <c r="I36" s="84">
        <v>16539777</v>
      </c>
      <c r="J36" s="84">
        <v>16189783</v>
      </c>
      <c r="K36" s="84">
        <v>14842014</v>
      </c>
      <c r="L36" s="84">
        <v>15284520</v>
      </c>
      <c r="M36" s="84">
        <v>17428687</v>
      </c>
      <c r="N36" s="84">
        <v>17916753</v>
      </c>
      <c r="O36" s="84">
        <v>18675575</v>
      </c>
      <c r="P36" s="84">
        <v>19981505</v>
      </c>
      <c r="Q36" s="84">
        <v>21555708</v>
      </c>
      <c r="R36" s="84">
        <v>24135500</v>
      </c>
      <c r="S36" s="84">
        <v>26394463</v>
      </c>
      <c r="T36" s="84">
        <v>27381625</v>
      </c>
      <c r="U36" s="84">
        <v>27840361</v>
      </c>
      <c r="V36" s="84">
        <v>8283137</v>
      </c>
      <c r="W36" s="84">
        <v>10269335</v>
      </c>
      <c r="X36" s="84">
        <v>21237754</v>
      </c>
      <c r="Y36" s="84">
        <v>24636348</v>
      </c>
      <c r="DA36" s="171" t="s">
        <v>218</v>
      </c>
    </row>
    <row r="37" spans="1:105" ht="11.45" customHeight="1" x14ac:dyDescent="0.25">
      <c r="A37" s="83" t="s">
        <v>182</v>
      </c>
      <c r="B37" s="84">
        <v>7309446</v>
      </c>
      <c r="C37" s="84">
        <v>7160024</v>
      </c>
      <c r="D37" s="84">
        <v>7345998</v>
      </c>
      <c r="E37" s="84">
        <v>7228030</v>
      </c>
      <c r="F37" s="84">
        <v>8315066</v>
      </c>
      <c r="G37" s="84">
        <v>8778880</v>
      </c>
      <c r="H37" s="84">
        <v>8637736</v>
      </c>
      <c r="I37" s="84">
        <v>8843345</v>
      </c>
      <c r="J37" s="84">
        <v>9133230</v>
      </c>
      <c r="K37" s="84">
        <v>8470938</v>
      </c>
      <c r="L37" s="84">
        <v>9091953</v>
      </c>
      <c r="M37" s="84">
        <v>9610667</v>
      </c>
      <c r="N37" s="84">
        <v>10049376</v>
      </c>
      <c r="O37" s="84">
        <v>10496479</v>
      </c>
      <c r="P37" s="84">
        <v>10621357</v>
      </c>
      <c r="Q37" s="84">
        <v>10943645</v>
      </c>
      <c r="R37" s="84">
        <v>11229588</v>
      </c>
      <c r="S37" s="84">
        <v>11938342</v>
      </c>
      <c r="T37" s="84">
        <v>12693827</v>
      </c>
      <c r="U37" s="84">
        <v>12936147</v>
      </c>
      <c r="V37" s="84">
        <v>3453253</v>
      </c>
      <c r="W37" s="84">
        <v>4360116</v>
      </c>
      <c r="X37" s="84">
        <v>9309530</v>
      </c>
      <c r="Y37" s="84">
        <v>11006944</v>
      </c>
      <c r="DA37" s="171" t="s">
        <v>219</v>
      </c>
    </row>
    <row r="38" spans="1:105" ht="11.45" customHeight="1" x14ac:dyDescent="0.25">
      <c r="A38" s="12" t="s">
        <v>80</v>
      </c>
      <c r="B38" s="13">
        <f t="shared" ref="B38:C38" si="27">SUM(B39:B41)</f>
        <v>619130.29335551511</v>
      </c>
      <c r="C38" s="13">
        <f t="shared" si="27"/>
        <v>639165.38652325573</v>
      </c>
      <c r="D38" s="13">
        <f t="shared" ref="D38:V38" si="28">SUM(D39:D41)</f>
        <v>654462.32181747502</v>
      </c>
      <c r="E38" s="13">
        <f t="shared" si="28"/>
        <v>680693.35073064221</v>
      </c>
      <c r="F38" s="13">
        <f t="shared" si="28"/>
        <v>708560.88067752775</v>
      </c>
      <c r="G38" s="13">
        <f t="shared" si="28"/>
        <v>709734.8491292519</v>
      </c>
      <c r="H38" s="13">
        <f t="shared" si="28"/>
        <v>765232.62417285691</v>
      </c>
      <c r="I38" s="13">
        <f t="shared" si="28"/>
        <v>733697.68447826838</v>
      </c>
      <c r="J38" s="13">
        <f t="shared" si="28"/>
        <v>759743.1965015037</v>
      </c>
      <c r="K38" s="13">
        <f t="shared" si="28"/>
        <v>624756.16007528093</v>
      </c>
      <c r="L38" s="13">
        <f t="shared" si="28"/>
        <v>754136.49397224479</v>
      </c>
      <c r="M38" s="13">
        <f t="shared" si="28"/>
        <v>787117.17821404897</v>
      </c>
      <c r="N38" s="13">
        <f t="shared" si="28"/>
        <v>768755.63271952642</v>
      </c>
      <c r="O38" s="13">
        <f t="shared" si="28"/>
        <v>798819.87458518869</v>
      </c>
      <c r="P38" s="13">
        <f t="shared" si="28"/>
        <v>840109.32590168016</v>
      </c>
      <c r="Q38" s="13">
        <f t="shared" si="28"/>
        <v>844377.79961626604</v>
      </c>
      <c r="R38" s="13">
        <f t="shared" si="28"/>
        <v>851043.71932016255</v>
      </c>
      <c r="S38" s="13">
        <f t="shared" si="28"/>
        <v>915170.8219812488</v>
      </c>
      <c r="T38" s="13">
        <f t="shared" si="28"/>
        <v>904892.37399511843</v>
      </c>
      <c r="U38" s="13">
        <f t="shared" si="28"/>
        <v>835102.24377269403</v>
      </c>
      <c r="V38" s="13">
        <f t="shared" si="28"/>
        <v>752928.8495716945</v>
      </c>
      <c r="W38" s="13">
        <f t="shared" ref="W38:Y38" si="29">SUM(W39:W41)</f>
        <v>847921.94674824772</v>
      </c>
      <c r="X38" s="13">
        <f t="shared" si="29"/>
        <v>754333.23347673519</v>
      </c>
      <c r="Y38" s="13">
        <f t="shared" si="29"/>
        <v>658220.40935679222</v>
      </c>
      <c r="DA38" s="193" t="s">
        <v>220</v>
      </c>
    </row>
    <row r="39" spans="1:105" ht="11.45" customHeight="1" x14ac:dyDescent="0.25">
      <c r="A39" s="92" t="s">
        <v>27</v>
      </c>
      <c r="B39" s="102">
        <v>0</v>
      </c>
      <c r="C39" s="102">
        <v>0</v>
      </c>
      <c r="D39" s="102">
        <v>0</v>
      </c>
      <c r="E39" s="102">
        <v>0</v>
      </c>
      <c r="F39" s="102">
        <v>0</v>
      </c>
      <c r="G39" s="102">
        <v>0</v>
      </c>
      <c r="H39" s="102">
        <v>0</v>
      </c>
      <c r="I39" s="102">
        <v>0</v>
      </c>
      <c r="J39" s="102">
        <v>0</v>
      </c>
      <c r="K39" s="102">
        <v>0</v>
      </c>
      <c r="L39" s="102">
        <v>0</v>
      </c>
      <c r="M39" s="102">
        <v>0</v>
      </c>
      <c r="N39" s="102">
        <v>0</v>
      </c>
      <c r="O39" s="102">
        <v>0</v>
      </c>
      <c r="P39" s="102">
        <v>0</v>
      </c>
      <c r="Q39" s="102">
        <v>0</v>
      </c>
      <c r="R39" s="102">
        <v>0</v>
      </c>
      <c r="S39" s="102">
        <v>0</v>
      </c>
      <c r="T39" s="102">
        <v>0</v>
      </c>
      <c r="U39" s="102">
        <v>0</v>
      </c>
      <c r="V39" s="102">
        <v>0</v>
      </c>
      <c r="W39" s="102">
        <v>0</v>
      </c>
      <c r="X39" s="102">
        <v>0</v>
      </c>
      <c r="Y39" s="102">
        <v>0</v>
      </c>
      <c r="DA39" s="175" t="s">
        <v>221</v>
      </c>
    </row>
    <row r="40" spans="1:105" ht="11.45" customHeight="1" x14ac:dyDescent="0.25">
      <c r="A40" s="92" t="s">
        <v>181</v>
      </c>
      <c r="B40" s="102">
        <v>48632.765758418172</v>
      </c>
      <c r="C40" s="102">
        <v>65046.828953595839</v>
      </c>
      <c r="D40" s="102">
        <v>52106.618289283106</v>
      </c>
      <c r="E40" s="102">
        <v>59380.410143360394</v>
      </c>
      <c r="F40" s="102">
        <v>62014.556293591086</v>
      </c>
      <c r="G40" s="102">
        <v>59456.883221603486</v>
      </c>
      <c r="H40" s="102">
        <v>58594.603980672568</v>
      </c>
      <c r="I40" s="102">
        <v>56994.812113375585</v>
      </c>
      <c r="J40" s="102">
        <v>71449.636125090066</v>
      </c>
      <c r="K40" s="102">
        <v>64330.007418208836</v>
      </c>
      <c r="L40" s="102">
        <v>73742.273245720993</v>
      </c>
      <c r="M40" s="102">
        <v>77751.639011160078</v>
      </c>
      <c r="N40" s="102">
        <v>78440.890124755693</v>
      </c>
      <c r="O40" s="102">
        <v>81053.640851891265</v>
      </c>
      <c r="P40" s="102">
        <v>91084.750394566683</v>
      </c>
      <c r="Q40" s="102">
        <v>91150.033153048891</v>
      </c>
      <c r="R40" s="102">
        <v>104135.35741810016</v>
      </c>
      <c r="S40" s="102">
        <v>85047.958037302829</v>
      </c>
      <c r="T40" s="102">
        <v>69173.209384317539</v>
      </c>
      <c r="U40" s="102">
        <v>67816.344441889189</v>
      </c>
      <c r="V40" s="102">
        <v>61247.837229504898</v>
      </c>
      <c r="W40" s="102">
        <v>68177.334513737616</v>
      </c>
      <c r="X40" s="102">
        <v>58805.988465773553</v>
      </c>
      <c r="Y40" s="102">
        <v>51322.426366986765</v>
      </c>
      <c r="DA40" s="175" t="s">
        <v>222</v>
      </c>
    </row>
    <row r="41" spans="1:105" ht="11.45" customHeight="1" x14ac:dyDescent="0.25">
      <c r="A41" s="85" t="s">
        <v>182</v>
      </c>
      <c r="B41" s="86">
        <v>570497.52759709698</v>
      </c>
      <c r="C41" s="86">
        <v>574118.5575696599</v>
      </c>
      <c r="D41" s="86">
        <v>602355.70352819189</v>
      </c>
      <c r="E41" s="86">
        <v>621312.94058728183</v>
      </c>
      <c r="F41" s="86">
        <v>646546.32438393671</v>
      </c>
      <c r="G41" s="86">
        <v>650277.96590764844</v>
      </c>
      <c r="H41" s="86">
        <v>706638.02019218437</v>
      </c>
      <c r="I41" s="86">
        <v>676702.87236489274</v>
      </c>
      <c r="J41" s="86">
        <v>688293.56037641363</v>
      </c>
      <c r="K41" s="86">
        <v>560426.15265707206</v>
      </c>
      <c r="L41" s="86">
        <v>680394.22072652378</v>
      </c>
      <c r="M41" s="86">
        <v>709365.53920288885</v>
      </c>
      <c r="N41" s="86">
        <v>690314.74259477074</v>
      </c>
      <c r="O41" s="86">
        <v>717766.23373329744</v>
      </c>
      <c r="P41" s="86">
        <v>749024.57550711348</v>
      </c>
      <c r="Q41" s="86">
        <v>753227.76646321709</v>
      </c>
      <c r="R41" s="86">
        <v>746908.36190206243</v>
      </c>
      <c r="S41" s="86">
        <v>830122.86394394597</v>
      </c>
      <c r="T41" s="86">
        <v>835719.16461080092</v>
      </c>
      <c r="U41" s="86">
        <v>767285.89933080482</v>
      </c>
      <c r="V41" s="86">
        <v>691681.01234218956</v>
      </c>
      <c r="W41" s="86">
        <v>779744.61223451013</v>
      </c>
      <c r="X41" s="86">
        <v>695527.24501096166</v>
      </c>
      <c r="Y41" s="86">
        <v>606897.9829898054</v>
      </c>
      <c r="DA41" s="178" t="s">
        <v>223</v>
      </c>
    </row>
    <row r="42" spans="1:105" x14ac:dyDescent="0.25">
      <c r="A42" s="50"/>
      <c r="B42" s="50"/>
      <c r="C42" s="50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DA42" s="181"/>
    </row>
    <row r="43" spans="1:105" ht="11.45" customHeight="1" x14ac:dyDescent="0.25">
      <c r="A43" s="53" t="s">
        <v>81</v>
      </c>
      <c r="B43" s="54">
        <f t="shared" ref="B43:C43" si="30">SUM(B44,B48)</f>
        <v>267.20530176735036</v>
      </c>
      <c r="C43" s="54">
        <f t="shared" si="30"/>
        <v>261.28157073307887</v>
      </c>
      <c r="D43" s="54">
        <f t="shared" ref="D43:V43" si="31">SUM(D44,D48)</f>
        <v>269.56434884279969</v>
      </c>
      <c r="E43" s="54">
        <f t="shared" si="31"/>
        <v>272.56213795426635</v>
      </c>
      <c r="F43" s="54">
        <f t="shared" si="31"/>
        <v>289.98677200630033</v>
      </c>
      <c r="G43" s="54">
        <f t="shared" si="31"/>
        <v>299.8121310506919</v>
      </c>
      <c r="H43" s="54">
        <f t="shared" si="31"/>
        <v>313.0790086653044</v>
      </c>
      <c r="I43" s="54">
        <f t="shared" si="31"/>
        <v>318.43598724621836</v>
      </c>
      <c r="J43" s="54">
        <f t="shared" si="31"/>
        <v>326.50922066031444</v>
      </c>
      <c r="K43" s="54">
        <f t="shared" si="31"/>
        <v>301.89674513835735</v>
      </c>
      <c r="L43" s="54">
        <f t="shared" si="31"/>
        <v>299.78449399573003</v>
      </c>
      <c r="M43" s="54">
        <f t="shared" si="31"/>
        <v>316.74388368662869</v>
      </c>
      <c r="N43" s="54">
        <f t="shared" si="31"/>
        <v>316.28514452459461</v>
      </c>
      <c r="O43" s="54">
        <f t="shared" si="31"/>
        <v>320.91262610346502</v>
      </c>
      <c r="P43" s="54">
        <f t="shared" si="31"/>
        <v>324.19039772278455</v>
      </c>
      <c r="Q43" s="54">
        <f t="shared" si="31"/>
        <v>332.9415462679342</v>
      </c>
      <c r="R43" s="54">
        <f t="shared" si="31"/>
        <v>343.85412508431909</v>
      </c>
      <c r="S43" s="54">
        <f t="shared" si="31"/>
        <v>358.46274535498685</v>
      </c>
      <c r="T43" s="54">
        <f t="shared" si="31"/>
        <v>367.24694442106846</v>
      </c>
      <c r="U43" s="54">
        <f t="shared" si="31"/>
        <v>366.51636829531617</v>
      </c>
      <c r="V43" s="54">
        <f t="shared" si="31"/>
        <v>366.63083993040539</v>
      </c>
      <c r="W43" s="54">
        <f t="shared" ref="W43:Y43" si="32">SUM(W44,W48)</f>
        <v>359.43665226496927</v>
      </c>
      <c r="X43" s="54">
        <f t="shared" si="32"/>
        <v>346.07638717660177</v>
      </c>
      <c r="Y43" s="54">
        <f t="shared" si="32"/>
        <v>344.6355940457421</v>
      </c>
      <c r="DA43" s="172" t="s">
        <v>224</v>
      </c>
    </row>
    <row r="44" spans="1:105" ht="11.45" customHeight="1" x14ac:dyDescent="0.25">
      <c r="A44" s="10" t="s">
        <v>33</v>
      </c>
      <c r="B44" s="11">
        <f t="shared" ref="B44:C44" si="33">SUM(B45:B47)</f>
        <v>229.87842185347307</v>
      </c>
      <c r="C44" s="11">
        <f t="shared" si="33"/>
        <v>224.02606085083647</v>
      </c>
      <c r="D44" s="11">
        <f t="shared" ref="D44:V44" si="34">SUM(D45:D47)</f>
        <v>230.23641908342699</v>
      </c>
      <c r="E44" s="11">
        <f t="shared" si="34"/>
        <v>229.0368213872851</v>
      </c>
      <c r="F44" s="11">
        <f t="shared" si="34"/>
        <v>243.99552315470447</v>
      </c>
      <c r="G44" s="11">
        <f t="shared" si="34"/>
        <v>249.62851029129072</v>
      </c>
      <c r="H44" s="11">
        <f t="shared" si="34"/>
        <v>258.03966102395555</v>
      </c>
      <c r="I44" s="11">
        <f t="shared" si="34"/>
        <v>264.23479034137381</v>
      </c>
      <c r="J44" s="11">
        <f t="shared" si="34"/>
        <v>269.49714688129438</v>
      </c>
      <c r="K44" s="11">
        <f t="shared" si="34"/>
        <v>248.33199161562086</v>
      </c>
      <c r="L44" s="11">
        <f t="shared" si="34"/>
        <v>249.19142635310732</v>
      </c>
      <c r="M44" s="11">
        <f t="shared" si="34"/>
        <v>268.7116261097575</v>
      </c>
      <c r="N44" s="11">
        <f t="shared" si="34"/>
        <v>271.9409120693748</v>
      </c>
      <c r="O44" s="11">
        <f t="shared" si="34"/>
        <v>278.23367580840386</v>
      </c>
      <c r="P44" s="11">
        <f t="shared" si="34"/>
        <v>284.10746763586872</v>
      </c>
      <c r="Q44" s="11">
        <f t="shared" si="34"/>
        <v>292.58604638430279</v>
      </c>
      <c r="R44" s="11">
        <f t="shared" si="34"/>
        <v>306.9654319530672</v>
      </c>
      <c r="S44" s="11">
        <f t="shared" si="34"/>
        <v>318.04529738812982</v>
      </c>
      <c r="T44" s="11">
        <f t="shared" si="34"/>
        <v>326.97635416476885</v>
      </c>
      <c r="U44" s="11">
        <f t="shared" si="34"/>
        <v>329.97846603040426</v>
      </c>
      <c r="V44" s="11">
        <f t="shared" si="34"/>
        <v>318.48454493773056</v>
      </c>
      <c r="W44" s="11">
        <f t="shared" ref="W44:Y44" si="35">SUM(W45:W47)</f>
        <v>306.99062384505692</v>
      </c>
      <c r="X44" s="11">
        <f t="shared" si="35"/>
        <v>295.49670275238327</v>
      </c>
      <c r="Y44" s="11">
        <f t="shared" si="35"/>
        <v>295.89008935521201</v>
      </c>
      <c r="DA44" s="189" t="s">
        <v>225</v>
      </c>
    </row>
    <row r="45" spans="1:105" ht="11.45" customHeight="1" x14ac:dyDescent="0.25">
      <c r="A45" s="83" t="s">
        <v>27</v>
      </c>
      <c r="B45" s="84">
        <v>0</v>
      </c>
      <c r="C45" s="84">
        <v>0</v>
      </c>
      <c r="D45" s="84">
        <v>0</v>
      </c>
      <c r="E45" s="84">
        <v>0</v>
      </c>
      <c r="F45" s="84">
        <v>0</v>
      </c>
      <c r="G45" s="84">
        <v>0</v>
      </c>
      <c r="H45" s="84">
        <v>0</v>
      </c>
      <c r="I45" s="84">
        <v>0</v>
      </c>
      <c r="J45" s="84">
        <v>0</v>
      </c>
      <c r="K45" s="84">
        <v>0</v>
      </c>
      <c r="L45" s="84">
        <v>0</v>
      </c>
      <c r="M45" s="84">
        <v>0</v>
      </c>
      <c r="N45" s="84">
        <v>0</v>
      </c>
      <c r="O45" s="84">
        <v>0</v>
      </c>
      <c r="P45" s="84">
        <v>0</v>
      </c>
      <c r="Q45" s="84">
        <v>0</v>
      </c>
      <c r="R45" s="84">
        <v>0</v>
      </c>
      <c r="S45" s="84">
        <v>0</v>
      </c>
      <c r="T45" s="84">
        <v>0</v>
      </c>
      <c r="U45" s="84">
        <v>0</v>
      </c>
      <c r="V45" s="84">
        <v>0</v>
      </c>
      <c r="W45" s="84">
        <v>0</v>
      </c>
      <c r="X45" s="84">
        <v>0</v>
      </c>
      <c r="Y45" s="84">
        <v>0</v>
      </c>
      <c r="DA45" s="171" t="s">
        <v>226</v>
      </c>
    </row>
    <row r="46" spans="1:105" ht="11.45" customHeight="1" x14ac:dyDescent="0.25">
      <c r="A46" s="83" t="s">
        <v>181</v>
      </c>
      <c r="B46" s="84">
        <v>109.67152530174894</v>
      </c>
      <c r="C46" s="84">
        <v>106.87872542763897</v>
      </c>
      <c r="D46" s="84">
        <v>109.51541594863077</v>
      </c>
      <c r="E46" s="84">
        <v>110.31581825248887</v>
      </c>
      <c r="F46" s="84">
        <v>112.79803099169506</v>
      </c>
      <c r="G46" s="84">
        <v>114.56247255544167</v>
      </c>
      <c r="H46" s="84">
        <v>123.62883299847783</v>
      </c>
      <c r="I46" s="84">
        <v>128.16154193373052</v>
      </c>
      <c r="J46" s="84">
        <v>125.4117038433197</v>
      </c>
      <c r="K46" s="84">
        <v>115.12015360939034</v>
      </c>
      <c r="L46" s="84">
        <v>111.20676377642017</v>
      </c>
      <c r="M46" s="84">
        <v>123.55777995591136</v>
      </c>
      <c r="N46" s="84">
        <v>124.19629668475946</v>
      </c>
      <c r="O46" s="84">
        <v>125.85330771024432</v>
      </c>
      <c r="P46" s="84">
        <v>130.23323450703433</v>
      </c>
      <c r="Q46" s="84">
        <v>134.61073774232744</v>
      </c>
      <c r="R46" s="84">
        <v>146.53283007218945</v>
      </c>
      <c r="S46" s="84">
        <v>153.76542317429337</v>
      </c>
      <c r="T46" s="84">
        <v>156.82445543059166</v>
      </c>
      <c r="U46" s="84">
        <v>155.56837139318029</v>
      </c>
      <c r="V46" s="84">
        <v>150.08479512809282</v>
      </c>
      <c r="W46" s="84">
        <v>144.60121886300536</v>
      </c>
      <c r="X46" s="84">
        <v>139.11764259791792</v>
      </c>
      <c r="Y46" s="84">
        <v>144.41296517220547</v>
      </c>
      <c r="DA46" s="171" t="s">
        <v>227</v>
      </c>
    </row>
    <row r="47" spans="1:105" ht="11.45" customHeight="1" x14ac:dyDescent="0.25">
      <c r="A47" s="83" t="s">
        <v>182</v>
      </c>
      <c r="B47" s="84">
        <v>120.20689655172414</v>
      </c>
      <c r="C47" s="84">
        <v>117.14733542319749</v>
      </c>
      <c r="D47" s="84">
        <v>120.72100313479623</v>
      </c>
      <c r="E47" s="84">
        <v>118.72100313479623</v>
      </c>
      <c r="F47" s="84">
        <v>131.1974921630094</v>
      </c>
      <c r="G47" s="84">
        <v>135.06603773584905</v>
      </c>
      <c r="H47" s="84">
        <v>134.41082802547771</v>
      </c>
      <c r="I47" s="84">
        <v>136.07324840764332</v>
      </c>
      <c r="J47" s="84">
        <v>144.08544303797467</v>
      </c>
      <c r="K47" s="84">
        <v>133.21183800623052</v>
      </c>
      <c r="L47" s="84">
        <v>137.98466257668713</v>
      </c>
      <c r="M47" s="84">
        <v>145.15384615384616</v>
      </c>
      <c r="N47" s="84">
        <v>147.74461538461537</v>
      </c>
      <c r="O47" s="84">
        <v>152.38036809815952</v>
      </c>
      <c r="P47" s="84">
        <v>153.87423312883436</v>
      </c>
      <c r="Q47" s="84">
        <v>157.97530864197532</v>
      </c>
      <c r="R47" s="84">
        <v>160.43260188087774</v>
      </c>
      <c r="S47" s="84">
        <v>164.27987421383648</v>
      </c>
      <c r="T47" s="84">
        <v>170.15189873417722</v>
      </c>
      <c r="U47" s="84">
        <v>174.41009463722398</v>
      </c>
      <c r="V47" s="84">
        <v>168.39974980963777</v>
      </c>
      <c r="W47" s="84">
        <v>162.38940498205156</v>
      </c>
      <c r="X47" s="84">
        <v>156.37906015446535</v>
      </c>
      <c r="Y47" s="84">
        <v>151.47712418300654</v>
      </c>
      <c r="DA47" s="171" t="s">
        <v>228</v>
      </c>
    </row>
    <row r="48" spans="1:105" ht="11.45" customHeight="1" x14ac:dyDescent="0.25">
      <c r="A48" s="12" t="s">
        <v>34</v>
      </c>
      <c r="B48" s="13">
        <f t="shared" ref="B48:C48" si="36">SUM(B49:B51)</f>
        <v>37.326879913877271</v>
      </c>
      <c r="C48" s="13">
        <f t="shared" si="36"/>
        <v>37.255509882242364</v>
      </c>
      <c r="D48" s="13">
        <f t="shared" ref="D48:V48" si="37">SUM(D49:D51)</f>
        <v>39.327929759372715</v>
      </c>
      <c r="E48" s="13">
        <f t="shared" si="37"/>
        <v>43.525316566981225</v>
      </c>
      <c r="F48" s="13">
        <f t="shared" si="37"/>
        <v>45.991248851595856</v>
      </c>
      <c r="G48" s="13">
        <f t="shared" si="37"/>
        <v>50.183620759401173</v>
      </c>
      <c r="H48" s="13">
        <f t="shared" si="37"/>
        <v>55.039347641348868</v>
      </c>
      <c r="I48" s="13">
        <f t="shared" si="37"/>
        <v>54.201196904844551</v>
      </c>
      <c r="J48" s="13">
        <f t="shared" si="37"/>
        <v>57.012073779020071</v>
      </c>
      <c r="K48" s="13">
        <f t="shared" si="37"/>
        <v>53.564753522736453</v>
      </c>
      <c r="L48" s="13">
        <f t="shared" si="37"/>
        <v>50.593067642622721</v>
      </c>
      <c r="M48" s="13">
        <f t="shared" si="37"/>
        <v>48.032257576871217</v>
      </c>
      <c r="N48" s="13">
        <f t="shared" si="37"/>
        <v>44.344232455219824</v>
      </c>
      <c r="O48" s="13">
        <f t="shared" si="37"/>
        <v>42.678950295061142</v>
      </c>
      <c r="P48" s="13">
        <f t="shared" si="37"/>
        <v>40.082930086915852</v>
      </c>
      <c r="Q48" s="13">
        <f t="shared" si="37"/>
        <v>40.355499883631389</v>
      </c>
      <c r="R48" s="13">
        <f t="shared" si="37"/>
        <v>36.888693131251891</v>
      </c>
      <c r="S48" s="13">
        <f t="shared" si="37"/>
        <v>40.417447966857054</v>
      </c>
      <c r="T48" s="13">
        <f t="shared" si="37"/>
        <v>40.270590256299606</v>
      </c>
      <c r="U48" s="13">
        <f t="shared" si="37"/>
        <v>36.537902264911885</v>
      </c>
      <c r="V48" s="13">
        <f t="shared" si="37"/>
        <v>48.146294992674797</v>
      </c>
      <c r="W48" s="13">
        <f t="shared" ref="W48:Y48" si="38">SUM(W49:W51)</f>
        <v>52.446028419912338</v>
      </c>
      <c r="X48" s="13">
        <f t="shared" si="38"/>
        <v>50.579684424218478</v>
      </c>
      <c r="Y48" s="13">
        <f t="shared" si="38"/>
        <v>48.745504690530097</v>
      </c>
      <c r="DA48" s="193" t="s">
        <v>229</v>
      </c>
    </row>
    <row r="49" spans="1:105" ht="11.45" customHeight="1" x14ac:dyDescent="0.25">
      <c r="A49" s="92" t="s">
        <v>27</v>
      </c>
      <c r="B49" s="102">
        <v>0</v>
      </c>
      <c r="C49" s="102">
        <v>0</v>
      </c>
      <c r="D49" s="102">
        <v>0</v>
      </c>
      <c r="E49" s="102">
        <v>0</v>
      </c>
      <c r="F49" s="102">
        <v>0</v>
      </c>
      <c r="G49" s="102">
        <v>0</v>
      </c>
      <c r="H49" s="102">
        <v>0</v>
      </c>
      <c r="I49" s="102">
        <v>0</v>
      </c>
      <c r="J49" s="102">
        <v>0</v>
      </c>
      <c r="K49" s="102">
        <v>0</v>
      </c>
      <c r="L49" s="102">
        <v>0</v>
      </c>
      <c r="M49" s="102">
        <v>0</v>
      </c>
      <c r="N49" s="102">
        <v>0</v>
      </c>
      <c r="O49" s="102">
        <v>0</v>
      </c>
      <c r="P49" s="102">
        <v>0</v>
      </c>
      <c r="Q49" s="102">
        <v>0</v>
      </c>
      <c r="R49" s="102">
        <v>0</v>
      </c>
      <c r="S49" s="102">
        <v>0</v>
      </c>
      <c r="T49" s="102">
        <v>0</v>
      </c>
      <c r="U49" s="102">
        <v>0</v>
      </c>
      <c r="V49" s="102">
        <v>0</v>
      </c>
      <c r="W49" s="102">
        <v>0</v>
      </c>
      <c r="X49" s="102">
        <v>0</v>
      </c>
      <c r="Y49" s="102">
        <v>0</v>
      </c>
      <c r="DA49" s="175" t="s">
        <v>230</v>
      </c>
    </row>
    <row r="50" spans="1:105" ht="11.45" customHeight="1" x14ac:dyDescent="0.25">
      <c r="A50" s="92" t="s">
        <v>181</v>
      </c>
      <c r="B50" s="102">
        <v>2.590371977369335</v>
      </c>
      <c r="C50" s="102">
        <v>3.4205892473217263</v>
      </c>
      <c r="D50" s="102">
        <v>3.1818980133409704</v>
      </c>
      <c r="E50" s="102">
        <v>3.0459514876161418</v>
      </c>
      <c r="F50" s="102">
        <v>3.2833123436593494</v>
      </c>
      <c r="G50" s="102">
        <v>3.3460411415667797</v>
      </c>
      <c r="H50" s="102">
        <v>3.5722423781909738</v>
      </c>
      <c r="I50" s="102">
        <v>3.7769544806021291</v>
      </c>
      <c r="J50" s="102">
        <v>4.5291970666913048</v>
      </c>
      <c r="K50" s="102">
        <v>4.5555276040584793</v>
      </c>
      <c r="L50" s="102">
        <v>5.057492517595537</v>
      </c>
      <c r="M50" s="102">
        <v>4.804069657408129</v>
      </c>
      <c r="N50" s="102">
        <v>4.589695329407526</v>
      </c>
      <c r="O50" s="102">
        <v>4.3668483842331174</v>
      </c>
      <c r="P50" s="102">
        <v>4.3051523091380721</v>
      </c>
      <c r="Q50" s="102">
        <v>4.2697855979170978</v>
      </c>
      <c r="R50" s="102">
        <v>4.2766296391883944</v>
      </c>
      <c r="S50" s="102">
        <v>4.1321915566006426</v>
      </c>
      <c r="T50" s="102">
        <v>3.8731543588637094</v>
      </c>
      <c r="U50" s="102">
        <v>3.6141171611267753</v>
      </c>
      <c r="V50" s="102">
        <v>3.5567184454435266</v>
      </c>
      <c r="W50" s="102">
        <v>3.4527624266463457</v>
      </c>
      <c r="X50" s="102">
        <v>3.3232438277778793</v>
      </c>
      <c r="Y50" s="102">
        <v>3.225889490914895</v>
      </c>
      <c r="DA50" s="175" t="s">
        <v>231</v>
      </c>
    </row>
    <row r="51" spans="1:105" ht="11.45" customHeight="1" x14ac:dyDescent="0.25">
      <c r="A51" s="85" t="s">
        <v>182</v>
      </c>
      <c r="B51" s="86">
        <v>34.736507936507934</v>
      </c>
      <c r="C51" s="86">
        <v>33.834920634920636</v>
      </c>
      <c r="D51" s="86">
        <v>36.146031746031746</v>
      </c>
      <c r="E51" s="86">
        <v>40.479365079365081</v>
      </c>
      <c r="F51" s="86">
        <v>42.707936507936509</v>
      </c>
      <c r="G51" s="86">
        <v>46.837579617834393</v>
      </c>
      <c r="H51" s="86">
        <v>51.467105263157897</v>
      </c>
      <c r="I51" s="86">
        <v>50.424242424242422</v>
      </c>
      <c r="J51" s="86">
        <v>52.482876712328768</v>
      </c>
      <c r="K51" s="86">
        <v>49.009225918677977</v>
      </c>
      <c r="L51" s="86">
        <v>45.535575125027187</v>
      </c>
      <c r="M51" s="86">
        <v>43.228187919463089</v>
      </c>
      <c r="N51" s="86">
        <v>39.754537125812298</v>
      </c>
      <c r="O51" s="86">
        <v>38.312101910828027</v>
      </c>
      <c r="P51" s="86">
        <v>35.777777777777779</v>
      </c>
      <c r="Q51" s="86">
        <v>36.085714285714289</v>
      </c>
      <c r="R51" s="86">
        <v>32.612063492063498</v>
      </c>
      <c r="S51" s="86">
        <v>36.285256410256409</v>
      </c>
      <c r="T51" s="86">
        <v>36.397435897435898</v>
      </c>
      <c r="U51" s="86">
        <v>32.923785103785107</v>
      </c>
      <c r="V51" s="86">
        <v>44.589576547231268</v>
      </c>
      <c r="W51" s="86">
        <v>48.993265993265993</v>
      </c>
      <c r="X51" s="86">
        <v>47.256440596440598</v>
      </c>
      <c r="Y51" s="86">
        <v>45.519615199615203</v>
      </c>
      <c r="DA51" s="178" t="s">
        <v>232</v>
      </c>
    </row>
    <row r="52" spans="1:105" x14ac:dyDescent="0.25">
      <c r="A52" s="50"/>
      <c r="B52" s="50"/>
      <c r="C52" s="50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DA52" s="181"/>
    </row>
    <row r="53" spans="1:105" ht="11.45" customHeight="1" x14ac:dyDescent="0.25">
      <c r="A53" s="53" t="s">
        <v>82</v>
      </c>
      <c r="B53" s="54">
        <f t="shared" ref="B53:C53" si="39">SUM(B54,B58)</f>
        <v>7.9008609997921981</v>
      </c>
      <c r="C53" s="54">
        <f t="shared" si="39"/>
        <v>2.7856546568294709</v>
      </c>
      <c r="D53" s="54">
        <f t="shared" ref="D53:V53" si="40">SUM(D54,D58)</f>
        <v>17.201504810129506</v>
      </c>
      <c r="E53" s="54">
        <f t="shared" si="40"/>
        <v>11.963390663103855</v>
      </c>
      <c r="F53" s="54">
        <f t="shared" si="40"/>
        <v>26.147365287480888</v>
      </c>
      <c r="G53" s="54">
        <f t="shared" si="40"/>
        <v>18.983401127545509</v>
      </c>
      <c r="H53" s="54">
        <f t="shared" si="40"/>
        <v>22.364966325958932</v>
      </c>
      <c r="I53" s="54">
        <f t="shared" si="40"/>
        <v>14.102920899319225</v>
      </c>
      <c r="J53" s="54">
        <f t="shared" si="40"/>
        <v>18.496385783418265</v>
      </c>
      <c r="K53" s="54">
        <f t="shared" si="40"/>
        <v>0.18307140491455121</v>
      </c>
      <c r="L53" s="54">
        <f t="shared" si="40"/>
        <v>10.284816413392328</v>
      </c>
      <c r="M53" s="54">
        <f t="shared" si="40"/>
        <v>26.989642701362484</v>
      </c>
      <c r="N53" s="54">
        <f t="shared" si="40"/>
        <v>10.734061221859143</v>
      </c>
      <c r="O53" s="54">
        <f t="shared" si="40"/>
        <v>13.789066384097055</v>
      </c>
      <c r="P53" s="54">
        <f t="shared" si="40"/>
        <v>13.437630352131553</v>
      </c>
      <c r="Q53" s="54">
        <f t="shared" si="40"/>
        <v>17.555035898754952</v>
      </c>
      <c r="R53" s="54">
        <f t="shared" si="40"/>
        <v>22.011764209797473</v>
      </c>
      <c r="S53" s="54">
        <f t="shared" si="40"/>
        <v>23.455600548741241</v>
      </c>
      <c r="T53" s="54">
        <f t="shared" si="40"/>
        <v>17.638602313342531</v>
      </c>
      <c r="U53" s="54">
        <f t="shared" si="40"/>
        <v>10.785254059748461</v>
      </c>
      <c r="V53" s="54">
        <f t="shared" si="40"/>
        <v>12.862624966115899</v>
      </c>
      <c r="W53" s="54">
        <f t="shared" ref="W53:Y53" si="41">SUM(W54,W58)</f>
        <v>5.553965665590531</v>
      </c>
      <c r="X53" s="54">
        <f t="shared" si="41"/>
        <v>0</v>
      </c>
      <c r="Y53" s="54">
        <f t="shared" si="41"/>
        <v>9.3287117033142799</v>
      </c>
      <c r="DA53" s="172" t="s">
        <v>233</v>
      </c>
    </row>
    <row r="54" spans="1:105" ht="11.45" customHeight="1" x14ac:dyDescent="0.25">
      <c r="A54" s="10" t="s">
        <v>33</v>
      </c>
      <c r="B54" s="11">
        <f t="shared" ref="B54:C54" si="42">SUM(B55:B57)</f>
        <v>7.6276133990733523</v>
      </c>
      <c r="C54" s="11">
        <f t="shared" si="42"/>
        <v>1.6151743590563781</v>
      </c>
      <c r="D54" s="11">
        <f t="shared" ref="D54:V54" si="43">SUM(D55:D57)</f>
        <v>13.745923801961485</v>
      </c>
      <c r="E54" s="11">
        <f t="shared" si="43"/>
        <v>6.4114870676909952</v>
      </c>
      <c r="F54" s="11">
        <f t="shared" si="43"/>
        <v>22.434890796707712</v>
      </c>
      <c r="G54" s="11">
        <f t="shared" si="43"/>
        <v>13.541755921144681</v>
      </c>
      <c r="H54" s="11">
        <f t="shared" si="43"/>
        <v>16.264400380072306</v>
      </c>
      <c r="I54" s="11">
        <f t="shared" si="43"/>
        <v>13.662664679111316</v>
      </c>
      <c r="J54" s="11">
        <f t="shared" si="43"/>
        <v>14.432528856116964</v>
      </c>
      <c r="K54" s="11">
        <f t="shared" si="43"/>
        <v>3.2809950491152762E-4</v>
      </c>
      <c r="L54" s="11">
        <f t="shared" si="43"/>
        <v>9.6248522617865291</v>
      </c>
      <c r="M54" s="11">
        <f t="shared" si="43"/>
        <v>26.987735118343227</v>
      </c>
      <c r="N54" s="11">
        <f t="shared" si="43"/>
        <v>10.696821321310324</v>
      </c>
      <c r="O54" s="11">
        <f t="shared" si="43"/>
        <v>13.760299100722044</v>
      </c>
      <c r="P54" s="11">
        <f t="shared" si="43"/>
        <v>13.341327189157855</v>
      </c>
      <c r="Q54" s="11">
        <f t="shared" si="43"/>
        <v>15.946114110127082</v>
      </c>
      <c r="R54" s="11">
        <f t="shared" si="43"/>
        <v>21.846920930457436</v>
      </c>
      <c r="S54" s="11">
        <f t="shared" si="43"/>
        <v>18.54740079675566</v>
      </c>
      <c r="T54" s="11">
        <f t="shared" si="43"/>
        <v>16.398592138332042</v>
      </c>
      <c r="U54" s="11">
        <f t="shared" si="43"/>
        <v>10.785254059748461</v>
      </c>
      <c r="V54" s="11">
        <f t="shared" si="43"/>
        <v>0</v>
      </c>
      <c r="W54" s="11">
        <f t="shared" ref="W54:Y54" si="44">SUM(W55:W57)</f>
        <v>0</v>
      </c>
      <c r="X54" s="11">
        <f t="shared" si="44"/>
        <v>0</v>
      </c>
      <c r="Y54" s="11">
        <f t="shared" si="44"/>
        <v>9.299664489655278</v>
      </c>
      <c r="DA54" s="189" t="s">
        <v>234</v>
      </c>
    </row>
    <row r="55" spans="1:105" ht="11.45" customHeight="1" x14ac:dyDescent="0.25">
      <c r="A55" s="83" t="s">
        <v>27</v>
      </c>
      <c r="B55" s="84">
        <v>0</v>
      </c>
      <c r="C55" s="84">
        <v>0</v>
      </c>
      <c r="D55" s="84">
        <v>0</v>
      </c>
      <c r="E55" s="84">
        <v>0</v>
      </c>
      <c r="F55" s="84">
        <v>0</v>
      </c>
      <c r="G55" s="84">
        <v>0</v>
      </c>
      <c r="H55" s="84">
        <v>0</v>
      </c>
      <c r="I55" s="84">
        <v>0</v>
      </c>
      <c r="J55" s="84">
        <v>0</v>
      </c>
      <c r="K55" s="84">
        <v>0</v>
      </c>
      <c r="L55" s="84">
        <v>0</v>
      </c>
      <c r="M55" s="84">
        <v>0</v>
      </c>
      <c r="N55" s="84">
        <v>0</v>
      </c>
      <c r="O55" s="84">
        <v>0</v>
      </c>
      <c r="P55" s="84">
        <v>0</v>
      </c>
      <c r="Q55" s="84">
        <v>0</v>
      </c>
      <c r="R55" s="84">
        <v>0</v>
      </c>
      <c r="S55" s="84">
        <v>0</v>
      </c>
      <c r="T55" s="84">
        <v>0</v>
      </c>
      <c r="U55" s="84">
        <v>0</v>
      </c>
      <c r="V55" s="84">
        <v>0</v>
      </c>
      <c r="W55" s="84">
        <v>0</v>
      </c>
      <c r="X55" s="84">
        <v>0</v>
      </c>
      <c r="Y55" s="84">
        <v>0</v>
      </c>
      <c r="DA55" s="171" t="s">
        <v>235</v>
      </c>
    </row>
    <row r="56" spans="1:105" ht="11.45" customHeight="1" x14ac:dyDescent="0.25">
      <c r="A56" s="83" t="s">
        <v>181</v>
      </c>
      <c r="B56" s="84">
        <v>3.6380627198677455</v>
      </c>
      <c r="C56" s="84">
        <v>0.76982430681003233</v>
      </c>
      <c r="D56" s="84">
        <v>6.2673449095897427</v>
      </c>
      <c r="E56" s="84">
        <v>4.5065758869179966</v>
      </c>
      <c r="F56" s="84">
        <v>6.0534905877215319</v>
      </c>
      <c r="G56" s="84">
        <v>5.7682991675320174</v>
      </c>
      <c r="H56" s="84">
        <v>13.014698909670631</v>
      </c>
      <c r="I56" s="84">
        <v>8.0953331161726965</v>
      </c>
      <c r="J56" s="84">
        <v>2.5154230450125992</v>
      </c>
      <c r="K56" s="84">
        <v>3.2809950491152762E-4</v>
      </c>
      <c r="L56" s="84">
        <v>0.94711651055690993</v>
      </c>
      <c r="M56" s="84">
        <v>15.913640360411183</v>
      </c>
      <c r="N56" s="84">
        <v>4.2011409097681005</v>
      </c>
      <c r="O56" s="84">
        <v>5.219635206404881</v>
      </c>
      <c r="P56" s="84">
        <v>7.9425509777100016</v>
      </c>
      <c r="Q56" s="84">
        <v>7.9401274162131141</v>
      </c>
      <c r="R56" s="84">
        <v>15.484716510782002</v>
      </c>
      <c r="S56" s="84">
        <v>10.795217283023909</v>
      </c>
      <c r="T56" s="84">
        <v>6.6216564372182862</v>
      </c>
      <c r="U56" s="84">
        <v>2.6221469759286933</v>
      </c>
      <c r="V56" s="84">
        <v>0</v>
      </c>
      <c r="W56" s="84">
        <v>0</v>
      </c>
      <c r="X56" s="84">
        <v>0</v>
      </c>
      <c r="Y56" s="84">
        <v>9.299664489655278</v>
      </c>
      <c r="DA56" s="171" t="s">
        <v>236</v>
      </c>
    </row>
    <row r="57" spans="1:105" ht="11.45" customHeight="1" x14ac:dyDescent="0.25">
      <c r="A57" s="83" t="s">
        <v>182</v>
      </c>
      <c r="B57" s="84">
        <v>3.9895506792056068</v>
      </c>
      <c r="C57" s="84">
        <v>0.84535005224634574</v>
      </c>
      <c r="D57" s="84">
        <v>7.4785788923717433</v>
      </c>
      <c r="E57" s="84">
        <v>1.9049111807729986</v>
      </c>
      <c r="F57" s="84">
        <v>16.381400208986179</v>
      </c>
      <c r="G57" s="84">
        <v>7.7734567536126633</v>
      </c>
      <c r="H57" s="84">
        <v>3.2497014704016749</v>
      </c>
      <c r="I57" s="84">
        <v>5.5673315629386195</v>
      </c>
      <c r="J57" s="84">
        <v>11.917105811104364</v>
      </c>
      <c r="K57" s="84">
        <v>0</v>
      </c>
      <c r="L57" s="84">
        <v>8.6777357512296192</v>
      </c>
      <c r="M57" s="84">
        <v>11.074094757932045</v>
      </c>
      <c r="N57" s="84">
        <v>6.4956804115422244</v>
      </c>
      <c r="O57" s="84">
        <v>8.5406638943171629</v>
      </c>
      <c r="P57" s="84">
        <v>5.3987762114478528</v>
      </c>
      <c r="Q57" s="84">
        <v>8.0059866939139681</v>
      </c>
      <c r="R57" s="84">
        <v>6.3622044196754359</v>
      </c>
      <c r="S57" s="84">
        <v>7.752183513731751</v>
      </c>
      <c r="T57" s="84">
        <v>9.7769357011137572</v>
      </c>
      <c r="U57" s="84">
        <v>8.1631070838197672</v>
      </c>
      <c r="V57" s="84">
        <v>0</v>
      </c>
      <c r="W57" s="84">
        <v>0</v>
      </c>
      <c r="X57" s="84">
        <v>0</v>
      </c>
      <c r="Y57" s="84">
        <v>0</v>
      </c>
      <c r="DA57" s="171" t="s">
        <v>237</v>
      </c>
    </row>
    <row r="58" spans="1:105" ht="11.45" customHeight="1" x14ac:dyDescent="0.25">
      <c r="A58" s="12" t="s">
        <v>34</v>
      </c>
      <c r="B58" s="13">
        <f t="shared" ref="B58:C58" si="45">SUM(B59:B61)</f>
        <v>0.2732476007188458</v>
      </c>
      <c r="C58" s="13">
        <f t="shared" si="45"/>
        <v>1.1704802977730928</v>
      </c>
      <c r="D58" s="13">
        <f t="shared" ref="D58:V58" si="46">SUM(D59:D61)</f>
        <v>3.4555810081680214</v>
      </c>
      <c r="E58" s="13">
        <f t="shared" si="46"/>
        <v>5.5519035954128606</v>
      </c>
      <c r="F58" s="13">
        <f t="shared" si="46"/>
        <v>3.7124744907731735</v>
      </c>
      <c r="G58" s="13">
        <f t="shared" si="46"/>
        <v>5.4416452064008274</v>
      </c>
      <c r="H58" s="13">
        <f t="shared" si="46"/>
        <v>6.1005659458866255</v>
      </c>
      <c r="I58" s="13">
        <f t="shared" si="46"/>
        <v>0.44025622020790933</v>
      </c>
      <c r="J58" s="13">
        <f t="shared" si="46"/>
        <v>4.0638569273013019</v>
      </c>
      <c r="K58" s="13">
        <f t="shared" si="46"/>
        <v>0.18274330540963968</v>
      </c>
      <c r="L58" s="13">
        <f t="shared" si="46"/>
        <v>0.65996415160579902</v>
      </c>
      <c r="M58" s="13">
        <f t="shared" si="46"/>
        <v>1.907583019258613E-3</v>
      </c>
      <c r="N58" s="13">
        <f t="shared" si="46"/>
        <v>3.7239900548819108E-2</v>
      </c>
      <c r="O58" s="13">
        <f t="shared" si="46"/>
        <v>2.8767283375011249E-2</v>
      </c>
      <c r="P58" s="13">
        <f t="shared" si="46"/>
        <v>9.6303162973696566E-2</v>
      </c>
      <c r="Q58" s="13">
        <f t="shared" si="46"/>
        <v>1.6089217886278679</v>
      </c>
      <c r="R58" s="13">
        <f t="shared" si="46"/>
        <v>0.16484327934003673</v>
      </c>
      <c r="S58" s="13">
        <f t="shared" si="46"/>
        <v>4.9081997519855811</v>
      </c>
      <c r="T58" s="13">
        <f t="shared" si="46"/>
        <v>1.2400101750104895</v>
      </c>
      <c r="U58" s="13">
        <f t="shared" si="46"/>
        <v>0</v>
      </c>
      <c r="V58" s="13">
        <f t="shared" si="46"/>
        <v>12.862624966115899</v>
      </c>
      <c r="W58" s="13">
        <f t="shared" ref="W58:Y58" si="47">SUM(W59:W61)</f>
        <v>5.553965665590531</v>
      </c>
      <c r="X58" s="13">
        <f t="shared" si="47"/>
        <v>0</v>
      </c>
      <c r="Y58" s="13">
        <f t="shared" si="47"/>
        <v>2.904721365900198E-2</v>
      </c>
      <c r="DA58" s="193" t="s">
        <v>238</v>
      </c>
    </row>
    <row r="59" spans="1:105" ht="11.45" customHeight="1" x14ac:dyDescent="0.25">
      <c r="A59" s="92" t="s">
        <v>27</v>
      </c>
      <c r="B59" s="102">
        <v>0</v>
      </c>
      <c r="C59" s="102">
        <v>0</v>
      </c>
      <c r="D59" s="102">
        <v>0</v>
      </c>
      <c r="E59" s="102">
        <v>0</v>
      </c>
      <c r="F59" s="102">
        <v>0</v>
      </c>
      <c r="G59" s="102">
        <v>0</v>
      </c>
      <c r="H59" s="102">
        <v>0</v>
      </c>
      <c r="I59" s="102">
        <v>0</v>
      </c>
      <c r="J59" s="102">
        <v>0</v>
      </c>
      <c r="K59" s="102">
        <v>0</v>
      </c>
      <c r="L59" s="102">
        <v>0</v>
      </c>
      <c r="M59" s="102">
        <v>0</v>
      </c>
      <c r="N59" s="102">
        <v>0</v>
      </c>
      <c r="O59" s="102">
        <v>0</v>
      </c>
      <c r="P59" s="102">
        <v>0</v>
      </c>
      <c r="Q59" s="102">
        <v>0</v>
      </c>
      <c r="R59" s="102">
        <v>0</v>
      </c>
      <c r="S59" s="102">
        <v>0</v>
      </c>
      <c r="T59" s="102">
        <v>0</v>
      </c>
      <c r="U59" s="102">
        <v>0</v>
      </c>
      <c r="V59" s="102">
        <v>0</v>
      </c>
      <c r="W59" s="102">
        <v>0</v>
      </c>
      <c r="X59" s="102">
        <v>0</v>
      </c>
      <c r="Y59" s="102">
        <v>0</v>
      </c>
      <c r="DA59" s="175" t="s">
        <v>239</v>
      </c>
    </row>
    <row r="60" spans="1:105" ht="11.45" customHeight="1" x14ac:dyDescent="0.25">
      <c r="A60" s="92" t="s">
        <v>181</v>
      </c>
      <c r="B60" s="102">
        <v>0.2732476007188458</v>
      </c>
      <c r="C60" s="102">
        <v>0.94423691152939071</v>
      </c>
      <c r="D60" s="102">
        <v>1.6639209225911028E-2</v>
      </c>
      <c r="E60" s="102">
        <v>9.073957424852401E-2</v>
      </c>
      <c r="F60" s="102">
        <v>0.35607237437074546</v>
      </c>
      <c r="G60" s="102">
        <v>0.18417140867194237</v>
      </c>
      <c r="H60" s="102">
        <v>0.34320961273212108</v>
      </c>
      <c r="I60" s="102">
        <v>0.35528837129238411</v>
      </c>
      <c r="J60" s="102">
        <v>0.87739195138395576</v>
      </c>
      <c r="K60" s="102">
        <v>0.18274330540963968</v>
      </c>
      <c r="L60" s="102">
        <v>0.65996415160579902</v>
      </c>
      <c r="M60" s="102">
        <v>1.907583019258613E-3</v>
      </c>
      <c r="N60" s="102">
        <v>3.7239900548819108E-2</v>
      </c>
      <c r="O60" s="102">
        <v>2.8767283375011249E-2</v>
      </c>
      <c r="P60" s="102">
        <v>9.6303162973696566E-2</v>
      </c>
      <c r="Q60" s="102">
        <v>0.17315459286035714</v>
      </c>
      <c r="R60" s="102">
        <v>0.16484327934003673</v>
      </c>
      <c r="S60" s="102">
        <v>0.10717614596166991</v>
      </c>
      <c r="T60" s="102">
        <v>0</v>
      </c>
      <c r="U60" s="102">
        <v>0</v>
      </c>
      <c r="V60" s="102">
        <v>6.9002834838737093E-2</v>
      </c>
      <c r="W60" s="102">
        <v>2.2445531724805234E-2</v>
      </c>
      <c r="X60" s="102">
        <v>0</v>
      </c>
      <c r="Y60" s="102">
        <v>2.904721365900198E-2</v>
      </c>
      <c r="DA60" s="175" t="s">
        <v>240</v>
      </c>
    </row>
    <row r="61" spans="1:105" ht="11.45" customHeight="1" x14ac:dyDescent="0.25">
      <c r="A61" s="85" t="s">
        <v>182</v>
      </c>
      <c r="B61" s="86">
        <v>0</v>
      </c>
      <c r="C61" s="86">
        <v>0.2262433862437021</v>
      </c>
      <c r="D61" s="86">
        <v>3.4389417989421105</v>
      </c>
      <c r="E61" s="86">
        <v>5.4611640211643362</v>
      </c>
      <c r="F61" s="86">
        <v>3.3564021164024282</v>
      </c>
      <c r="G61" s="86">
        <v>5.2574737977288848</v>
      </c>
      <c r="H61" s="86">
        <v>5.7573563331545046</v>
      </c>
      <c r="I61" s="86">
        <v>8.4967848915525224E-2</v>
      </c>
      <c r="J61" s="86">
        <v>3.186464975917346</v>
      </c>
      <c r="K61" s="86">
        <v>0</v>
      </c>
      <c r="L61" s="86">
        <v>0</v>
      </c>
      <c r="M61" s="86">
        <v>0</v>
      </c>
      <c r="N61" s="86">
        <v>0</v>
      </c>
      <c r="O61" s="86">
        <v>0</v>
      </c>
      <c r="P61" s="86">
        <v>0</v>
      </c>
      <c r="Q61" s="86">
        <v>1.4357671957675109</v>
      </c>
      <c r="R61" s="86">
        <v>0</v>
      </c>
      <c r="S61" s="86">
        <v>4.8010236060239109</v>
      </c>
      <c r="T61" s="86">
        <v>1.2400101750104895</v>
      </c>
      <c r="U61" s="86">
        <v>0</v>
      </c>
      <c r="V61" s="86">
        <v>12.793622131277161</v>
      </c>
      <c r="W61" s="86">
        <v>5.5315201338657261</v>
      </c>
      <c r="X61" s="86">
        <v>0</v>
      </c>
      <c r="Y61" s="86">
        <v>0</v>
      </c>
      <c r="DA61" s="178" t="s">
        <v>241</v>
      </c>
    </row>
    <row r="62" spans="1:105" x14ac:dyDescent="0.25">
      <c r="A62" s="50"/>
      <c r="B62" s="50"/>
      <c r="C62" s="50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DA62" s="181"/>
    </row>
    <row r="63" spans="1:105" ht="11.45" customHeight="1" x14ac:dyDescent="0.25">
      <c r="A63" s="68" t="s">
        <v>36</v>
      </c>
      <c r="B63" s="69"/>
      <c r="C63" s="69"/>
      <c r="D63" s="69"/>
      <c r="E63" s="69"/>
      <c r="F63" s="69"/>
      <c r="G63" s="69"/>
      <c r="H63" s="69"/>
      <c r="I63" s="69"/>
      <c r="J63" s="69"/>
      <c r="K63" s="69"/>
      <c r="L63" s="69"/>
      <c r="M63" s="69"/>
      <c r="N63" s="69"/>
      <c r="O63" s="69"/>
      <c r="P63" s="69"/>
      <c r="Q63" s="69"/>
      <c r="R63" s="69"/>
      <c r="S63" s="69"/>
      <c r="T63" s="69"/>
      <c r="U63" s="69"/>
      <c r="V63" s="69"/>
      <c r="W63" s="69"/>
      <c r="X63" s="69"/>
      <c r="Y63" s="69"/>
      <c r="DA63" s="179"/>
    </row>
    <row r="64" spans="1:105" x14ac:dyDescent="0.25">
      <c r="A64" s="50"/>
      <c r="B64" s="50"/>
      <c r="C64" s="50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DA64" s="181"/>
    </row>
    <row r="65" spans="1:105" ht="11.45" customHeight="1" x14ac:dyDescent="0.25">
      <c r="A65" s="53" t="s">
        <v>83</v>
      </c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DA65" s="172"/>
    </row>
    <row r="66" spans="1:105" ht="11.45" customHeight="1" x14ac:dyDescent="0.25">
      <c r="A66" s="10" t="s">
        <v>84</v>
      </c>
      <c r="B66" s="14">
        <f t="shared" ref="B66:C73" si="48">IF(B34=0,0,B34/B24)</f>
        <v>100.75112100890802</v>
      </c>
      <c r="C66" s="14">
        <f t="shared" si="48"/>
        <v>101.45993467945689</v>
      </c>
      <c r="D66" s="14">
        <f t="shared" ref="D66:V66" si="49">IF(D34=0,0,D34/D24)</f>
        <v>101.96276933380649</v>
      </c>
      <c r="E66" s="14">
        <f t="shared" si="49"/>
        <v>102.16279301199664</v>
      </c>
      <c r="F66" s="14">
        <f t="shared" si="49"/>
        <v>108.03320820375774</v>
      </c>
      <c r="G66" s="14">
        <f t="shared" si="49"/>
        <v>111.41094334961328</v>
      </c>
      <c r="H66" s="14">
        <f t="shared" si="49"/>
        <v>109.86603083015639</v>
      </c>
      <c r="I66" s="14">
        <f t="shared" si="49"/>
        <v>110.34796633453318</v>
      </c>
      <c r="J66" s="14">
        <f t="shared" si="49"/>
        <v>111.20045757144614</v>
      </c>
      <c r="K66" s="14">
        <f t="shared" si="49"/>
        <v>111.92491274226923</v>
      </c>
      <c r="L66" s="14">
        <f t="shared" si="49"/>
        <v>118.23195343761368</v>
      </c>
      <c r="M66" s="14">
        <f t="shared" si="49"/>
        <v>119.69400276223529</v>
      </c>
      <c r="N66" s="14">
        <f t="shared" si="49"/>
        <v>122.26324993332955</v>
      </c>
      <c r="O66" s="14">
        <f t="shared" si="49"/>
        <v>125.38868615491741</v>
      </c>
      <c r="P66" s="14">
        <f t="shared" si="49"/>
        <v>127.95817914978487</v>
      </c>
      <c r="Q66" s="14">
        <f t="shared" si="49"/>
        <v>131.79509712478202</v>
      </c>
      <c r="R66" s="14">
        <f t="shared" si="49"/>
        <v>135.30764286370174</v>
      </c>
      <c r="S66" s="14">
        <f t="shared" si="49"/>
        <v>142.05753409427808</v>
      </c>
      <c r="T66" s="14">
        <f t="shared" si="49"/>
        <v>145.94385185454942</v>
      </c>
      <c r="U66" s="14">
        <f t="shared" si="49"/>
        <v>148.60080975791081</v>
      </c>
      <c r="V66" s="14">
        <f t="shared" si="49"/>
        <v>103.30238003027848</v>
      </c>
      <c r="W66" s="14">
        <f t="shared" ref="W66:Y66" si="50">IF(W34=0,0,W34/W24)</f>
        <v>107.77315220674363</v>
      </c>
      <c r="X66" s="14">
        <f t="shared" si="50"/>
        <v>139.4668468558958</v>
      </c>
      <c r="Y66" s="14">
        <f t="shared" si="50"/>
        <v>146.69892866991262</v>
      </c>
      <c r="DA66" s="189" t="s">
        <v>242</v>
      </c>
    </row>
    <row r="67" spans="1:105" ht="11.45" customHeight="1" x14ac:dyDescent="0.25">
      <c r="A67" s="83" t="s">
        <v>27</v>
      </c>
      <c r="B67" s="87">
        <f t="shared" si="48"/>
        <v>0</v>
      </c>
      <c r="C67" s="87">
        <f t="shared" si="48"/>
        <v>0</v>
      </c>
      <c r="D67" s="87">
        <f t="shared" ref="D67:V67" si="51">IF(D35=0,0,D35/D25)</f>
        <v>0</v>
      </c>
      <c r="E67" s="87">
        <f t="shared" si="51"/>
        <v>0</v>
      </c>
      <c r="F67" s="87">
        <f t="shared" si="51"/>
        <v>0</v>
      </c>
      <c r="G67" s="87">
        <f t="shared" si="51"/>
        <v>0</v>
      </c>
      <c r="H67" s="87">
        <f t="shared" si="51"/>
        <v>0</v>
      </c>
      <c r="I67" s="87">
        <f t="shared" si="51"/>
        <v>0</v>
      </c>
      <c r="J67" s="87">
        <f t="shared" si="51"/>
        <v>0</v>
      </c>
      <c r="K67" s="87">
        <f t="shared" si="51"/>
        <v>0</v>
      </c>
      <c r="L67" s="87">
        <f t="shared" si="51"/>
        <v>0</v>
      </c>
      <c r="M67" s="87">
        <f t="shared" si="51"/>
        <v>0</v>
      </c>
      <c r="N67" s="87">
        <f t="shared" si="51"/>
        <v>0</v>
      </c>
      <c r="O67" s="87">
        <f t="shared" si="51"/>
        <v>0</v>
      </c>
      <c r="P67" s="87">
        <f t="shared" si="51"/>
        <v>0</v>
      </c>
      <c r="Q67" s="87">
        <f t="shared" si="51"/>
        <v>0</v>
      </c>
      <c r="R67" s="87">
        <f t="shared" si="51"/>
        <v>0</v>
      </c>
      <c r="S67" s="87">
        <f t="shared" si="51"/>
        <v>0</v>
      </c>
      <c r="T67" s="87">
        <f t="shared" si="51"/>
        <v>0</v>
      </c>
      <c r="U67" s="87">
        <f t="shared" si="51"/>
        <v>0</v>
      </c>
      <c r="V67" s="87">
        <f t="shared" si="51"/>
        <v>0</v>
      </c>
      <c r="W67" s="87">
        <f t="shared" ref="W67:Y67" si="52">IF(W35=0,0,W35/W25)</f>
        <v>0</v>
      </c>
      <c r="X67" s="87">
        <f t="shared" si="52"/>
        <v>0</v>
      </c>
      <c r="Y67" s="87">
        <f t="shared" si="52"/>
        <v>0</v>
      </c>
      <c r="DA67" s="171" t="s">
        <v>243</v>
      </c>
    </row>
    <row r="68" spans="1:105" ht="11.45" customHeight="1" x14ac:dyDescent="0.25">
      <c r="A68" s="83" t="s">
        <v>181</v>
      </c>
      <c r="B68" s="87">
        <f t="shared" si="48"/>
        <v>79.409954543765565</v>
      </c>
      <c r="C68" s="87">
        <f t="shared" si="48"/>
        <v>80.05409183919879</v>
      </c>
      <c r="D68" s="87">
        <f t="shared" ref="D68:V68" si="53">IF(D36=0,0,D36/D26)</f>
        <v>80.798721273527391</v>
      </c>
      <c r="E68" s="87">
        <f t="shared" si="53"/>
        <v>81.56867830362782</v>
      </c>
      <c r="F68" s="87">
        <f t="shared" si="53"/>
        <v>85.207197395892877</v>
      </c>
      <c r="G68" s="87">
        <f t="shared" si="53"/>
        <v>87.57284236538473</v>
      </c>
      <c r="H68" s="87">
        <f t="shared" si="53"/>
        <v>87.764139477841979</v>
      </c>
      <c r="I68" s="87">
        <f t="shared" si="53"/>
        <v>88.305865959071227</v>
      </c>
      <c r="J68" s="87">
        <f t="shared" si="53"/>
        <v>88.860620331187263</v>
      </c>
      <c r="K68" s="87">
        <f t="shared" si="53"/>
        <v>89.663589681628707</v>
      </c>
      <c r="L68" s="87">
        <f t="shared" si="53"/>
        <v>94.821827385974487</v>
      </c>
      <c r="M68" s="87">
        <f t="shared" si="53"/>
        <v>97.514600316680557</v>
      </c>
      <c r="N68" s="87">
        <f t="shared" si="53"/>
        <v>99.140952855245686</v>
      </c>
      <c r="O68" s="87">
        <f t="shared" si="53"/>
        <v>102.06515026478738</v>
      </c>
      <c r="P68" s="87">
        <f t="shared" si="53"/>
        <v>105.72224867724867</v>
      </c>
      <c r="Q68" s="87">
        <f t="shared" si="53"/>
        <v>110.31241620011669</v>
      </c>
      <c r="R68" s="87">
        <f t="shared" si="53"/>
        <v>114.82706123031542</v>
      </c>
      <c r="S68" s="87">
        <f t="shared" si="53"/>
        <v>121.29864107831378</v>
      </c>
      <c r="T68" s="87">
        <f t="shared" si="53"/>
        <v>123.99582025748663</v>
      </c>
      <c r="U68" s="87">
        <f t="shared" si="53"/>
        <v>127.05821600529403</v>
      </c>
      <c r="V68" s="87">
        <f t="shared" si="53"/>
        <v>90.882665320766719</v>
      </c>
      <c r="W68" s="87">
        <f t="shared" ref="W68:Y68" si="54">IF(W36=0,0,W36/W26)</f>
        <v>97.17663256905476</v>
      </c>
      <c r="X68" s="87">
        <f t="shared" si="54"/>
        <v>119.77010055210607</v>
      </c>
      <c r="Y68" s="87">
        <f t="shared" si="54"/>
        <v>125.30120996658478</v>
      </c>
      <c r="DA68" s="171" t="s">
        <v>244</v>
      </c>
    </row>
    <row r="69" spans="1:105" ht="11.45" customHeight="1" x14ac:dyDescent="0.25">
      <c r="A69" s="83" t="s">
        <v>182</v>
      </c>
      <c r="B69" s="87">
        <f t="shared" si="48"/>
        <v>190.61821311218901</v>
      </c>
      <c r="C69" s="87">
        <f t="shared" si="48"/>
        <v>191.5981803585764</v>
      </c>
      <c r="D69" s="87">
        <f t="shared" ref="D69:V69" si="55">IF(D37=0,0,D37/D27)</f>
        <v>190.75559594910413</v>
      </c>
      <c r="E69" s="87">
        <f t="shared" si="55"/>
        <v>190.85419307139838</v>
      </c>
      <c r="F69" s="87">
        <f t="shared" si="55"/>
        <v>198.67786485711554</v>
      </c>
      <c r="G69" s="87">
        <f t="shared" si="55"/>
        <v>204.39291285418267</v>
      </c>
      <c r="H69" s="87">
        <f t="shared" si="55"/>
        <v>204.66143821822058</v>
      </c>
      <c r="I69" s="87">
        <f t="shared" si="55"/>
        <v>206.97322536101294</v>
      </c>
      <c r="J69" s="87">
        <f t="shared" si="55"/>
        <v>200.5936614614219</v>
      </c>
      <c r="K69" s="87">
        <f t="shared" si="55"/>
        <v>198.09962348869297</v>
      </c>
      <c r="L69" s="87">
        <f t="shared" si="55"/>
        <v>202.1197563523998</v>
      </c>
      <c r="M69" s="87">
        <f t="shared" si="55"/>
        <v>203.72373078961314</v>
      </c>
      <c r="N69" s="87">
        <f t="shared" si="55"/>
        <v>209.28787721015473</v>
      </c>
      <c r="O69" s="87">
        <f t="shared" si="55"/>
        <v>211.29879619937194</v>
      </c>
      <c r="P69" s="87">
        <f t="shared" si="55"/>
        <v>211.73687777844228</v>
      </c>
      <c r="Q69" s="87">
        <f t="shared" si="55"/>
        <v>213.80988199437323</v>
      </c>
      <c r="R69" s="87">
        <f t="shared" si="55"/>
        <v>219.42217359021456</v>
      </c>
      <c r="S69" s="87">
        <f t="shared" si="55"/>
        <v>228.52437740472044</v>
      </c>
      <c r="T69" s="87">
        <f t="shared" si="55"/>
        <v>236.08516217824729</v>
      </c>
      <c r="U69" s="87">
        <f t="shared" si="55"/>
        <v>233.97748155115033</v>
      </c>
      <c r="V69" s="87">
        <f t="shared" si="55"/>
        <v>153.67598237728629</v>
      </c>
      <c r="W69" s="87">
        <f t="shared" ref="W69:Y69" si="56">IF(W37=0,0,W37/W27)</f>
        <v>145.01816004789464</v>
      </c>
      <c r="X69" s="87">
        <f t="shared" si="56"/>
        <v>223.20729836002684</v>
      </c>
      <c r="Y69" s="87">
        <f t="shared" si="56"/>
        <v>237.46427338626165</v>
      </c>
      <c r="DA69" s="171" t="s">
        <v>245</v>
      </c>
    </row>
    <row r="70" spans="1:105" ht="11.45" customHeight="1" x14ac:dyDescent="0.25">
      <c r="A70" s="12" t="s">
        <v>85</v>
      </c>
      <c r="B70" s="15">
        <f t="shared" si="48"/>
        <v>44.382099882115781</v>
      </c>
      <c r="C70" s="15">
        <f t="shared" si="48"/>
        <v>43.667786194114619</v>
      </c>
      <c r="D70" s="15">
        <f t="shared" ref="D70:V70" si="57">IF(D38=0,0,D38/D28)</f>
        <v>44.918484682050448</v>
      </c>
      <c r="E70" s="15">
        <f t="shared" si="57"/>
        <v>42.020701940282869</v>
      </c>
      <c r="F70" s="15">
        <f t="shared" si="57"/>
        <v>40.926522305638983</v>
      </c>
      <c r="G70" s="15">
        <f t="shared" si="57"/>
        <v>38.120896397532057</v>
      </c>
      <c r="H70" s="15">
        <f t="shared" si="57"/>
        <v>38.5974288395469</v>
      </c>
      <c r="I70" s="15">
        <f t="shared" si="57"/>
        <v>38.39339008258861</v>
      </c>
      <c r="J70" s="15">
        <f t="shared" si="57"/>
        <v>36.992073059767442</v>
      </c>
      <c r="K70" s="15">
        <f t="shared" si="57"/>
        <v>39.226229677609147</v>
      </c>
      <c r="L70" s="15">
        <f t="shared" si="57"/>
        <v>41.810528024186105</v>
      </c>
      <c r="M70" s="15">
        <f t="shared" si="57"/>
        <v>44.051778498659559</v>
      </c>
      <c r="N70" s="15">
        <f t="shared" si="57"/>
        <v>46.903943424010151</v>
      </c>
      <c r="O70" s="15">
        <f t="shared" si="57"/>
        <v>47.359926162636434</v>
      </c>
      <c r="P70" s="15">
        <f t="shared" si="57"/>
        <v>51.836202005410016</v>
      </c>
      <c r="Q70" s="15">
        <f t="shared" si="57"/>
        <v>51.802318994862951</v>
      </c>
      <c r="R70" s="15">
        <f t="shared" si="57"/>
        <v>56.118939618869931</v>
      </c>
      <c r="S70" s="15">
        <f t="shared" si="57"/>
        <v>58.254030679901263</v>
      </c>
      <c r="T70" s="15">
        <f t="shared" si="57"/>
        <v>60.51172756420479</v>
      </c>
      <c r="U70" s="15">
        <f t="shared" si="57"/>
        <v>61.323413406718608</v>
      </c>
      <c r="V70" s="15">
        <f t="shared" si="57"/>
        <v>43.87441580162546</v>
      </c>
      <c r="W70" s="15">
        <f t="shared" ref="W70:Y70" si="58">IF(W38=0,0,W38/W28)</f>
        <v>46.112788054614299</v>
      </c>
      <c r="X70" s="15">
        <f t="shared" si="58"/>
        <v>51.027073900881767</v>
      </c>
      <c r="Y70" s="15">
        <f t="shared" si="58"/>
        <v>52.746246442566893</v>
      </c>
      <c r="DA70" s="193" t="s">
        <v>246</v>
      </c>
    </row>
    <row r="71" spans="1:105" ht="11.45" customHeight="1" x14ac:dyDescent="0.25">
      <c r="A71" s="42" t="s">
        <v>27</v>
      </c>
      <c r="B71" s="41">
        <f t="shared" si="48"/>
        <v>0</v>
      </c>
      <c r="C71" s="41">
        <f t="shared" si="48"/>
        <v>0</v>
      </c>
      <c r="D71" s="41">
        <f t="shared" ref="D71:V71" si="59">IF(D39=0,0,D39/D29)</f>
        <v>0</v>
      </c>
      <c r="E71" s="41">
        <f t="shared" si="59"/>
        <v>0</v>
      </c>
      <c r="F71" s="41">
        <f t="shared" si="59"/>
        <v>0</v>
      </c>
      <c r="G71" s="41">
        <f t="shared" si="59"/>
        <v>0</v>
      </c>
      <c r="H71" s="41">
        <f t="shared" si="59"/>
        <v>0</v>
      </c>
      <c r="I71" s="41">
        <f t="shared" si="59"/>
        <v>0</v>
      </c>
      <c r="J71" s="41">
        <f t="shared" si="59"/>
        <v>0</v>
      </c>
      <c r="K71" s="41">
        <f t="shared" si="59"/>
        <v>0</v>
      </c>
      <c r="L71" s="41">
        <f t="shared" si="59"/>
        <v>0</v>
      </c>
      <c r="M71" s="41">
        <f t="shared" si="59"/>
        <v>0</v>
      </c>
      <c r="N71" s="41">
        <f t="shared" si="59"/>
        <v>0</v>
      </c>
      <c r="O71" s="41">
        <f t="shared" si="59"/>
        <v>0</v>
      </c>
      <c r="P71" s="41">
        <f t="shared" si="59"/>
        <v>0</v>
      </c>
      <c r="Q71" s="41">
        <f t="shared" si="59"/>
        <v>0</v>
      </c>
      <c r="R71" s="41">
        <f t="shared" si="59"/>
        <v>0</v>
      </c>
      <c r="S71" s="41">
        <f t="shared" si="59"/>
        <v>0</v>
      </c>
      <c r="T71" s="41">
        <f t="shared" si="59"/>
        <v>0</v>
      </c>
      <c r="U71" s="41">
        <f t="shared" si="59"/>
        <v>0</v>
      </c>
      <c r="V71" s="41">
        <f t="shared" si="59"/>
        <v>0</v>
      </c>
      <c r="W71" s="41">
        <f t="shared" ref="W71:Y71" si="60">IF(W39=0,0,W39/W29)</f>
        <v>0</v>
      </c>
      <c r="X71" s="41">
        <f t="shared" si="60"/>
        <v>0</v>
      </c>
      <c r="Y71" s="41">
        <f t="shared" si="60"/>
        <v>0</v>
      </c>
      <c r="DA71" s="196" t="s">
        <v>247</v>
      </c>
    </row>
    <row r="72" spans="1:105" ht="11.45" customHeight="1" x14ac:dyDescent="0.25">
      <c r="A72" s="42" t="s">
        <v>181</v>
      </c>
      <c r="B72" s="41">
        <f t="shared" si="48"/>
        <v>16.167807765431572</v>
      </c>
      <c r="C72" s="41">
        <f t="shared" si="48"/>
        <v>16.347531780245248</v>
      </c>
      <c r="D72" s="41">
        <f t="shared" ref="D72:V72" si="61">IF(D40=0,0,D40/D30)</f>
        <v>16.365143935076354</v>
      </c>
      <c r="E72" s="41">
        <f t="shared" si="61"/>
        <v>17.221696677308699</v>
      </c>
      <c r="F72" s="41">
        <f t="shared" si="61"/>
        <v>16.065947226318933</v>
      </c>
      <c r="G72" s="41">
        <f t="shared" si="61"/>
        <v>15.202475894043335</v>
      </c>
      <c r="H72" s="41">
        <f t="shared" si="61"/>
        <v>14.017847842266164</v>
      </c>
      <c r="I72" s="41">
        <f t="shared" si="61"/>
        <v>13.786843762306624</v>
      </c>
      <c r="J72" s="41">
        <f t="shared" si="61"/>
        <v>13.706049515651269</v>
      </c>
      <c r="K72" s="41">
        <f t="shared" si="61"/>
        <v>13.698894254303415</v>
      </c>
      <c r="L72" s="41">
        <f t="shared" si="61"/>
        <v>14.504774438576121</v>
      </c>
      <c r="M72" s="41">
        <f t="shared" si="61"/>
        <v>15.593990976967525</v>
      </c>
      <c r="N72" s="41">
        <f t="shared" si="61"/>
        <v>16.668272444699468</v>
      </c>
      <c r="O72" s="41">
        <f t="shared" si="61"/>
        <v>16.757006585050913</v>
      </c>
      <c r="P72" s="41">
        <f t="shared" si="61"/>
        <v>18.449412678664508</v>
      </c>
      <c r="Q72" s="41">
        <f t="shared" si="61"/>
        <v>18.477606558493591</v>
      </c>
      <c r="R72" s="41">
        <f t="shared" si="61"/>
        <v>20.847919403023056</v>
      </c>
      <c r="S72" s="41">
        <f t="shared" si="61"/>
        <v>19.377525185076973</v>
      </c>
      <c r="T72" s="41">
        <f t="shared" si="61"/>
        <v>19.225461196308377</v>
      </c>
      <c r="U72" s="41">
        <f t="shared" si="61"/>
        <v>19.702598617631956</v>
      </c>
      <c r="V72" s="41">
        <f t="shared" si="61"/>
        <v>17.640506114488737</v>
      </c>
      <c r="W72" s="41">
        <f t="shared" ref="W72:Y72" si="62">IF(W40=0,0,W40/W30)</f>
        <v>17.768395755469797</v>
      </c>
      <c r="X72" s="41">
        <f t="shared" si="62"/>
        <v>17.890474130141026</v>
      </c>
      <c r="Y72" s="41">
        <f t="shared" si="62"/>
        <v>17.970037243342706</v>
      </c>
      <c r="DA72" s="196" t="s">
        <v>248</v>
      </c>
    </row>
    <row r="73" spans="1:105" ht="11.45" customHeight="1" x14ac:dyDescent="0.25">
      <c r="A73" s="38" t="s">
        <v>182</v>
      </c>
      <c r="B73" s="40">
        <f t="shared" si="48"/>
        <v>52.13832275608636</v>
      </c>
      <c r="C73" s="40">
        <f t="shared" si="48"/>
        <v>53.867382020046904</v>
      </c>
      <c r="D73" s="40">
        <f t="shared" ref="D73:V73" si="63">IF(D41=0,0,D41/D31)</f>
        <v>52.903188435639549</v>
      </c>
      <c r="E73" s="40">
        <f t="shared" si="63"/>
        <v>48.726605018216752</v>
      </c>
      <c r="F73" s="40">
        <f t="shared" si="63"/>
        <v>48.059639068158532</v>
      </c>
      <c r="G73" s="40">
        <f t="shared" si="63"/>
        <v>44.215541300581251</v>
      </c>
      <c r="H73" s="40">
        <f t="shared" si="63"/>
        <v>45.164132697953747</v>
      </c>
      <c r="I73" s="40">
        <f t="shared" si="63"/>
        <v>45.185822139749781</v>
      </c>
      <c r="J73" s="40">
        <f t="shared" si="63"/>
        <v>44.913119763550647</v>
      </c>
      <c r="K73" s="40">
        <f t="shared" si="63"/>
        <v>49.899933457134011</v>
      </c>
      <c r="L73" s="40">
        <f t="shared" si="63"/>
        <v>52.52792563317562</v>
      </c>
      <c r="M73" s="40">
        <f t="shared" si="63"/>
        <v>55.066413538494707</v>
      </c>
      <c r="N73" s="40">
        <f t="shared" si="63"/>
        <v>59.082056024886235</v>
      </c>
      <c r="O73" s="40">
        <f t="shared" si="63"/>
        <v>59.664691083399624</v>
      </c>
      <c r="P73" s="40">
        <f t="shared" si="63"/>
        <v>66.461807942068631</v>
      </c>
      <c r="Q73" s="40">
        <f t="shared" si="63"/>
        <v>66.264429177726498</v>
      </c>
      <c r="R73" s="40">
        <f t="shared" si="63"/>
        <v>73.442316804529241</v>
      </c>
      <c r="S73" s="40">
        <f t="shared" si="63"/>
        <v>73.32593091987863</v>
      </c>
      <c r="T73" s="40">
        <f t="shared" si="63"/>
        <v>73.592740807573165</v>
      </c>
      <c r="U73" s="40">
        <f t="shared" si="63"/>
        <v>75.40152312606179</v>
      </c>
      <c r="V73" s="40">
        <f t="shared" si="63"/>
        <v>50.528235250360844</v>
      </c>
      <c r="W73" s="40">
        <f t="shared" ref="W73:Y73" si="64">IF(W41=0,0,W41/W31)</f>
        <v>53.587012042781261</v>
      </c>
      <c r="X73" s="40">
        <f t="shared" si="64"/>
        <v>60.501674061496317</v>
      </c>
      <c r="Y73" s="40">
        <f t="shared" si="64"/>
        <v>63.067440817812056</v>
      </c>
      <c r="DA73" s="197" t="s">
        <v>249</v>
      </c>
    </row>
    <row r="74" spans="1:105" x14ac:dyDescent="0.25">
      <c r="A74" s="50"/>
      <c r="B74" s="50"/>
      <c r="C74" s="50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DA74" s="181"/>
    </row>
    <row r="75" spans="1:105" ht="11.45" customHeight="1" x14ac:dyDescent="0.25">
      <c r="A75" s="53" t="s">
        <v>139</v>
      </c>
      <c r="B75" s="62">
        <f t="shared" ref="B75:C83" si="65">IF(B13=0,0,B13*1000000/B23)</f>
        <v>2037.6469009251132</v>
      </c>
      <c r="C75" s="62">
        <f t="shared" si="65"/>
        <v>2031.2244126882649</v>
      </c>
      <c r="D75" s="62">
        <f t="shared" ref="D75:V75" si="66">IF(D13=0,0,D13*1000000/D23)</f>
        <v>2043.5510849837983</v>
      </c>
      <c r="E75" s="62">
        <f t="shared" si="66"/>
        <v>2042.9120538125183</v>
      </c>
      <c r="F75" s="62">
        <f t="shared" si="66"/>
        <v>2108.5678303292757</v>
      </c>
      <c r="G75" s="62">
        <f t="shared" si="66"/>
        <v>2150.7091454871252</v>
      </c>
      <c r="H75" s="62">
        <f t="shared" si="66"/>
        <v>2114.2477890728114</v>
      </c>
      <c r="I75" s="62">
        <f t="shared" si="66"/>
        <v>2098.9860752876775</v>
      </c>
      <c r="J75" s="62">
        <f t="shared" si="66"/>
        <v>2168.188210549029</v>
      </c>
      <c r="K75" s="62">
        <f t="shared" si="66"/>
        <v>2121.5994906865544</v>
      </c>
      <c r="L75" s="62">
        <f t="shared" si="66"/>
        <v>2208.6091922698224</v>
      </c>
      <c r="M75" s="62">
        <f t="shared" si="66"/>
        <v>2138.3059788133096</v>
      </c>
      <c r="N75" s="62">
        <f t="shared" si="66"/>
        <v>2092.372553355644</v>
      </c>
      <c r="O75" s="62">
        <f t="shared" si="66"/>
        <v>2103.5597239466015</v>
      </c>
      <c r="P75" s="62">
        <f t="shared" si="66"/>
        <v>2075.3728408650809</v>
      </c>
      <c r="Q75" s="62">
        <f t="shared" si="66"/>
        <v>2070.269924305835</v>
      </c>
      <c r="R75" s="62">
        <f t="shared" si="66"/>
        <v>2034.2623829530348</v>
      </c>
      <c r="S75" s="62">
        <f t="shared" si="66"/>
        <v>2070.0723901787665</v>
      </c>
      <c r="T75" s="62">
        <f t="shared" si="66"/>
        <v>2096.4942203227174</v>
      </c>
      <c r="U75" s="62">
        <f t="shared" si="66"/>
        <v>2098.9374895147271</v>
      </c>
      <c r="V75" s="62">
        <f t="shared" si="66"/>
        <v>2469.468840774754</v>
      </c>
      <c r="W75" s="62">
        <f t="shared" ref="W75:Y75" si="67">IF(W13=0,0,W13*1000000/W23)</f>
        <v>2567.3505419832604</v>
      </c>
      <c r="X75" s="62">
        <f t="shared" si="67"/>
        <v>2226.0658282248619</v>
      </c>
      <c r="Y75" s="62">
        <f t="shared" si="67"/>
        <v>2199.0999189497675</v>
      </c>
      <c r="DA75" s="172" t="s">
        <v>250</v>
      </c>
    </row>
    <row r="76" spans="1:105" ht="11.45" customHeight="1" x14ac:dyDescent="0.25">
      <c r="A76" s="10" t="s">
        <v>33</v>
      </c>
      <c r="B76" s="14">
        <f t="shared" si="65"/>
        <v>1850.49652236524</v>
      </c>
      <c r="C76" s="14">
        <f t="shared" si="65"/>
        <v>1850.5071755507222</v>
      </c>
      <c r="D76" s="14">
        <f t="shared" ref="D76:V76" si="68">IF(D14=0,0,D14*1000000/D24)</f>
        <v>1849.8619456299111</v>
      </c>
      <c r="E76" s="14">
        <f t="shared" si="68"/>
        <v>1826.1476131443101</v>
      </c>
      <c r="F76" s="14">
        <f t="shared" si="68"/>
        <v>1895.0002058597324</v>
      </c>
      <c r="G76" s="14">
        <f t="shared" si="68"/>
        <v>1920.5329738521352</v>
      </c>
      <c r="H76" s="14">
        <f t="shared" si="68"/>
        <v>1862.8201914476224</v>
      </c>
      <c r="I76" s="14">
        <f t="shared" si="68"/>
        <v>1852.1037658024622</v>
      </c>
      <c r="J76" s="14">
        <f t="shared" si="68"/>
        <v>1916.6192152038868</v>
      </c>
      <c r="K76" s="14">
        <f t="shared" si="68"/>
        <v>1918.038180973524</v>
      </c>
      <c r="L76" s="14">
        <f t="shared" si="68"/>
        <v>1971.6268633479822</v>
      </c>
      <c r="M76" s="14">
        <f t="shared" si="68"/>
        <v>1937.2729751433328</v>
      </c>
      <c r="N76" s="14">
        <f t="shared" si="68"/>
        <v>1930.379457181009</v>
      </c>
      <c r="O76" s="14">
        <f t="shared" si="68"/>
        <v>1942.9772181170592</v>
      </c>
      <c r="P76" s="14">
        <f t="shared" si="68"/>
        <v>1930.5904767846503</v>
      </c>
      <c r="Q76" s="14">
        <f t="shared" si="68"/>
        <v>1927.6083663928132</v>
      </c>
      <c r="R76" s="14">
        <f t="shared" si="68"/>
        <v>1911.6068653714347</v>
      </c>
      <c r="S76" s="14">
        <f t="shared" si="68"/>
        <v>1932.9241645725581</v>
      </c>
      <c r="T76" s="14">
        <f t="shared" si="68"/>
        <v>1958.6875348228014</v>
      </c>
      <c r="U76" s="14">
        <f t="shared" si="68"/>
        <v>1980.5218129687028</v>
      </c>
      <c r="V76" s="14">
        <f t="shared" si="68"/>
        <v>2101.3484863365688</v>
      </c>
      <c r="W76" s="14">
        <f t="shared" ref="W76:Y76" si="69">IF(W14=0,0,W14*1000000/W24)</f>
        <v>2227.3313107255026</v>
      </c>
      <c r="X76" s="14">
        <f t="shared" si="69"/>
        <v>2013.5381754174648</v>
      </c>
      <c r="Y76" s="14">
        <f t="shared" si="69"/>
        <v>2022.3306478158961</v>
      </c>
      <c r="DA76" s="189" t="s">
        <v>251</v>
      </c>
    </row>
    <row r="77" spans="1:105" ht="11.45" customHeight="1" x14ac:dyDescent="0.25">
      <c r="A77" s="37" t="s">
        <v>27</v>
      </c>
      <c r="B77" s="39">
        <f t="shared" si="65"/>
        <v>0</v>
      </c>
      <c r="C77" s="39">
        <f t="shared" si="65"/>
        <v>0</v>
      </c>
      <c r="D77" s="39">
        <f t="shared" ref="D77:V77" si="70">IF(D15=0,0,D15*1000000/D25)</f>
        <v>0</v>
      </c>
      <c r="E77" s="39">
        <f t="shared" si="70"/>
        <v>0</v>
      </c>
      <c r="F77" s="39">
        <f t="shared" si="70"/>
        <v>0</v>
      </c>
      <c r="G77" s="39">
        <f t="shared" si="70"/>
        <v>0</v>
      </c>
      <c r="H77" s="39">
        <f t="shared" si="70"/>
        <v>0</v>
      </c>
      <c r="I77" s="39">
        <f t="shared" si="70"/>
        <v>0</v>
      </c>
      <c r="J77" s="39">
        <f t="shared" si="70"/>
        <v>0</v>
      </c>
      <c r="K77" s="39">
        <f t="shared" si="70"/>
        <v>0</v>
      </c>
      <c r="L77" s="39">
        <f t="shared" si="70"/>
        <v>0</v>
      </c>
      <c r="M77" s="39">
        <f t="shared" si="70"/>
        <v>0</v>
      </c>
      <c r="N77" s="39">
        <f t="shared" si="70"/>
        <v>0</v>
      </c>
      <c r="O77" s="39">
        <f t="shared" si="70"/>
        <v>0</v>
      </c>
      <c r="P77" s="39">
        <f t="shared" si="70"/>
        <v>0</v>
      </c>
      <c r="Q77" s="39">
        <f t="shared" si="70"/>
        <v>0</v>
      </c>
      <c r="R77" s="39">
        <f t="shared" si="70"/>
        <v>0</v>
      </c>
      <c r="S77" s="39">
        <f t="shared" si="70"/>
        <v>0</v>
      </c>
      <c r="T77" s="39">
        <f t="shared" si="70"/>
        <v>0</v>
      </c>
      <c r="U77" s="39">
        <f t="shared" si="70"/>
        <v>0</v>
      </c>
      <c r="V77" s="39">
        <f t="shared" si="70"/>
        <v>0</v>
      </c>
      <c r="W77" s="39">
        <f t="shared" ref="W77:Y77" si="71">IF(W15=0,0,W15*1000000/W25)</f>
        <v>0</v>
      </c>
      <c r="X77" s="39">
        <f t="shared" si="71"/>
        <v>0</v>
      </c>
      <c r="Y77" s="39">
        <f t="shared" si="71"/>
        <v>0</v>
      </c>
      <c r="DA77" s="198" t="s">
        <v>252</v>
      </c>
    </row>
    <row r="78" spans="1:105" ht="11.45" customHeight="1" x14ac:dyDescent="0.25">
      <c r="A78" s="37" t="s">
        <v>181</v>
      </c>
      <c r="B78" s="39">
        <f t="shared" si="65"/>
        <v>902.170208607218</v>
      </c>
      <c r="C78" s="39">
        <f t="shared" si="65"/>
        <v>902.17079889295076</v>
      </c>
      <c r="D78" s="39">
        <f t="shared" ref="D78:V78" si="72">IF(D16=0,0,D16*1000000/D26)</f>
        <v>897.87673452093065</v>
      </c>
      <c r="E78" s="39">
        <f t="shared" si="72"/>
        <v>893.2328899257501</v>
      </c>
      <c r="F78" s="39">
        <f t="shared" si="72"/>
        <v>900.60038643974667</v>
      </c>
      <c r="G78" s="39">
        <f t="shared" si="72"/>
        <v>910.24726300268674</v>
      </c>
      <c r="H78" s="39">
        <f t="shared" si="72"/>
        <v>914.06720827178151</v>
      </c>
      <c r="I78" s="39">
        <f t="shared" si="72"/>
        <v>918.01611068325747</v>
      </c>
      <c r="J78" s="39">
        <f t="shared" si="72"/>
        <v>921.90820488589554</v>
      </c>
      <c r="K78" s="39">
        <f t="shared" si="72"/>
        <v>918.97121493672091</v>
      </c>
      <c r="L78" s="39">
        <f t="shared" si="72"/>
        <v>935.73006273821898</v>
      </c>
      <c r="M78" s="39">
        <f t="shared" si="72"/>
        <v>940.88464706354864</v>
      </c>
      <c r="N78" s="39">
        <f t="shared" si="72"/>
        <v>927.4543480725597</v>
      </c>
      <c r="O78" s="39">
        <f t="shared" si="72"/>
        <v>928.92577709414377</v>
      </c>
      <c r="P78" s="39">
        <f t="shared" si="72"/>
        <v>932.99150787800409</v>
      </c>
      <c r="Q78" s="39">
        <f t="shared" si="72"/>
        <v>933.01777202040773</v>
      </c>
      <c r="R78" s="39">
        <f t="shared" si="72"/>
        <v>958.5023210543809</v>
      </c>
      <c r="S78" s="39">
        <f t="shared" si="72"/>
        <v>989.25207232000275</v>
      </c>
      <c r="T78" s="39">
        <f t="shared" si="72"/>
        <v>1000.4966065255065</v>
      </c>
      <c r="U78" s="39">
        <f t="shared" si="72"/>
        <v>999.98617231248363</v>
      </c>
      <c r="V78" s="39">
        <f t="shared" si="72"/>
        <v>1022.5241278058493</v>
      </c>
      <c r="W78" s="39">
        <f t="shared" ref="W78:Y78" si="73">IF(W16=0,0,W16*1000000/W26)</f>
        <v>1144.6962802544765</v>
      </c>
      <c r="X78" s="39">
        <f t="shared" si="73"/>
        <v>1091.2538325018302</v>
      </c>
      <c r="Y78" s="39">
        <f t="shared" si="73"/>
        <v>1057.8261511746134</v>
      </c>
      <c r="DA78" s="198" t="s">
        <v>253</v>
      </c>
    </row>
    <row r="79" spans="1:105" ht="11.45" customHeight="1" x14ac:dyDescent="0.25">
      <c r="A79" s="37" t="s">
        <v>182</v>
      </c>
      <c r="B79" s="39">
        <f t="shared" si="65"/>
        <v>5843.8737504402116</v>
      </c>
      <c r="C79" s="39">
        <f t="shared" si="65"/>
        <v>5843.8737504402116</v>
      </c>
      <c r="D79" s="39">
        <f t="shared" ref="D79:V79" si="74">IF(D17=0,0,D17*1000000/D27)</f>
        <v>5843.8737504402116</v>
      </c>
      <c r="E79" s="39">
        <f t="shared" si="74"/>
        <v>5843.8737504402116</v>
      </c>
      <c r="F79" s="39">
        <f t="shared" si="74"/>
        <v>5843.8737504402116</v>
      </c>
      <c r="G79" s="39">
        <f t="shared" si="74"/>
        <v>5861.2141220382227</v>
      </c>
      <c r="H79" s="39">
        <f t="shared" si="74"/>
        <v>5932.0387084130143</v>
      </c>
      <c r="I79" s="39">
        <f t="shared" si="74"/>
        <v>5946.8343083512536</v>
      </c>
      <c r="J79" s="39">
        <f t="shared" si="74"/>
        <v>5896.9706922824871</v>
      </c>
      <c r="K79" s="39">
        <f t="shared" si="74"/>
        <v>5785.4770829653407</v>
      </c>
      <c r="L79" s="39">
        <f t="shared" si="74"/>
        <v>5683.6575656997366</v>
      </c>
      <c r="M79" s="39">
        <f t="shared" si="74"/>
        <v>5712.2277072974775</v>
      </c>
      <c r="N79" s="39">
        <f t="shared" si="74"/>
        <v>5705.0556284969789</v>
      </c>
      <c r="O79" s="39">
        <f t="shared" si="74"/>
        <v>5678.1429022311195</v>
      </c>
      <c r="P79" s="39">
        <f t="shared" si="74"/>
        <v>5689.2613123279007</v>
      </c>
      <c r="Q79" s="39">
        <f t="shared" si="74"/>
        <v>5724.6732633124411</v>
      </c>
      <c r="R79" s="39">
        <f t="shared" si="74"/>
        <v>5826.0436188592912</v>
      </c>
      <c r="S79" s="39">
        <f t="shared" si="74"/>
        <v>5863.5936311230425</v>
      </c>
      <c r="T79" s="39">
        <f t="shared" si="74"/>
        <v>5894.0101825520596</v>
      </c>
      <c r="U79" s="39">
        <f t="shared" si="74"/>
        <v>5866.5380715128249</v>
      </c>
      <c r="V79" s="39">
        <f t="shared" si="74"/>
        <v>6476.9940232885656</v>
      </c>
      <c r="W79" s="39">
        <f t="shared" ref="W79:Y79" si="75">IF(W17=0,0,W17*1000000/W27)</f>
        <v>6032.6137598403375</v>
      </c>
      <c r="X79" s="39">
        <f t="shared" si="75"/>
        <v>5934.6176318800917</v>
      </c>
      <c r="Y79" s="39">
        <f t="shared" si="75"/>
        <v>6113.5884277632358</v>
      </c>
      <c r="DA79" s="198" t="s">
        <v>254</v>
      </c>
    </row>
    <row r="80" spans="1:105" ht="11.45" customHeight="1" x14ac:dyDescent="0.25">
      <c r="A80" s="12" t="s">
        <v>34</v>
      </c>
      <c r="B80" s="15">
        <f t="shared" si="65"/>
        <v>4718.3916065762851</v>
      </c>
      <c r="C80" s="15">
        <f t="shared" si="65"/>
        <v>4435.5032281742242</v>
      </c>
      <c r="D80" s="15">
        <f t="shared" ref="D80:V80" si="76">IF(D18=0,0,D18*1000000/D28)</f>
        <v>4703.3137434949613</v>
      </c>
      <c r="E80" s="15">
        <f t="shared" si="76"/>
        <v>4732.2015120761016</v>
      </c>
      <c r="F80" s="15">
        <f t="shared" si="76"/>
        <v>4675.0183495063693</v>
      </c>
      <c r="G80" s="15">
        <f t="shared" si="76"/>
        <v>4752.9436126919427</v>
      </c>
      <c r="H80" s="15">
        <f t="shared" si="76"/>
        <v>4945.0973111492503</v>
      </c>
      <c r="I80" s="15">
        <f t="shared" si="76"/>
        <v>5070.7204492418905</v>
      </c>
      <c r="J80" s="15">
        <f t="shared" si="76"/>
        <v>4957.568768343227</v>
      </c>
      <c r="K80" s="15">
        <f t="shared" si="76"/>
        <v>4783.7448263704073</v>
      </c>
      <c r="L80" s="15">
        <f t="shared" si="76"/>
        <v>4917.4760584593432</v>
      </c>
      <c r="M80" s="15">
        <f t="shared" si="76"/>
        <v>4679.9535980802884</v>
      </c>
      <c r="N80" s="15">
        <f t="shared" si="76"/>
        <v>4353.1300176446885</v>
      </c>
      <c r="O80" s="15">
        <f t="shared" si="76"/>
        <v>4318.5358150570855</v>
      </c>
      <c r="P80" s="15">
        <f t="shared" si="76"/>
        <v>4211.8931432386244</v>
      </c>
      <c r="Q80" s="15">
        <f t="shared" si="76"/>
        <v>4228.4854804881679</v>
      </c>
      <c r="R80" s="15">
        <f t="shared" si="76"/>
        <v>4148.2239602209338</v>
      </c>
      <c r="S80" s="15">
        <f t="shared" si="76"/>
        <v>4425.7743123671398</v>
      </c>
      <c r="T80" s="15">
        <f t="shared" si="76"/>
        <v>4626.9895262508544</v>
      </c>
      <c r="U80" s="15">
        <f t="shared" si="76"/>
        <v>4485.015980574989</v>
      </c>
      <c r="V80" s="15">
        <f t="shared" si="76"/>
        <v>4906.5581542431464</v>
      </c>
      <c r="W80" s="15">
        <f t="shared" ref="W80:Y80" si="77">IF(W18=0,0,W18*1000000/W28)</f>
        <v>5077.4239870899492</v>
      </c>
      <c r="X80" s="15">
        <f t="shared" si="77"/>
        <v>5374.9340732868532</v>
      </c>
      <c r="Y80" s="15">
        <f t="shared" si="77"/>
        <v>5640.8382824504952</v>
      </c>
      <c r="DA80" s="193" t="s">
        <v>255</v>
      </c>
    </row>
    <row r="81" spans="1:105" ht="11.45" customHeight="1" x14ac:dyDescent="0.25">
      <c r="A81" s="42" t="s">
        <v>27</v>
      </c>
      <c r="B81" s="41">
        <f t="shared" si="65"/>
        <v>0</v>
      </c>
      <c r="C81" s="41">
        <f t="shared" si="65"/>
        <v>0</v>
      </c>
      <c r="D81" s="41">
        <f t="shared" ref="D81:V81" si="78">IF(D19=0,0,D19*1000000/D29)</f>
        <v>0</v>
      </c>
      <c r="E81" s="41">
        <f t="shared" si="78"/>
        <v>0</v>
      </c>
      <c r="F81" s="41">
        <f t="shared" si="78"/>
        <v>0</v>
      </c>
      <c r="G81" s="41">
        <f t="shared" si="78"/>
        <v>0</v>
      </c>
      <c r="H81" s="41">
        <f t="shared" si="78"/>
        <v>0</v>
      </c>
      <c r="I81" s="41">
        <f t="shared" si="78"/>
        <v>0</v>
      </c>
      <c r="J81" s="41">
        <f t="shared" si="78"/>
        <v>0</v>
      </c>
      <c r="K81" s="41">
        <f t="shared" si="78"/>
        <v>0</v>
      </c>
      <c r="L81" s="41">
        <f t="shared" si="78"/>
        <v>0</v>
      </c>
      <c r="M81" s="41">
        <f t="shared" si="78"/>
        <v>0</v>
      </c>
      <c r="N81" s="41">
        <f t="shared" si="78"/>
        <v>0</v>
      </c>
      <c r="O81" s="41">
        <f t="shared" si="78"/>
        <v>0</v>
      </c>
      <c r="P81" s="41">
        <f t="shared" si="78"/>
        <v>0</v>
      </c>
      <c r="Q81" s="41">
        <f t="shared" si="78"/>
        <v>0</v>
      </c>
      <c r="R81" s="41">
        <f t="shared" si="78"/>
        <v>0</v>
      </c>
      <c r="S81" s="41">
        <f t="shared" si="78"/>
        <v>0</v>
      </c>
      <c r="T81" s="41">
        <f t="shared" si="78"/>
        <v>0</v>
      </c>
      <c r="U81" s="41">
        <f t="shared" si="78"/>
        <v>0</v>
      </c>
      <c r="V81" s="41">
        <f t="shared" si="78"/>
        <v>0</v>
      </c>
      <c r="W81" s="41">
        <f t="shared" ref="W81:Y81" si="79">IF(W19=0,0,W19*1000000/W29)</f>
        <v>0</v>
      </c>
      <c r="X81" s="41">
        <f t="shared" si="79"/>
        <v>0</v>
      </c>
      <c r="Y81" s="41">
        <f t="shared" si="79"/>
        <v>0</v>
      </c>
      <c r="DA81" s="196" t="s">
        <v>256</v>
      </c>
    </row>
    <row r="82" spans="1:105" ht="11.45" customHeight="1" x14ac:dyDescent="0.25">
      <c r="A82" s="42" t="s">
        <v>181</v>
      </c>
      <c r="B82" s="41">
        <f t="shared" si="65"/>
        <v>787.55701173016394</v>
      </c>
      <c r="C82" s="41">
        <f t="shared" si="65"/>
        <v>783.3082689763304</v>
      </c>
      <c r="D82" s="41">
        <f t="shared" ref="D82:V82" si="80">IF(D20=0,0,D20*1000000/D30)</f>
        <v>785.1559434372781</v>
      </c>
      <c r="E82" s="41">
        <f t="shared" si="80"/>
        <v>787.11162442387285</v>
      </c>
      <c r="F82" s="41">
        <f t="shared" si="80"/>
        <v>757.70143611516062</v>
      </c>
      <c r="G82" s="41">
        <f t="shared" si="80"/>
        <v>754.14876622552379</v>
      </c>
      <c r="H82" s="41">
        <f t="shared" si="80"/>
        <v>769.5383204601884</v>
      </c>
      <c r="I82" s="41">
        <f t="shared" si="80"/>
        <v>802.51192809757754</v>
      </c>
      <c r="J82" s="41">
        <f t="shared" si="80"/>
        <v>797.87005326831184</v>
      </c>
      <c r="K82" s="41">
        <f t="shared" si="80"/>
        <v>835.69637394944186</v>
      </c>
      <c r="L82" s="41">
        <f t="shared" si="80"/>
        <v>869.72700643925918</v>
      </c>
      <c r="M82" s="41">
        <f t="shared" si="80"/>
        <v>734.10117814980458</v>
      </c>
      <c r="N82" s="41">
        <f t="shared" si="80"/>
        <v>580.95191547925526</v>
      </c>
      <c r="O82" s="41">
        <f t="shared" si="80"/>
        <v>598.0051752629663</v>
      </c>
      <c r="P82" s="41">
        <f t="shared" si="80"/>
        <v>599.1103277636347</v>
      </c>
      <c r="Q82" s="41">
        <f t="shared" si="80"/>
        <v>609.87906621405034</v>
      </c>
      <c r="R82" s="41">
        <f t="shared" si="80"/>
        <v>644.30868342028521</v>
      </c>
      <c r="S82" s="41">
        <f t="shared" si="80"/>
        <v>685.94895691566717</v>
      </c>
      <c r="T82" s="41">
        <f t="shared" si="80"/>
        <v>688.01513186094871</v>
      </c>
      <c r="U82" s="41">
        <f t="shared" si="80"/>
        <v>683.7650078065077</v>
      </c>
      <c r="V82" s="41">
        <f t="shared" si="80"/>
        <v>668.61662961866978</v>
      </c>
      <c r="W82" s="41">
        <f t="shared" ref="W82:Y82" si="81">IF(W20=0,0,W20*1000000/W30)</f>
        <v>721.8501870121936</v>
      </c>
      <c r="X82" s="41">
        <f t="shared" si="81"/>
        <v>752.67172676760049</v>
      </c>
      <c r="Y82" s="41">
        <f t="shared" si="81"/>
        <v>759.95622537909935</v>
      </c>
      <c r="DA82" s="196" t="s">
        <v>257</v>
      </c>
    </row>
    <row r="83" spans="1:105" ht="11.45" customHeight="1" x14ac:dyDescent="0.25">
      <c r="A83" s="38" t="s">
        <v>182</v>
      </c>
      <c r="B83" s="40">
        <f t="shared" si="65"/>
        <v>5798.9939152307479</v>
      </c>
      <c r="C83" s="40">
        <f t="shared" si="65"/>
        <v>5798.9939152307479</v>
      </c>
      <c r="D83" s="40">
        <f t="shared" ref="D83:V83" si="82">IF(D21=0,0,D21*1000000/D31)</f>
        <v>5798.993915230747</v>
      </c>
      <c r="E83" s="40">
        <f t="shared" si="82"/>
        <v>5798.9939152307479</v>
      </c>
      <c r="F83" s="40">
        <f t="shared" si="82"/>
        <v>5798.9939152307479</v>
      </c>
      <c r="G83" s="40">
        <f t="shared" si="82"/>
        <v>5816.3342868287609</v>
      </c>
      <c r="H83" s="40">
        <f t="shared" si="82"/>
        <v>6060.6435581823753</v>
      </c>
      <c r="I83" s="40">
        <f t="shared" si="82"/>
        <v>6248.9238430994365</v>
      </c>
      <c r="J83" s="40">
        <f t="shared" si="82"/>
        <v>6372.5449120094936</v>
      </c>
      <c r="K83" s="40">
        <f t="shared" si="82"/>
        <v>6434.5359876711682</v>
      </c>
      <c r="L83" s="40">
        <f t="shared" si="82"/>
        <v>6506.2011553843877</v>
      </c>
      <c r="M83" s="40">
        <f t="shared" si="82"/>
        <v>6207.2024853472813</v>
      </c>
      <c r="N83" s="40">
        <f t="shared" si="82"/>
        <v>5872.461594911937</v>
      </c>
      <c r="O83" s="40">
        <f t="shared" si="82"/>
        <v>5814.4798470341557</v>
      </c>
      <c r="P83" s="40">
        <f t="shared" si="82"/>
        <v>5794.5292355190159</v>
      </c>
      <c r="Q83" s="40">
        <f t="shared" si="82"/>
        <v>5798.8721648916353</v>
      </c>
      <c r="R83" s="40">
        <f t="shared" si="82"/>
        <v>5869.1734988265625</v>
      </c>
      <c r="S83" s="40">
        <f t="shared" si="82"/>
        <v>5875.6544894783947</v>
      </c>
      <c r="T83" s="40">
        <f t="shared" si="82"/>
        <v>5875.0020192954898</v>
      </c>
      <c r="U83" s="40">
        <f t="shared" si="82"/>
        <v>5770.7771684945164</v>
      </c>
      <c r="V83" s="40">
        <f t="shared" si="82"/>
        <v>5981.445507117438</v>
      </c>
      <c r="W83" s="40">
        <f t="shared" ref="W83:Y83" si="83">IF(W21=0,0,W21*1000000/W31)</f>
        <v>6225.9592541436459</v>
      </c>
      <c r="X83" s="40">
        <f t="shared" si="83"/>
        <v>6696.5569275847638</v>
      </c>
      <c r="Y83" s="40">
        <f t="shared" si="83"/>
        <v>7089.4301098427741</v>
      </c>
      <c r="DA83" s="197" t="s">
        <v>258</v>
      </c>
    </row>
    <row r="84" spans="1:105" x14ac:dyDescent="0.25">
      <c r="A84" s="50"/>
      <c r="B84" s="50"/>
      <c r="C84" s="50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DA84" s="181"/>
    </row>
    <row r="85" spans="1:105" ht="11.45" customHeight="1" x14ac:dyDescent="0.25">
      <c r="A85" s="53" t="s">
        <v>86</v>
      </c>
      <c r="B85" s="62"/>
      <c r="C85" s="62"/>
      <c r="D85" s="62"/>
      <c r="E85" s="62"/>
      <c r="F85" s="62"/>
      <c r="G85" s="62"/>
      <c r="H85" s="62"/>
      <c r="I85" s="62"/>
      <c r="J85" s="62"/>
      <c r="K85" s="62"/>
      <c r="L85" s="62"/>
      <c r="M85" s="62"/>
      <c r="N85" s="62"/>
      <c r="O85" s="62"/>
      <c r="P85" s="62"/>
      <c r="Q85" s="62"/>
      <c r="R85" s="62"/>
      <c r="S85" s="62"/>
      <c r="T85" s="62"/>
      <c r="U85" s="62"/>
      <c r="V85" s="62"/>
      <c r="W85" s="62"/>
      <c r="X85" s="62"/>
      <c r="Y85" s="62"/>
      <c r="DA85" s="172"/>
    </row>
    <row r="86" spans="1:105" ht="11.45" customHeight="1" x14ac:dyDescent="0.25">
      <c r="A86" s="10" t="s">
        <v>87</v>
      </c>
      <c r="B86" s="11">
        <f t="shared" ref="B86:C93" si="84">IF(B4=0,0,B4*1000000/B24)</f>
        <v>312133.98444559117</v>
      </c>
      <c r="C86" s="11">
        <f t="shared" si="84"/>
        <v>314422.34067692957</v>
      </c>
      <c r="D86" s="11">
        <f t="shared" ref="D86:V86" si="85">IF(D4=0,0,D4*1000000/D24)</f>
        <v>313659.05628627993</v>
      </c>
      <c r="E86" s="11">
        <f t="shared" si="85"/>
        <v>307912.41841843311</v>
      </c>
      <c r="F86" s="11">
        <f t="shared" si="85"/>
        <v>334469.24325530388</v>
      </c>
      <c r="G86" s="11">
        <f t="shared" si="85"/>
        <v>348982.0235593472</v>
      </c>
      <c r="H86" s="11">
        <f t="shared" si="85"/>
        <v>331512.55532756972</v>
      </c>
      <c r="I86" s="11">
        <f t="shared" si="85"/>
        <v>327747.81251725095</v>
      </c>
      <c r="J86" s="11">
        <f t="shared" si="85"/>
        <v>332654.49262216961</v>
      </c>
      <c r="K86" s="11">
        <f t="shared" si="85"/>
        <v>331420.29096528178</v>
      </c>
      <c r="L86" s="11">
        <f t="shared" si="85"/>
        <v>352413.90229350643</v>
      </c>
      <c r="M86" s="11">
        <f t="shared" si="85"/>
        <v>351385.33213124931</v>
      </c>
      <c r="N86" s="11">
        <f t="shared" si="85"/>
        <v>357334.29037437611</v>
      </c>
      <c r="O86" s="11">
        <f t="shared" si="85"/>
        <v>366172.73157196335</v>
      </c>
      <c r="P86" s="11">
        <f t="shared" si="85"/>
        <v>368677.38017905055</v>
      </c>
      <c r="Q86" s="11">
        <f t="shared" si="85"/>
        <v>373385.99602956319</v>
      </c>
      <c r="R86" s="11">
        <f t="shared" si="85"/>
        <v>376368.75518864725</v>
      </c>
      <c r="S86" s="11">
        <f t="shared" si="85"/>
        <v>391779.25621937757</v>
      </c>
      <c r="T86" s="11">
        <f t="shared" si="85"/>
        <v>404555.56596854766</v>
      </c>
      <c r="U86" s="11">
        <f t="shared" si="85"/>
        <v>412286.25104354898</v>
      </c>
      <c r="V86" s="11">
        <f t="shared" si="85"/>
        <v>298556.03170504497</v>
      </c>
      <c r="W86" s="11">
        <f t="shared" ref="W86:Y86" si="86">IF(W4=0,0,W4*1000000/W24)</f>
        <v>313059.13721269491</v>
      </c>
      <c r="X86" s="11">
        <f t="shared" si="86"/>
        <v>391939.44504306221</v>
      </c>
      <c r="Y86" s="11">
        <f t="shared" si="86"/>
        <v>417110.00873511925</v>
      </c>
      <c r="DA86" s="189" t="s">
        <v>259</v>
      </c>
    </row>
    <row r="87" spans="1:105" ht="11.45" customHeight="1" x14ac:dyDescent="0.25">
      <c r="A87" s="37" t="s">
        <v>27</v>
      </c>
      <c r="B87" s="36">
        <f t="shared" si="84"/>
        <v>0</v>
      </c>
      <c r="C87" s="36">
        <f t="shared" si="84"/>
        <v>0</v>
      </c>
      <c r="D87" s="36">
        <f t="shared" ref="D87:V87" si="87">IF(D5=0,0,D5*1000000/D25)</f>
        <v>0</v>
      </c>
      <c r="E87" s="36">
        <f t="shared" si="87"/>
        <v>0</v>
      </c>
      <c r="F87" s="36">
        <f t="shared" si="87"/>
        <v>0</v>
      </c>
      <c r="G87" s="36">
        <f t="shared" si="87"/>
        <v>0</v>
      </c>
      <c r="H87" s="36">
        <f t="shared" si="87"/>
        <v>0</v>
      </c>
      <c r="I87" s="36">
        <f t="shared" si="87"/>
        <v>0</v>
      </c>
      <c r="J87" s="36">
        <f t="shared" si="87"/>
        <v>0</v>
      </c>
      <c r="K87" s="36">
        <f t="shared" si="87"/>
        <v>0</v>
      </c>
      <c r="L87" s="36">
        <f t="shared" si="87"/>
        <v>0</v>
      </c>
      <c r="M87" s="36">
        <f t="shared" si="87"/>
        <v>0</v>
      </c>
      <c r="N87" s="36">
        <f t="shared" si="87"/>
        <v>0</v>
      </c>
      <c r="O87" s="36">
        <f t="shared" si="87"/>
        <v>0</v>
      </c>
      <c r="P87" s="36">
        <f t="shared" si="87"/>
        <v>0</v>
      </c>
      <c r="Q87" s="36">
        <f t="shared" si="87"/>
        <v>0</v>
      </c>
      <c r="R87" s="36">
        <f t="shared" si="87"/>
        <v>0</v>
      </c>
      <c r="S87" s="36">
        <f t="shared" si="87"/>
        <v>0</v>
      </c>
      <c r="T87" s="36">
        <f t="shared" si="87"/>
        <v>0</v>
      </c>
      <c r="U87" s="36">
        <f t="shared" si="87"/>
        <v>0</v>
      </c>
      <c r="V87" s="36">
        <f t="shared" si="87"/>
        <v>0</v>
      </c>
      <c r="W87" s="36">
        <f t="shared" ref="W87:Y87" si="88">IF(W5=0,0,W5*1000000/W25)</f>
        <v>0</v>
      </c>
      <c r="X87" s="36">
        <f t="shared" si="88"/>
        <v>0</v>
      </c>
      <c r="Y87" s="36">
        <f t="shared" si="88"/>
        <v>0</v>
      </c>
      <c r="DA87" s="198" t="s">
        <v>260</v>
      </c>
    </row>
    <row r="88" spans="1:105" ht="11.45" customHeight="1" x14ac:dyDescent="0.25">
      <c r="A88" s="37" t="s">
        <v>181</v>
      </c>
      <c r="B88" s="36">
        <f t="shared" si="84"/>
        <v>98800.436376822225</v>
      </c>
      <c r="C88" s="36">
        <f t="shared" si="84"/>
        <v>100151.55672710645</v>
      </c>
      <c r="D88" s="36">
        <f t="shared" ref="D88:V88" si="89">IF(D6=0,0,D6*1000000/D26)</f>
        <v>99691.998055804273</v>
      </c>
      <c r="E88" s="36">
        <f t="shared" si="89"/>
        <v>97989.493900044283</v>
      </c>
      <c r="F88" s="36">
        <f t="shared" si="89"/>
        <v>100986.14931924731</v>
      </c>
      <c r="G88" s="36">
        <f t="shared" si="89"/>
        <v>104704.78816718825</v>
      </c>
      <c r="H88" s="36">
        <f t="shared" si="89"/>
        <v>101215.28254016409</v>
      </c>
      <c r="I88" s="36">
        <f t="shared" si="89"/>
        <v>97405.696972562844</v>
      </c>
      <c r="J88" s="36">
        <f t="shared" si="89"/>
        <v>94559.187911778092</v>
      </c>
      <c r="K88" s="36">
        <f t="shared" si="89"/>
        <v>95310.286092937167</v>
      </c>
      <c r="L88" s="36">
        <f t="shared" si="89"/>
        <v>102396.76357729992</v>
      </c>
      <c r="M88" s="36">
        <f t="shared" si="89"/>
        <v>106285.81214355129</v>
      </c>
      <c r="N88" s="36">
        <f t="shared" si="89"/>
        <v>107638.24225396369</v>
      </c>
      <c r="O88" s="36">
        <f t="shared" si="89"/>
        <v>111334.94113625606</v>
      </c>
      <c r="P88" s="36">
        <f t="shared" si="89"/>
        <v>113225.32682831418</v>
      </c>
      <c r="Q88" s="36">
        <f t="shared" si="89"/>
        <v>115426.57619196034</v>
      </c>
      <c r="R88" s="36">
        <f t="shared" si="89"/>
        <v>123326.43070832282</v>
      </c>
      <c r="S88" s="36">
        <f t="shared" si="89"/>
        <v>132332.56704813533</v>
      </c>
      <c r="T88" s="36">
        <f t="shared" si="89"/>
        <v>135790.43566388806</v>
      </c>
      <c r="U88" s="36">
        <f t="shared" si="89"/>
        <v>137501.65554625288</v>
      </c>
      <c r="V88" s="36">
        <f t="shared" si="89"/>
        <v>102818.2073783157</v>
      </c>
      <c r="W88" s="36">
        <f t="shared" ref="W88:Y88" si="90">IF(W6=0,0,W6*1000000/W26)</f>
        <v>124250.81146167727</v>
      </c>
      <c r="X88" s="36">
        <f t="shared" si="90"/>
        <v>139815.36327041118</v>
      </c>
      <c r="Y88" s="36">
        <f t="shared" si="90"/>
        <v>141113.6141233104</v>
      </c>
      <c r="DA88" s="198" t="s">
        <v>261</v>
      </c>
    </row>
    <row r="89" spans="1:105" ht="11.45" customHeight="1" x14ac:dyDescent="0.25">
      <c r="A89" s="37" t="s">
        <v>182</v>
      </c>
      <c r="B89" s="36">
        <f t="shared" si="84"/>
        <v>1210475.9585982119</v>
      </c>
      <c r="C89" s="36">
        <f t="shared" si="84"/>
        <v>1216699.0092322428</v>
      </c>
      <c r="D89" s="36">
        <f t="shared" ref="D89:V89" si="91">IF(D7=0,0,D7*1000000/D27)</f>
        <v>1211348.3758688108</v>
      </c>
      <c r="E89" s="36">
        <f t="shared" si="91"/>
        <v>1211974.4936157754</v>
      </c>
      <c r="F89" s="36">
        <f t="shared" si="91"/>
        <v>1261656.8741708796</v>
      </c>
      <c r="G89" s="36">
        <f t="shared" si="91"/>
        <v>1301800.3066483219</v>
      </c>
      <c r="H89" s="36">
        <f t="shared" si="91"/>
        <v>1319261.6780720453</v>
      </c>
      <c r="I89" s="36">
        <f t="shared" si="91"/>
        <v>1337491.2670924757</v>
      </c>
      <c r="J89" s="36">
        <f t="shared" si="91"/>
        <v>1285396.5332340682</v>
      </c>
      <c r="K89" s="36">
        <f t="shared" si="91"/>
        <v>1245414.0962205189</v>
      </c>
      <c r="L89" s="36">
        <f t="shared" si="91"/>
        <v>1248324.8602985919</v>
      </c>
      <c r="M89" s="36">
        <f t="shared" si="91"/>
        <v>1279978.6995479167</v>
      </c>
      <c r="N89" s="36">
        <f t="shared" si="91"/>
        <v>1297107.0753530487</v>
      </c>
      <c r="O89" s="36">
        <f t="shared" si="91"/>
        <v>1304844.4116700871</v>
      </c>
      <c r="P89" s="36">
        <f t="shared" si="91"/>
        <v>1331148.4860397284</v>
      </c>
      <c r="Q89" s="36">
        <f t="shared" si="91"/>
        <v>1358201.922740774</v>
      </c>
      <c r="R89" s="36">
        <f t="shared" si="91"/>
        <v>1415623.2431037552</v>
      </c>
      <c r="S89" s="36">
        <f t="shared" si="91"/>
        <v>1472450.378842856</v>
      </c>
      <c r="T89" s="36">
        <f t="shared" si="91"/>
        <v>1508383.0735899406</v>
      </c>
      <c r="U89" s="36">
        <f t="shared" si="91"/>
        <v>1501300.6238258893</v>
      </c>
      <c r="V89" s="36">
        <f t="shared" si="91"/>
        <v>1092456.6612703707</v>
      </c>
      <c r="W89" s="36">
        <f t="shared" ref="W89:Y89" si="92">IF(W7=0,0,W7*1000000/W27)</f>
        <v>976689.06604893168</v>
      </c>
      <c r="X89" s="36">
        <f t="shared" si="92"/>
        <v>1463841.5814199741</v>
      </c>
      <c r="Y89" s="36">
        <f t="shared" si="92"/>
        <v>1587837.9842138474</v>
      </c>
      <c r="DA89" s="198" t="s">
        <v>262</v>
      </c>
    </row>
    <row r="90" spans="1:105" ht="11.45" customHeight="1" x14ac:dyDescent="0.25">
      <c r="A90" s="12" t="s">
        <v>88</v>
      </c>
      <c r="B90" s="13">
        <f t="shared" si="84"/>
        <v>326148.45751306787</v>
      </c>
      <c r="C90" s="13">
        <f t="shared" si="84"/>
        <v>318815.50718335871</v>
      </c>
      <c r="D90" s="13">
        <f t="shared" ref="D90:V90" si="93">IF(D8=0,0,D8*1000000/D28)</f>
        <v>321561.1498620027</v>
      </c>
      <c r="E90" s="13">
        <f t="shared" si="93"/>
        <v>294604.08569277433</v>
      </c>
      <c r="F90" s="13">
        <f t="shared" si="93"/>
        <v>281990.82747257361</v>
      </c>
      <c r="G90" s="13">
        <f t="shared" si="93"/>
        <v>270234.87602303328</v>
      </c>
      <c r="H90" s="13">
        <f t="shared" si="93"/>
        <v>271526.40361527813</v>
      </c>
      <c r="I90" s="13">
        <f t="shared" si="93"/>
        <v>273532.62828664057</v>
      </c>
      <c r="J90" s="13">
        <f t="shared" si="93"/>
        <v>260894.81299441925</v>
      </c>
      <c r="K90" s="13">
        <f t="shared" si="93"/>
        <v>281505.42502067355</v>
      </c>
      <c r="L90" s="13">
        <f t="shared" si="93"/>
        <v>294508.50482034509</v>
      </c>
      <c r="M90" s="13">
        <f t="shared" si="93"/>
        <v>297085.45675294072</v>
      </c>
      <c r="N90" s="13">
        <f t="shared" si="93"/>
        <v>298786.14355801477</v>
      </c>
      <c r="O90" s="13">
        <f t="shared" si="93"/>
        <v>299175.80813405261</v>
      </c>
      <c r="P90" s="13">
        <f t="shared" si="93"/>
        <v>339667.16094382352</v>
      </c>
      <c r="Q90" s="13">
        <f t="shared" si="93"/>
        <v>341488.66218328103</v>
      </c>
      <c r="R90" s="13">
        <f t="shared" si="93"/>
        <v>361932.83925383375</v>
      </c>
      <c r="S90" s="13">
        <f t="shared" si="93"/>
        <v>382889.11009423039</v>
      </c>
      <c r="T90" s="13">
        <f t="shared" si="93"/>
        <v>404347.96150622965</v>
      </c>
      <c r="U90" s="13">
        <f t="shared" si="93"/>
        <v>411541.04295244277</v>
      </c>
      <c r="V90" s="13">
        <f t="shared" si="93"/>
        <v>298929.60913987446</v>
      </c>
      <c r="W90" s="13">
        <f t="shared" ref="W90:Y90" si="94">IF(W8=0,0,W8*1000000/W28)</f>
        <v>325508.29981268058</v>
      </c>
      <c r="X90" s="13">
        <f t="shared" si="94"/>
        <v>379857.71597803908</v>
      </c>
      <c r="Y90" s="13">
        <f t="shared" si="94"/>
        <v>409198.26020421041</v>
      </c>
      <c r="DA90" s="193" t="s">
        <v>263</v>
      </c>
    </row>
    <row r="91" spans="1:105" ht="11.45" customHeight="1" x14ac:dyDescent="0.25">
      <c r="A91" s="42" t="s">
        <v>27</v>
      </c>
      <c r="B91" s="34">
        <f t="shared" si="84"/>
        <v>0</v>
      </c>
      <c r="C91" s="34">
        <f t="shared" si="84"/>
        <v>0</v>
      </c>
      <c r="D91" s="34">
        <f t="shared" ref="D91:V91" si="95">IF(D9=0,0,D9*1000000/D29)</f>
        <v>0</v>
      </c>
      <c r="E91" s="34">
        <f t="shared" si="95"/>
        <v>0</v>
      </c>
      <c r="F91" s="34">
        <f t="shared" si="95"/>
        <v>0</v>
      </c>
      <c r="G91" s="34">
        <f t="shared" si="95"/>
        <v>0</v>
      </c>
      <c r="H91" s="34">
        <f t="shared" si="95"/>
        <v>0</v>
      </c>
      <c r="I91" s="34">
        <f t="shared" si="95"/>
        <v>0</v>
      </c>
      <c r="J91" s="34">
        <f t="shared" si="95"/>
        <v>0</v>
      </c>
      <c r="K91" s="34">
        <f t="shared" si="95"/>
        <v>0</v>
      </c>
      <c r="L91" s="34">
        <f t="shared" si="95"/>
        <v>0</v>
      </c>
      <c r="M91" s="34">
        <f t="shared" si="95"/>
        <v>0</v>
      </c>
      <c r="N91" s="34">
        <f t="shared" si="95"/>
        <v>0</v>
      </c>
      <c r="O91" s="34">
        <f t="shared" si="95"/>
        <v>0</v>
      </c>
      <c r="P91" s="34">
        <f t="shared" si="95"/>
        <v>0</v>
      </c>
      <c r="Q91" s="34">
        <f t="shared" si="95"/>
        <v>0</v>
      </c>
      <c r="R91" s="34">
        <f t="shared" si="95"/>
        <v>0</v>
      </c>
      <c r="S91" s="34">
        <f t="shared" si="95"/>
        <v>0</v>
      </c>
      <c r="T91" s="34">
        <f t="shared" si="95"/>
        <v>0</v>
      </c>
      <c r="U91" s="34">
        <f t="shared" si="95"/>
        <v>0</v>
      </c>
      <c r="V91" s="34">
        <f t="shared" si="95"/>
        <v>0</v>
      </c>
      <c r="W91" s="34">
        <f t="shared" ref="W91:Y91" si="96">IF(W9=0,0,W9*1000000/W29)</f>
        <v>0</v>
      </c>
      <c r="X91" s="34">
        <f t="shared" si="96"/>
        <v>0</v>
      </c>
      <c r="Y91" s="34">
        <f t="shared" si="96"/>
        <v>0</v>
      </c>
      <c r="DA91" s="196" t="s">
        <v>264</v>
      </c>
    </row>
    <row r="92" spans="1:105" ht="11.45" customHeight="1" x14ac:dyDescent="0.25">
      <c r="A92" s="42" t="s">
        <v>181</v>
      </c>
      <c r="B92" s="34">
        <f t="shared" si="84"/>
        <v>20335.720601034842</v>
      </c>
      <c r="C92" s="34">
        <f t="shared" si="84"/>
        <v>21334.441570170067</v>
      </c>
      <c r="D92" s="34">
        <f t="shared" ref="D92:V92" si="97">IF(D10=0,0,D10*1000000/D30)</f>
        <v>20039.023644235567</v>
      </c>
      <c r="E92" s="34">
        <f t="shared" si="97"/>
        <v>20247.42892614938</v>
      </c>
      <c r="F92" s="34">
        <f t="shared" si="97"/>
        <v>17282.684459223445</v>
      </c>
      <c r="G92" s="34">
        <f t="shared" si="97"/>
        <v>16823.70411176121</v>
      </c>
      <c r="H92" s="34">
        <f t="shared" si="97"/>
        <v>14875.743530649159</v>
      </c>
      <c r="I92" s="34">
        <f t="shared" si="97"/>
        <v>15323.534252771035</v>
      </c>
      <c r="J92" s="34">
        <f t="shared" si="97"/>
        <v>14980.781400932012</v>
      </c>
      <c r="K92" s="34">
        <f t="shared" si="97"/>
        <v>16386.550909426718</v>
      </c>
      <c r="L92" s="34">
        <f t="shared" si="97"/>
        <v>17306.502008865758</v>
      </c>
      <c r="M92" s="34">
        <f t="shared" si="97"/>
        <v>15308.40353567386</v>
      </c>
      <c r="N92" s="34">
        <f t="shared" si="97"/>
        <v>13186.291834451542</v>
      </c>
      <c r="O92" s="34">
        <f t="shared" si="97"/>
        <v>13691.465554182421</v>
      </c>
      <c r="P92" s="34">
        <f t="shared" si="97"/>
        <v>15827.795527871403</v>
      </c>
      <c r="Q92" s="34">
        <f t="shared" si="97"/>
        <v>15709.359810738109</v>
      </c>
      <c r="R92" s="34">
        <f t="shared" si="97"/>
        <v>18064.785880031566</v>
      </c>
      <c r="S92" s="34">
        <f t="shared" si="97"/>
        <v>17330.941068450145</v>
      </c>
      <c r="T92" s="34">
        <f t="shared" si="97"/>
        <v>17776.094199169107</v>
      </c>
      <c r="U92" s="34">
        <f t="shared" si="97"/>
        <v>18549.190653696431</v>
      </c>
      <c r="V92" s="34">
        <f t="shared" si="97"/>
        <v>15148.190657781357</v>
      </c>
      <c r="W92" s="34">
        <f t="shared" ref="W92:Y92" si="98">IF(W10=0,0,W10*1000000/W30)</f>
        <v>16299.157214339559</v>
      </c>
      <c r="X92" s="34">
        <f t="shared" si="98"/>
        <v>16969.413986012951</v>
      </c>
      <c r="Y92" s="34">
        <f t="shared" si="98"/>
        <v>16970.380313383441</v>
      </c>
      <c r="DA92" s="196" t="s">
        <v>265</v>
      </c>
    </row>
    <row r="93" spans="1:105" ht="11.45" customHeight="1" x14ac:dyDescent="0.25">
      <c r="A93" s="38" t="s">
        <v>182</v>
      </c>
      <c r="B93" s="35">
        <f t="shared" si="84"/>
        <v>410217.61421489523</v>
      </c>
      <c r="C93" s="35">
        <f t="shared" si="84"/>
        <v>429875.47716598934</v>
      </c>
      <c r="D93" s="35">
        <f t="shared" ref="D93:V93" si="99">IF(D11=0,0,D11*1000000/D31)</f>
        <v>405879.29933305224</v>
      </c>
      <c r="E93" s="35">
        <f t="shared" si="99"/>
        <v>368792.91421848384</v>
      </c>
      <c r="F93" s="35">
        <f t="shared" si="99"/>
        <v>357942.17156173824</v>
      </c>
      <c r="G93" s="35">
        <f t="shared" si="99"/>
        <v>337623.94880096108</v>
      </c>
      <c r="H93" s="35">
        <f t="shared" si="99"/>
        <v>340093.43411213026</v>
      </c>
      <c r="I93" s="35">
        <f t="shared" si="99"/>
        <v>344809.09695223992</v>
      </c>
      <c r="J93" s="35">
        <f t="shared" si="99"/>
        <v>344545.7002177047</v>
      </c>
      <c r="K93" s="35">
        <f t="shared" si="99"/>
        <v>392359.15423680883</v>
      </c>
      <c r="L93" s="35">
        <f t="shared" si="99"/>
        <v>403309.16739222506</v>
      </c>
      <c r="M93" s="35">
        <f t="shared" si="99"/>
        <v>406147.74423479859</v>
      </c>
      <c r="N93" s="35">
        <f t="shared" si="99"/>
        <v>413818.05918717338</v>
      </c>
      <c r="O93" s="35">
        <f t="shared" si="99"/>
        <v>413962.82102339872</v>
      </c>
      <c r="P93" s="35">
        <f t="shared" si="99"/>
        <v>481530.0666278124</v>
      </c>
      <c r="Q93" s="35">
        <f t="shared" si="99"/>
        <v>482868.91190649325</v>
      </c>
      <c r="R93" s="35">
        <f t="shared" si="99"/>
        <v>530823.78582238255</v>
      </c>
      <c r="S93" s="35">
        <f t="shared" si="99"/>
        <v>524611.11379126692</v>
      </c>
      <c r="T93" s="35">
        <f t="shared" si="99"/>
        <v>526828.19914015033</v>
      </c>
      <c r="U93" s="35">
        <f t="shared" si="99"/>
        <v>544469.30116905877</v>
      </c>
      <c r="V93" s="35">
        <f t="shared" si="99"/>
        <v>370906.31196475774</v>
      </c>
      <c r="W93" s="35">
        <f t="shared" ref="W93:Y93" si="100">IF(W11=0,0,W11*1000000/W31)</f>
        <v>407044.65333820006</v>
      </c>
      <c r="X93" s="35">
        <f t="shared" si="100"/>
        <v>483616.74943731102</v>
      </c>
      <c r="Y93" s="35">
        <f t="shared" si="100"/>
        <v>525607.15815372742</v>
      </c>
      <c r="DA93" s="197" t="s">
        <v>266</v>
      </c>
    </row>
    <row r="94" spans="1:105" x14ac:dyDescent="0.25">
      <c r="A94" s="50"/>
      <c r="B94" s="50"/>
      <c r="C94" s="50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DA94" s="181"/>
    </row>
    <row r="95" spans="1:105" ht="11.45" customHeight="1" x14ac:dyDescent="0.25">
      <c r="A95" s="53" t="s">
        <v>89</v>
      </c>
      <c r="B95" s="62">
        <f t="shared" ref="B95:C95" si="101">IF(B23=0,0,B23/B43)</f>
        <v>800.02155116714232</v>
      </c>
      <c r="C95" s="62">
        <f t="shared" si="101"/>
        <v>801.31560527813906</v>
      </c>
      <c r="D95" s="62">
        <f t="shared" ref="D95:V95" si="102">IF(D23=0,0,D23/D43)</f>
        <v>796.27369465379297</v>
      </c>
      <c r="E95" s="62">
        <f t="shared" si="102"/>
        <v>796.77977884235577</v>
      </c>
      <c r="F95" s="62">
        <f t="shared" si="102"/>
        <v>777.1526902444491</v>
      </c>
      <c r="G95" s="62">
        <f t="shared" si="102"/>
        <v>764.15186802852782</v>
      </c>
      <c r="H95" s="62">
        <f t="shared" si="102"/>
        <v>776.31841571285395</v>
      </c>
      <c r="I95" s="62">
        <f t="shared" si="102"/>
        <v>782.38016423490365</v>
      </c>
      <c r="J95" s="62">
        <f t="shared" si="102"/>
        <v>760.35218698549602</v>
      </c>
      <c r="K95" s="62">
        <f t="shared" si="102"/>
        <v>742.69763954309053</v>
      </c>
      <c r="L95" s="62">
        <f t="shared" si="102"/>
        <v>747.91059741466665</v>
      </c>
      <c r="M95" s="62">
        <f t="shared" si="102"/>
        <v>769.61864949909</v>
      </c>
      <c r="N95" s="62">
        <f t="shared" si="102"/>
        <v>775.01901130528347</v>
      </c>
      <c r="O95" s="62">
        <f t="shared" si="102"/>
        <v>777.53251104415131</v>
      </c>
      <c r="P95" s="62">
        <f t="shared" si="102"/>
        <v>787.71611310451908</v>
      </c>
      <c r="Q95" s="62">
        <f t="shared" si="102"/>
        <v>789.59806292375322</v>
      </c>
      <c r="R95" s="62">
        <f t="shared" si="102"/>
        <v>804.21603181927583</v>
      </c>
      <c r="S95" s="62">
        <f t="shared" si="102"/>
        <v>796.5960304109675</v>
      </c>
      <c r="T95" s="62">
        <f t="shared" si="102"/>
        <v>788.4313386363167</v>
      </c>
      <c r="U95" s="62">
        <f t="shared" si="102"/>
        <v>785.83393516529259</v>
      </c>
      <c r="V95" s="62">
        <f t="shared" si="102"/>
        <v>356.68848813925092</v>
      </c>
      <c r="W95" s="62">
        <f t="shared" ref="W95:Y95" si="103">IF(W23=0,0,W23/W43)</f>
        <v>428.81269628111772</v>
      </c>
      <c r="X95" s="62">
        <f t="shared" si="103"/>
        <v>675.60806996256122</v>
      </c>
      <c r="Y95" s="62">
        <f t="shared" si="103"/>
        <v>741.21188993060139</v>
      </c>
      <c r="DA95" s="172" t="s">
        <v>267</v>
      </c>
    </row>
    <row r="96" spans="1:105" ht="11.45" customHeight="1" x14ac:dyDescent="0.25">
      <c r="A96" s="10" t="s">
        <v>33</v>
      </c>
      <c r="B96" s="11">
        <f t="shared" ref="B96:C103" si="104">IF(B24=0,0,B24/B44)</f>
        <v>869.24209061852434</v>
      </c>
      <c r="C96" s="11">
        <f t="shared" si="104"/>
        <v>869.23815586642229</v>
      </c>
      <c r="D96" s="11">
        <f t="shared" ref="D96:V96" si="105">IF(D24=0,0,D24/D44)</f>
        <v>869.00674010005946</v>
      </c>
      <c r="E96" s="11">
        <f t="shared" si="105"/>
        <v>877.47026343929576</v>
      </c>
      <c r="F96" s="11">
        <f t="shared" si="105"/>
        <v>852.68367759389594</v>
      </c>
      <c r="G96" s="11">
        <f t="shared" si="105"/>
        <v>843.18894406086417</v>
      </c>
      <c r="H96" s="11">
        <f t="shared" si="105"/>
        <v>865.07244318258779</v>
      </c>
      <c r="I96" s="11">
        <f t="shared" si="105"/>
        <v>870.54395714818281</v>
      </c>
      <c r="J96" s="11">
        <f t="shared" si="105"/>
        <v>844.99595871530971</v>
      </c>
      <c r="K96" s="11">
        <f t="shared" si="105"/>
        <v>838.7602364273788</v>
      </c>
      <c r="L96" s="11">
        <f t="shared" si="105"/>
        <v>827.37597764638781</v>
      </c>
      <c r="M96" s="11">
        <f t="shared" si="105"/>
        <v>840.69306293330101</v>
      </c>
      <c r="N96" s="11">
        <f t="shared" si="105"/>
        <v>841.12757532285889</v>
      </c>
      <c r="O96" s="11">
        <f t="shared" si="105"/>
        <v>836.17843643128435</v>
      </c>
      <c r="P96" s="11">
        <f t="shared" si="105"/>
        <v>841.80469450569819</v>
      </c>
      <c r="Q96" s="11">
        <f t="shared" si="105"/>
        <v>842.79480531382421</v>
      </c>
      <c r="R96" s="11">
        <f t="shared" si="105"/>
        <v>851.45743720081578</v>
      </c>
      <c r="S96" s="11">
        <f t="shared" si="105"/>
        <v>848.43260446230715</v>
      </c>
      <c r="T96" s="11">
        <f t="shared" si="105"/>
        <v>839.80078835189101</v>
      </c>
      <c r="U96" s="11">
        <f t="shared" si="105"/>
        <v>831.5785066250852</v>
      </c>
      <c r="V96" s="11">
        <f t="shared" si="105"/>
        <v>356.72688614203611</v>
      </c>
      <c r="W96" s="11">
        <f t="shared" ref="W96:Y96" si="106">IF(W24=0,0,W24/W44)</f>
        <v>442.17311362744312</v>
      </c>
      <c r="X96" s="11">
        <f t="shared" si="106"/>
        <v>741.22316073198033</v>
      </c>
      <c r="Y96" s="11">
        <f t="shared" si="106"/>
        <v>821.14612398632596</v>
      </c>
      <c r="DA96" s="189" t="s">
        <v>268</v>
      </c>
    </row>
    <row r="97" spans="1:105" ht="11.45" customHeight="1" x14ac:dyDescent="0.25">
      <c r="A97" s="37" t="s">
        <v>27</v>
      </c>
      <c r="B97" s="36">
        <f t="shared" si="104"/>
        <v>0</v>
      </c>
      <c r="C97" s="36">
        <f t="shared" si="104"/>
        <v>0</v>
      </c>
      <c r="D97" s="36">
        <f t="shared" ref="D97:V97" si="107">IF(D25=0,0,D25/D45)</f>
        <v>0</v>
      </c>
      <c r="E97" s="36">
        <f t="shared" si="107"/>
        <v>0</v>
      </c>
      <c r="F97" s="36">
        <f t="shared" si="107"/>
        <v>0</v>
      </c>
      <c r="G97" s="36">
        <f t="shared" si="107"/>
        <v>0</v>
      </c>
      <c r="H97" s="36">
        <f t="shared" si="107"/>
        <v>0</v>
      </c>
      <c r="I97" s="36">
        <f t="shared" si="107"/>
        <v>0</v>
      </c>
      <c r="J97" s="36">
        <f t="shared" si="107"/>
        <v>0</v>
      </c>
      <c r="K97" s="36">
        <f t="shared" si="107"/>
        <v>0</v>
      </c>
      <c r="L97" s="36">
        <f t="shared" si="107"/>
        <v>0</v>
      </c>
      <c r="M97" s="36">
        <f t="shared" si="107"/>
        <v>0</v>
      </c>
      <c r="N97" s="36">
        <f t="shared" si="107"/>
        <v>0</v>
      </c>
      <c r="O97" s="36">
        <f t="shared" si="107"/>
        <v>0</v>
      </c>
      <c r="P97" s="36">
        <f t="shared" si="107"/>
        <v>0</v>
      </c>
      <c r="Q97" s="36">
        <f t="shared" si="107"/>
        <v>0</v>
      </c>
      <c r="R97" s="36">
        <f t="shared" si="107"/>
        <v>0</v>
      </c>
      <c r="S97" s="36">
        <f t="shared" si="107"/>
        <v>0</v>
      </c>
      <c r="T97" s="36">
        <f t="shared" si="107"/>
        <v>0</v>
      </c>
      <c r="U97" s="36">
        <f t="shared" si="107"/>
        <v>0</v>
      </c>
      <c r="V97" s="36">
        <f t="shared" si="107"/>
        <v>0</v>
      </c>
      <c r="W97" s="36">
        <f t="shared" ref="W97:Y97" si="108">IF(W25=0,0,W25/W45)</f>
        <v>0</v>
      </c>
      <c r="X97" s="36">
        <f t="shared" si="108"/>
        <v>0</v>
      </c>
      <c r="Y97" s="36">
        <f t="shared" si="108"/>
        <v>0</v>
      </c>
      <c r="DA97" s="198" t="s">
        <v>269</v>
      </c>
    </row>
    <row r="98" spans="1:105" ht="11.45" customHeight="1" x14ac:dyDescent="0.25">
      <c r="A98" s="37" t="s">
        <v>181</v>
      </c>
      <c r="B98" s="36">
        <f t="shared" si="104"/>
        <v>1472.3420646856359</v>
      </c>
      <c r="C98" s="36">
        <f t="shared" si="104"/>
        <v>1472.3416598613928</v>
      </c>
      <c r="D98" s="36">
        <f t="shared" ref="D98:V98" si="109">IF(D26=0,0,D26/D46)</f>
        <v>1475.2900183092443</v>
      </c>
      <c r="E98" s="36">
        <f t="shared" si="109"/>
        <v>1478.4915036091863</v>
      </c>
      <c r="F98" s="36">
        <f t="shared" si="109"/>
        <v>1473.4211097376042</v>
      </c>
      <c r="G98" s="36">
        <f t="shared" si="109"/>
        <v>1462.3724179741637</v>
      </c>
      <c r="H98" s="36">
        <f t="shared" si="109"/>
        <v>1464.2053605911556</v>
      </c>
      <c r="I98" s="36">
        <f t="shared" si="109"/>
        <v>1461.4446516010955</v>
      </c>
      <c r="J98" s="36">
        <f t="shared" si="109"/>
        <v>1452.7591478034517</v>
      </c>
      <c r="K98" s="36">
        <f t="shared" si="109"/>
        <v>1437.8889778209759</v>
      </c>
      <c r="L98" s="36">
        <f t="shared" si="109"/>
        <v>1449.4801802170462</v>
      </c>
      <c r="M98" s="36">
        <f t="shared" si="109"/>
        <v>1446.5216197941982</v>
      </c>
      <c r="N98" s="36">
        <f t="shared" si="109"/>
        <v>1455.115851471091</v>
      </c>
      <c r="O98" s="36">
        <f t="shared" si="109"/>
        <v>1453.8910683322936</v>
      </c>
      <c r="P98" s="36">
        <f t="shared" si="109"/>
        <v>1451.2424629197972</v>
      </c>
      <c r="Q98" s="36">
        <f t="shared" si="109"/>
        <v>1451.6375385598669</v>
      </c>
      <c r="R98" s="36">
        <f t="shared" si="109"/>
        <v>1434.4225788613364</v>
      </c>
      <c r="S98" s="36">
        <f t="shared" si="109"/>
        <v>1415.136091768506</v>
      </c>
      <c r="T98" s="36">
        <f t="shared" si="109"/>
        <v>1408.1158413314879</v>
      </c>
      <c r="U98" s="36">
        <f t="shared" si="109"/>
        <v>1408.4803873546589</v>
      </c>
      <c r="V98" s="36">
        <f t="shared" si="109"/>
        <v>607.26338015928877</v>
      </c>
      <c r="W98" s="36">
        <f t="shared" ref="W98:Y98" si="110">IF(W26=0,0,W26/W46)</f>
        <v>730.81679968491824</v>
      </c>
      <c r="X98" s="36">
        <f t="shared" si="110"/>
        <v>1274.6118801947973</v>
      </c>
      <c r="Y98" s="36">
        <f t="shared" si="110"/>
        <v>1361.4913298507772</v>
      </c>
      <c r="DA98" s="198" t="s">
        <v>270</v>
      </c>
    </row>
    <row r="99" spans="1:105" ht="11.45" customHeight="1" x14ac:dyDescent="0.25">
      <c r="A99" s="37" t="s">
        <v>182</v>
      </c>
      <c r="B99" s="36">
        <f t="shared" si="104"/>
        <v>319</v>
      </c>
      <c r="C99" s="36">
        <f t="shared" si="104"/>
        <v>319</v>
      </c>
      <c r="D99" s="36">
        <f t="shared" ref="D99:V99" si="111">IF(D27=0,0,D27/D47)</f>
        <v>319</v>
      </c>
      <c r="E99" s="36">
        <f t="shared" si="111"/>
        <v>319</v>
      </c>
      <c r="F99" s="36">
        <f t="shared" si="111"/>
        <v>319</v>
      </c>
      <c r="G99" s="36">
        <f t="shared" si="111"/>
        <v>318</v>
      </c>
      <c r="H99" s="36">
        <f t="shared" si="111"/>
        <v>314</v>
      </c>
      <c r="I99" s="36">
        <f t="shared" si="111"/>
        <v>314</v>
      </c>
      <c r="J99" s="36">
        <f t="shared" si="111"/>
        <v>316.00000000000006</v>
      </c>
      <c r="K99" s="36">
        <f t="shared" si="111"/>
        <v>321</v>
      </c>
      <c r="L99" s="36">
        <f t="shared" si="111"/>
        <v>326</v>
      </c>
      <c r="M99" s="36">
        <f t="shared" si="111"/>
        <v>325</v>
      </c>
      <c r="N99" s="36">
        <f t="shared" si="111"/>
        <v>325</v>
      </c>
      <c r="O99" s="36">
        <f t="shared" si="111"/>
        <v>326</v>
      </c>
      <c r="P99" s="36">
        <f t="shared" si="111"/>
        <v>326</v>
      </c>
      <c r="Q99" s="36">
        <f t="shared" si="111"/>
        <v>324</v>
      </c>
      <c r="R99" s="36">
        <f t="shared" si="111"/>
        <v>319</v>
      </c>
      <c r="S99" s="36">
        <f t="shared" si="111"/>
        <v>318</v>
      </c>
      <c r="T99" s="36">
        <f t="shared" si="111"/>
        <v>316</v>
      </c>
      <c r="U99" s="36">
        <f t="shared" si="111"/>
        <v>317</v>
      </c>
      <c r="V99" s="36">
        <f t="shared" si="111"/>
        <v>133.43844052857347</v>
      </c>
      <c r="W99" s="36">
        <f t="shared" ref="W99:Y99" si="112">IF(W27=0,0,W27/W47)</f>
        <v>185.14754705408959</v>
      </c>
      <c r="X99" s="36">
        <f t="shared" si="112"/>
        <v>266.71090079964932</v>
      </c>
      <c r="Y99" s="36">
        <f t="shared" si="112"/>
        <v>306</v>
      </c>
      <c r="DA99" s="198" t="s">
        <v>271</v>
      </c>
    </row>
    <row r="100" spans="1:105" ht="11.45" customHeight="1" x14ac:dyDescent="0.25">
      <c r="A100" s="12" t="s">
        <v>34</v>
      </c>
      <c r="B100" s="13">
        <f t="shared" si="104"/>
        <v>373.72531623822414</v>
      </c>
      <c r="C100" s="13">
        <f t="shared" si="104"/>
        <v>392.8814837393125</v>
      </c>
      <c r="D100" s="13">
        <f t="shared" ref="D100:V100" si="113">IF(D28=0,0,D28/D48)</f>
        <v>370.47462424659278</v>
      </c>
      <c r="E100" s="13">
        <f t="shared" si="113"/>
        <v>372.17420291639502</v>
      </c>
      <c r="F100" s="13">
        <f t="shared" si="113"/>
        <v>376.44118027465248</v>
      </c>
      <c r="G100" s="13">
        <f t="shared" si="113"/>
        <v>370.99754298840998</v>
      </c>
      <c r="H100" s="13">
        <f t="shared" si="113"/>
        <v>360.21502524324103</v>
      </c>
      <c r="I100" s="13">
        <f t="shared" si="113"/>
        <v>352.57523987061495</v>
      </c>
      <c r="J100" s="13">
        <f t="shared" si="113"/>
        <v>360.23948329972518</v>
      </c>
      <c r="K100" s="13">
        <f t="shared" si="113"/>
        <v>297.34104896496012</v>
      </c>
      <c r="L100" s="13">
        <f t="shared" si="113"/>
        <v>356.51129374895856</v>
      </c>
      <c r="M100" s="13">
        <f t="shared" si="113"/>
        <v>372.00000377671</v>
      </c>
      <c r="N100" s="13">
        <f t="shared" si="113"/>
        <v>369.60838180142429</v>
      </c>
      <c r="O100" s="13">
        <f t="shared" si="113"/>
        <v>395.20653351101441</v>
      </c>
      <c r="P100" s="13">
        <f t="shared" si="113"/>
        <v>404.3367080414713</v>
      </c>
      <c r="Q100" s="13">
        <f t="shared" si="113"/>
        <v>403.91024883850963</v>
      </c>
      <c r="R100" s="13">
        <f t="shared" si="113"/>
        <v>411.10157917609445</v>
      </c>
      <c r="S100" s="13">
        <f t="shared" si="113"/>
        <v>388.69351703953322</v>
      </c>
      <c r="T100" s="13">
        <f t="shared" si="113"/>
        <v>371.33798895983944</v>
      </c>
      <c r="U100" s="13">
        <f t="shared" si="113"/>
        <v>372.70886273834202</v>
      </c>
      <c r="V100" s="13">
        <f t="shared" si="113"/>
        <v>356.43448790007528</v>
      </c>
      <c r="W100" s="13">
        <f t="shared" ref="W100:Y100" si="114">IF(W28=0,0,W28/W48)</f>
        <v>350.60805468004844</v>
      </c>
      <c r="X100" s="13">
        <f t="shared" si="114"/>
        <v>292.27149533027989</v>
      </c>
      <c r="Y100" s="13">
        <f t="shared" si="114"/>
        <v>256.0030936026871</v>
      </c>
      <c r="DA100" s="193" t="s">
        <v>272</v>
      </c>
    </row>
    <row r="101" spans="1:105" ht="11.45" customHeight="1" x14ac:dyDescent="0.25">
      <c r="A101" s="42" t="s">
        <v>27</v>
      </c>
      <c r="B101" s="34">
        <f t="shared" si="104"/>
        <v>0</v>
      </c>
      <c r="C101" s="34">
        <f t="shared" si="104"/>
        <v>0</v>
      </c>
      <c r="D101" s="34">
        <f t="shared" ref="D101:V101" si="115">IF(D29=0,0,D29/D49)</f>
        <v>0</v>
      </c>
      <c r="E101" s="34">
        <f t="shared" si="115"/>
        <v>0</v>
      </c>
      <c r="F101" s="34">
        <f t="shared" si="115"/>
        <v>0</v>
      </c>
      <c r="G101" s="34">
        <f t="shared" si="115"/>
        <v>0</v>
      </c>
      <c r="H101" s="34">
        <f t="shared" si="115"/>
        <v>0</v>
      </c>
      <c r="I101" s="34">
        <f t="shared" si="115"/>
        <v>0</v>
      </c>
      <c r="J101" s="34">
        <f t="shared" si="115"/>
        <v>0</v>
      </c>
      <c r="K101" s="34">
        <f t="shared" si="115"/>
        <v>0</v>
      </c>
      <c r="L101" s="34">
        <f t="shared" si="115"/>
        <v>0</v>
      </c>
      <c r="M101" s="34">
        <f t="shared" si="115"/>
        <v>0</v>
      </c>
      <c r="N101" s="34">
        <f t="shared" si="115"/>
        <v>0</v>
      </c>
      <c r="O101" s="34">
        <f t="shared" si="115"/>
        <v>0</v>
      </c>
      <c r="P101" s="34">
        <f t="shared" si="115"/>
        <v>0</v>
      </c>
      <c r="Q101" s="34">
        <f t="shared" si="115"/>
        <v>0</v>
      </c>
      <c r="R101" s="34">
        <f t="shared" si="115"/>
        <v>0</v>
      </c>
      <c r="S101" s="34">
        <f t="shared" si="115"/>
        <v>0</v>
      </c>
      <c r="T101" s="34">
        <f t="shared" si="115"/>
        <v>0</v>
      </c>
      <c r="U101" s="34">
        <f t="shared" si="115"/>
        <v>0</v>
      </c>
      <c r="V101" s="34">
        <f t="shared" si="115"/>
        <v>0</v>
      </c>
      <c r="W101" s="34">
        <f t="shared" ref="W101:Y101" si="116">IF(W29=0,0,W29/W49)</f>
        <v>0</v>
      </c>
      <c r="X101" s="34">
        <f t="shared" si="116"/>
        <v>0</v>
      </c>
      <c r="Y101" s="34">
        <f t="shared" si="116"/>
        <v>0</v>
      </c>
      <c r="DA101" s="196" t="s">
        <v>273</v>
      </c>
    </row>
    <row r="102" spans="1:105" ht="11.45" customHeight="1" x14ac:dyDescent="0.25">
      <c r="A102" s="42" t="s">
        <v>181</v>
      </c>
      <c r="B102" s="34">
        <f t="shared" si="104"/>
        <v>1161.2231858124057</v>
      </c>
      <c r="C102" s="34">
        <f t="shared" si="104"/>
        <v>1163.2498707979923</v>
      </c>
      <c r="D102" s="34">
        <f t="shared" ref="D102:V102" si="117">IF(D30=0,0,D30/D50)</f>
        <v>1000.6606078039637</v>
      </c>
      <c r="E102" s="34">
        <f t="shared" si="117"/>
        <v>1131.9943912496499</v>
      </c>
      <c r="F102" s="34">
        <f t="shared" si="117"/>
        <v>1175.6420334039603</v>
      </c>
      <c r="G102" s="34">
        <f t="shared" si="117"/>
        <v>1168.8439665056476</v>
      </c>
      <c r="H102" s="34">
        <f t="shared" si="117"/>
        <v>1170.1333665149568</v>
      </c>
      <c r="I102" s="34">
        <f t="shared" si="117"/>
        <v>1094.5326509047443</v>
      </c>
      <c r="J102" s="34">
        <f t="shared" si="117"/>
        <v>1150.9766352048423</v>
      </c>
      <c r="K102" s="34">
        <f t="shared" si="117"/>
        <v>1030.8355931849419</v>
      </c>
      <c r="L102" s="34">
        <f t="shared" si="117"/>
        <v>1005.241230177255</v>
      </c>
      <c r="M102" s="34">
        <f t="shared" si="117"/>
        <v>1037.8700467657302</v>
      </c>
      <c r="N102" s="34">
        <f t="shared" si="117"/>
        <v>1025.3403902100595</v>
      </c>
      <c r="O102" s="34">
        <f t="shared" si="117"/>
        <v>1107.6638285552588</v>
      </c>
      <c r="P102" s="34">
        <f t="shared" si="117"/>
        <v>1146.7654673960719</v>
      </c>
      <c r="Q102" s="34">
        <f t="shared" si="117"/>
        <v>1155.3273312848387</v>
      </c>
      <c r="R102" s="34">
        <f t="shared" si="117"/>
        <v>1167.9758177394888</v>
      </c>
      <c r="S102" s="34">
        <f t="shared" si="117"/>
        <v>1062.1482426169568</v>
      </c>
      <c r="T102" s="34">
        <f t="shared" si="117"/>
        <v>928.95858688564294</v>
      </c>
      <c r="U102" s="34">
        <f t="shared" si="117"/>
        <v>952.37643013401532</v>
      </c>
      <c r="V102" s="34">
        <f t="shared" si="117"/>
        <v>976.18072761647511</v>
      </c>
      <c r="W102" s="34">
        <f t="shared" ref="W102:Y102" si="118">IF(W30=0,0,W30/W50)</f>
        <v>1111.2841041098975</v>
      </c>
      <c r="X102" s="34">
        <f t="shared" si="118"/>
        <v>989.09384033908998</v>
      </c>
      <c r="Y102" s="34">
        <f t="shared" si="118"/>
        <v>885.33720948698999</v>
      </c>
      <c r="DA102" s="196" t="s">
        <v>274</v>
      </c>
    </row>
    <row r="103" spans="1:105" ht="11.45" customHeight="1" x14ac:dyDescent="0.25">
      <c r="A103" s="38" t="s">
        <v>182</v>
      </c>
      <c r="B103" s="35">
        <f t="shared" si="104"/>
        <v>315</v>
      </c>
      <c r="C103" s="35">
        <f t="shared" si="104"/>
        <v>315</v>
      </c>
      <c r="D103" s="35">
        <f t="shared" ref="D103:V103" si="119">IF(D31=0,0,D31/D51)</f>
        <v>315</v>
      </c>
      <c r="E103" s="35">
        <f t="shared" si="119"/>
        <v>315</v>
      </c>
      <c r="F103" s="35">
        <f t="shared" si="119"/>
        <v>315</v>
      </c>
      <c r="G103" s="35">
        <f t="shared" si="119"/>
        <v>314</v>
      </c>
      <c r="H103" s="35">
        <f t="shared" si="119"/>
        <v>304</v>
      </c>
      <c r="I103" s="35">
        <f t="shared" si="119"/>
        <v>297</v>
      </c>
      <c r="J103" s="35">
        <f t="shared" si="119"/>
        <v>292</v>
      </c>
      <c r="K103" s="35">
        <f t="shared" si="119"/>
        <v>229.16093428277833</v>
      </c>
      <c r="L103" s="35">
        <f t="shared" si="119"/>
        <v>284.45890854425147</v>
      </c>
      <c r="M103" s="35">
        <f t="shared" si="119"/>
        <v>298</v>
      </c>
      <c r="N103" s="35">
        <f t="shared" si="119"/>
        <v>293.90356031623054</v>
      </c>
      <c r="O103" s="35">
        <f t="shared" si="119"/>
        <v>314</v>
      </c>
      <c r="P103" s="35">
        <f t="shared" si="119"/>
        <v>315</v>
      </c>
      <c r="Q103" s="35">
        <f t="shared" si="119"/>
        <v>315</v>
      </c>
      <c r="R103" s="35">
        <f t="shared" si="119"/>
        <v>311.84779222801956</v>
      </c>
      <c r="S103" s="35">
        <f t="shared" si="119"/>
        <v>312</v>
      </c>
      <c r="T103" s="35">
        <f t="shared" si="119"/>
        <v>312</v>
      </c>
      <c r="U103" s="35">
        <f t="shared" si="119"/>
        <v>309.07746384330846</v>
      </c>
      <c r="V103" s="35">
        <f t="shared" si="119"/>
        <v>307</v>
      </c>
      <c r="W103" s="35">
        <f t="shared" ref="W103:Y103" si="120">IF(W31=0,0,W31/W51)</f>
        <v>297</v>
      </c>
      <c r="X103" s="35">
        <f t="shared" si="120"/>
        <v>243.26842764509627</v>
      </c>
      <c r="Y103" s="35">
        <f t="shared" si="120"/>
        <v>211.40336880706644</v>
      </c>
      <c r="DA103" s="197" t="s">
        <v>275</v>
      </c>
    </row>
    <row r="104" spans="1:105" x14ac:dyDescent="0.25">
      <c r="A104" s="50"/>
      <c r="B104" s="50"/>
      <c r="C104" s="50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DA104" s="181"/>
    </row>
    <row r="105" spans="1:105" ht="11.45" customHeight="1" x14ac:dyDescent="0.25">
      <c r="A105" s="53" t="s">
        <v>37</v>
      </c>
      <c r="B105" s="76"/>
      <c r="C105" s="76"/>
      <c r="D105" s="76"/>
      <c r="E105" s="76"/>
      <c r="F105" s="76"/>
      <c r="G105" s="76"/>
      <c r="H105" s="76"/>
      <c r="I105" s="76"/>
      <c r="J105" s="76"/>
      <c r="K105" s="76"/>
      <c r="L105" s="76"/>
      <c r="M105" s="76"/>
      <c r="N105" s="76"/>
      <c r="O105" s="76"/>
      <c r="P105" s="76"/>
      <c r="Q105" s="76"/>
      <c r="R105" s="76"/>
      <c r="S105" s="76"/>
      <c r="T105" s="76"/>
      <c r="U105" s="76"/>
      <c r="V105" s="76"/>
      <c r="W105" s="76"/>
      <c r="X105" s="76"/>
      <c r="Y105" s="76"/>
      <c r="DA105" s="183"/>
    </row>
    <row r="106" spans="1:105" ht="11.45" customHeight="1" x14ac:dyDescent="0.25">
      <c r="A106" s="10" t="s">
        <v>38</v>
      </c>
      <c r="B106" s="16">
        <f t="shared" ref="B106:C106" si="121">IF(B4=0,0,B4/B$4)</f>
        <v>1</v>
      </c>
      <c r="C106" s="16">
        <f t="shared" si="121"/>
        <v>1</v>
      </c>
      <c r="D106" s="16">
        <f t="shared" ref="D106:V106" si="122">IF(D4=0,0,D4/D$4)</f>
        <v>1</v>
      </c>
      <c r="E106" s="16">
        <f t="shared" si="122"/>
        <v>1</v>
      </c>
      <c r="F106" s="16">
        <f t="shared" si="122"/>
        <v>1</v>
      </c>
      <c r="G106" s="16">
        <f t="shared" si="122"/>
        <v>1</v>
      </c>
      <c r="H106" s="16">
        <f t="shared" si="122"/>
        <v>1</v>
      </c>
      <c r="I106" s="16">
        <f t="shared" si="122"/>
        <v>1</v>
      </c>
      <c r="J106" s="16">
        <f t="shared" si="122"/>
        <v>1</v>
      </c>
      <c r="K106" s="16">
        <f t="shared" si="122"/>
        <v>1</v>
      </c>
      <c r="L106" s="16">
        <f t="shared" si="122"/>
        <v>1</v>
      </c>
      <c r="M106" s="16">
        <f t="shared" si="122"/>
        <v>1</v>
      </c>
      <c r="N106" s="16">
        <f t="shared" si="122"/>
        <v>1</v>
      </c>
      <c r="O106" s="16">
        <f t="shared" si="122"/>
        <v>1</v>
      </c>
      <c r="P106" s="16">
        <f t="shared" si="122"/>
        <v>1</v>
      </c>
      <c r="Q106" s="16">
        <f t="shared" si="122"/>
        <v>1</v>
      </c>
      <c r="R106" s="16">
        <f t="shared" si="122"/>
        <v>1</v>
      </c>
      <c r="S106" s="16">
        <f t="shared" si="122"/>
        <v>1</v>
      </c>
      <c r="T106" s="16">
        <f t="shared" si="122"/>
        <v>1</v>
      </c>
      <c r="U106" s="16">
        <f t="shared" si="122"/>
        <v>1</v>
      </c>
      <c r="V106" s="16">
        <f t="shared" si="122"/>
        <v>1</v>
      </c>
      <c r="W106" s="16">
        <f t="shared" ref="W106:Y106" si="123">IF(W4=0,0,W4/W$4)</f>
        <v>1</v>
      </c>
      <c r="X106" s="16">
        <f t="shared" si="123"/>
        <v>1</v>
      </c>
      <c r="Y106" s="16">
        <f t="shared" si="123"/>
        <v>1</v>
      </c>
      <c r="DA106" s="190"/>
    </row>
    <row r="107" spans="1:105" ht="11.45" customHeight="1" x14ac:dyDescent="0.25">
      <c r="A107" s="37" t="s">
        <v>27</v>
      </c>
      <c r="B107" s="43">
        <f t="shared" ref="B107:C107" si="124">IF(B5=0,0,B5/B$4)</f>
        <v>0</v>
      </c>
      <c r="C107" s="43">
        <f t="shared" si="124"/>
        <v>0</v>
      </c>
      <c r="D107" s="43">
        <f t="shared" ref="D107:V107" si="125">IF(D5=0,0,D5/D$4)</f>
        <v>0</v>
      </c>
      <c r="E107" s="43">
        <f t="shared" si="125"/>
        <v>0</v>
      </c>
      <c r="F107" s="43">
        <f t="shared" si="125"/>
        <v>0</v>
      </c>
      <c r="G107" s="43">
        <f t="shared" si="125"/>
        <v>0</v>
      </c>
      <c r="H107" s="43">
        <f t="shared" si="125"/>
        <v>0</v>
      </c>
      <c r="I107" s="43">
        <f t="shared" si="125"/>
        <v>0</v>
      </c>
      <c r="J107" s="43">
        <f t="shared" si="125"/>
        <v>0</v>
      </c>
      <c r="K107" s="43">
        <f t="shared" si="125"/>
        <v>0</v>
      </c>
      <c r="L107" s="43">
        <f t="shared" si="125"/>
        <v>0</v>
      </c>
      <c r="M107" s="43">
        <f t="shared" si="125"/>
        <v>0</v>
      </c>
      <c r="N107" s="43">
        <f t="shared" si="125"/>
        <v>0</v>
      </c>
      <c r="O107" s="43">
        <f t="shared" si="125"/>
        <v>0</v>
      </c>
      <c r="P107" s="43">
        <f t="shared" si="125"/>
        <v>0</v>
      </c>
      <c r="Q107" s="43">
        <f t="shared" si="125"/>
        <v>0</v>
      </c>
      <c r="R107" s="43">
        <f t="shared" si="125"/>
        <v>0</v>
      </c>
      <c r="S107" s="43">
        <f t="shared" si="125"/>
        <v>0</v>
      </c>
      <c r="T107" s="43">
        <f t="shared" si="125"/>
        <v>0</v>
      </c>
      <c r="U107" s="43">
        <f t="shared" si="125"/>
        <v>0</v>
      </c>
      <c r="V107" s="43">
        <f t="shared" si="125"/>
        <v>0</v>
      </c>
      <c r="W107" s="43">
        <f t="shared" ref="W107:Y107" si="126">IF(W5=0,0,W5/W$4)</f>
        <v>0</v>
      </c>
      <c r="X107" s="43">
        <f t="shared" si="126"/>
        <v>0</v>
      </c>
      <c r="Y107" s="43">
        <f t="shared" si="126"/>
        <v>0</v>
      </c>
      <c r="DA107" s="199"/>
    </row>
    <row r="108" spans="1:105" ht="11.45" customHeight="1" x14ac:dyDescent="0.25">
      <c r="A108" s="37" t="s">
        <v>181</v>
      </c>
      <c r="B108" s="43">
        <f t="shared" ref="B108:C108" si="127">IF(B6=0,0,B6/B$4)</f>
        <v>0.2557887593930141</v>
      </c>
      <c r="C108" s="43">
        <f t="shared" si="127"/>
        <v>0.25739899691965623</v>
      </c>
      <c r="D108" s="43">
        <f t="shared" ref="D108:V108" si="128">IF(D6=0,0,D6/D$4)</f>
        <v>0.25665986591113343</v>
      </c>
      <c r="E108" s="43">
        <f t="shared" si="128"/>
        <v>0.25826836795874841</v>
      </c>
      <c r="F108" s="43">
        <f t="shared" si="128"/>
        <v>0.24119273583811893</v>
      </c>
      <c r="G108" s="43">
        <f t="shared" si="128"/>
        <v>0.23880574085770642</v>
      </c>
      <c r="H108" s="43">
        <f t="shared" si="128"/>
        <v>0.24758762419867081</v>
      </c>
      <c r="I108" s="43">
        <f t="shared" si="128"/>
        <v>0.24199363831062015</v>
      </c>
      <c r="J108" s="43">
        <f t="shared" si="128"/>
        <v>0.22742239249191043</v>
      </c>
      <c r="K108" s="43">
        <f t="shared" si="128"/>
        <v>0.22854245536316514</v>
      </c>
      <c r="L108" s="43">
        <f t="shared" si="128"/>
        <v>0.22716461255618034</v>
      </c>
      <c r="M108" s="43">
        <f t="shared" si="128"/>
        <v>0.23931106041160671</v>
      </c>
      <c r="N108" s="43">
        <f t="shared" si="128"/>
        <v>0.23799163924291072</v>
      </c>
      <c r="O108" s="43">
        <f t="shared" si="128"/>
        <v>0.2391295958549077</v>
      </c>
      <c r="P108" s="43">
        <f t="shared" si="128"/>
        <v>0.24269727602231883</v>
      </c>
      <c r="Q108" s="43">
        <f t="shared" si="128"/>
        <v>0.24496848836144439</v>
      </c>
      <c r="R108" s="43">
        <f t="shared" si="128"/>
        <v>0.26351311528252525</v>
      </c>
      <c r="S108" s="43">
        <f t="shared" si="128"/>
        <v>0.27238040846586264</v>
      </c>
      <c r="T108" s="43">
        <f t="shared" si="128"/>
        <v>0.26992962318315722</v>
      </c>
      <c r="U108" s="43">
        <f t="shared" si="128"/>
        <v>0.26631297678460519</v>
      </c>
      <c r="V108" s="43">
        <f t="shared" si="128"/>
        <v>0.27627002203734463</v>
      </c>
      <c r="W108" s="43">
        <f t="shared" ref="W108:Y108" si="129">IF(W6=0,0,W6/W$4)</f>
        <v>0.30898392270388481</v>
      </c>
      <c r="X108" s="43">
        <f t="shared" si="129"/>
        <v>0.28879819433513459</v>
      </c>
      <c r="Y108" s="43">
        <f t="shared" si="129"/>
        <v>0.27377166859361701</v>
      </c>
      <c r="DA108" s="199"/>
    </row>
    <row r="109" spans="1:105" ht="11.45" customHeight="1" x14ac:dyDescent="0.25">
      <c r="A109" s="37" t="s">
        <v>182</v>
      </c>
      <c r="B109" s="43">
        <f t="shared" ref="B109:C109" si="130">IF(B7=0,0,B7/B$4)</f>
        <v>0.74421124060698596</v>
      </c>
      <c r="C109" s="43">
        <f t="shared" si="130"/>
        <v>0.74260100308034371</v>
      </c>
      <c r="D109" s="43">
        <f t="shared" ref="D109:V109" si="131">IF(D7=0,0,D7/D$4)</f>
        <v>0.74334013408886657</v>
      </c>
      <c r="E109" s="43">
        <f t="shared" si="131"/>
        <v>0.74173163204125159</v>
      </c>
      <c r="F109" s="43">
        <f t="shared" si="131"/>
        <v>0.75880726416188116</v>
      </c>
      <c r="G109" s="43">
        <f t="shared" si="131"/>
        <v>0.76119425914229355</v>
      </c>
      <c r="H109" s="43">
        <f t="shared" si="131"/>
        <v>0.75241237580132925</v>
      </c>
      <c r="I109" s="43">
        <f t="shared" si="131"/>
        <v>0.75800636168937996</v>
      </c>
      <c r="J109" s="43">
        <f t="shared" si="131"/>
        <v>0.77257760750808957</v>
      </c>
      <c r="K109" s="43">
        <f t="shared" si="131"/>
        <v>0.7714575446368348</v>
      </c>
      <c r="L109" s="43">
        <f t="shared" si="131"/>
        <v>0.77283538744381963</v>
      </c>
      <c r="M109" s="43">
        <f t="shared" si="131"/>
        <v>0.76068893958839334</v>
      </c>
      <c r="N109" s="43">
        <f t="shared" si="131"/>
        <v>0.76200836075708933</v>
      </c>
      <c r="O109" s="43">
        <f t="shared" si="131"/>
        <v>0.76087040414509222</v>
      </c>
      <c r="P109" s="43">
        <f t="shared" si="131"/>
        <v>0.75730272397768117</v>
      </c>
      <c r="Q109" s="43">
        <f t="shared" si="131"/>
        <v>0.75503151163855564</v>
      </c>
      <c r="R109" s="43">
        <f t="shared" si="131"/>
        <v>0.73648688471747481</v>
      </c>
      <c r="S109" s="43">
        <f t="shared" si="131"/>
        <v>0.72761959153413736</v>
      </c>
      <c r="T109" s="43">
        <f t="shared" si="131"/>
        <v>0.73007037681684273</v>
      </c>
      <c r="U109" s="43">
        <f t="shared" si="131"/>
        <v>0.73368702321539481</v>
      </c>
      <c r="V109" s="43">
        <f t="shared" si="131"/>
        <v>0.72372997796265537</v>
      </c>
      <c r="W109" s="43">
        <f t="shared" ref="W109:Y109" si="132">IF(W7=0,0,W7/W$4)</f>
        <v>0.69101607729611525</v>
      </c>
      <c r="X109" s="43">
        <f t="shared" si="132"/>
        <v>0.71120180566486546</v>
      </c>
      <c r="Y109" s="43">
        <f t="shared" si="132"/>
        <v>0.72622833140638299</v>
      </c>
      <c r="DA109" s="199"/>
    </row>
    <row r="110" spans="1:105" ht="11.45" customHeight="1" x14ac:dyDescent="0.25">
      <c r="A110" s="12" t="s">
        <v>39</v>
      </c>
      <c r="B110" s="17">
        <f t="shared" ref="B110:C110" si="133">IF(B8=0,0,B8/B$8)</f>
        <v>1</v>
      </c>
      <c r="C110" s="17">
        <f t="shared" si="133"/>
        <v>1</v>
      </c>
      <c r="D110" s="17">
        <f t="shared" ref="D110:V110" si="134">IF(D8=0,0,D8/D$8)</f>
        <v>1</v>
      </c>
      <c r="E110" s="17">
        <f t="shared" si="134"/>
        <v>1</v>
      </c>
      <c r="F110" s="17">
        <f t="shared" si="134"/>
        <v>1</v>
      </c>
      <c r="G110" s="17">
        <f t="shared" si="134"/>
        <v>1</v>
      </c>
      <c r="H110" s="17">
        <f t="shared" si="134"/>
        <v>1</v>
      </c>
      <c r="I110" s="17">
        <f t="shared" si="134"/>
        <v>1</v>
      </c>
      <c r="J110" s="17">
        <f t="shared" si="134"/>
        <v>1</v>
      </c>
      <c r="K110" s="17">
        <f t="shared" si="134"/>
        <v>1</v>
      </c>
      <c r="L110" s="17">
        <f t="shared" si="134"/>
        <v>1</v>
      </c>
      <c r="M110" s="17">
        <f t="shared" si="134"/>
        <v>1</v>
      </c>
      <c r="N110" s="17">
        <f t="shared" si="134"/>
        <v>1</v>
      </c>
      <c r="O110" s="17">
        <f t="shared" si="134"/>
        <v>1</v>
      </c>
      <c r="P110" s="17">
        <f t="shared" si="134"/>
        <v>1</v>
      </c>
      <c r="Q110" s="17">
        <f t="shared" si="134"/>
        <v>1</v>
      </c>
      <c r="R110" s="17">
        <f t="shared" si="134"/>
        <v>1</v>
      </c>
      <c r="S110" s="17">
        <f t="shared" si="134"/>
        <v>1</v>
      </c>
      <c r="T110" s="17">
        <f t="shared" si="134"/>
        <v>1</v>
      </c>
      <c r="U110" s="17">
        <f t="shared" si="134"/>
        <v>1</v>
      </c>
      <c r="V110" s="17">
        <f t="shared" si="134"/>
        <v>1</v>
      </c>
      <c r="W110" s="17">
        <f t="shared" ref="W110:Y110" si="135">IF(W8=0,0,W8/W$8)</f>
        <v>1</v>
      </c>
      <c r="X110" s="17">
        <f t="shared" si="135"/>
        <v>1</v>
      </c>
      <c r="Y110" s="17">
        <f t="shared" si="135"/>
        <v>1</v>
      </c>
      <c r="DA110" s="194"/>
    </row>
    <row r="111" spans="1:105" ht="11.45" customHeight="1" x14ac:dyDescent="0.25">
      <c r="A111" s="42" t="s">
        <v>27</v>
      </c>
      <c r="B111" s="44">
        <f t="shared" ref="B111:C111" si="136">IF(B9=0,0,B9/B$8)</f>
        <v>0</v>
      </c>
      <c r="C111" s="44">
        <f t="shared" si="136"/>
        <v>0</v>
      </c>
      <c r="D111" s="44">
        <f t="shared" ref="D111:V111" si="137">IF(D9=0,0,D9/D$8)</f>
        <v>0</v>
      </c>
      <c r="E111" s="44">
        <f t="shared" si="137"/>
        <v>0</v>
      </c>
      <c r="F111" s="44">
        <f t="shared" si="137"/>
        <v>0</v>
      </c>
      <c r="G111" s="44">
        <f t="shared" si="137"/>
        <v>0</v>
      </c>
      <c r="H111" s="44">
        <f t="shared" si="137"/>
        <v>0</v>
      </c>
      <c r="I111" s="44">
        <f t="shared" si="137"/>
        <v>0</v>
      </c>
      <c r="J111" s="44">
        <f t="shared" si="137"/>
        <v>0</v>
      </c>
      <c r="K111" s="44">
        <f t="shared" si="137"/>
        <v>0</v>
      </c>
      <c r="L111" s="44">
        <f t="shared" si="137"/>
        <v>0</v>
      </c>
      <c r="M111" s="44">
        <f t="shared" si="137"/>
        <v>0</v>
      </c>
      <c r="N111" s="44">
        <f t="shared" si="137"/>
        <v>0</v>
      </c>
      <c r="O111" s="44">
        <f t="shared" si="137"/>
        <v>0</v>
      </c>
      <c r="P111" s="44">
        <f t="shared" si="137"/>
        <v>0</v>
      </c>
      <c r="Q111" s="44">
        <f t="shared" si="137"/>
        <v>0</v>
      </c>
      <c r="R111" s="44">
        <f t="shared" si="137"/>
        <v>0</v>
      </c>
      <c r="S111" s="44">
        <f t="shared" si="137"/>
        <v>0</v>
      </c>
      <c r="T111" s="44">
        <f t="shared" si="137"/>
        <v>0</v>
      </c>
      <c r="U111" s="44">
        <f t="shared" si="137"/>
        <v>0</v>
      </c>
      <c r="V111" s="44">
        <f t="shared" si="137"/>
        <v>0</v>
      </c>
      <c r="W111" s="44">
        <f t="shared" ref="W111:Y111" si="138">IF(W9=0,0,W9/W$8)</f>
        <v>0</v>
      </c>
      <c r="X111" s="44">
        <f t="shared" si="138"/>
        <v>0</v>
      </c>
      <c r="Y111" s="44">
        <f t="shared" si="138"/>
        <v>0</v>
      </c>
      <c r="DA111" s="200"/>
    </row>
    <row r="112" spans="1:105" ht="11.45" customHeight="1" x14ac:dyDescent="0.25">
      <c r="A112" s="42" t="s">
        <v>181</v>
      </c>
      <c r="B112" s="44">
        <f t="shared" ref="B112:C112" si="139">IF(B10=0,0,B10/B$8)</f>
        <v>1.3444599256926143E-2</v>
      </c>
      <c r="C112" s="44">
        <f t="shared" si="139"/>
        <v>1.8191298853282866E-2</v>
      </c>
      <c r="D112" s="44">
        <f t="shared" ref="D112:V112" si="140">IF(D10=0,0,D10/D$8)</f>
        <v>1.3618412727510919E-2</v>
      </c>
      <c r="E112" s="44">
        <f t="shared" si="140"/>
        <v>1.4628849412600193E-2</v>
      </c>
      <c r="F112" s="44">
        <f t="shared" si="140"/>
        <v>1.3664419754407237E-2</v>
      </c>
      <c r="G112" s="44">
        <f t="shared" si="140"/>
        <v>1.3077809714601613E-2</v>
      </c>
      <c r="H112" s="44">
        <f t="shared" si="140"/>
        <v>1.1550686446669836E-2</v>
      </c>
      <c r="I112" s="44">
        <f t="shared" si="140"/>
        <v>1.2118799217423223E-2</v>
      </c>
      <c r="J112" s="44">
        <f t="shared" si="140"/>
        <v>1.4574665546750637E-2</v>
      </c>
      <c r="K112" s="44">
        <f t="shared" si="140"/>
        <v>1.7163066729035604E-2</v>
      </c>
      <c r="L112" s="44">
        <f t="shared" si="140"/>
        <v>1.6563522151617292E-2</v>
      </c>
      <c r="M112" s="44">
        <f t="shared" si="140"/>
        <v>1.4378872738803315E-2</v>
      </c>
      <c r="N112" s="44">
        <f t="shared" si="140"/>
        <v>1.2671709250642576E-2</v>
      </c>
      <c r="O112" s="44">
        <f t="shared" si="140"/>
        <v>1.312386359317415E-2</v>
      </c>
      <c r="P112" s="44">
        <f t="shared" si="140"/>
        <v>1.4194737479820757E-2</v>
      </c>
      <c r="Q112" s="44">
        <f t="shared" si="140"/>
        <v>1.3922130773727245E-2</v>
      </c>
      <c r="R112" s="44">
        <f t="shared" si="140"/>
        <v>1.6439852113014759E-2</v>
      </c>
      <c r="S112" s="44">
        <f t="shared" si="140"/>
        <v>1.2645573399597843E-2</v>
      </c>
      <c r="T112" s="44">
        <f t="shared" si="140"/>
        <v>1.057754466165306E-2</v>
      </c>
      <c r="U112" s="44">
        <f t="shared" si="140"/>
        <v>1.1392245814792415E-2</v>
      </c>
      <c r="V112" s="44">
        <f t="shared" si="140"/>
        <v>1.0252480537000399E-2</v>
      </c>
      <c r="W112" s="44">
        <f t="shared" ref="W112:Y112" si="141">IF(W10=0,0,W10/W$8)</f>
        <v>1.0448654918123901E-2</v>
      </c>
      <c r="X112" s="44">
        <f t="shared" si="141"/>
        <v>9.933059099984402E-3</v>
      </c>
      <c r="Y112" s="44">
        <f t="shared" si="141"/>
        <v>9.491529786617825E-3</v>
      </c>
      <c r="DA112" s="200"/>
    </row>
    <row r="113" spans="1:105" ht="11.45" customHeight="1" x14ac:dyDescent="0.25">
      <c r="A113" s="38" t="s">
        <v>182</v>
      </c>
      <c r="B113" s="45">
        <f t="shared" ref="B113:C113" si="142">IF(B11=0,0,B11/B$8)</f>
        <v>0.9865554007430738</v>
      </c>
      <c r="C113" s="45">
        <f t="shared" si="142"/>
        <v>0.98180870114671714</v>
      </c>
      <c r="D113" s="45">
        <f t="shared" ref="D113:V113" si="143">IF(D11=0,0,D11/D$8)</f>
        <v>0.98638158727248904</v>
      </c>
      <c r="E113" s="45">
        <f t="shared" si="143"/>
        <v>0.98537115058739977</v>
      </c>
      <c r="F113" s="45">
        <f t="shared" si="143"/>
        <v>0.98633558024559276</v>
      </c>
      <c r="G113" s="45">
        <f t="shared" si="143"/>
        <v>0.98692219028539829</v>
      </c>
      <c r="H113" s="45">
        <f t="shared" si="143"/>
        <v>0.9884493135533301</v>
      </c>
      <c r="I113" s="45">
        <f t="shared" si="143"/>
        <v>0.9878812007825768</v>
      </c>
      <c r="J113" s="45">
        <f t="shared" si="143"/>
        <v>0.98542533445324942</v>
      </c>
      <c r="K113" s="45">
        <f t="shared" si="143"/>
        <v>0.98283693327096433</v>
      </c>
      <c r="L113" s="45">
        <f t="shared" si="143"/>
        <v>0.98343647784838262</v>
      </c>
      <c r="M113" s="45">
        <f t="shared" si="143"/>
        <v>0.98562112726119666</v>
      </c>
      <c r="N113" s="45">
        <f t="shared" si="143"/>
        <v>0.98732829074935746</v>
      </c>
      <c r="O113" s="45">
        <f t="shared" si="143"/>
        <v>0.98687613640682592</v>
      </c>
      <c r="P113" s="45">
        <f t="shared" si="143"/>
        <v>0.98580526252017919</v>
      </c>
      <c r="Q113" s="45">
        <f t="shared" si="143"/>
        <v>0.98607786922627272</v>
      </c>
      <c r="R113" s="45">
        <f t="shared" si="143"/>
        <v>0.98356014788698531</v>
      </c>
      <c r="S113" s="45">
        <f t="shared" si="143"/>
        <v>0.98735442660040218</v>
      </c>
      <c r="T113" s="45">
        <f t="shared" si="143"/>
        <v>0.98942245533834694</v>
      </c>
      <c r="U113" s="45">
        <f t="shared" si="143"/>
        <v>0.98860775418520752</v>
      </c>
      <c r="V113" s="45">
        <f t="shared" si="143"/>
        <v>0.98974751946299966</v>
      </c>
      <c r="W113" s="45">
        <f t="shared" ref="W113:Y113" si="144">IF(W11=0,0,W11/W$8)</f>
        <v>0.98955134508187603</v>
      </c>
      <c r="X113" s="45">
        <f t="shared" si="144"/>
        <v>0.99006694090001568</v>
      </c>
      <c r="Y113" s="45">
        <f t="shared" si="144"/>
        <v>0.99050847021338218</v>
      </c>
      <c r="DA113" s="201"/>
    </row>
    <row r="114" spans="1:105" x14ac:dyDescent="0.25">
      <c r="A114" s="50"/>
      <c r="B114" s="50"/>
      <c r="C114" s="50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DA114" s="181"/>
    </row>
    <row r="115" spans="1:105" ht="11.45" customHeight="1" x14ac:dyDescent="0.25">
      <c r="A115" s="53" t="s">
        <v>66</v>
      </c>
      <c r="B115" s="76"/>
      <c r="C115" s="76"/>
      <c r="D115" s="76"/>
      <c r="E115" s="76"/>
      <c r="F115" s="76"/>
      <c r="G115" s="76"/>
      <c r="H115" s="76"/>
      <c r="I115" s="76"/>
      <c r="J115" s="76"/>
      <c r="K115" s="76"/>
      <c r="L115" s="76"/>
      <c r="M115" s="76"/>
      <c r="N115" s="76"/>
      <c r="O115" s="76"/>
      <c r="P115" s="76"/>
      <c r="Q115" s="76"/>
      <c r="R115" s="76"/>
      <c r="S115" s="76"/>
      <c r="T115" s="76"/>
      <c r="U115" s="76"/>
      <c r="V115" s="76"/>
      <c r="W115" s="76"/>
      <c r="X115" s="76"/>
      <c r="Y115" s="76"/>
      <c r="DA115" s="183"/>
    </row>
    <row r="116" spans="1:105" ht="11.45" customHeight="1" x14ac:dyDescent="0.25">
      <c r="A116" s="10" t="s">
        <v>33</v>
      </c>
      <c r="B116" s="16">
        <f t="shared" ref="B116:C116" si="145">IF(B14=0,0,B14/B$14)</f>
        <v>1</v>
      </c>
      <c r="C116" s="16">
        <f t="shared" si="145"/>
        <v>1</v>
      </c>
      <c r="D116" s="16">
        <f t="shared" ref="D116:V116" si="146">IF(D14=0,0,D14/D$14)</f>
        <v>1</v>
      </c>
      <c r="E116" s="16">
        <f t="shared" si="146"/>
        <v>1</v>
      </c>
      <c r="F116" s="16">
        <f t="shared" si="146"/>
        <v>1</v>
      </c>
      <c r="G116" s="16">
        <f t="shared" si="146"/>
        <v>1</v>
      </c>
      <c r="H116" s="16">
        <f t="shared" si="146"/>
        <v>1</v>
      </c>
      <c r="I116" s="16">
        <f t="shared" si="146"/>
        <v>1</v>
      </c>
      <c r="J116" s="16">
        <f t="shared" si="146"/>
        <v>1</v>
      </c>
      <c r="K116" s="16">
        <f t="shared" si="146"/>
        <v>1</v>
      </c>
      <c r="L116" s="16">
        <f t="shared" si="146"/>
        <v>1</v>
      </c>
      <c r="M116" s="16">
        <f t="shared" si="146"/>
        <v>1</v>
      </c>
      <c r="N116" s="16">
        <f t="shared" si="146"/>
        <v>1</v>
      </c>
      <c r="O116" s="16">
        <f t="shared" si="146"/>
        <v>1</v>
      </c>
      <c r="P116" s="16">
        <f t="shared" si="146"/>
        <v>1</v>
      </c>
      <c r="Q116" s="16">
        <f t="shared" si="146"/>
        <v>1</v>
      </c>
      <c r="R116" s="16">
        <f t="shared" si="146"/>
        <v>1</v>
      </c>
      <c r="S116" s="16">
        <f t="shared" si="146"/>
        <v>1</v>
      </c>
      <c r="T116" s="16">
        <f t="shared" si="146"/>
        <v>1</v>
      </c>
      <c r="U116" s="16">
        <f t="shared" si="146"/>
        <v>1</v>
      </c>
      <c r="V116" s="16">
        <f t="shared" si="146"/>
        <v>1</v>
      </c>
      <c r="W116" s="16">
        <f t="shared" ref="W116:Y116" si="147">IF(W14=0,0,W14/W$14)</f>
        <v>1</v>
      </c>
      <c r="X116" s="16">
        <f t="shared" si="147"/>
        <v>1</v>
      </c>
      <c r="Y116" s="16">
        <f t="shared" si="147"/>
        <v>1</v>
      </c>
      <c r="DA116" s="190"/>
    </row>
    <row r="117" spans="1:105" ht="11.45" customHeight="1" x14ac:dyDescent="0.25">
      <c r="A117" s="37" t="s">
        <v>27</v>
      </c>
      <c r="B117" s="43">
        <f t="shared" ref="B117:C117" si="148">IF(B15=0,0,B15/B$14)</f>
        <v>0</v>
      </c>
      <c r="C117" s="43">
        <f t="shared" si="148"/>
        <v>0</v>
      </c>
      <c r="D117" s="43">
        <f t="shared" ref="D117:V117" si="149">IF(D15=0,0,D15/D$14)</f>
        <v>0</v>
      </c>
      <c r="E117" s="43">
        <f t="shared" si="149"/>
        <v>0</v>
      </c>
      <c r="F117" s="43">
        <f t="shared" si="149"/>
        <v>0</v>
      </c>
      <c r="G117" s="43">
        <f t="shared" si="149"/>
        <v>0</v>
      </c>
      <c r="H117" s="43">
        <f t="shared" si="149"/>
        <v>0</v>
      </c>
      <c r="I117" s="43">
        <f t="shared" si="149"/>
        <v>0</v>
      </c>
      <c r="J117" s="43">
        <f t="shared" si="149"/>
        <v>0</v>
      </c>
      <c r="K117" s="43">
        <f t="shared" si="149"/>
        <v>0</v>
      </c>
      <c r="L117" s="43">
        <f t="shared" si="149"/>
        <v>0</v>
      </c>
      <c r="M117" s="43">
        <f t="shared" si="149"/>
        <v>0</v>
      </c>
      <c r="N117" s="43">
        <f t="shared" si="149"/>
        <v>0</v>
      </c>
      <c r="O117" s="43">
        <f t="shared" si="149"/>
        <v>0</v>
      </c>
      <c r="P117" s="43">
        <f t="shared" si="149"/>
        <v>0</v>
      </c>
      <c r="Q117" s="43">
        <f t="shared" si="149"/>
        <v>0</v>
      </c>
      <c r="R117" s="43">
        <f t="shared" si="149"/>
        <v>0</v>
      </c>
      <c r="S117" s="43">
        <f t="shared" si="149"/>
        <v>0</v>
      </c>
      <c r="T117" s="43">
        <f t="shared" si="149"/>
        <v>0</v>
      </c>
      <c r="U117" s="43">
        <f t="shared" si="149"/>
        <v>0</v>
      </c>
      <c r="V117" s="43">
        <f t="shared" si="149"/>
        <v>0</v>
      </c>
      <c r="W117" s="43">
        <f t="shared" ref="W117:Y117" si="150">IF(W15=0,0,W15/W$14)</f>
        <v>0</v>
      </c>
      <c r="X117" s="43">
        <f t="shared" si="150"/>
        <v>0</v>
      </c>
      <c r="Y117" s="43">
        <f t="shared" si="150"/>
        <v>0</v>
      </c>
      <c r="DA117" s="199"/>
    </row>
    <row r="118" spans="1:105" ht="11.45" customHeight="1" x14ac:dyDescent="0.25">
      <c r="A118" s="37" t="s">
        <v>181</v>
      </c>
      <c r="B118" s="43">
        <f t="shared" ref="B118:C118" si="151">IF(B16=0,0,B16/B$14)</f>
        <v>0.39397063959894246</v>
      </c>
      <c r="C118" s="43">
        <f t="shared" si="151"/>
        <v>0.39396762538489605</v>
      </c>
      <c r="D118" s="43">
        <f t="shared" ref="D118:V118" si="152">IF(D16=0,0,D16/D$14)</f>
        <v>0.39195200839674288</v>
      </c>
      <c r="E118" s="43">
        <f t="shared" si="152"/>
        <v>0.39696090250352878</v>
      </c>
      <c r="F118" s="43">
        <f t="shared" si="152"/>
        <v>0.37964830590444321</v>
      </c>
      <c r="G118" s="43">
        <f t="shared" si="152"/>
        <v>0.37724100289338919</v>
      </c>
      <c r="H118" s="43">
        <f t="shared" si="152"/>
        <v>0.39791472815060613</v>
      </c>
      <c r="I118" s="43">
        <f t="shared" si="152"/>
        <v>0.4035937022204828</v>
      </c>
      <c r="J118" s="43">
        <f t="shared" si="152"/>
        <v>0.38483514377490569</v>
      </c>
      <c r="K118" s="43">
        <f t="shared" si="152"/>
        <v>0.38075960715210949</v>
      </c>
      <c r="L118" s="43">
        <f t="shared" si="152"/>
        <v>0.37105076932842812</v>
      </c>
      <c r="M118" s="43">
        <f t="shared" si="152"/>
        <v>0.38425246873740193</v>
      </c>
      <c r="N118" s="43">
        <f t="shared" si="152"/>
        <v>0.37959427294880144</v>
      </c>
      <c r="O118" s="43">
        <f t="shared" si="152"/>
        <v>0.37601152092771334</v>
      </c>
      <c r="P118" s="43">
        <f t="shared" si="152"/>
        <v>0.38190499879755307</v>
      </c>
      <c r="Q118" s="43">
        <f t="shared" si="152"/>
        <v>0.38356021000553414</v>
      </c>
      <c r="R118" s="43">
        <f t="shared" si="152"/>
        <v>0.40323128782353757</v>
      </c>
      <c r="S118" s="43">
        <f t="shared" si="152"/>
        <v>0.41270784116919351</v>
      </c>
      <c r="T118" s="43">
        <f t="shared" si="152"/>
        <v>0.41078067847748329</v>
      </c>
      <c r="U118" s="43">
        <f t="shared" si="152"/>
        <v>0.40317873577826191</v>
      </c>
      <c r="V118" s="43">
        <f t="shared" si="152"/>
        <v>0.39035978242821329</v>
      </c>
      <c r="W118" s="43">
        <f t="shared" ref="W118:Y118" si="153">IF(W16=0,0,W16/W$14)</f>
        <v>0.40009993616660772</v>
      </c>
      <c r="X118" s="43">
        <f t="shared" si="153"/>
        <v>0.43875741133028429</v>
      </c>
      <c r="Y118" s="43">
        <f t="shared" si="153"/>
        <v>0.42328447002024905</v>
      </c>
      <c r="DA118" s="199"/>
    </row>
    <row r="119" spans="1:105" ht="11.45" customHeight="1" x14ac:dyDescent="0.25">
      <c r="A119" s="37" t="s">
        <v>182</v>
      </c>
      <c r="B119" s="43">
        <f t="shared" ref="B119:C119" si="154">IF(B17=0,0,B17/B$14)</f>
        <v>0.60602936040105759</v>
      </c>
      <c r="C119" s="43">
        <f t="shared" si="154"/>
        <v>0.60603237461510395</v>
      </c>
      <c r="D119" s="43">
        <f t="shared" ref="D119:V119" si="155">IF(D17=0,0,D17/D$14)</f>
        <v>0.60804799160325707</v>
      </c>
      <c r="E119" s="43">
        <f t="shared" si="155"/>
        <v>0.60303909749647133</v>
      </c>
      <c r="F119" s="43">
        <f t="shared" si="155"/>
        <v>0.62035169409555679</v>
      </c>
      <c r="G119" s="43">
        <f t="shared" si="155"/>
        <v>0.62275899710661087</v>
      </c>
      <c r="H119" s="43">
        <f t="shared" si="155"/>
        <v>0.60208527184939387</v>
      </c>
      <c r="I119" s="43">
        <f t="shared" si="155"/>
        <v>0.59640629777951726</v>
      </c>
      <c r="J119" s="43">
        <f t="shared" si="155"/>
        <v>0.6151648562250942</v>
      </c>
      <c r="K119" s="43">
        <f t="shared" si="155"/>
        <v>0.61924039284789056</v>
      </c>
      <c r="L119" s="43">
        <f t="shared" si="155"/>
        <v>0.62894923067157182</v>
      </c>
      <c r="M119" s="43">
        <f t="shared" si="155"/>
        <v>0.61574753126259818</v>
      </c>
      <c r="N119" s="43">
        <f t="shared" si="155"/>
        <v>0.62040572705119856</v>
      </c>
      <c r="O119" s="43">
        <f t="shared" si="155"/>
        <v>0.62398847907228672</v>
      </c>
      <c r="P119" s="43">
        <f t="shared" si="155"/>
        <v>0.61809500120244687</v>
      </c>
      <c r="Q119" s="43">
        <f t="shared" si="155"/>
        <v>0.6164397899944658</v>
      </c>
      <c r="R119" s="43">
        <f t="shared" si="155"/>
        <v>0.59676871217646255</v>
      </c>
      <c r="S119" s="43">
        <f t="shared" si="155"/>
        <v>0.58729215883080654</v>
      </c>
      <c r="T119" s="43">
        <f t="shared" si="155"/>
        <v>0.58921932152251677</v>
      </c>
      <c r="U119" s="43">
        <f t="shared" si="155"/>
        <v>0.59682126422173798</v>
      </c>
      <c r="V119" s="43">
        <f t="shared" si="155"/>
        <v>0.60964021757178677</v>
      </c>
      <c r="W119" s="43">
        <f t="shared" ref="W119:Y119" si="156">IF(W17=0,0,W17/W$14)</f>
        <v>0.59990006383339234</v>
      </c>
      <c r="X119" s="43">
        <f t="shared" si="156"/>
        <v>0.56124258866971577</v>
      </c>
      <c r="Y119" s="43">
        <f t="shared" si="156"/>
        <v>0.57671552997975095</v>
      </c>
      <c r="DA119" s="199"/>
    </row>
    <row r="120" spans="1:105" ht="11.45" customHeight="1" x14ac:dyDescent="0.25">
      <c r="A120" s="12" t="s">
        <v>34</v>
      </c>
      <c r="B120" s="17">
        <f t="shared" ref="B120:C120" si="157">IF(B18=0,0,B18/B$18)</f>
        <v>1</v>
      </c>
      <c r="C120" s="17">
        <f t="shared" si="157"/>
        <v>1</v>
      </c>
      <c r="D120" s="17">
        <f t="shared" ref="D120:V120" si="158">IF(D18=0,0,D18/D$18)</f>
        <v>1</v>
      </c>
      <c r="E120" s="17">
        <f t="shared" si="158"/>
        <v>1</v>
      </c>
      <c r="F120" s="17">
        <f t="shared" si="158"/>
        <v>1</v>
      </c>
      <c r="G120" s="17">
        <f t="shared" si="158"/>
        <v>1</v>
      </c>
      <c r="H120" s="17">
        <f t="shared" si="158"/>
        <v>1</v>
      </c>
      <c r="I120" s="17">
        <f t="shared" si="158"/>
        <v>1</v>
      </c>
      <c r="J120" s="17">
        <f t="shared" si="158"/>
        <v>1</v>
      </c>
      <c r="K120" s="17">
        <f t="shared" si="158"/>
        <v>1</v>
      </c>
      <c r="L120" s="17">
        <f t="shared" si="158"/>
        <v>1</v>
      </c>
      <c r="M120" s="17">
        <f t="shared" si="158"/>
        <v>1</v>
      </c>
      <c r="N120" s="17">
        <f t="shared" si="158"/>
        <v>1</v>
      </c>
      <c r="O120" s="17">
        <f t="shared" si="158"/>
        <v>1</v>
      </c>
      <c r="P120" s="17">
        <f t="shared" si="158"/>
        <v>1</v>
      </c>
      <c r="Q120" s="17">
        <f t="shared" si="158"/>
        <v>1</v>
      </c>
      <c r="R120" s="17">
        <f t="shared" si="158"/>
        <v>1</v>
      </c>
      <c r="S120" s="17">
        <f t="shared" si="158"/>
        <v>1</v>
      </c>
      <c r="T120" s="17">
        <f t="shared" si="158"/>
        <v>1</v>
      </c>
      <c r="U120" s="17">
        <f t="shared" si="158"/>
        <v>1</v>
      </c>
      <c r="V120" s="17">
        <f t="shared" si="158"/>
        <v>1</v>
      </c>
      <c r="W120" s="17">
        <f t="shared" ref="W120:Y120" si="159">IF(W18=0,0,W18/W$18)</f>
        <v>1</v>
      </c>
      <c r="X120" s="17">
        <f t="shared" si="159"/>
        <v>1</v>
      </c>
      <c r="Y120" s="17">
        <f t="shared" si="159"/>
        <v>1</v>
      </c>
      <c r="DA120" s="194"/>
    </row>
    <row r="121" spans="1:105" ht="11.45" customHeight="1" x14ac:dyDescent="0.25">
      <c r="A121" s="42" t="s">
        <v>27</v>
      </c>
      <c r="B121" s="44">
        <f t="shared" ref="B121:C121" si="160">IF(B19=0,0,B19/B$18)</f>
        <v>0</v>
      </c>
      <c r="C121" s="44">
        <f t="shared" si="160"/>
        <v>0</v>
      </c>
      <c r="D121" s="44">
        <f t="shared" ref="D121:V121" si="161">IF(D19=0,0,D19/D$18)</f>
        <v>0</v>
      </c>
      <c r="E121" s="44">
        <f t="shared" si="161"/>
        <v>0</v>
      </c>
      <c r="F121" s="44">
        <f t="shared" si="161"/>
        <v>0</v>
      </c>
      <c r="G121" s="44">
        <f t="shared" si="161"/>
        <v>0</v>
      </c>
      <c r="H121" s="44">
        <f t="shared" si="161"/>
        <v>0</v>
      </c>
      <c r="I121" s="44">
        <f t="shared" si="161"/>
        <v>0</v>
      </c>
      <c r="J121" s="44">
        <f t="shared" si="161"/>
        <v>0</v>
      </c>
      <c r="K121" s="44">
        <f t="shared" si="161"/>
        <v>0</v>
      </c>
      <c r="L121" s="44">
        <f t="shared" si="161"/>
        <v>0</v>
      </c>
      <c r="M121" s="44">
        <f t="shared" si="161"/>
        <v>0</v>
      </c>
      <c r="N121" s="44">
        <f t="shared" si="161"/>
        <v>0</v>
      </c>
      <c r="O121" s="44">
        <f t="shared" si="161"/>
        <v>0</v>
      </c>
      <c r="P121" s="44">
        <f t="shared" si="161"/>
        <v>0</v>
      </c>
      <c r="Q121" s="44">
        <f t="shared" si="161"/>
        <v>0</v>
      </c>
      <c r="R121" s="44">
        <f t="shared" si="161"/>
        <v>0</v>
      </c>
      <c r="S121" s="44">
        <f t="shared" si="161"/>
        <v>0</v>
      </c>
      <c r="T121" s="44">
        <f t="shared" si="161"/>
        <v>0</v>
      </c>
      <c r="U121" s="44">
        <f t="shared" si="161"/>
        <v>0</v>
      </c>
      <c r="V121" s="44">
        <f t="shared" si="161"/>
        <v>0</v>
      </c>
      <c r="W121" s="44">
        <f t="shared" ref="W121:Y121" si="162">IF(W19=0,0,W19/W$18)</f>
        <v>0</v>
      </c>
      <c r="X121" s="44">
        <f t="shared" si="162"/>
        <v>0</v>
      </c>
      <c r="Y121" s="44">
        <f t="shared" si="162"/>
        <v>0</v>
      </c>
      <c r="DA121" s="200"/>
    </row>
    <row r="122" spans="1:105" ht="11.45" customHeight="1" x14ac:dyDescent="0.25">
      <c r="A122" s="42" t="s">
        <v>181</v>
      </c>
      <c r="B122" s="44">
        <f t="shared" ref="B122:C122" si="163">IF(B20=0,0,B20/B$18)</f>
        <v>3.5990811923759879E-2</v>
      </c>
      <c r="C122" s="44">
        <f t="shared" si="163"/>
        <v>4.8007785999070872E-2</v>
      </c>
      <c r="D122" s="44">
        <f t="shared" ref="D122:V122" si="164">IF(D20=0,0,D20/D$18)</f>
        <v>3.6480894595096992E-2</v>
      </c>
      <c r="E122" s="44">
        <f t="shared" si="164"/>
        <v>3.5403984999040475E-2</v>
      </c>
      <c r="F122" s="44">
        <f t="shared" si="164"/>
        <v>3.6135142042646499E-2</v>
      </c>
      <c r="G122" s="44">
        <f t="shared" si="164"/>
        <v>3.3331062109039827E-2</v>
      </c>
      <c r="H122" s="44">
        <f t="shared" si="164"/>
        <v>3.2809271612433973E-2</v>
      </c>
      <c r="I122" s="44">
        <f t="shared" si="164"/>
        <v>3.423667759208604E-2</v>
      </c>
      <c r="J122" s="44">
        <f t="shared" si="164"/>
        <v>4.0850087684012534E-2</v>
      </c>
      <c r="K122" s="44">
        <f t="shared" si="164"/>
        <v>5.1507992101153248E-2</v>
      </c>
      <c r="L122" s="44">
        <f t="shared" si="164"/>
        <v>4.9851925608512544E-2</v>
      </c>
      <c r="M122" s="44">
        <f t="shared" si="164"/>
        <v>4.3771426902231514E-2</v>
      </c>
      <c r="N122" s="44">
        <f t="shared" si="164"/>
        <v>3.8318766329733897E-2</v>
      </c>
      <c r="O122" s="44">
        <f t="shared" si="164"/>
        <v>3.9710619223306536E-2</v>
      </c>
      <c r="P122" s="44">
        <f t="shared" si="164"/>
        <v>4.333012649082596E-2</v>
      </c>
      <c r="Q122" s="44">
        <f t="shared" si="164"/>
        <v>4.3649813660733089E-2</v>
      </c>
      <c r="R122" s="44">
        <f t="shared" si="164"/>
        <v>5.1159332179537262E-2</v>
      </c>
      <c r="S122" s="44">
        <f t="shared" si="164"/>
        <v>4.3300402369798603E-2</v>
      </c>
      <c r="T122" s="44">
        <f t="shared" si="164"/>
        <v>3.5776945242550116E-2</v>
      </c>
      <c r="U122" s="44">
        <f t="shared" si="164"/>
        <v>3.8533673479871258E-2</v>
      </c>
      <c r="V122" s="44">
        <f t="shared" si="164"/>
        <v>2.7570036977815644E-2</v>
      </c>
      <c r="W122" s="44">
        <f t="shared" ref="W122:Y122" si="165">IF(W20=0,0,W20/W$18)</f>
        <v>2.9666133519461086E-2</v>
      </c>
      <c r="X122" s="44">
        <f t="shared" si="165"/>
        <v>3.1136485325986681E-2</v>
      </c>
      <c r="Y122" s="44">
        <f t="shared" si="165"/>
        <v>3.0833536970657716E-2</v>
      </c>
      <c r="DA122" s="200"/>
    </row>
    <row r="123" spans="1:105" ht="11.45" customHeight="1" x14ac:dyDescent="0.25">
      <c r="A123" s="38" t="s">
        <v>182</v>
      </c>
      <c r="B123" s="45">
        <f t="shared" ref="B123:C123" si="166">IF(B21=0,0,B21/B$18)</f>
        <v>0.96400918807624014</v>
      </c>
      <c r="C123" s="45">
        <f t="shared" si="166"/>
        <v>0.95199221400092915</v>
      </c>
      <c r="D123" s="45">
        <f t="shared" ref="D123:V123" si="167">IF(D21=0,0,D21/D$18)</f>
        <v>0.96351910540490293</v>
      </c>
      <c r="E123" s="45">
        <f t="shared" si="167"/>
        <v>0.96459601500095948</v>
      </c>
      <c r="F123" s="45">
        <f t="shared" si="167"/>
        <v>0.96386485795735355</v>
      </c>
      <c r="G123" s="45">
        <f t="shared" si="167"/>
        <v>0.9666689378909602</v>
      </c>
      <c r="H123" s="45">
        <f t="shared" si="167"/>
        <v>0.96719072838756603</v>
      </c>
      <c r="I123" s="45">
        <f t="shared" si="167"/>
        <v>0.96576332240791407</v>
      </c>
      <c r="J123" s="45">
        <f t="shared" si="167"/>
        <v>0.95914991231598745</v>
      </c>
      <c r="K123" s="45">
        <f t="shared" si="167"/>
        <v>0.9484920078988468</v>
      </c>
      <c r="L123" s="45">
        <f t="shared" si="167"/>
        <v>0.95014807439148752</v>
      </c>
      <c r="M123" s="45">
        <f t="shared" si="167"/>
        <v>0.95622857309776854</v>
      </c>
      <c r="N123" s="45">
        <f t="shared" si="167"/>
        <v>0.96168123367026614</v>
      </c>
      <c r="O123" s="45">
        <f t="shared" si="167"/>
        <v>0.96028938077669346</v>
      </c>
      <c r="P123" s="45">
        <f t="shared" si="167"/>
        <v>0.95666987350917398</v>
      </c>
      <c r="Q123" s="45">
        <f t="shared" si="167"/>
        <v>0.95635018633926683</v>
      </c>
      <c r="R123" s="45">
        <f t="shared" si="167"/>
        <v>0.94884066782046272</v>
      </c>
      <c r="S123" s="45">
        <f t="shared" si="167"/>
        <v>0.95669959763020151</v>
      </c>
      <c r="T123" s="45">
        <f t="shared" si="167"/>
        <v>0.96422305475744985</v>
      </c>
      <c r="U123" s="45">
        <f t="shared" si="167"/>
        <v>0.96146632652012876</v>
      </c>
      <c r="V123" s="45">
        <f t="shared" si="167"/>
        <v>0.97242996302218443</v>
      </c>
      <c r="W123" s="45">
        <f t="shared" ref="W123:Y123" si="168">IF(W21=0,0,W21/W$18)</f>
        <v>0.97033386648053888</v>
      </c>
      <c r="X123" s="45">
        <f t="shared" si="168"/>
        <v>0.96886351467401333</v>
      </c>
      <c r="Y123" s="45">
        <f t="shared" si="168"/>
        <v>0.96916646302934228</v>
      </c>
      <c r="DA123" s="201"/>
    </row>
    <row r="125" spans="1:105" x14ac:dyDescent="0.25">
      <c r="A125" s="18" t="s">
        <v>183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A7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276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32</v>
      </c>
      <c r="B3" s="79">
        <f t="shared" ref="B3:C3" si="0">SUM(B4:B5)</f>
        <v>3301.901203783319</v>
      </c>
      <c r="C3" s="79">
        <f t="shared" si="0"/>
        <v>3214.6149613069638</v>
      </c>
      <c r="D3" s="79">
        <f t="shared" ref="D3" si="1">SUM(D4:D5)</f>
        <v>3355.9401547721413</v>
      </c>
      <c r="E3" s="79">
        <f t="shared" ref="E3" si="2">SUM(E4:E5)</f>
        <v>3306.0332760103183</v>
      </c>
      <c r="F3" s="79">
        <f t="shared" ref="F3" si="3">SUM(F4:F5)</f>
        <v>3541.8815993121225</v>
      </c>
      <c r="G3" s="79">
        <f t="shared" ref="G3" si="4">SUM(G4:G5)</f>
        <v>3646.8185726569204</v>
      </c>
      <c r="H3" s="79">
        <f t="shared" ref="H3" si="5">SUM(H4:H5)</f>
        <v>3696.6895958727428</v>
      </c>
      <c r="I3" s="79">
        <f t="shared" ref="I3" si="6">SUM(I4:I5)</f>
        <v>3719.5471195184859</v>
      </c>
      <c r="J3" s="79">
        <f t="shared" ref="J3" si="7">SUM(J4:J5)</f>
        <v>3770.4571797076514</v>
      </c>
      <c r="K3" s="79">
        <f t="shared" ref="K3" si="8">SUM(K4:K5)</f>
        <v>3494.0885640584693</v>
      </c>
      <c r="L3" s="79">
        <f t="shared" ref="L3" si="9">SUM(L4:L5)</f>
        <v>3409.9312123817708</v>
      </c>
      <c r="M3" s="79">
        <f t="shared" ref="M3" si="10">SUM(M4:M5)</f>
        <v>3549.1545141874449</v>
      </c>
      <c r="N3" s="79">
        <f t="shared" ref="N3" si="11">SUM(N4:N5)</f>
        <v>3410.9701633705931</v>
      </c>
      <c r="O3" s="79">
        <f t="shared" ref="O3" si="12">SUM(O4:O5)</f>
        <v>3484.7377472055032</v>
      </c>
      <c r="P3" s="79">
        <f t="shared" ref="P3" si="13">SUM(P4:P5)</f>
        <v>3616.6881341358549</v>
      </c>
      <c r="Q3" s="79">
        <f t="shared" ref="Q3" si="14">SUM(Q4:Q5)</f>
        <v>3801.3883920894232</v>
      </c>
      <c r="R3" s="79">
        <f t="shared" ref="R3" si="15">SUM(R4:R5)</f>
        <v>3900.2071367153894</v>
      </c>
      <c r="S3" s="79">
        <f t="shared" ref="S3" si="16">SUM(S4:S5)</f>
        <v>4013.356233877902</v>
      </c>
      <c r="T3" s="79">
        <f t="shared" ref="T3" si="17">SUM(T4:T5)</f>
        <v>4061.4727429062764</v>
      </c>
      <c r="U3" s="79">
        <f t="shared" ref="U3" si="18">SUM(U4:U5)</f>
        <v>3971.780309544281</v>
      </c>
      <c r="V3" s="79">
        <f t="shared" ref="V3:W3" si="19">SUM(V4:V5)</f>
        <v>2215.2357695614796</v>
      </c>
      <c r="W3" s="79">
        <f t="shared" si="19"/>
        <v>2436.0541702493551</v>
      </c>
      <c r="X3" s="79">
        <f t="shared" ref="X3:Y3" si="20">SUM(X4:X5)</f>
        <v>3188.068701633706</v>
      </c>
      <c r="Y3" s="79">
        <f t="shared" si="20"/>
        <v>3399.5711951848652</v>
      </c>
      <c r="DA3" s="172" t="s">
        <v>277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278</v>
      </c>
    </row>
    <row r="5" spans="1:105" ht="11.45" customHeight="1" x14ac:dyDescent="0.25">
      <c r="A5" s="95" t="s">
        <v>116</v>
      </c>
      <c r="B5" s="96">
        <f t="shared" ref="B5:C5" si="24">SUM(B8:B9,B12:B13)</f>
        <v>3301.901203783319</v>
      </c>
      <c r="C5" s="96">
        <f t="shared" si="24"/>
        <v>3214.6149613069638</v>
      </c>
      <c r="D5" s="96">
        <f t="shared" ref="D5:V5" si="25">SUM(D8:D9,D12:D13)</f>
        <v>3355.9401547721413</v>
      </c>
      <c r="E5" s="96">
        <f t="shared" si="25"/>
        <v>3306.0332760103183</v>
      </c>
      <c r="F5" s="96">
        <f t="shared" si="25"/>
        <v>3541.8815993121225</v>
      </c>
      <c r="G5" s="96">
        <f t="shared" si="25"/>
        <v>3646.8185726569204</v>
      </c>
      <c r="H5" s="96">
        <f t="shared" si="25"/>
        <v>3696.6895958727428</v>
      </c>
      <c r="I5" s="96">
        <f t="shared" si="25"/>
        <v>3719.5471195184859</v>
      </c>
      <c r="J5" s="96">
        <f t="shared" si="25"/>
        <v>3770.4571797076514</v>
      </c>
      <c r="K5" s="96">
        <f t="shared" si="25"/>
        <v>3494.0885640584693</v>
      </c>
      <c r="L5" s="96">
        <f t="shared" si="25"/>
        <v>3409.9312123817708</v>
      </c>
      <c r="M5" s="96">
        <f t="shared" si="25"/>
        <v>3549.1545141874449</v>
      </c>
      <c r="N5" s="96">
        <f t="shared" si="25"/>
        <v>3410.9701633705931</v>
      </c>
      <c r="O5" s="96">
        <f t="shared" si="25"/>
        <v>3484.7377472055032</v>
      </c>
      <c r="P5" s="96">
        <f t="shared" si="25"/>
        <v>3616.6881341358549</v>
      </c>
      <c r="Q5" s="96">
        <f t="shared" si="25"/>
        <v>3801.3883920894232</v>
      </c>
      <c r="R5" s="96">
        <f t="shared" si="25"/>
        <v>3900.2071367153894</v>
      </c>
      <c r="S5" s="96">
        <f t="shared" si="25"/>
        <v>4013.356233877902</v>
      </c>
      <c r="T5" s="96">
        <f t="shared" si="25"/>
        <v>4061.4727429062764</v>
      </c>
      <c r="U5" s="96">
        <f t="shared" si="25"/>
        <v>3971.780309544281</v>
      </c>
      <c r="V5" s="96">
        <f t="shared" si="25"/>
        <v>2215.2357695614796</v>
      </c>
      <c r="W5" s="96">
        <f t="shared" ref="W5:Y5" si="26">SUM(W8:W9,W12:W13)</f>
        <v>2436.0541702493551</v>
      </c>
      <c r="X5" s="96">
        <f t="shared" si="26"/>
        <v>3188.068701633706</v>
      </c>
      <c r="Y5" s="96">
        <f t="shared" si="26"/>
        <v>3399.5711951848652</v>
      </c>
      <c r="DA5" s="171" t="s">
        <v>279</v>
      </c>
    </row>
    <row r="6" spans="1:105" ht="11.45" customHeight="1" x14ac:dyDescent="0.25">
      <c r="A6" s="10" t="s">
        <v>33</v>
      </c>
      <c r="B6" s="21">
        <f t="shared" ref="B6:C6" si="27">SUM(B7:B9)</f>
        <v>2753.7264687507377</v>
      </c>
      <c r="C6" s="21">
        <f t="shared" si="27"/>
        <v>2677.7176273996852</v>
      </c>
      <c r="D6" s="21">
        <f t="shared" ref="D6:V6" si="28">SUM(D7:D9)</f>
        <v>2781.1200195518436</v>
      </c>
      <c r="E6" s="21">
        <f t="shared" si="28"/>
        <v>2679.1211750612711</v>
      </c>
      <c r="F6" s="21">
        <f t="shared" si="28"/>
        <v>2886.1702769832887</v>
      </c>
      <c r="G6" s="21">
        <f t="shared" si="28"/>
        <v>2936.8248347364656</v>
      </c>
      <c r="H6" s="21">
        <f t="shared" si="28"/>
        <v>2909.1531641281672</v>
      </c>
      <c r="I6" s="21">
        <f t="shared" si="28"/>
        <v>2939.5758393475035</v>
      </c>
      <c r="J6" s="21">
        <f t="shared" si="28"/>
        <v>2970.1528585925571</v>
      </c>
      <c r="K6" s="21">
        <f t="shared" si="28"/>
        <v>2856.7003097640504</v>
      </c>
      <c r="L6" s="21">
        <f t="shared" si="28"/>
        <v>2715.1802568816843</v>
      </c>
      <c r="M6" s="21">
        <f t="shared" si="28"/>
        <v>2900.7871899270294</v>
      </c>
      <c r="N6" s="21">
        <f t="shared" si="28"/>
        <v>2878.6392098609331</v>
      </c>
      <c r="O6" s="21">
        <f t="shared" si="28"/>
        <v>2947.2535127746187</v>
      </c>
      <c r="P6" s="21">
        <f t="shared" si="28"/>
        <v>3097.6949250928669</v>
      </c>
      <c r="Q6" s="21">
        <f t="shared" si="28"/>
        <v>3266.5432619416838</v>
      </c>
      <c r="R6" s="21">
        <f t="shared" si="28"/>
        <v>3410.321363148907</v>
      </c>
      <c r="S6" s="21">
        <f t="shared" si="28"/>
        <v>3479.366460474967</v>
      </c>
      <c r="T6" s="21">
        <f t="shared" si="28"/>
        <v>3536.7318335489217</v>
      </c>
      <c r="U6" s="21">
        <f t="shared" si="28"/>
        <v>3518.9086002286658</v>
      </c>
      <c r="V6" s="21">
        <f t="shared" si="28"/>
        <v>1571.1191929376175</v>
      </c>
      <c r="W6" s="21">
        <f t="shared" ref="W6:Y6" si="29">SUM(W7:W9)</f>
        <v>1777.8822180462487</v>
      </c>
      <c r="X6" s="21">
        <f t="shared" si="29"/>
        <v>2596.5838281206984</v>
      </c>
      <c r="Y6" s="21">
        <f t="shared" si="29"/>
        <v>2883.3122249041289</v>
      </c>
      <c r="DA6" s="189" t="s">
        <v>280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281</v>
      </c>
    </row>
    <row r="8" spans="1:105" ht="11.45" customHeight="1" x14ac:dyDescent="0.25">
      <c r="A8" s="83" t="s">
        <v>181</v>
      </c>
      <c r="B8" s="96">
        <v>626.94093043702196</v>
      </c>
      <c r="C8" s="96">
        <v>609.62995735453615</v>
      </c>
      <c r="D8" s="96">
        <v>629.46392233075778</v>
      </c>
      <c r="E8" s="96">
        <v>616.67121678777437</v>
      </c>
      <c r="F8" s="96">
        <v>627.42172023534874</v>
      </c>
      <c r="G8" s="96">
        <v>637.29924012892945</v>
      </c>
      <c r="H8" s="96">
        <v>649.21404109595755</v>
      </c>
      <c r="I8" s="96">
        <v>670.59751831127255</v>
      </c>
      <c r="J8" s="96">
        <v>654.83549366078739</v>
      </c>
      <c r="K8" s="96">
        <v>604.12981025146689</v>
      </c>
      <c r="L8" s="96">
        <v>568.18005333075041</v>
      </c>
      <c r="M8" s="96">
        <v>617.23782008983801</v>
      </c>
      <c r="N8" s="96">
        <v>604.35432678264431</v>
      </c>
      <c r="O8" s="96">
        <v>619.15844907127621</v>
      </c>
      <c r="P8" s="96">
        <v>658.28850366771348</v>
      </c>
      <c r="Q8" s="96">
        <v>702.09597343636915</v>
      </c>
      <c r="R8" s="96">
        <v>771.66733154355563</v>
      </c>
      <c r="S8" s="96">
        <v>807.25126987177237</v>
      </c>
      <c r="T8" s="96">
        <v>808.03606026978503</v>
      </c>
      <c r="U8" s="96">
        <v>777.16987061545706</v>
      </c>
      <c r="V8" s="96">
        <v>271.43462116371933</v>
      </c>
      <c r="W8" s="96">
        <v>343.33625932904005</v>
      </c>
      <c r="X8" s="96">
        <v>600.07767372204228</v>
      </c>
      <c r="Y8" s="96">
        <v>652.32387410479919</v>
      </c>
      <c r="DA8" s="171" t="s">
        <v>282</v>
      </c>
    </row>
    <row r="9" spans="1:105" ht="11.45" customHeight="1" x14ac:dyDescent="0.25">
      <c r="A9" s="83" t="s">
        <v>182</v>
      </c>
      <c r="B9" s="96">
        <v>2126.7855383137157</v>
      </c>
      <c r="C9" s="96">
        <v>2068.087670045149</v>
      </c>
      <c r="D9" s="96">
        <v>2151.6560972210859</v>
      </c>
      <c r="E9" s="96">
        <v>2062.4499582734966</v>
      </c>
      <c r="F9" s="96">
        <v>2258.7485567479398</v>
      </c>
      <c r="G9" s="96">
        <v>2299.5255946075363</v>
      </c>
      <c r="H9" s="96">
        <v>2259.9391230322094</v>
      </c>
      <c r="I9" s="96">
        <v>2268.9783210362311</v>
      </c>
      <c r="J9" s="96">
        <v>2315.3173649317696</v>
      </c>
      <c r="K9" s="96">
        <v>2252.5704995125834</v>
      </c>
      <c r="L9" s="96">
        <v>2147.0002035509337</v>
      </c>
      <c r="M9" s="96">
        <v>2283.5493698371915</v>
      </c>
      <c r="N9" s="96">
        <v>2274.2848830782887</v>
      </c>
      <c r="O9" s="96">
        <v>2328.0950637033425</v>
      </c>
      <c r="P9" s="96">
        <v>2439.4064214251534</v>
      </c>
      <c r="Q9" s="96">
        <v>2564.4472885053146</v>
      </c>
      <c r="R9" s="96">
        <v>2638.6540316053515</v>
      </c>
      <c r="S9" s="96">
        <v>2672.1151906031946</v>
      </c>
      <c r="T9" s="96">
        <v>2728.6957732791366</v>
      </c>
      <c r="U9" s="96">
        <v>2741.7387296132088</v>
      </c>
      <c r="V9" s="96">
        <v>1299.6845717738981</v>
      </c>
      <c r="W9" s="96">
        <v>1434.5459587172086</v>
      </c>
      <c r="X9" s="96">
        <v>1996.506154398656</v>
      </c>
      <c r="Y9" s="96">
        <v>2230.98835079933</v>
      </c>
      <c r="DA9" s="171" t="s">
        <v>283</v>
      </c>
    </row>
    <row r="10" spans="1:105" ht="11.45" customHeight="1" x14ac:dyDescent="0.25">
      <c r="A10" s="12" t="s">
        <v>34</v>
      </c>
      <c r="B10" s="22">
        <f t="shared" ref="B10:C10" si="30">SUM(B11:B13)</f>
        <v>548.17473503258145</v>
      </c>
      <c r="C10" s="22">
        <f t="shared" si="30"/>
        <v>536.89733390727872</v>
      </c>
      <c r="D10" s="22">
        <f t="shared" ref="D10:V10" si="31">SUM(D11:D13)</f>
        <v>574.82013522029774</v>
      </c>
      <c r="E10" s="22">
        <f t="shared" si="31"/>
        <v>626.91210094904761</v>
      </c>
      <c r="F10" s="22">
        <f t="shared" si="31"/>
        <v>655.71132232883383</v>
      </c>
      <c r="G10" s="22">
        <f t="shared" si="31"/>
        <v>709.99373792045481</v>
      </c>
      <c r="H10" s="22">
        <f t="shared" si="31"/>
        <v>787.53643174457568</v>
      </c>
      <c r="I10" s="22">
        <f t="shared" si="31"/>
        <v>779.97128017098225</v>
      </c>
      <c r="J10" s="22">
        <f t="shared" si="31"/>
        <v>800.30432111509458</v>
      </c>
      <c r="K10" s="22">
        <f t="shared" si="31"/>
        <v>637.38825429441908</v>
      </c>
      <c r="L10" s="22">
        <f t="shared" si="31"/>
        <v>694.75095550008689</v>
      </c>
      <c r="M10" s="22">
        <f t="shared" si="31"/>
        <v>648.36732426041544</v>
      </c>
      <c r="N10" s="22">
        <f t="shared" si="31"/>
        <v>532.33095350965993</v>
      </c>
      <c r="O10" s="22">
        <f t="shared" si="31"/>
        <v>537.48423443088461</v>
      </c>
      <c r="P10" s="22">
        <f t="shared" si="31"/>
        <v>518.99320904298816</v>
      </c>
      <c r="Q10" s="22">
        <f t="shared" si="31"/>
        <v>534.8451301477395</v>
      </c>
      <c r="R10" s="22">
        <f t="shared" si="31"/>
        <v>489.88577356648256</v>
      </c>
      <c r="S10" s="22">
        <f t="shared" si="31"/>
        <v>533.98977340293527</v>
      </c>
      <c r="T10" s="22">
        <f t="shared" si="31"/>
        <v>524.74090935735444</v>
      </c>
      <c r="U10" s="22">
        <f t="shared" si="31"/>
        <v>452.87170931561542</v>
      </c>
      <c r="V10" s="22">
        <f t="shared" si="31"/>
        <v>644.1165766238621</v>
      </c>
      <c r="W10" s="22">
        <f t="shared" ref="W10:Y10" si="32">SUM(W11:W13)</f>
        <v>658.17195220310646</v>
      </c>
      <c r="X10" s="22">
        <f t="shared" si="32"/>
        <v>591.4848735130081</v>
      </c>
      <c r="Y10" s="22">
        <f t="shared" si="32"/>
        <v>516.25897028073643</v>
      </c>
      <c r="DA10" s="193" t="s">
        <v>284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285</v>
      </c>
    </row>
    <row r="12" spans="1:105" ht="11.45" customHeight="1" x14ac:dyDescent="0.25">
      <c r="A12" s="92" t="s">
        <v>181</v>
      </c>
      <c r="B12" s="97">
        <v>11.92628019177511</v>
      </c>
      <c r="C12" s="97">
        <v>15.717892389784136</v>
      </c>
      <c r="D12" s="97">
        <v>12.690823025980881</v>
      </c>
      <c r="E12" s="97">
        <v>13.326530475907177</v>
      </c>
      <c r="F12" s="97">
        <v>14.15243372110386</v>
      </c>
      <c r="G12" s="97">
        <v>14.218534320769482</v>
      </c>
      <c r="H12" s="97">
        <v>14.61710466641907</v>
      </c>
      <c r="I12" s="97">
        <v>15.080277726925374</v>
      </c>
      <c r="J12" s="97">
        <v>19.038203983559924</v>
      </c>
      <c r="K12" s="97">
        <v>18.471743108119995</v>
      </c>
      <c r="L12" s="97">
        <v>19.814473962531533</v>
      </c>
      <c r="M12" s="97">
        <v>15.509895222729261</v>
      </c>
      <c r="N12" s="97">
        <v>11.776754609677408</v>
      </c>
      <c r="O12" s="97">
        <v>12.382915982831566</v>
      </c>
      <c r="P12" s="97">
        <v>12.826984831417732</v>
      </c>
      <c r="Q12" s="97">
        <v>13.315397377263846</v>
      </c>
      <c r="R12" s="97">
        <v>13.818607243044452</v>
      </c>
      <c r="S12" s="97">
        <v>12.608451443086034</v>
      </c>
      <c r="T12" s="97">
        <v>10.092718970659309</v>
      </c>
      <c r="U12" s="97">
        <v>9.1531200753649316</v>
      </c>
      <c r="V12" s="97">
        <v>8.0434189204507032</v>
      </c>
      <c r="W12" s="97">
        <v>9.3199598001155159</v>
      </c>
      <c r="X12" s="97">
        <v>8.7062430499401557</v>
      </c>
      <c r="Y12" s="97">
        <v>7.4736691880001107</v>
      </c>
      <c r="DA12" s="175" t="s">
        <v>286</v>
      </c>
    </row>
    <row r="13" spans="1:105" ht="11.45" customHeight="1" x14ac:dyDescent="0.25">
      <c r="A13" s="85" t="s">
        <v>182</v>
      </c>
      <c r="B13" s="98">
        <v>536.24845484080629</v>
      </c>
      <c r="C13" s="98">
        <v>521.17944151749464</v>
      </c>
      <c r="D13" s="98">
        <v>562.12931219431687</v>
      </c>
      <c r="E13" s="98">
        <v>613.58557047314048</v>
      </c>
      <c r="F13" s="98">
        <v>641.55888860772995</v>
      </c>
      <c r="G13" s="98">
        <v>695.77520359968537</v>
      </c>
      <c r="H13" s="98">
        <v>772.91932707815658</v>
      </c>
      <c r="I13" s="98">
        <v>764.89100244405688</v>
      </c>
      <c r="J13" s="98">
        <v>781.26611713153466</v>
      </c>
      <c r="K13" s="98">
        <v>618.91651118629909</v>
      </c>
      <c r="L13" s="98">
        <v>674.93648153755532</v>
      </c>
      <c r="M13" s="98">
        <v>632.85742903768619</v>
      </c>
      <c r="N13" s="98">
        <v>520.55419889998257</v>
      </c>
      <c r="O13" s="98">
        <v>525.10131844805301</v>
      </c>
      <c r="P13" s="98">
        <v>506.16622421157041</v>
      </c>
      <c r="Q13" s="98">
        <v>521.52973277047568</v>
      </c>
      <c r="R13" s="98">
        <v>476.06716632343813</v>
      </c>
      <c r="S13" s="98">
        <v>521.38132195984929</v>
      </c>
      <c r="T13" s="98">
        <v>514.64819038669509</v>
      </c>
      <c r="U13" s="98">
        <v>443.71858924025048</v>
      </c>
      <c r="V13" s="98">
        <v>636.07315770341143</v>
      </c>
      <c r="W13" s="98">
        <v>648.85199240299096</v>
      </c>
      <c r="X13" s="98">
        <v>582.77863046306788</v>
      </c>
      <c r="Y13" s="98">
        <v>508.78530109273629</v>
      </c>
      <c r="DA13" s="178" t="s">
        <v>287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73</v>
      </c>
      <c r="B17" s="62">
        <f>IF(B3=0,0,B3/TrAvia_act!B13*100)</f>
        <v>758.03348267998092</v>
      </c>
      <c r="C17" s="62">
        <f>IF(C3=0,0,C3/TrAvia_act!C13*100)</f>
        <v>755.89013129817067</v>
      </c>
      <c r="D17" s="62">
        <f>IF(D3=0,0,D3/TrAvia_act!D13*100)</f>
        <v>765.07477970427408</v>
      </c>
      <c r="E17" s="62">
        <f>IF(E3=0,0,E3/TrAvia_act!E13*100)</f>
        <v>745.16718009227304</v>
      </c>
      <c r="F17" s="62">
        <f>IF(F3=0,0,F3/TrAvia_act!F13*100)</f>
        <v>745.35285693043329</v>
      </c>
      <c r="G17" s="62">
        <f>IF(G3=0,0,G3/TrAvia_act!G13*100)</f>
        <v>740.12248032139837</v>
      </c>
      <c r="H17" s="62">
        <f>IF(H3=0,0,H3/TrAvia_act!H13*100)</f>
        <v>719.38811992500348</v>
      </c>
      <c r="I17" s="62">
        <f>IF(I3=0,0,I3/TrAvia_act!I13*100)</f>
        <v>711.27989566484587</v>
      </c>
      <c r="J17" s="62">
        <f>IF(J3=0,0,J3/TrAvia_act!J13*100)</f>
        <v>700.46555600714964</v>
      </c>
      <c r="K17" s="62">
        <f>IF(K3=0,0,K3/TrAvia_act!K13*100)</f>
        <v>734.51392213382121</v>
      </c>
      <c r="L17" s="62">
        <f>IF(L3=0,0,L3/TrAvia_act!L13*100)</f>
        <v>688.60138225120238</v>
      </c>
      <c r="M17" s="62">
        <f>IF(M3=0,0,M3/TrAvia_act!M13*100)</f>
        <v>680.88103277412381</v>
      </c>
      <c r="N17" s="62">
        <f>IF(N3=0,0,N3/TrAvia_act!N13*100)</f>
        <v>665.03998221343079</v>
      </c>
      <c r="O17" s="62">
        <f>IF(O3=0,0,O3/TrAvia_act!O13*100)</f>
        <v>663.91104084820927</v>
      </c>
      <c r="P17" s="62">
        <f>IF(P3=0,0,P3/TrAvia_act!P13*100)</f>
        <v>682.40948680250062</v>
      </c>
      <c r="Q17" s="62">
        <f>IF(Q3=0,0,Q3/TrAvia_act!Q13*100)</f>
        <v>698.45946155476781</v>
      </c>
      <c r="R17" s="62">
        <f>IF(R3=0,0,R3/TrAvia_act!R13*100)</f>
        <v>693.32001729527269</v>
      </c>
      <c r="S17" s="62">
        <f>IF(S3=0,0,S3/TrAvia_act!S13*100)</f>
        <v>678.95347097775721</v>
      </c>
      <c r="T17" s="62">
        <f>IF(T3=0,0,T3/TrAvia_act!T13*100)</f>
        <v>669.06421798635552</v>
      </c>
      <c r="U17" s="62">
        <f>IF(U3=0,0,U3/TrAvia_act!U13*100)</f>
        <v>656.99423675318508</v>
      </c>
      <c r="V17" s="62">
        <f>IF(V3=0,0,V3/TrAvia_act!V13*100)</f>
        <v>685.95925166204995</v>
      </c>
      <c r="W17" s="62">
        <f>IF(W3=0,0,W3/TrAvia_act!W13*100)</f>
        <v>615.61865923291225</v>
      </c>
      <c r="X17" s="62">
        <f>IF(X3=0,0,X3/TrAvia_act!X13*100)</f>
        <v>612.52366429408107</v>
      </c>
      <c r="Y17" s="62">
        <f>IF(Y3=0,0,Y3/TrAvia_act!Y13*100)</f>
        <v>605.16899781260565</v>
      </c>
      <c r="DA17" s="172" t="s">
        <v>288</v>
      </c>
    </row>
    <row r="18" spans="1:105" ht="11.45" customHeight="1" x14ac:dyDescent="0.25">
      <c r="A18" s="10" t="s">
        <v>33</v>
      </c>
      <c r="B18" s="14">
        <f>IF(B6=0,0,B6/TrAvia_act!B14*100)</f>
        <v>744.72094969879765</v>
      </c>
      <c r="C18" s="14">
        <f>IF(C6=0,0,C6/TrAvia_act!C14*100)</f>
        <v>743.08189470916363</v>
      </c>
      <c r="D18" s="14">
        <f>IF(D6=0,0,D6/TrAvia_act!D14*100)</f>
        <v>751.4208579144879</v>
      </c>
      <c r="E18" s="14">
        <f>IF(E6=0,0,E6/TrAvia_act!E14*100)</f>
        <v>729.99311074322225</v>
      </c>
      <c r="F18" s="14">
        <f>IF(F6=0,0,F6/TrAvia_act!F14*100)</f>
        <v>732.05360012376866</v>
      </c>
      <c r="G18" s="14">
        <f>IF(G6=0,0,G6/TrAvia_act!G14*100)</f>
        <v>726.50262464524383</v>
      </c>
      <c r="H18" s="14">
        <f>IF(H6=0,0,H6/TrAvia_act!H14*100)</f>
        <v>699.61112974991363</v>
      </c>
      <c r="I18" s="14">
        <f>IF(I6=0,0,I6/TrAvia_act!I14*100)</f>
        <v>689.98341373166511</v>
      </c>
      <c r="J18" s="14">
        <f>IF(J6=0,0,J6/TrAvia_act!J14*100)</f>
        <v>680.50944812683531</v>
      </c>
      <c r="K18" s="14">
        <f>IF(K6=0,0,K6/TrAvia_act!K14*100)</f>
        <v>715.05085250252375</v>
      </c>
      <c r="L18" s="14">
        <f>IF(L6=0,0,L6/TrAvia_act!L14*100)</f>
        <v>667.94074564880998</v>
      </c>
      <c r="M18" s="14">
        <f>IF(M6=0,0,M6/TrAvia_act!M14*100)</f>
        <v>662.82842999113302</v>
      </c>
      <c r="N18" s="14">
        <f>IF(N6=0,0,N6/TrAvia_act!N14*100)</f>
        <v>651.94075120385264</v>
      </c>
      <c r="O18" s="14">
        <f>IF(O6=0,0,O6/TrAvia_act!O14*100)</f>
        <v>651.99029099784389</v>
      </c>
      <c r="P18" s="14">
        <f>IF(P6=0,0,P6/TrAvia_act!P14*100)</f>
        <v>670.8949027034306</v>
      </c>
      <c r="Q18" s="14">
        <f>IF(Q6=0,0,Q6/TrAvia_act!Q14*100)</f>
        <v>687.21740640568476</v>
      </c>
      <c r="R18" s="14">
        <f>IF(R6=0,0,R6/TrAvia_act!R14*100)</f>
        <v>682.56546244496064</v>
      </c>
      <c r="S18" s="14">
        <f>IF(S6=0,0,S6/TrAvia_act!S14*100)</f>
        <v>667.0817034692767</v>
      </c>
      <c r="T18" s="14">
        <f>IF(T6=0,0,T6/TrAvia_act!T14*100)</f>
        <v>657.57356657132368</v>
      </c>
      <c r="U18" s="14">
        <f>IF(U6=0,0,U6/TrAvia_act!U14*100)</f>
        <v>647.49959566904522</v>
      </c>
      <c r="V18" s="14">
        <f>IF(V6=0,0,V6/TrAvia_act!V14*100)</f>
        <v>658.0923576192522</v>
      </c>
      <c r="W18" s="14">
        <f>IF(W6=0,0,W6/TrAvia_act!W14*100)</f>
        <v>588.03167559731162</v>
      </c>
      <c r="X18" s="14">
        <f>IF(X6=0,0,X6/TrAvia_act!X14*100)</f>
        <v>588.76347456043754</v>
      </c>
      <c r="Y18" s="14">
        <f>IF(Y6=0,0,Y6/TrAvia_act!Y14*100)</f>
        <v>586.79802516353834</v>
      </c>
      <c r="DA18" s="189" t="s">
        <v>289</v>
      </c>
    </row>
    <row r="19" spans="1:105" ht="11.45" customHeight="1" x14ac:dyDescent="0.25">
      <c r="A19" s="83" t="s">
        <v>27</v>
      </c>
      <c r="B19" s="87">
        <f>IF(B7=0,0,B7/TrAvia_act!B15*100)</f>
        <v>0</v>
      </c>
      <c r="C19" s="87">
        <f>IF(C7=0,0,C7/TrAvia_act!C15*100)</f>
        <v>0</v>
      </c>
      <c r="D19" s="87">
        <f>IF(D7=0,0,D7/TrAvia_act!D15*100)</f>
        <v>0</v>
      </c>
      <c r="E19" s="87">
        <f>IF(E7=0,0,E7/TrAvia_act!E15*100)</f>
        <v>0</v>
      </c>
      <c r="F19" s="87">
        <f>IF(F7=0,0,F7/TrAvia_act!F15*100)</f>
        <v>0</v>
      </c>
      <c r="G19" s="87">
        <f>IF(G7=0,0,G7/TrAvia_act!G15*100)</f>
        <v>0</v>
      </c>
      <c r="H19" s="87">
        <f>IF(H7=0,0,H7/TrAvia_act!H15*100)</f>
        <v>0</v>
      </c>
      <c r="I19" s="87">
        <f>IF(I7=0,0,I7/TrAvia_act!I15*100)</f>
        <v>0</v>
      </c>
      <c r="J19" s="87">
        <f>IF(J7=0,0,J7/TrAvia_act!J15*100)</f>
        <v>0</v>
      </c>
      <c r="K19" s="87">
        <f>IF(K7=0,0,K7/TrAvia_act!K15*100)</f>
        <v>0</v>
      </c>
      <c r="L19" s="87">
        <f>IF(L7=0,0,L7/TrAvia_act!L15*100)</f>
        <v>0</v>
      </c>
      <c r="M19" s="87">
        <f>IF(M7=0,0,M7/TrAvia_act!M15*100)</f>
        <v>0</v>
      </c>
      <c r="N19" s="87">
        <f>IF(N7=0,0,N7/TrAvia_act!N15*100)</f>
        <v>0</v>
      </c>
      <c r="O19" s="87">
        <f>IF(O7=0,0,O7/TrAvia_act!O15*100)</f>
        <v>0</v>
      </c>
      <c r="P19" s="87">
        <f>IF(P7=0,0,P7/TrAvia_act!P15*100)</f>
        <v>0</v>
      </c>
      <c r="Q19" s="87">
        <f>IF(Q7=0,0,Q7/TrAvia_act!Q15*100)</f>
        <v>0</v>
      </c>
      <c r="R19" s="87">
        <f>IF(R7=0,0,R7/TrAvia_act!R15*100)</f>
        <v>0</v>
      </c>
      <c r="S19" s="87">
        <f>IF(S7=0,0,S7/TrAvia_act!S15*100)</f>
        <v>0</v>
      </c>
      <c r="T19" s="87">
        <f>IF(T7=0,0,T7/TrAvia_act!T15*100)</f>
        <v>0</v>
      </c>
      <c r="U19" s="87">
        <f>IF(U7=0,0,U7/TrAvia_act!U15*100)</f>
        <v>0</v>
      </c>
      <c r="V19" s="87">
        <f>IF(V7=0,0,V7/TrAvia_act!V15*100)</f>
        <v>0</v>
      </c>
      <c r="W19" s="87">
        <f>IF(W7=0,0,W7/TrAvia_act!W15*100)</f>
        <v>0</v>
      </c>
      <c r="X19" s="87">
        <f>IF(X7=0,0,X7/TrAvia_act!X15*100)</f>
        <v>0</v>
      </c>
      <c r="Y19" s="87">
        <f>IF(Y7=0,0,Y7/TrAvia_act!Y15*100)</f>
        <v>0</v>
      </c>
      <c r="DA19" s="171" t="s">
        <v>290</v>
      </c>
    </row>
    <row r="20" spans="1:105" ht="11.45" customHeight="1" x14ac:dyDescent="0.25">
      <c r="A20" s="83" t="s">
        <v>181</v>
      </c>
      <c r="B20" s="87">
        <f>IF(B8=0,0,B8/TrAvia_act!B16*100)</f>
        <v>430.36360687119128</v>
      </c>
      <c r="C20" s="87">
        <f>IF(C8=0,0,C8/TrAvia_act!C16*100)</f>
        <v>429.41545169080132</v>
      </c>
      <c r="D20" s="87">
        <f>IF(D8=0,0,D8/TrAvia_act!D16*100)</f>
        <v>433.9118034850398</v>
      </c>
      <c r="E20" s="87">
        <f>IF(E8=0,0,E8/TrAvia_act!E16*100)</f>
        <v>423.28448325528092</v>
      </c>
      <c r="F20" s="87">
        <f>IF(F8=0,0,F8/TrAvia_act!F16*100)</f>
        <v>419.17851405379122</v>
      </c>
      <c r="G20" s="87">
        <f>IF(G8=0,0,G8/TrAvia_act!G16*100)</f>
        <v>417.91085657032721</v>
      </c>
      <c r="H20" s="87">
        <f>IF(H8=0,0,H8/TrAvia_act!H16*100)</f>
        <v>392.36296953858499</v>
      </c>
      <c r="I20" s="87">
        <f>IF(I8=0,0,I8/TrAvia_act!I16*100)</f>
        <v>390.00622853630068</v>
      </c>
      <c r="J20" s="87">
        <f>IF(J8=0,0,J8/TrAvia_act!J16*100)</f>
        <v>389.86373936765256</v>
      </c>
      <c r="K20" s="87">
        <f>IF(K8=0,0,K8/TrAvia_act!K16*100)</f>
        <v>397.14732615300562</v>
      </c>
      <c r="L20" s="87">
        <f>IF(L8=0,0,L8/TrAvia_act!L16*100)</f>
        <v>376.69678775669161</v>
      </c>
      <c r="M20" s="87">
        <f>IF(M8=0,0,M8/TrAvia_act!M16*100)</f>
        <v>367.04652888250325</v>
      </c>
      <c r="N20" s="87">
        <f>IF(N8=0,0,N8/TrAvia_act!N16*100)</f>
        <v>360.57272844098708</v>
      </c>
      <c r="O20" s="87">
        <f>IF(O8=0,0,O8/TrAvia_act!O16*100)</f>
        <v>364.27073868568266</v>
      </c>
      <c r="P20" s="87">
        <f>IF(P8=0,0,P8/TrAvia_act!P16*100)</f>
        <v>373.31614773596186</v>
      </c>
      <c r="Q20" s="87">
        <f>IF(Q8=0,0,Q8/TrAvia_act!Q16*100)</f>
        <v>385.09570185637165</v>
      </c>
      <c r="R20" s="87">
        <f>IF(R8=0,0,R8/TrAvia_act!R16*100)</f>
        <v>383.02303724262686</v>
      </c>
      <c r="S20" s="87">
        <f>IF(S8=0,0,S8/TrAvia_act!S16*100)</f>
        <v>375.01174789704493</v>
      </c>
      <c r="T20" s="87">
        <f>IF(T8=0,0,T8/TrAvia_act!T16*100)</f>
        <v>365.73199086468958</v>
      </c>
      <c r="U20" s="87">
        <f>IF(U8=0,0,U8/TrAvia_act!U16*100)</f>
        <v>354.69074103834777</v>
      </c>
      <c r="V20" s="87">
        <f>IF(V8=0,0,V8/TrAvia_act!V16*100)</f>
        <v>291.25801589806139</v>
      </c>
      <c r="W20" s="87">
        <f>IF(W8=0,0,W8/TrAvia_act!W16*100)</f>
        <v>283.82387411069459</v>
      </c>
      <c r="X20" s="87">
        <f>IF(X8=0,0,X8/TrAvia_act!X16*100)</f>
        <v>310.11410160494017</v>
      </c>
      <c r="Y20" s="87">
        <f>IF(Y8=0,0,Y8/TrAvia_act!Y16*100)</f>
        <v>313.63744607246804</v>
      </c>
      <c r="DA20" s="171" t="s">
        <v>291</v>
      </c>
    </row>
    <row r="21" spans="1:105" ht="11.45" customHeight="1" x14ac:dyDescent="0.25">
      <c r="A21" s="83" t="s">
        <v>182</v>
      </c>
      <c r="B21" s="87">
        <f>IF(B9=0,0,B9/TrAvia_act!B17*100)</f>
        <v>949.07996513405044</v>
      </c>
      <c r="C21" s="87">
        <f>IF(C9=0,0,C9/TrAvia_act!C17*100)</f>
        <v>946.98919223160067</v>
      </c>
      <c r="D21" s="87">
        <f>IF(D9=0,0,D9/TrAvia_act!D17*100)</f>
        <v>956.08942566953715</v>
      </c>
      <c r="E21" s="87">
        <f>IF(E9=0,0,E9/TrAvia_act!E17*100)</f>
        <v>931.88936270878264</v>
      </c>
      <c r="F21" s="87">
        <f>IF(F9=0,0,F9/TrAvia_act!F17*100)</f>
        <v>923.52965720031614</v>
      </c>
      <c r="G21" s="87">
        <f>IF(G9=0,0,G9/TrAvia_act!G17*100)</f>
        <v>913.43443713465342</v>
      </c>
      <c r="H21" s="87">
        <f>IF(H9=0,0,H9/TrAvia_act!H17*100)</f>
        <v>902.66968949466445</v>
      </c>
      <c r="I21" s="87">
        <f>IF(I9=0,0,I9/TrAvia_act!I17*100)</f>
        <v>892.98077174989669</v>
      </c>
      <c r="J21" s="87">
        <f>IF(J9=0,0,J9/TrAvia_act!J17*100)</f>
        <v>862.33173850320929</v>
      </c>
      <c r="K21" s="87">
        <f>IF(K9=0,0,K9/TrAvia_act!K17*100)</f>
        <v>910.52392435500224</v>
      </c>
      <c r="L21" s="87">
        <f>IF(L9=0,0,L9/TrAvia_act!L17*100)</f>
        <v>839.76112377811796</v>
      </c>
      <c r="M21" s="87">
        <f>IF(M9=0,0,M9/TrAvia_act!M17*100)</f>
        <v>847.40883013627388</v>
      </c>
      <c r="N21" s="87">
        <f>IF(N9=0,0,N9/TrAvia_act!N17*100)</f>
        <v>830.21381984055222</v>
      </c>
      <c r="O21" s="87">
        <f>IF(O9=0,0,O9/TrAvia_act!O17*100)</f>
        <v>825.36827808244743</v>
      </c>
      <c r="P21" s="87">
        <f>IF(P9=0,0,P9/TrAvia_act!P17*100)</f>
        <v>854.76115924480234</v>
      </c>
      <c r="Q21" s="87">
        <f>IF(Q9=0,0,Q9/TrAvia_act!Q17*100)</f>
        <v>875.20310480650494</v>
      </c>
      <c r="R21" s="87">
        <f>IF(R9=0,0,R9/TrAvia_act!R17*100)</f>
        <v>884.96360331198218</v>
      </c>
      <c r="S21" s="87">
        <f>IF(S9=0,0,S9/TrAvia_act!S17*100)</f>
        <v>872.32803448546235</v>
      </c>
      <c r="T21" s="87">
        <f>IF(T9=0,0,T9/TrAvia_act!T17*100)</f>
        <v>861.03410511397863</v>
      </c>
      <c r="U21" s="87">
        <f>IF(U9=0,0,U9/TrAvia_act!U17*100)</f>
        <v>845.30471909846869</v>
      </c>
      <c r="V21" s="87">
        <f>IF(V9=0,0,V9/TrAvia_act!V17*100)</f>
        <v>892.98068961257081</v>
      </c>
      <c r="W21" s="87">
        <f>IF(W9=0,0,W9/TrAvia_act!W17*100)</f>
        <v>790.92133888293267</v>
      </c>
      <c r="X21" s="87">
        <f>IF(X9=0,0,X9/TrAvia_act!X17*100)</f>
        <v>806.60060954434198</v>
      </c>
      <c r="Y21" s="87">
        <f>IF(Y9=0,0,Y9/TrAvia_act!Y17*100)</f>
        <v>787.28617736406557</v>
      </c>
      <c r="DA21" s="171" t="s">
        <v>292</v>
      </c>
    </row>
    <row r="22" spans="1:105" ht="11.45" customHeight="1" x14ac:dyDescent="0.25">
      <c r="A22" s="12" t="s">
        <v>34</v>
      </c>
      <c r="B22" s="15">
        <f>IF(B10=0,0,B10/TrAvia_act!B18*100)</f>
        <v>832.81938438264478</v>
      </c>
      <c r="C22" s="15">
        <f>IF(C10=0,0,C10/TrAvia_act!C18*100)</f>
        <v>826.98241517405449</v>
      </c>
      <c r="D22" s="15">
        <f>IF(D10=0,0,D10/TrAvia_act!D18*100)</f>
        <v>838.81940855686651</v>
      </c>
      <c r="E22" s="15">
        <f>IF(E10=0,0,E10/TrAvia_act!E18*100)</f>
        <v>817.81527408856255</v>
      </c>
      <c r="F22" s="15">
        <f>IF(F10=0,0,F10/TrAvia_act!F18*100)</f>
        <v>810.13432600777526</v>
      </c>
      <c r="G22" s="15">
        <f>IF(G10=0,0,G10/TrAvia_act!G18*100)</f>
        <v>802.34071347232236</v>
      </c>
      <c r="H22" s="15">
        <f>IF(H10=0,0,H10/TrAvia_act!H18*100)</f>
        <v>803.26845003492781</v>
      </c>
      <c r="I22" s="15">
        <f>IF(I10=0,0,I10/TrAvia_act!I18*100)</f>
        <v>804.9117294089308</v>
      </c>
      <c r="J22" s="15">
        <f>IF(J10=0,0,J10/TrAvia_act!J18*100)</f>
        <v>786.01035060162849</v>
      </c>
      <c r="K22" s="15">
        <f>IF(K10=0,0,K10/TrAvia_act!K18*100)</f>
        <v>836.56958406974093</v>
      </c>
      <c r="L22" s="15">
        <f>IF(L10=0,0,L10/TrAvia_act!L18*100)</f>
        <v>783.29002022232567</v>
      </c>
      <c r="M22" s="15">
        <f>IF(M10=0,0,M10/TrAvia_act!M18*100)</f>
        <v>775.36042187741373</v>
      </c>
      <c r="N22" s="15">
        <f>IF(N10=0,0,N10/TrAvia_act!N18*100)</f>
        <v>746.10702240180615</v>
      </c>
      <c r="O22" s="15">
        <f>IF(O10=0,0,O10/TrAvia_act!O18*100)</f>
        <v>737.88954906512731</v>
      </c>
      <c r="P22" s="15">
        <f>IF(P10=0,0,P10/TrAvia_act!P18*100)</f>
        <v>760.29423703448583</v>
      </c>
      <c r="Q22" s="15">
        <f>IF(Q10=0,0,Q10/TrAvia_act!Q18*100)</f>
        <v>775.98905856600766</v>
      </c>
      <c r="R22" s="15">
        <f>IF(R10=0,0,R10/TrAvia_act!R18*100)</f>
        <v>778.73593765890462</v>
      </c>
      <c r="S22" s="15">
        <f>IF(S10=0,0,S10/TrAvia_act!S18*100)</f>
        <v>768.01108955580071</v>
      </c>
      <c r="T22" s="15">
        <f>IF(T10=0,0,T10/TrAvia_act!T18*100)</f>
        <v>758.38377113736624</v>
      </c>
      <c r="U22" s="15">
        <f>IF(U10=0,0,U10/TrAvia_act!U18*100)</f>
        <v>741.47731171423038</v>
      </c>
      <c r="V22" s="15">
        <f>IF(V10=0,0,V10/TrAvia_act!V18*100)</f>
        <v>764.9709343630833</v>
      </c>
      <c r="W22" s="15">
        <f>IF(W10=0,0,W10/TrAvia_act!W18*100)</f>
        <v>704.9550817444599</v>
      </c>
      <c r="X22" s="15">
        <f>IF(X10=0,0,X10/TrAvia_act!X18*100)</f>
        <v>744.40267299020672</v>
      </c>
      <c r="Y22" s="15">
        <f>IF(Y10=0,0,Y10/TrAvia_act!Y18*100)</f>
        <v>733.40552449591507</v>
      </c>
      <c r="DA22" s="193" t="s">
        <v>293</v>
      </c>
    </row>
    <row r="23" spans="1:105" ht="11.45" customHeight="1" x14ac:dyDescent="0.25">
      <c r="A23" s="92" t="s">
        <v>27</v>
      </c>
      <c r="B23" s="101">
        <f>IF(B11=0,0,B11/TrAvia_act!B19*100)</f>
        <v>0</v>
      </c>
      <c r="C23" s="101">
        <f>IF(C11=0,0,C11/TrAvia_act!C19*100)</f>
        <v>0</v>
      </c>
      <c r="D23" s="101">
        <f>IF(D11=0,0,D11/TrAvia_act!D19*100)</f>
        <v>0</v>
      </c>
      <c r="E23" s="101">
        <f>IF(E11=0,0,E11/TrAvia_act!E19*100)</f>
        <v>0</v>
      </c>
      <c r="F23" s="101">
        <f>IF(F11=0,0,F11/TrAvia_act!F19*100)</f>
        <v>0</v>
      </c>
      <c r="G23" s="101">
        <f>IF(G11=0,0,G11/TrAvia_act!G19*100)</f>
        <v>0</v>
      </c>
      <c r="H23" s="101">
        <f>IF(H11=0,0,H11/TrAvia_act!H19*100)</f>
        <v>0</v>
      </c>
      <c r="I23" s="101">
        <f>IF(I11=0,0,I11/TrAvia_act!I19*100)</f>
        <v>0</v>
      </c>
      <c r="J23" s="101">
        <f>IF(J11=0,0,J11/TrAvia_act!J19*100)</f>
        <v>0</v>
      </c>
      <c r="K23" s="101">
        <f>IF(K11=0,0,K11/TrAvia_act!K19*100)</f>
        <v>0</v>
      </c>
      <c r="L23" s="101">
        <f>IF(L11=0,0,L11/TrAvia_act!L19*100)</f>
        <v>0</v>
      </c>
      <c r="M23" s="101">
        <f>IF(M11=0,0,M11/TrAvia_act!M19*100)</f>
        <v>0</v>
      </c>
      <c r="N23" s="101">
        <f>IF(N11=0,0,N11/TrAvia_act!N19*100)</f>
        <v>0</v>
      </c>
      <c r="O23" s="101">
        <f>IF(O11=0,0,O11/TrAvia_act!O19*100)</f>
        <v>0</v>
      </c>
      <c r="P23" s="101">
        <f>IF(P11=0,0,P11/TrAvia_act!P19*100)</f>
        <v>0</v>
      </c>
      <c r="Q23" s="101">
        <f>IF(Q11=0,0,Q11/TrAvia_act!Q19*100)</f>
        <v>0</v>
      </c>
      <c r="R23" s="101">
        <f>IF(R11=0,0,R11/TrAvia_act!R19*100)</f>
        <v>0</v>
      </c>
      <c r="S23" s="101">
        <f>IF(S11=0,0,S11/TrAvia_act!S19*100)</f>
        <v>0</v>
      </c>
      <c r="T23" s="101">
        <f>IF(T11=0,0,T11/TrAvia_act!T19*100)</f>
        <v>0</v>
      </c>
      <c r="U23" s="101">
        <f>IF(U11=0,0,U11/TrAvia_act!U19*100)</f>
        <v>0</v>
      </c>
      <c r="V23" s="101">
        <f>IF(V11=0,0,V11/TrAvia_act!V19*100)</f>
        <v>0</v>
      </c>
      <c r="W23" s="101">
        <f>IF(W11=0,0,W11/TrAvia_act!W19*100)</f>
        <v>0</v>
      </c>
      <c r="X23" s="101">
        <f>IF(X11=0,0,X11/TrAvia_act!X19*100)</f>
        <v>0</v>
      </c>
      <c r="Y23" s="101">
        <f>IF(Y11=0,0,Y11/TrAvia_act!Y19*100)</f>
        <v>0</v>
      </c>
      <c r="DA23" s="175" t="s">
        <v>294</v>
      </c>
    </row>
    <row r="24" spans="1:105" ht="11.45" customHeight="1" x14ac:dyDescent="0.25">
      <c r="A24" s="92" t="s">
        <v>181</v>
      </c>
      <c r="B24" s="101">
        <f>IF(B12=0,0,B12/TrAvia_act!B20*100)</f>
        <v>503.43705003006596</v>
      </c>
      <c r="C24" s="101">
        <f>IF(C12=0,0,C12/TrAvia_act!C20*100)</f>
        <v>504.29848188379316</v>
      </c>
      <c r="D24" s="101">
        <f>IF(D12=0,0,D12/TrAvia_act!D20*100)</f>
        <v>507.64581038885342</v>
      </c>
      <c r="E24" s="101">
        <f>IF(E12=0,0,E12/TrAvia_act!E20*100)</f>
        <v>491.03620354802092</v>
      </c>
      <c r="F24" s="101">
        <f>IF(F12=0,0,F12/TrAvia_act!F20*100)</f>
        <v>483.88896097411396</v>
      </c>
      <c r="G24" s="101">
        <f>IF(G12=0,0,G12/TrAvia_act!G20*100)</f>
        <v>482.06987159072617</v>
      </c>
      <c r="H24" s="101">
        <f>IF(H12=0,0,H12/TrAvia_act!H20*100)</f>
        <v>454.4172653903849</v>
      </c>
      <c r="I24" s="101">
        <f>IF(I12=0,0,I12/TrAvia_act!I20*100)</f>
        <v>454.55597550410783</v>
      </c>
      <c r="J24" s="101">
        <f>IF(J12=0,0,J12/TrAvia_act!J20*100)</f>
        <v>457.72653096960062</v>
      </c>
      <c r="K24" s="101">
        <f>IF(K12=0,0,K12/TrAvia_act!K20*100)</f>
        <v>470.68599257030212</v>
      </c>
      <c r="L24" s="101">
        <f>IF(L12=0,0,L12/TrAvia_act!L20*100)</f>
        <v>448.11971324796724</v>
      </c>
      <c r="M24" s="101">
        <f>IF(M12=0,0,M12/TrAvia_act!M20*100)</f>
        <v>423.74117713748592</v>
      </c>
      <c r="N24" s="101">
        <f>IF(N12=0,0,N12/TrAvia_act!N20*100)</f>
        <v>430.75816180883322</v>
      </c>
      <c r="O24" s="101">
        <f>IF(O12=0,0,O12/TrAvia_act!O20*100)</f>
        <v>428.09671610432696</v>
      </c>
      <c r="P24" s="101">
        <f>IF(P12=0,0,P12/TrAvia_act!P20*100)</f>
        <v>433.66527454521099</v>
      </c>
      <c r="Q24" s="101">
        <f>IF(Q12=0,0,Q12/TrAvia_act!Q20*100)</f>
        <v>442.58764846700097</v>
      </c>
      <c r="R24" s="101">
        <f>IF(R12=0,0,R12/TrAvia_act!R20*100)</f>
        <v>429.37306414367293</v>
      </c>
      <c r="S24" s="101">
        <f>IF(S12=0,0,S12/TrAvia_act!S20*100)</f>
        <v>418.79777856316514</v>
      </c>
      <c r="T24" s="101">
        <f>IF(T12=0,0,T12/TrAvia_act!T20*100)</f>
        <v>407.70781072020321</v>
      </c>
      <c r="U24" s="101">
        <f>IF(U12=0,0,U12/TrAvia_act!U20*100)</f>
        <v>388.91207019270155</v>
      </c>
      <c r="V24" s="101">
        <f>IF(V12=0,0,V12/TrAvia_act!V20*100)</f>
        <v>346.48448935492451</v>
      </c>
      <c r="W24" s="101">
        <f>IF(W12=0,0,W12/TrAvia_act!W20*100)</f>
        <v>336.49232784278587</v>
      </c>
      <c r="X24" s="101">
        <f>IF(X12=0,0,X12/TrAvia_act!X20*100)</f>
        <v>351.90503477692272</v>
      </c>
      <c r="Y24" s="101">
        <f>IF(Y12=0,0,Y12/TrAvia_act!Y20*100)</f>
        <v>344.33969494412935</v>
      </c>
      <c r="DA24" s="175" t="s">
        <v>295</v>
      </c>
    </row>
    <row r="25" spans="1:105" ht="11.45" customHeight="1" x14ac:dyDescent="0.25">
      <c r="A25" s="85" t="s">
        <v>182</v>
      </c>
      <c r="B25" s="88">
        <f>IF(B13=0,0,B13/TrAvia_act!B21*100)</f>
        <v>845.11671286594458</v>
      </c>
      <c r="C25" s="88">
        <f>IF(C13=0,0,C13/TrAvia_act!C21*100)</f>
        <v>843.25496550262505</v>
      </c>
      <c r="D25" s="88">
        <f>IF(D13=0,0,D13/TrAvia_act!D21*100)</f>
        <v>851.35834946595139</v>
      </c>
      <c r="E25" s="88">
        <f>IF(E13=0,0,E13/TrAvia_act!E21*100)</f>
        <v>829.80918773893802</v>
      </c>
      <c r="F25" s="88">
        <f>IF(F13=0,0,F13/TrAvia_act!F21*100)</f>
        <v>822.36521346976838</v>
      </c>
      <c r="G25" s="88">
        <f>IF(G13=0,0,G13/TrAvia_act!G21*100)</f>
        <v>813.38375717015788</v>
      </c>
      <c r="H25" s="88">
        <f>IF(H13=0,0,H13/TrAvia_act!H21*100)</f>
        <v>815.1022620570958</v>
      </c>
      <c r="I25" s="88">
        <f>IF(I13=0,0,I13/TrAvia_act!I21*100)</f>
        <v>817.33197431848555</v>
      </c>
      <c r="J25" s="88">
        <f>IF(J13=0,0,J13/TrAvia_act!J21*100)</f>
        <v>799.99192182945649</v>
      </c>
      <c r="K25" s="88">
        <f>IF(K13=0,0,K13/TrAvia_act!K21*100)</f>
        <v>856.43894404742082</v>
      </c>
      <c r="L25" s="88">
        <f>IF(L13=0,0,L13/TrAvia_act!L21*100)</f>
        <v>800.87557942073693</v>
      </c>
      <c r="M25" s="88">
        <f>IF(M13=0,0,M13/TrAvia_act!M21*100)</f>
        <v>791.45581632760434</v>
      </c>
      <c r="N25" s="88">
        <f>IF(N13=0,0,N13/TrAvia_act!N21*100)</f>
        <v>758.6722871468528</v>
      </c>
      <c r="O25" s="88">
        <f>IF(O13=0,0,O13/TrAvia_act!O21*100)</f>
        <v>750.70033868134237</v>
      </c>
      <c r="P25" s="88">
        <f>IF(P13=0,0,P13/TrAvia_act!P21*100)</f>
        <v>775.08813266361574</v>
      </c>
      <c r="Q25" s="88">
        <f>IF(Q13=0,0,Q13/TrAvia_act!Q21*100)</f>
        <v>791.20619307690606</v>
      </c>
      <c r="R25" s="88">
        <f>IF(R13=0,0,R13/TrAvia_act!R21*100)</f>
        <v>797.57278972851407</v>
      </c>
      <c r="S25" s="88">
        <f>IF(S13=0,0,S13/TrAvia_act!S21*100)</f>
        <v>783.81654919676475</v>
      </c>
      <c r="T25" s="88">
        <f>IF(T13=0,0,T13/TrAvia_act!T21*100)</f>
        <v>771.39540218250795</v>
      </c>
      <c r="U25" s="88">
        <f>IF(U13=0,0,U13/TrAvia_act!U21*100)</f>
        <v>755.60743101473008</v>
      </c>
      <c r="V25" s="88">
        <f>IF(V13=0,0,V13/TrAvia_act!V21*100)</f>
        <v>776.83573409398821</v>
      </c>
      <c r="W25" s="88">
        <f>IF(W13=0,0,W13/TrAvia_act!W21*100)</f>
        <v>716.22013765129168</v>
      </c>
      <c r="X25" s="88">
        <f>IF(X13=0,0,X13/TrAvia_act!X21*100)</f>
        <v>757.01641761740973</v>
      </c>
      <c r="Y25" s="88">
        <f>IF(Y13=0,0,Y13/TrAvia_act!Y21*100)</f>
        <v>745.78345552956591</v>
      </c>
      <c r="DA25" s="178" t="s">
        <v>296</v>
      </c>
    </row>
    <row r="26" spans="1:105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74</v>
      </c>
      <c r="B27" s="62"/>
      <c r="C27" s="62"/>
      <c r="D27" s="62"/>
      <c r="E27" s="62"/>
      <c r="F27" s="62"/>
      <c r="G27" s="62"/>
      <c r="H27" s="62"/>
      <c r="I27" s="62"/>
      <c r="J27" s="62"/>
      <c r="K27" s="62"/>
      <c r="L27" s="62"/>
      <c r="M27" s="62"/>
      <c r="N27" s="62"/>
      <c r="O27" s="62"/>
      <c r="P27" s="62"/>
      <c r="Q27" s="62"/>
      <c r="R27" s="62"/>
      <c r="S27" s="62"/>
      <c r="T27" s="62"/>
      <c r="U27" s="62"/>
      <c r="V27" s="62"/>
      <c r="W27" s="62"/>
      <c r="X27" s="62"/>
      <c r="Y27" s="62"/>
      <c r="DA27" s="172"/>
    </row>
    <row r="28" spans="1:105" ht="11.45" customHeight="1" x14ac:dyDescent="0.25">
      <c r="A28" s="10" t="s">
        <v>155</v>
      </c>
      <c r="B28" s="14">
        <f>IF(B6=0,0,B6/TrAvia_act!B4*1000)</f>
        <v>44.151024759381322</v>
      </c>
      <c r="C28" s="14">
        <f>IF(C6=0,0,C6/TrAvia_act!C4*1000)</f>
        <v>43.733482017234692</v>
      </c>
      <c r="D28" s="14">
        <f>IF(D6=0,0,D6/TrAvia_act!D4*1000)</f>
        <v>44.316426462110535</v>
      </c>
      <c r="E28" s="14">
        <f>IF(E6=0,0,E6/TrAvia_act!E4*1000)</f>
        <v>43.293972475769458</v>
      </c>
      <c r="F28" s="14">
        <f>IF(F6=0,0,F6/TrAvia_act!F4*1000)</f>
        <v>41.475912984800331</v>
      </c>
      <c r="G28" s="14">
        <f>IF(G6=0,0,G6/TrAvia_act!G4*1000)</f>
        <v>39.981206825228767</v>
      </c>
      <c r="H28" s="14">
        <f>IF(H6=0,0,H6/TrAvia_act!H4*1000)</f>
        <v>39.312228683823818</v>
      </c>
      <c r="I28" s="14">
        <f>IF(I6=0,0,I6/TrAvia_act!I4*1000)</f>
        <v>38.990981178444706</v>
      </c>
      <c r="J28" s="14">
        <f>IF(J6=0,0,J6/TrAvia_act!J4*1000)</f>
        <v>39.208172844041201</v>
      </c>
      <c r="K28" s="14">
        <f>IF(K6=0,0,K6/TrAvia_act!K4*1000)</f>
        <v>41.382343623045713</v>
      </c>
      <c r="L28" s="14">
        <f>IF(L6=0,0,L6/TrAvia_act!L4*1000)</f>
        <v>37.368841259533404</v>
      </c>
      <c r="M28" s="14">
        <f>IF(M6=0,0,M6/TrAvia_act!M4*1000)</f>
        <v>36.543346780874671</v>
      </c>
      <c r="N28" s="14">
        <f>IF(N6=0,0,N6/TrAvia_act!N4*1000)</f>
        <v>35.21892713135815</v>
      </c>
      <c r="O28" s="14">
        <f>IF(O6=0,0,O6/TrAvia_act!O4*1000)</f>
        <v>34.595756937006101</v>
      </c>
      <c r="P28" s="14">
        <f>IF(P6=0,0,P6/TrAvia_act!P4*1000)</f>
        <v>35.131618583531598</v>
      </c>
      <c r="Q28" s="14">
        <f>IF(Q6=0,0,Q6/TrAvia_act!Q4*1000)</f>
        <v>35.477656800323196</v>
      </c>
      <c r="R28" s="14">
        <f>IF(R6=0,0,R6/TrAvia_act!R4*1000)</f>
        <v>34.668043138203956</v>
      </c>
      <c r="S28" s="14">
        <f>IF(S6=0,0,S6/TrAvia_act!S4*1000)</f>
        <v>32.91185849967458</v>
      </c>
      <c r="T28" s="14">
        <f>IF(T6=0,0,T6/TrAvia_act!T4*1000)</f>
        <v>31.83694049514963</v>
      </c>
      <c r="U28" s="14">
        <f>IF(U6=0,0,U6/TrAvia_act!U4*1000)</f>
        <v>31.104289067730843</v>
      </c>
      <c r="V28" s="14">
        <f>IF(V6=0,0,V6/TrAvia_act!V4*1000)</f>
        <v>46.318989827647542</v>
      </c>
      <c r="W28" s="14">
        <f>IF(W6=0,0,W6/TrAvia_act!W4*1000)</f>
        <v>41.836867449948443</v>
      </c>
      <c r="X28" s="14">
        <f>IF(X6=0,0,X6/TrAvia_act!X4*1000)</f>
        <v>30.246961547557948</v>
      </c>
      <c r="Y28" s="14">
        <f>IF(Y6=0,0,Y6/TrAvia_act!Y4*1000)</f>
        <v>28.45051917993333</v>
      </c>
      <c r="DA28" s="189" t="s">
        <v>297</v>
      </c>
    </row>
    <row r="29" spans="1:105" ht="11.45" customHeight="1" x14ac:dyDescent="0.25">
      <c r="A29" s="83" t="s">
        <v>27</v>
      </c>
      <c r="B29" s="87">
        <f>IF(B7=0,0,B7/TrAvia_act!B5*1000)</f>
        <v>0</v>
      </c>
      <c r="C29" s="87">
        <f>IF(C7=0,0,C7/TrAvia_act!C5*1000)</f>
        <v>0</v>
      </c>
      <c r="D29" s="87">
        <f>IF(D7=0,0,D7/TrAvia_act!D5*1000)</f>
        <v>0</v>
      </c>
      <c r="E29" s="87">
        <f>IF(E7=0,0,E7/TrAvia_act!E5*1000)</f>
        <v>0</v>
      </c>
      <c r="F29" s="87">
        <f>IF(F7=0,0,F7/TrAvia_act!F5*1000)</f>
        <v>0</v>
      </c>
      <c r="G29" s="87">
        <f>IF(G7=0,0,G7/TrAvia_act!G5*1000)</f>
        <v>0</v>
      </c>
      <c r="H29" s="87">
        <f>IF(H7=0,0,H7/TrAvia_act!H5*1000)</f>
        <v>0</v>
      </c>
      <c r="I29" s="87">
        <f>IF(I7=0,0,I7/TrAvia_act!I5*1000)</f>
        <v>0</v>
      </c>
      <c r="J29" s="87">
        <f>IF(J7=0,0,J7/TrAvia_act!J5*1000)</f>
        <v>0</v>
      </c>
      <c r="K29" s="87">
        <f>IF(K7=0,0,K7/TrAvia_act!K5*1000)</f>
        <v>0</v>
      </c>
      <c r="L29" s="87">
        <f>IF(L7=0,0,L7/TrAvia_act!L5*1000)</f>
        <v>0</v>
      </c>
      <c r="M29" s="87">
        <f>IF(M7=0,0,M7/TrAvia_act!M5*1000)</f>
        <v>0</v>
      </c>
      <c r="N29" s="87">
        <f>IF(N7=0,0,N7/TrAvia_act!N5*1000)</f>
        <v>0</v>
      </c>
      <c r="O29" s="87">
        <f>IF(O7=0,0,O7/TrAvia_act!O5*1000)</f>
        <v>0</v>
      </c>
      <c r="P29" s="87">
        <f>IF(P7=0,0,P7/TrAvia_act!P5*1000)</f>
        <v>0</v>
      </c>
      <c r="Q29" s="87">
        <f>IF(Q7=0,0,Q7/TrAvia_act!Q5*1000)</f>
        <v>0</v>
      </c>
      <c r="R29" s="87">
        <f>IF(R7=0,0,R7/TrAvia_act!R5*1000)</f>
        <v>0</v>
      </c>
      <c r="S29" s="87">
        <f>IF(S7=0,0,S7/TrAvia_act!S5*1000)</f>
        <v>0</v>
      </c>
      <c r="T29" s="87">
        <f>IF(T7=0,0,T7/TrAvia_act!T5*1000)</f>
        <v>0</v>
      </c>
      <c r="U29" s="87">
        <f>IF(U7=0,0,U7/TrAvia_act!U5*1000)</f>
        <v>0</v>
      </c>
      <c r="V29" s="87">
        <f>IF(V7=0,0,V7/TrAvia_act!V5*1000)</f>
        <v>0</v>
      </c>
      <c r="W29" s="87">
        <f>IF(W7=0,0,W7/TrAvia_act!W5*1000)</f>
        <v>0</v>
      </c>
      <c r="X29" s="87">
        <f>IF(X7=0,0,X7/TrAvia_act!X5*1000)</f>
        <v>0</v>
      </c>
      <c r="Y29" s="87">
        <f>IF(Y7=0,0,Y7/TrAvia_act!Y5*1000)</f>
        <v>0</v>
      </c>
      <c r="DA29" s="171" t="s">
        <v>298</v>
      </c>
    </row>
    <row r="30" spans="1:105" ht="11.45" customHeight="1" x14ac:dyDescent="0.25">
      <c r="A30" s="83" t="s">
        <v>181</v>
      </c>
      <c r="B30" s="87">
        <f>IF(B8=0,0,B8/TrAvia_act!B6*1000)</f>
        <v>39.297521268744141</v>
      </c>
      <c r="C30" s="87">
        <f>IF(C8=0,0,C8/TrAvia_act!C6*1000)</f>
        <v>38.681982963527361</v>
      </c>
      <c r="D30" s="87">
        <f>IF(D8=0,0,D8/TrAvia_act!D6*1000)</f>
        <v>39.08029940027388</v>
      </c>
      <c r="E30" s="87">
        <f>IF(E8=0,0,E8/TrAvia_act!E6*1000)</f>
        <v>38.584914279128817</v>
      </c>
      <c r="F30" s="87">
        <f>IF(F8=0,0,F8/TrAvia_act!F6*1000)</f>
        <v>37.38258506626034</v>
      </c>
      <c r="G30" s="87">
        <f>IF(G8=0,0,G8/TrAvia_act!G6*1000)</f>
        <v>36.330928129555865</v>
      </c>
      <c r="H30" s="87">
        <f>IF(H8=0,0,H8/TrAvia_act!H6*1000)</f>
        <v>35.433989333877825</v>
      </c>
      <c r="I30" s="87">
        <f>IF(I8=0,0,I8/TrAvia_act!I6*1000)</f>
        <v>36.756782425569064</v>
      </c>
      <c r="J30" s="87">
        <f>IF(J8=0,0,J8/TrAvia_act!J6*1000)</f>
        <v>38.009905546763562</v>
      </c>
      <c r="K30" s="87">
        <f>IF(K8=0,0,K8/TrAvia_act!K6*1000)</f>
        <v>38.292505015441677</v>
      </c>
      <c r="L30" s="87">
        <f>IF(L8=0,0,L8/TrAvia_act!L6*1000)</f>
        <v>34.423598610590901</v>
      </c>
      <c r="M30" s="87">
        <f>IF(M8=0,0,M8/TrAvia_act!M6*1000)</f>
        <v>32.492431192705347</v>
      </c>
      <c r="N30" s="87">
        <f>IF(N8=0,0,N8/TrAvia_act!N6*1000)</f>
        <v>31.068395189876419</v>
      </c>
      <c r="O30" s="87">
        <f>IF(O8=0,0,O8/TrAvia_act!O6*1000)</f>
        <v>30.393017282160525</v>
      </c>
      <c r="P30" s="87">
        <f>IF(P8=0,0,P8/TrAvia_act!P6*1000)</f>
        <v>30.761739033839863</v>
      </c>
      <c r="Q30" s="87">
        <f>IF(Q8=0,0,Q8/TrAvia_act!Q6*1000)</f>
        <v>31.128111533268626</v>
      </c>
      <c r="R30" s="87">
        <f>IF(R8=0,0,R8/TrAvia_act!R6*1000)</f>
        <v>29.768839340096161</v>
      </c>
      <c r="S30" s="87">
        <f>IF(S8=0,0,S8/TrAvia_act!S6*1000)</f>
        <v>28.034002288836088</v>
      </c>
      <c r="T30" s="87">
        <f>IF(T8=0,0,T8/TrAvia_act!T6*1000)</f>
        <v>26.946935840434165</v>
      </c>
      <c r="U30" s="87">
        <f>IF(U8=0,0,U8/TrAvia_act!U6*1000)</f>
        <v>25.795022981836492</v>
      </c>
      <c r="V30" s="87">
        <f>IF(V8=0,0,V8/TrAvia_act!V6*1000)</f>
        <v>28.965526268787791</v>
      </c>
      <c r="W30" s="87">
        <f>IF(W8=0,0,W8/TrAvia_act!W6*1000)</f>
        <v>26.148089426533318</v>
      </c>
      <c r="X30" s="87">
        <f>IF(X8=0,0,X8/TrAvia_act!X6*1000)</f>
        <v>24.204293002818428</v>
      </c>
      <c r="Y30" s="87">
        <f>IF(Y8=0,0,Y8/TrAvia_act!Y6*1000)</f>
        <v>23.511118647500417</v>
      </c>
      <c r="DA30" s="171" t="s">
        <v>299</v>
      </c>
    </row>
    <row r="31" spans="1:105" ht="11.45" customHeight="1" x14ac:dyDescent="0.25">
      <c r="A31" s="83" t="s">
        <v>182</v>
      </c>
      <c r="B31" s="87">
        <f>IF(B9=0,0,B9/TrAvia_act!B7*1000)</f>
        <v>45.819195795829508</v>
      </c>
      <c r="C31" s="87">
        <f>IF(C9=0,0,C9/TrAvia_act!C7*1000)</f>
        <v>45.484423349082284</v>
      </c>
      <c r="D31" s="87">
        <f>IF(D9=0,0,D9/TrAvia_act!D7*1000)</f>
        <v>46.124352077793745</v>
      </c>
      <c r="E31" s="87">
        <f>IF(E9=0,0,E9/TrAvia_act!E7*1000)</f>
        <v>44.933650119989849</v>
      </c>
      <c r="F31" s="87">
        <f>IF(F9=0,0,F9/TrAvia_act!F7*1000)</f>
        <v>42.77700880449531</v>
      </c>
      <c r="G31" s="87">
        <f>IF(G9=0,0,G9/TrAvia_act!G7*1000)</f>
        <v>41.126390853862276</v>
      </c>
      <c r="H31" s="87">
        <f>IF(H9=0,0,H9/TrAvia_act!H7*1000)</f>
        <v>40.588395979323565</v>
      </c>
      <c r="I31" s="87">
        <f>IF(I9=0,0,I9/TrAvia_act!I7*1000)</f>
        <v>39.704249446685154</v>
      </c>
      <c r="J31" s="87">
        <f>IF(J9=0,0,J9/TrAvia_act!J7*1000)</f>
        <v>39.560904806427047</v>
      </c>
      <c r="K31" s="87">
        <f>IF(K9=0,0,K9/TrAvia_act!K7*1000)</f>
        <v>42.297700932034317</v>
      </c>
      <c r="L31" s="87">
        <f>IF(L9=0,0,L9/TrAvia_act!L7*1000)</f>
        <v>38.234555894371596</v>
      </c>
      <c r="M31" s="87">
        <f>IF(M9=0,0,M9/TrAvia_act!M7*1000)</f>
        <v>37.817755878458314</v>
      </c>
      <c r="N31" s="87">
        <f>IF(N9=0,0,N9/TrAvia_act!N7*1000)</f>
        <v>36.515227738220098</v>
      </c>
      <c r="O31" s="87">
        <f>IF(O9=0,0,O9/TrAvia_act!O7*1000)</f>
        <v>35.916611881122158</v>
      </c>
      <c r="P31" s="87">
        <f>IF(P9=0,0,P9/TrAvia_act!P7*1000)</f>
        <v>36.532059688094535</v>
      </c>
      <c r="Q31" s="87">
        <f>IF(Q9=0,0,Q9/TrAvia_act!Q7*1000)</f>
        <v>36.888858204113212</v>
      </c>
      <c r="R31" s="87">
        <f>IF(R9=0,0,R9/TrAvia_act!R7*1000)</f>
        <v>36.420965670882339</v>
      </c>
      <c r="S31" s="87">
        <f>IF(S9=0,0,S9/TrAvia_act!S7*1000)</f>
        <v>34.737857253150423</v>
      </c>
      <c r="T31" s="87">
        <f>IF(T9=0,0,T9/TrAvia_act!T7*1000)</f>
        <v>33.644926623235442</v>
      </c>
      <c r="U31" s="87">
        <f>IF(U9=0,0,U9/TrAvia_act!U7*1000)</f>
        <v>33.031441124584077</v>
      </c>
      <c r="V31" s="87">
        <f>IF(V9=0,0,V9/TrAvia_act!V7*1000)</f>
        <v>52.943341320350008</v>
      </c>
      <c r="W31" s="87">
        <f>IF(W9=0,0,W9/TrAvia_act!W7*1000)</f>
        <v>48.852015628661519</v>
      </c>
      <c r="X31" s="87">
        <f>IF(X9=0,0,X9/TrAvia_act!X7*1000)</f>
        <v>32.700712017236626</v>
      </c>
      <c r="Y31" s="87">
        <f>IF(Y9=0,0,Y9/TrAvia_act!Y7*1000)</f>
        <v>30.312561553022267</v>
      </c>
      <c r="DA31" s="171" t="s">
        <v>300</v>
      </c>
    </row>
    <row r="32" spans="1:105" ht="11.45" customHeight="1" x14ac:dyDescent="0.25">
      <c r="A32" s="12" t="s">
        <v>156</v>
      </c>
      <c r="B32" s="15">
        <f>IF(B10=0,0,B10/TrAvia_act!B8*1000)</f>
        <v>120.48402813334334</v>
      </c>
      <c r="C32" s="15">
        <f>IF(C10=0,0,C10/TrAvia_act!C8*1000)</f>
        <v>115.05347417239119</v>
      </c>
      <c r="D32" s="15">
        <f>IF(D10=0,0,D10/TrAvia_act!D8*1000)</f>
        <v>122.68990996794585</v>
      </c>
      <c r="E32" s="15">
        <f>IF(E10=0,0,E10/TrAvia_act!E8*1000)</f>
        <v>131.36500356199056</v>
      </c>
      <c r="F32" s="15">
        <f>IF(F10=0,0,F10/TrAvia_act!F8*1000)</f>
        <v>134.30907925612175</v>
      </c>
      <c r="G32" s="15">
        <f>IF(G10=0,0,G10/TrAvia_act!G8*1000)</f>
        <v>141.11724679740936</v>
      </c>
      <c r="H32" s="15">
        <f>IF(H10=0,0,H10/TrAvia_act!H8*1000)</f>
        <v>146.29297922816224</v>
      </c>
      <c r="I32" s="15">
        <f>IF(I10=0,0,I10/TrAvia_act!I8*1000)</f>
        <v>149.21372970070138</v>
      </c>
      <c r="J32" s="15">
        <f>IF(J10=0,0,J10/TrAvia_act!J8*1000)</f>
        <v>149.35905858045928</v>
      </c>
      <c r="K32" s="15">
        <f>IF(K10=0,0,K10/TrAvia_act!K8*1000)</f>
        <v>142.16192882956224</v>
      </c>
      <c r="L32" s="15">
        <f>IF(L10=0,0,L10/TrAvia_act!L8*1000)</f>
        <v>130.78773136358444</v>
      </c>
      <c r="M32" s="15">
        <f>IF(M10=0,0,M10/TrAvia_act!M8*1000)</f>
        <v>122.14165027916108</v>
      </c>
      <c r="N32" s="15">
        <f>IF(N10=0,0,N10/TrAvia_act!N8*1000)</f>
        <v>108.70319610260509</v>
      </c>
      <c r="O32" s="15">
        <f>IF(O10=0,0,O10/TrAvia_act!O8*1000)</f>
        <v>106.51270452209303</v>
      </c>
      <c r="P32" s="15">
        <f>IF(P10=0,0,P10/TrAvia_act!P8*1000)</f>
        <v>94.276940841478833</v>
      </c>
      <c r="Q32" s="15">
        <f>IF(Q10=0,0,Q10/TrAvia_act!Q8*1000)</f>
        <v>96.086893374016498</v>
      </c>
      <c r="R32" s="15">
        <f>IF(R10=0,0,R10/TrAvia_act!R8*1000)</f>
        <v>89.25332893090237</v>
      </c>
      <c r="S32" s="15">
        <f>IF(S10=0,0,S10/TrAvia_act!S8*1000)</f>
        <v>88.773581231721224</v>
      </c>
      <c r="T32" s="15">
        <f>IF(T10=0,0,T10/TrAvia_act!T8*1000)</f>
        <v>86.782526437372837</v>
      </c>
      <c r="U32" s="15">
        <f>IF(U10=0,0,U10/TrAvia_act!U8*1000)</f>
        <v>80.806948643914524</v>
      </c>
      <c r="V32" s="15">
        <f>IF(V10=0,0,V10/TrAvia_act!V8*1000)</f>
        <v>125.56047514188914</v>
      </c>
      <c r="W32" s="15">
        <f>IF(W10=0,0,W10/TrAvia_act!W8*1000)</f>
        <v>109.96204532818608</v>
      </c>
      <c r="X32" s="15">
        <f>IF(X10=0,0,X10/TrAvia_act!X8*1000)</f>
        <v>105.33194727923316</v>
      </c>
      <c r="Y32" s="15">
        <f>IF(Y10=0,0,Y10/TrAvia_act!Y8*1000)</f>
        <v>101.10067323044485</v>
      </c>
      <c r="DA32" s="193" t="s">
        <v>301</v>
      </c>
    </row>
    <row r="33" spans="1:105" ht="11.45" customHeight="1" x14ac:dyDescent="0.25">
      <c r="A33" s="92" t="s">
        <v>27</v>
      </c>
      <c r="B33" s="101">
        <f>IF(B11=0,0,B11/TrAvia_act!B9*1000)</f>
        <v>0</v>
      </c>
      <c r="C33" s="101">
        <f>IF(C11=0,0,C11/TrAvia_act!C9*1000)</f>
        <v>0</v>
      </c>
      <c r="D33" s="101">
        <f>IF(D11=0,0,D11/TrAvia_act!D9*1000)</f>
        <v>0</v>
      </c>
      <c r="E33" s="101">
        <f>IF(E11=0,0,E11/TrAvia_act!E9*1000)</f>
        <v>0</v>
      </c>
      <c r="F33" s="101">
        <f>IF(F11=0,0,F11/TrAvia_act!F9*1000)</f>
        <v>0</v>
      </c>
      <c r="G33" s="101">
        <f>IF(G11=0,0,G11/TrAvia_act!G9*1000)</f>
        <v>0</v>
      </c>
      <c r="H33" s="101">
        <f>IF(H11=0,0,H11/TrAvia_act!H9*1000)</f>
        <v>0</v>
      </c>
      <c r="I33" s="101">
        <f>IF(I11=0,0,I11/TrAvia_act!I9*1000)</f>
        <v>0</v>
      </c>
      <c r="J33" s="101">
        <f>IF(J11=0,0,J11/TrAvia_act!J9*1000)</f>
        <v>0</v>
      </c>
      <c r="K33" s="101">
        <f>IF(K11=0,0,K11/TrAvia_act!K9*1000)</f>
        <v>0</v>
      </c>
      <c r="L33" s="101">
        <f>IF(L11=0,0,L11/TrAvia_act!L9*1000)</f>
        <v>0</v>
      </c>
      <c r="M33" s="101">
        <f>IF(M11=0,0,M11/TrAvia_act!M9*1000)</f>
        <v>0</v>
      </c>
      <c r="N33" s="101">
        <f>IF(N11=0,0,N11/TrAvia_act!N9*1000)</f>
        <v>0</v>
      </c>
      <c r="O33" s="101">
        <f>IF(O11=0,0,O11/TrAvia_act!O9*1000)</f>
        <v>0</v>
      </c>
      <c r="P33" s="101">
        <f>IF(P11=0,0,P11/TrAvia_act!P9*1000)</f>
        <v>0</v>
      </c>
      <c r="Q33" s="101">
        <f>IF(Q11=0,0,Q11/TrAvia_act!Q9*1000)</f>
        <v>0</v>
      </c>
      <c r="R33" s="101">
        <f>IF(R11=0,0,R11/TrAvia_act!R9*1000)</f>
        <v>0</v>
      </c>
      <c r="S33" s="101">
        <f>IF(S11=0,0,S11/TrAvia_act!S9*1000)</f>
        <v>0</v>
      </c>
      <c r="T33" s="101">
        <f>IF(T11=0,0,T11/TrAvia_act!T9*1000)</f>
        <v>0</v>
      </c>
      <c r="U33" s="101">
        <f>IF(U11=0,0,U11/TrAvia_act!U9*1000)</f>
        <v>0</v>
      </c>
      <c r="V33" s="101">
        <f>IF(V11=0,0,V11/TrAvia_act!V9*1000)</f>
        <v>0</v>
      </c>
      <c r="W33" s="101">
        <f>IF(W11=0,0,W11/TrAvia_act!W9*1000)</f>
        <v>0</v>
      </c>
      <c r="X33" s="101">
        <f>IF(X11=0,0,X11/TrAvia_act!X9*1000)</f>
        <v>0</v>
      </c>
      <c r="Y33" s="101">
        <f>IF(Y11=0,0,Y11/TrAvia_act!Y9*1000)</f>
        <v>0</v>
      </c>
      <c r="DA33" s="175" t="s">
        <v>302</v>
      </c>
    </row>
    <row r="34" spans="1:105" ht="11.45" customHeight="1" x14ac:dyDescent="0.25">
      <c r="A34" s="92" t="s">
        <v>181</v>
      </c>
      <c r="B34" s="101">
        <f>IF(B12=0,0,B12/TrAvia_act!B10*1000)</f>
        <v>194.96991844771486</v>
      </c>
      <c r="C34" s="101">
        <f>IF(C12=0,0,C12/TrAvia_act!C10*1000)</f>
        <v>185.15655523138045</v>
      </c>
      <c r="D34" s="101">
        <f>IF(D12=0,0,D12/TrAvia_act!D10*1000)</f>
        <v>198.90246763718838</v>
      </c>
      <c r="E34" s="101">
        <f>IF(E12=0,0,E12/TrAvia_act!E10*1000)</f>
        <v>190.88858404459066</v>
      </c>
      <c r="F34" s="101">
        <f>IF(F12=0,0,F12/TrAvia_act!F10*1000)</f>
        <v>212.14491389657255</v>
      </c>
      <c r="G34" s="101">
        <f>IF(G12=0,0,G12/TrAvia_act!G10*1000)</f>
        <v>216.09533577120428</v>
      </c>
      <c r="H34" s="101">
        <f>IF(H12=0,0,H12/TrAvia_act!H10*1000)</f>
        <v>235.07497186688079</v>
      </c>
      <c r="I34" s="101">
        <f>IF(I12=0,0,I12/TrAvia_act!I10*1000)</f>
        <v>238.05643418332849</v>
      </c>
      <c r="J34" s="101">
        <f>IF(J12=0,0,J12/TrAvia_act!J10*1000)</f>
        <v>243.78320587757452</v>
      </c>
      <c r="K34" s="101">
        <f>IF(K12=0,0,K12/TrAvia_act!K10*1000)</f>
        <v>240.04476563369542</v>
      </c>
      <c r="L34" s="101">
        <f>IF(L12=0,0,L12/TrAvia_act!L10*1000)</f>
        <v>225.19964839221544</v>
      </c>
      <c r="M34" s="101">
        <f>IF(M12=0,0,M12/TrAvia_act!M10*1000)</f>
        <v>203.20139630648981</v>
      </c>
      <c r="N34" s="101">
        <f>IF(N12=0,0,N12/TrAvia_act!N10*1000)</f>
        <v>189.78025236582616</v>
      </c>
      <c r="O34" s="101">
        <f>IF(O12=0,0,O12/TrAvia_act!O10*1000)</f>
        <v>186.98075142530317</v>
      </c>
      <c r="P34" s="101">
        <f>IF(P12=0,0,P12/TrAvia_act!P10*1000)</f>
        <v>164.15005129108391</v>
      </c>
      <c r="Q34" s="101">
        <f>IF(Q12=0,0,Q12/TrAvia_act!Q10*1000)</f>
        <v>171.82427865737731</v>
      </c>
      <c r="R34" s="101">
        <f>IF(R12=0,0,R12/TrAvia_act!R10*1000)</f>
        <v>153.14258109217076</v>
      </c>
      <c r="S34" s="101">
        <f>IF(S12=0,0,S12/TrAvia_act!S10*1000)</f>
        <v>165.75781905286451</v>
      </c>
      <c r="T34" s="101">
        <f>IF(T12=0,0,T12/TrAvia_act!T10*1000)</f>
        <v>157.80133701502942</v>
      </c>
      <c r="U34" s="101">
        <f>IF(U12=0,0,U12/TrAvia_act!U10*1000)</f>
        <v>143.36176153236366</v>
      </c>
      <c r="V34" s="101">
        <f>IF(V12=0,0,V12/TrAvia_act!V10*1000)</f>
        <v>152.93264834149227</v>
      </c>
      <c r="W34" s="101">
        <f>IF(W12=0,0,W12/TrAvia_act!W10*1000)</f>
        <v>149.02430020601867</v>
      </c>
      <c r="X34" s="101">
        <f>IF(X12=0,0,X12/TrAvia_act!X10*1000)</f>
        <v>156.0861031512799</v>
      </c>
      <c r="Y34" s="101">
        <f>IF(Y12=0,0,Y12/TrAvia_act!Y10*1000)</f>
        <v>154.19990005265734</v>
      </c>
      <c r="DA34" s="175" t="s">
        <v>303</v>
      </c>
    </row>
    <row r="35" spans="1:105" ht="11.45" customHeight="1" x14ac:dyDescent="0.25">
      <c r="A35" s="85" t="s">
        <v>182</v>
      </c>
      <c r="B35" s="88">
        <f>IF(B13=0,0,B13/TrAvia_act!B11*1000)</f>
        <v>119.46894784001383</v>
      </c>
      <c r="C35" s="88">
        <f>IF(C13=0,0,C13/TrAvia_act!C11*1000)</f>
        <v>113.75457949301983</v>
      </c>
      <c r="D35" s="88">
        <f>IF(D13=0,0,D13/TrAvia_act!D11*1000)</f>
        <v>121.6376862862073</v>
      </c>
      <c r="E35" s="88">
        <f>IF(E13=0,0,E13/TrAvia_act!E11*1000)</f>
        <v>130.4813147155497</v>
      </c>
      <c r="F35" s="88">
        <f>IF(F13=0,0,F13/TrAvia_act!F11*1000)</f>
        <v>133.23076317611483</v>
      </c>
      <c r="G35" s="88">
        <f>IF(G13=0,0,G13/TrAvia_act!G11*1000)</f>
        <v>140.12370425675562</v>
      </c>
      <c r="H35" s="88">
        <f>IF(H13=0,0,H13/TrAvia_act!H11*1000)</f>
        <v>145.25550270304444</v>
      </c>
      <c r="I35" s="88">
        <f>IF(I13=0,0,I13/TrAvia_act!I11*1000)</f>
        <v>148.12385482839395</v>
      </c>
      <c r="J35" s="88">
        <f>IF(J13=0,0,J13/TrAvia_act!J11*1000)</f>
        <v>147.96250389663217</v>
      </c>
      <c r="K35" s="88">
        <f>IF(K13=0,0,K13/TrAvia_act!K11*1000)</f>
        <v>140.45262222657823</v>
      </c>
      <c r="L35" s="88">
        <f>IF(L13=0,0,L13/TrAvia_act!L11*1000)</f>
        <v>129.19759929679174</v>
      </c>
      <c r="M35" s="88">
        <f>IF(M13=0,0,M13/TrAvia_act!M11*1000)</f>
        <v>120.95909874883274</v>
      </c>
      <c r="N35" s="88">
        <f>IF(N13=0,0,N13/TrAvia_act!N11*1000)</f>
        <v>107.66262540946133</v>
      </c>
      <c r="O35" s="88">
        <f>IF(O13=0,0,O13/TrAvia_act!O11*1000)</f>
        <v>105.44260906410382</v>
      </c>
      <c r="P35" s="88">
        <f>IF(P13=0,0,P13/TrAvia_act!P11*1000)</f>
        <v>93.270828886674408</v>
      </c>
      <c r="Q35" s="88">
        <f>IF(Q13=0,0,Q13/TrAvia_act!Q11*1000)</f>
        <v>95.017580477660289</v>
      </c>
      <c r="R35" s="88">
        <f>IF(R13=0,0,R13/TrAvia_act!R11*1000)</f>
        <v>88.185443190107762</v>
      </c>
      <c r="S35" s="88">
        <f>IF(S13=0,0,S13/TrAvia_act!S11*1000)</f>
        <v>87.787603143456323</v>
      </c>
      <c r="T35" s="88">
        <f>IF(T13=0,0,T13/TrAvia_act!T11*1000)</f>
        <v>86.023290949387302</v>
      </c>
      <c r="U35" s="88">
        <f>IF(U13=0,0,U13/TrAvia_act!U11*1000)</f>
        <v>80.086096716234763</v>
      </c>
      <c r="V35" s="88">
        <f>IF(V13=0,0,V13/TrAvia_act!V11*1000)</f>
        <v>125.27693548408168</v>
      </c>
      <c r="W35" s="88">
        <f>IF(W13=0,0,W13/TrAvia_act!W11*1000)</f>
        <v>109.54958767899913</v>
      </c>
      <c r="X35" s="88">
        <f>IF(X13=0,0,X13/TrAvia_act!X11*1000)</f>
        <v>104.82274531619358</v>
      </c>
      <c r="Y35" s="88">
        <f>IF(Y13=0,0,Y13/TrAvia_act!Y11*1000)</f>
        <v>100.59185083448811</v>
      </c>
      <c r="DA35" s="178" t="s">
        <v>304</v>
      </c>
    </row>
    <row r="36" spans="1:105" x14ac:dyDescent="0.25">
      <c r="A36" s="50"/>
      <c r="B36" s="50"/>
      <c r="C36" s="50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DA36" s="181"/>
    </row>
    <row r="37" spans="1:105" ht="11.45" customHeight="1" x14ac:dyDescent="0.25">
      <c r="A37" s="53" t="s">
        <v>75</v>
      </c>
      <c r="B37" s="62">
        <f>IF(B3=0,0,B3/TrAvia_act!B23*1000000)</f>
        <v>15446.045767803334</v>
      </c>
      <c r="C37" s="62">
        <f>IF(C3=0,0,C3/TrAvia_act!C23*1000000)</f>
        <v>15353.824880029822</v>
      </c>
      <c r="D37" s="62">
        <f>IF(D3=0,0,D3/TrAvia_act!D23*1000000)</f>
        <v>15634.693961584095</v>
      </c>
      <c r="E37" s="62">
        <f>IF(E3=0,0,E3/TrAvia_act!E23*1000000)</f>
        <v>15223.110143159885</v>
      </c>
      <c r="F37" s="62">
        <f>IF(F3=0,0,F3/TrAvia_act!F23*1000000)</f>
        <v>15716.270563675309</v>
      </c>
      <c r="G37" s="62">
        <f>IF(G3=0,0,G3/TrAvia_act!G23*1000000)</f>
        <v>15917.881872078464</v>
      </c>
      <c r="H37" s="62">
        <f>IF(H3=0,0,H3/TrAvia_act!H23*1000000)</f>
        <v>15209.647420366851</v>
      </c>
      <c r="I37" s="62">
        <f>IF(I3=0,0,I3/TrAvia_act!I23*1000000)</f>
        <v>14929.665966325836</v>
      </c>
      <c r="J37" s="62">
        <f>IF(J3=0,0,J3/TrAvia_act!J23*1000000)</f>
        <v>15187.411604303725</v>
      </c>
      <c r="K37" s="62">
        <f>IF(K3=0,0,K3/TrAvia_act!K23*1000000)</f>
        <v>15583.443631012984</v>
      </c>
      <c r="L37" s="62">
        <f>IF(L3=0,0,L3/TrAvia_act!L23*1000000)</f>
        <v>15208.513426497113</v>
      </c>
      <c r="M37" s="62">
        <f>IF(M3=0,0,M3/TrAvia_act!M23*1000000)</f>
        <v>14559.3198324149</v>
      </c>
      <c r="N37" s="62">
        <f>IF(N3=0,0,N3/TrAvia_act!N23*1000000)</f>
        <v>13915.114056675084</v>
      </c>
      <c r="O37" s="62">
        <f>IF(O3=0,0,O3/TrAvia_act!O23*1000000)</f>
        <v>13965.765258117599</v>
      </c>
      <c r="P37" s="62">
        <f>IF(P3=0,0,P3/TrAvia_act!P23*1000000)</f>
        <v>14162.541152585874</v>
      </c>
      <c r="Q37" s="62">
        <f>IF(Q3=0,0,Q3/TrAvia_act!Q23*1000000)</f>
        <v>14459.996166036834</v>
      </c>
      <c r="R37" s="62">
        <f>IF(R3=0,0,R3/TrAvia_act!R23*1000000)</f>
        <v>14103.948305321208</v>
      </c>
      <c r="S37" s="62">
        <f>IF(S3=0,0,S3/TrAvia_act!S23*1000000)</f>
        <v>14054.828344870959</v>
      </c>
      <c r="T37" s="62">
        <f>IF(T3=0,0,T3/TrAvia_act!T23*1000000)</f>
        <v>14026.89266033133</v>
      </c>
      <c r="U37" s="62">
        <f>IF(U3=0,0,U3/TrAvia_act!U23*1000000)</f>
        <v>13789.898339163745</v>
      </c>
      <c r="V37" s="62">
        <f>IF(V3=0,0,V3/TrAvia_act!V23*1000000)</f>
        <v>16939.549980206</v>
      </c>
      <c r="W37" s="62">
        <f>IF(W3=0,0,W3/TrAvia_act!W23*1000000)</f>
        <v>15805.088984366253</v>
      </c>
      <c r="X37" s="62">
        <f>IF(X3=0,0,X3/TrAvia_act!X23*1000000)</f>
        <v>13635.179980641311</v>
      </c>
      <c r="Y37" s="62">
        <f>IF(Y3=0,0,Y3/TrAvia_act!Y23*1000000)</f>
        <v>13308.27094040613</v>
      </c>
      <c r="DA37" s="172" t="s">
        <v>305</v>
      </c>
    </row>
    <row r="38" spans="1:105" ht="11.45" customHeight="1" x14ac:dyDescent="0.25">
      <c r="A38" s="10" t="s">
        <v>33</v>
      </c>
      <c r="B38" s="14">
        <f>IF(B6=0,0,B6/TrAvia_act!B24*1000000)</f>
        <v>13781.035275501639</v>
      </c>
      <c r="C38" s="14">
        <f>IF(C6=0,0,C6/TrAvia_act!C24*1000000)</f>
        <v>13750.783781811337</v>
      </c>
      <c r="D38" s="14">
        <f>IF(D6=0,0,D6/TrAvia_act!D24*1000000)</f>
        <v>13900.248502085915</v>
      </c>
      <c r="E38" s="14">
        <f>IF(E6=0,0,E6/TrAvia_act!E24*1000000)</f>
        <v>13330.751767955253</v>
      </c>
      <c r="F38" s="14">
        <f>IF(F6=0,0,F6/TrAvia_act!F24*1000000)</f>
        <v>13872.417229348999</v>
      </c>
      <c r="G38" s="14">
        <f>IF(G6=0,0,G6/TrAvia_act!G24*1000000)</f>
        <v>13952.722462213116</v>
      </c>
      <c r="H38" s="14">
        <f>IF(H6=0,0,H6/TrAvia_act!H24*1000000)</f>
        <v>13032.497386596217</v>
      </c>
      <c r="I38" s="14">
        <f>IF(I6=0,0,I6/TrAvia_act!I24*1000000)</f>
        <v>12779.208789136555</v>
      </c>
      <c r="J38" s="14">
        <f>IF(J6=0,0,J6/TrAvia_act!J24*1000000)</f>
        <v>13042.774844076852</v>
      </c>
      <c r="K38" s="14">
        <f>IF(K6=0,0,K6/TrAvia_act!K24*1000000)</f>
        <v>13714.948364375083</v>
      </c>
      <c r="L38" s="14">
        <f>IF(L6=0,0,L6/TrAvia_act!L24*1000000)</f>
        <v>13169.299172458757</v>
      </c>
      <c r="M38" s="14">
        <f>IF(M6=0,0,M6/TrAvia_act!M24*1000000)</f>
        <v>12840.796045785064</v>
      </c>
      <c r="N38" s="14">
        <f>IF(N6=0,0,N6/TrAvia_act!N24*1000000)</f>
        <v>12584.930334230725</v>
      </c>
      <c r="O38" s="14">
        <f>IF(O6=0,0,O6/TrAvia_act!O24*1000000)</f>
        <v>12668.022818423226</v>
      </c>
      <c r="P38" s="14">
        <f>IF(P6=0,0,P6/TrAvia_act!P24*1000000)</f>
        <v>12952.233100826077</v>
      </c>
      <c r="Q38" s="14">
        <f>IF(Q6=0,0,Q6/TrAvia_act!Q24*1000000)</f>
        <v>13246.860221183681</v>
      </c>
      <c r="R38" s="14">
        <f>IF(R6=0,0,R6/TrAvia_act!R24*1000000)</f>
        <v>13047.968240752145</v>
      </c>
      <c r="S38" s="14">
        <f>IF(S6=0,0,S6/TrAvia_act!S24*1000000)</f>
        <v>12894.183443799906</v>
      </c>
      <c r="T38" s="14">
        <f>IF(T6=0,0,T6/TrAvia_act!T24*1000000)</f>
        <v>12879.811480722234</v>
      </c>
      <c r="U38" s="14">
        <f>IF(U6=0,0,U6/TrAvia_act!U24*1000000)</f>
        <v>12823.870731109595</v>
      </c>
      <c r="V38" s="14">
        <f>IF(V6=0,0,V6/TrAvia_act!V24*1000000)</f>
        <v>13828.813795528797</v>
      </c>
      <c r="W38" s="14">
        <f>IF(W6=0,0,W6/TrAvia_act!W24*1000000)</f>
        <v>13097.413627562739</v>
      </c>
      <c r="X38" s="14">
        <f>IF(X6=0,0,X6/TrAvia_act!X24*1000000)</f>
        <v>11854.977323188703</v>
      </c>
      <c r="Y38" s="14">
        <f>IF(Y6=0,0,Y6/TrAvia_act!Y24*1000000)</f>
        <v>11866.99630366067</v>
      </c>
      <c r="DA38" s="189" t="s">
        <v>306</v>
      </c>
    </row>
    <row r="39" spans="1:105" ht="11.45" customHeight="1" x14ac:dyDescent="0.25">
      <c r="A39" s="83" t="s">
        <v>27</v>
      </c>
      <c r="B39" s="87">
        <f>IF(B7=0,0,B7/TrAvia_act!B25*1000000)</f>
        <v>0</v>
      </c>
      <c r="C39" s="87">
        <f>IF(C7=0,0,C7/TrAvia_act!C25*1000000)</f>
        <v>0</v>
      </c>
      <c r="D39" s="87">
        <f>IF(D7=0,0,D7/TrAvia_act!D25*1000000)</f>
        <v>0</v>
      </c>
      <c r="E39" s="87">
        <f>IF(E7=0,0,E7/TrAvia_act!E25*1000000)</f>
        <v>0</v>
      </c>
      <c r="F39" s="87">
        <f>IF(F7=0,0,F7/TrAvia_act!F25*1000000)</f>
        <v>0</v>
      </c>
      <c r="G39" s="87">
        <f>IF(G7=0,0,G7/TrAvia_act!G25*1000000)</f>
        <v>0</v>
      </c>
      <c r="H39" s="87">
        <f>IF(H7=0,0,H7/TrAvia_act!H25*1000000)</f>
        <v>0</v>
      </c>
      <c r="I39" s="87">
        <f>IF(I7=0,0,I7/TrAvia_act!I25*1000000)</f>
        <v>0</v>
      </c>
      <c r="J39" s="87">
        <f>IF(J7=0,0,J7/TrAvia_act!J25*1000000)</f>
        <v>0</v>
      </c>
      <c r="K39" s="87">
        <f>IF(K7=0,0,K7/TrAvia_act!K25*1000000)</f>
        <v>0</v>
      </c>
      <c r="L39" s="87">
        <f>IF(L7=0,0,L7/TrAvia_act!L25*1000000)</f>
        <v>0</v>
      </c>
      <c r="M39" s="87">
        <f>IF(M7=0,0,M7/TrAvia_act!M25*1000000)</f>
        <v>0</v>
      </c>
      <c r="N39" s="87">
        <f>IF(N7=0,0,N7/TrAvia_act!N25*1000000)</f>
        <v>0</v>
      </c>
      <c r="O39" s="87">
        <f>IF(O7=0,0,O7/TrAvia_act!O25*1000000)</f>
        <v>0</v>
      </c>
      <c r="P39" s="87">
        <f>IF(P7=0,0,P7/TrAvia_act!P25*1000000)</f>
        <v>0</v>
      </c>
      <c r="Q39" s="87">
        <f>IF(Q7=0,0,Q7/TrAvia_act!Q25*1000000)</f>
        <v>0</v>
      </c>
      <c r="R39" s="87">
        <f>IF(R7=0,0,R7/TrAvia_act!R25*1000000)</f>
        <v>0</v>
      </c>
      <c r="S39" s="87">
        <f>IF(S7=0,0,S7/TrAvia_act!S25*1000000)</f>
        <v>0</v>
      </c>
      <c r="T39" s="87">
        <f>IF(T7=0,0,T7/TrAvia_act!T25*1000000)</f>
        <v>0</v>
      </c>
      <c r="U39" s="87">
        <f>IF(U7=0,0,U7/TrAvia_act!U25*1000000)</f>
        <v>0</v>
      </c>
      <c r="V39" s="87">
        <f>IF(V7=0,0,V7/TrAvia_act!V25*1000000)</f>
        <v>0</v>
      </c>
      <c r="W39" s="87">
        <f>IF(W7=0,0,W7/TrAvia_act!W25*1000000)</f>
        <v>0</v>
      </c>
      <c r="X39" s="87">
        <f>IF(X7=0,0,X7/TrAvia_act!X25*1000000)</f>
        <v>0</v>
      </c>
      <c r="Y39" s="87">
        <f>IF(Y7=0,0,Y7/TrAvia_act!Y25*1000000)</f>
        <v>0</v>
      </c>
      <c r="DA39" s="171" t="s">
        <v>307</v>
      </c>
    </row>
    <row r="40" spans="1:105" ht="11.45" customHeight="1" x14ac:dyDescent="0.25">
      <c r="A40" s="83" t="s">
        <v>181</v>
      </c>
      <c r="B40" s="87">
        <f>IF(B8=0,0,B8/TrAvia_act!B26*1000000)</f>
        <v>3882.6122498793734</v>
      </c>
      <c r="C40" s="87">
        <f>IF(C8=0,0,C8/TrAvia_act!C26*1000000)</f>
        <v>3874.0608110886751</v>
      </c>
      <c r="D40" s="87">
        <f>IF(D8=0,0,D8/TrAvia_act!D26*1000000)</f>
        <v>3895.9931318323534</v>
      </c>
      <c r="E40" s="87">
        <f>IF(E8=0,0,E8/TrAvia_act!E26*1000000)</f>
        <v>3780.9162223884241</v>
      </c>
      <c r="F40" s="87">
        <f>IF(F8=0,0,F8/TrAvia_act!F26*1000000)</f>
        <v>3775.1233174408317</v>
      </c>
      <c r="G40" s="87">
        <f>IF(G8=0,0,G8/TrAvia_act!G26*1000000)</f>
        <v>3804.0221337224871</v>
      </c>
      <c r="H40" s="87">
        <f>IF(H8=0,0,H8/TrAvia_act!H26*1000000)</f>
        <v>3586.4612419536043</v>
      </c>
      <c r="I40" s="87">
        <f>IF(I8=0,0,I8/TrAvia_act!I26*1000000)</f>
        <v>3580.3200106314039</v>
      </c>
      <c r="J40" s="87">
        <f>IF(J8=0,0,J8/TrAvia_act!J26*1000000)</f>
        <v>3594.1858011053519</v>
      </c>
      <c r="K40" s="87">
        <f>IF(K8=0,0,K8/TrAvia_act!K26*1000000)</f>
        <v>3649.6696082369776</v>
      </c>
      <c r="L40" s="87">
        <f>IF(L8=0,0,L8/TrAvia_act!L26*1000000)</f>
        <v>3524.8650884085464</v>
      </c>
      <c r="M40" s="87">
        <f>IF(M8=0,0,M8/TrAvia_act!M26*1000000)</f>
        <v>3453.4844378351472</v>
      </c>
      <c r="N40" s="87">
        <f>IF(N8=0,0,N8/TrAvia_act!N26*1000000)</f>
        <v>3344.1474478897981</v>
      </c>
      <c r="O40" s="87">
        <f>IF(O8=0,0,O8/TrAvia_act!O26*1000000)</f>
        <v>3383.8047900625556</v>
      </c>
      <c r="P40" s="87">
        <f>IF(P8=0,0,P8/TrAvia_act!P26*1000000)</f>
        <v>3483.007955913828</v>
      </c>
      <c r="Q40" s="87">
        <f>IF(Q8=0,0,Q8/TrAvia_act!Q26*1000000)</f>
        <v>3593.0113376066711</v>
      </c>
      <c r="R40" s="87">
        <f>IF(R8=0,0,R8/TrAvia_act!R26*1000000)</f>
        <v>3671.2847021435637</v>
      </c>
      <c r="S40" s="87">
        <f>IF(S8=0,0,S8/TrAvia_act!S26*1000000)</f>
        <v>3709.8114875149809</v>
      </c>
      <c r="T40" s="87">
        <f>IF(T8=0,0,T8/TrAvia_act!T26*1000000)</f>
        <v>3659.1361575793949</v>
      </c>
      <c r="U40" s="87">
        <f>IF(U8=0,0,U8/TrAvia_act!U26*1000000)</f>
        <v>3546.858364856158</v>
      </c>
      <c r="V40" s="87">
        <f>IF(V8=0,0,V8/TrAvia_act!V26*1000000)</f>
        <v>2978.1834867262742</v>
      </c>
      <c r="W40" s="87">
        <f>IF(W8=0,0,W8/TrAvia_act!W26*1000000)</f>
        <v>3248.9213294192687</v>
      </c>
      <c r="X40" s="87">
        <f>IF(X8=0,0,X8/TrAvia_act!X26*1000000)</f>
        <v>3384.1320188925297</v>
      </c>
      <c r="Y40" s="87">
        <f>IF(Y8=0,0,Y8/TrAvia_act!Y26*1000000)</f>
        <v>3317.7389244307419</v>
      </c>
      <c r="DA40" s="171" t="s">
        <v>308</v>
      </c>
    </row>
    <row r="41" spans="1:105" ht="11.45" customHeight="1" x14ac:dyDescent="0.25">
      <c r="A41" s="83" t="s">
        <v>182</v>
      </c>
      <c r="B41" s="87">
        <f>IF(B9=0,0,B9/TrAvia_act!B27*1000000)</f>
        <v>55463.03495315589</v>
      </c>
      <c r="C41" s="87">
        <f>IF(C9=0,0,C9/TrAvia_act!C27*1000000)</f>
        <v>55340.852824328307</v>
      </c>
      <c r="D41" s="87">
        <f>IF(D9=0,0,D9/TrAvia_act!D27*1000000)</f>
        <v>55872.658977436666</v>
      </c>
      <c r="E41" s="87">
        <f>IF(E9=0,0,E9/TrAvia_act!E27*1000000)</f>
        <v>54458.437850483111</v>
      </c>
      <c r="F41" s="87">
        <f>IF(F9=0,0,F9/TrAvia_act!F27*1000000)</f>
        <v>53969.907214659746</v>
      </c>
      <c r="G41" s="87">
        <f>IF(G9=0,0,G9/TrAvia_act!G27*1000000)</f>
        <v>53538.348224896654</v>
      </c>
      <c r="H41" s="87">
        <f>IF(H9=0,0,H9/TrAvia_act!H27*1000000)</f>
        <v>53546.715389935067</v>
      </c>
      <c r="I41" s="87">
        <f>IF(I9=0,0,I9/TrAvia_act!I27*1000000)</f>
        <v>53104.086901402654</v>
      </c>
      <c r="J41" s="87">
        <f>IF(J9=0,0,J9/TrAvia_act!J27*1000000)</f>
        <v>50851.449889784315</v>
      </c>
      <c r="K41" s="87">
        <f>IF(K9=0,0,K9/TrAvia_act!K27*1000000)</f>
        <v>52678.152978475329</v>
      </c>
      <c r="L41" s="87">
        <f>IF(L9=0,0,L9/TrAvia_act!L27*1000000)</f>
        <v>47729.146645420136</v>
      </c>
      <c r="M41" s="87">
        <f>IF(M9=0,0,M9/TrAvia_act!M27*1000000)</f>
        <v>48405.92198912966</v>
      </c>
      <c r="N41" s="87">
        <f>IF(N9=0,0,N9/TrAvia_act!N27*1000000)</f>
        <v>47364.160257373194</v>
      </c>
      <c r="O41" s="87">
        <f>IF(O9=0,0,O9/TrAvia_act!O27*1000000)</f>
        <v>46865.590299205702</v>
      </c>
      <c r="P41" s="87">
        <f>IF(P9=0,0,P9/TrAvia_act!P27*1000000)</f>
        <v>48629.595945720022</v>
      </c>
      <c r="Q41" s="87">
        <f>IF(Q9=0,0,Q9/TrAvia_act!Q27*1000000)</f>
        <v>50102.518140538341</v>
      </c>
      <c r="R41" s="87">
        <f>IF(R9=0,0,R9/TrAvia_act!R27*1000000)</f>
        <v>51558.365539984981</v>
      </c>
      <c r="S41" s="87">
        <f>IF(S9=0,0,S9/TrAvia_act!S27*1000000)</f>
        <v>51149.771072590389</v>
      </c>
      <c r="T41" s="87">
        <f>IF(T9=0,0,T9/TrAvia_act!T27*1000000)</f>
        <v>50749.437830663897</v>
      </c>
      <c r="U41" s="87">
        <f>IF(U9=0,0,U9/TrAvia_act!U27*1000000)</f>
        <v>49590.123166206205</v>
      </c>
      <c r="V41" s="87">
        <f>IF(V9=0,0,V9/TrAvia_act!V27*1000000)</f>
        <v>57838.305895327227</v>
      </c>
      <c r="W41" s="87">
        <f>IF(W9=0,0,W9/TrAvia_act!W27*1000000)</f>
        <v>47713.229518965229</v>
      </c>
      <c r="X41" s="87">
        <f>IF(X9=0,0,X9/TrAvia_act!X27*1000000)</f>
        <v>47868.66199287081</v>
      </c>
      <c r="Y41" s="87">
        <f>IF(Y9=0,0,Y9/TrAvia_act!Y27*1000000)</f>
        <v>48131.436632709054</v>
      </c>
      <c r="DA41" s="171" t="s">
        <v>309</v>
      </c>
    </row>
    <row r="42" spans="1:105" ht="11.45" customHeight="1" x14ac:dyDescent="0.25">
      <c r="A42" s="12" t="s">
        <v>34</v>
      </c>
      <c r="B42" s="15">
        <f>IF(B10=0,0,B10/TrAvia_act!B28*1000000)</f>
        <v>39295.679930651</v>
      </c>
      <c r="C42" s="15">
        <f>IF(C10=0,0,C10/TrAvia_act!C28*1000000)</f>
        <v>36680.83172147836</v>
      </c>
      <c r="D42" s="15">
        <f>IF(D10=0,0,D10/TrAvia_act!D28*1000000)</f>
        <v>39452.308525758257</v>
      </c>
      <c r="E42" s="15">
        <f>IF(E10=0,0,E10/TrAvia_act!E28*1000000)</f>
        <v>38700.666766408271</v>
      </c>
      <c r="F42" s="15">
        <f>IF(F10=0,0,F10/TrAvia_act!F28*1000000)</f>
        <v>37873.928396513249</v>
      </c>
      <c r="G42" s="15">
        <f>IF(G10=0,0,G10/TrAvia_act!G28*1000000)</f>
        <v>38134.801693009707</v>
      </c>
      <c r="H42" s="15">
        <f>IF(H10=0,0,H10/TrAvia_act!H28*1000000)</f>
        <v>39722.406523987476</v>
      </c>
      <c r="I42" s="15">
        <f>IF(I10=0,0,I10/TrAvia_act!I28*1000000)</f>
        <v>40814.823661485207</v>
      </c>
      <c r="J42" s="15">
        <f>IF(J10=0,0,J10/TrAvia_act!J28*1000000)</f>
        <v>38967.003657371439</v>
      </c>
      <c r="K42" s="15">
        <f>IF(K10=0,0,K10/TrAvia_act!K28*1000000)</f>
        <v>40019.354196924665</v>
      </c>
      <c r="L42" s="15">
        <f>IF(L10=0,0,L10/TrAvia_act!L28*1000000)</f>
        <v>38518.099212734203</v>
      </c>
      <c r="M42" s="15">
        <f>IF(M10=0,0,M10/TrAvia_act!M28*1000000)</f>
        <v>36286.507961742529</v>
      </c>
      <c r="N42" s="15">
        <f>IF(N10=0,0,N10/TrAvia_act!N28*1000000)</f>
        <v>32479.008755927996</v>
      </c>
      <c r="O42" s="15">
        <f>IF(O10=0,0,O10/TrAvia_act!O28*1000000)</f>
        <v>31866.02445194075</v>
      </c>
      <c r="P42" s="15">
        <f>IF(P10=0,0,P10/TrAvia_act!P28*1000000)</f>
        <v>32022.78083809392</v>
      </c>
      <c r="Q42" s="15">
        <f>IF(Q10=0,0,Q10/TrAvia_act!Q28*1000000)</f>
        <v>32812.584671640456</v>
      </c>
      <c r="R42" s="15">
        <f>IF(R10=0,0,R10/TrAvia_act!R28*1000000)</f>
        <v>32303.710752817842</v>
      </c>
      <c r="S42" s="15">
        <f>IF(S10=0,0,S10/TrAvia_act!S28*1000000)</f>
        <v>33990.437517691615</v>
      </c>
      <c r="T42" s="15">
        <f>IF(T10=0,0,T10/TrAvia_act!T28*1000000)</f>
        <v>35090.337659312187</v>
      </c>
      <c r="U42" s="15">
        <f>IF(U10=0,0,U10/TrAvia_act!U28*1000000)</f>
        <v>33255.375922721061</v>
      </c>
      <c r="V42" s="15">
        <f>IF(V10=0,0,V10/TrAvia_act!V28*1000000)</f>
        <v>37533.743757581848</v>
      </c>
      <c r="W42" s="15">
        <f>IF(W10=0,0,W10/TrAvia_act!W28*1000000)</f>
        <v>35793.558418702763</v>
      </c>
      <c r="X42" s="15">
        <f>IF(X10=0,0,X10/TrAvia_act!X28*1000000)</f>
        <v>40011.152913008729</v>
      </c>
      <c r="Y42" s="15">
        <f>IF(Y10=0,0,Y10/TrAvia_act!Y28*1000000)</f>
        <v>41370.219591372421</v>
      </c>
      <c r="DA42" s="193" t="s">
        <v>310</v>
      </c>
    </row>
    <row r="43" spans="1:105" ht="11.45" customHeight="1" x14ac:dyDescent="0.25">
      <c r="A43" s="92" t="s">
        <v>27</v>
      </c>
      <c r="B43" s="101">
        <f>IF(B11=0,0,B11/TrAvia_act!B29*1000000)</f>
        <v>0</v>
      </c>
      <c r="C43" s="101">
        <f>IF(C11=0,0,C11/TrAvia_act!C29*1000000)</f>
        <v>0</v>
      </c>
      <c r="D43" s="101">
        <f>IF(D11=0,0,D11/TrAvia_act!D29*1000000)</f>
        <v>0</v>
      </c>
      <c r="E43" s="101">
        <f>IF(E11=0,0,E11/TrAvia_act!E29*1000000)</f>
        <v>0</v>
      </c>
      <c r="F43" s="101">
        <f>IF(F11=0,0,F11/TrAvia_act!F29*1000000)</f>
        <v>0</v>
      </c>
      <c r="G43" s="101">
        <f>IF(G11=0,0,G11/TrAvia_act!G29*1000000)</f>
        <v>0</v>
      </c>
      <c r="H43" s="101">
        <f>IF(H11=0,0,H11/TrAvia_act!H29*1000000)</f>
        <v>0</v>
      </c>
      <c r="I43" s="101">
        <f>IF(I11=0,0,I11/TrAvia_act!I29*1000000)</f>
        <v>0</v>
      </c>
      <c r="J43" s="101">
        <f>IF(J11=0,0,J11/TrAvia_act!J29*1000000)</f>
        <v>0</v>
      </c>
      <c r="K43" s="101">
        <f>IF(K11=0,0,K11/TrAvia_act!K29*1000000)</f>
        <v>0</v>
      </c>
      <c r="L43" s="101">
        <f>IF(L11=0,0,L11/TrAvia_act!L29*1000000)</f>
        <v>0</v>
      </c>
      <c r="M43" s="101">
        <f>IF(M11=0,0,M11/TrAvia_act!M29*1000000)</f>
        <v>0</v>
      </c>
      <c r="N43" s="101">
        <f>IF(N11=0,0,N11/TrAvia_act!N29*1000000)</f>
        <v>0</v>
      </c>
      <c r="O43" s="101">
        <f>IF(O11=0,0,O11/TrAvia_act!O29*1000000)</f>
        <v>0</v>
      </c>
      <c r="P43" s="101">
        <f>IF(P11=0,0,P11/TrAvia_act!P29*1000000)</f>
        <v>0</v>
      </c>
      <c r="Q43" s="101">
        <f>IF(Q11=0,0,Q11/TrAvia_act!Q29*1000000)</f>
        <v>0</v>
      </c>
      <c r="R43" s="101">
        <f>IF(R11=0,0,R11/TrAvia_act!R29*1000000)</f>
        <v>0</v>
      </c>
      <c r="S43" s="101">
        <f>IF(S11=0,0,S11/TrAvia_act!S29*1000000)</f>
        <v>0</v>
      </c>
      <c r="T43" s="101">
        <f>IF(T11=0,0,T11/TrAvia_act!T29*1000000)</f>
        <v>0</v>
      </c>
      <c r="U43" s="101">
        <f>IF(U11=0,0,U11/TrAvia_act!U29*1000000)</f>
        <v>0</v>
      </c>
      <c r="V43" s="101">
        <f>IF(V11=0,0,V11/TrAvia_act!V29*1000000)</f>
        <v>0</v>
      </c>
      <c r="W43" s="101">
        <f>IF(W11=0,0,W11/TrAvia_act!W29*1000000)</f>
        <v>0</v>
      </c>
      <c r="X43" s="101">
        <f>IF(X11=0,0,X11/TrAvia_act!X29*1000000)</f>
        <v>0</v>
      </c>
      <c r="Y43" s="101">
        <f>IF(Y11=0,0,Y11/TrAvia_act!Y29*1000000)</f>
        <v>0</v>
      </c>
      <c r="DA43" s="175" t="s">
        <v>311</v>
      </c>
    </row>
    <row r="44" spans="1:105" ht="11.45" customHeight="1" x14ac:dyDescent="0.25">
      <c r="A44" s="92" t="s">
        <v>181</v>
      </c>
      <c r="B44" s="101">
        <f>IF(B12=0,0,B12/TrAvia_act!B30*1000000)</f>
        <v>3964.8537871592789</v>
      </c>
      <c r="C44" s="101">
        <f>IF(C12=0,0,C12/TrAvia_act!C30*1000000)</f>
        <v>3950.2117089178528</v>
      </c>
      <c r="D44" s="101">
        <f>IF(D12=0,0,D12/TrAvia_act!D30*1000000)</f>
        <v>3985.8112518784169</v>
      </c>
      <c r="E44" s="101">
        <f>IF(E12=0,0,E12/TrAvia_act!E30*1000000)</f>
        <v>3865.0030382561417</v>
      </c>
      <c r="F44" s="101">
        <f>IF(F12=0,0,F12/TrAvia_act!F30*1000000)</f>
        <v>3666.4336065035905</v>
      </c>
      <c r="G44" s="101">
        <f>IF(G12=0,0,G12/TrAvia_act!G30*1000000)</f>
        <v>3635.5239889464287</v>
      </c>
      <c r="H44" s="101">
        <f>IF(H12=0,0,H12/TrAvia_act!H30*1000000)</f>
        <v>3496.914991966285</v>
      </c>
      <c r="I44" s="101">
        <f>IF(I12=0,0,I12/TrAvia_act!I30*1000000)</f>
        <v>3647.8659233007675</v>
      </c>
      <c r="J44" s="101">
        <f>IF(J12=0,0,J12/TrAvia_act!J30*1000000)</f>
        <v>3652.0629164703482</v>
      </c>
      <c r="K44" s="101">
        <f>IF(K12=0,0,K12/TrAvia_act!K30*1000000)</f>
        <v>3933.5057725979545</v>
      </c>
      <c r="L44" s="101">
        <f>IF(L12=0,0,L12/TrAvia_act!L30*1000000)</f>
        <v>3897.4181672957384</v>
      </c>
      <c r="M44" s="101">
        <f>IF(M12=0,0,M12/TrAvia_act!M30*1000000)</f>
        <v>3110.6889736721341</v>
      </c>
      <c r="N44" s="101">
        <f>IF(N12=0,0,N12/TrAvia_act!N30*1000000)</f>
        <v>2502.4977921116465</v>
      </c>
      <c r="O44" s="101">
        <f>IF(O12=0,0,O12/TrAvia_act!O30*1000000)</f>
        <v>2560.0405174346843</v>
      </c>
      <c r="P44" s="101">
        <f>IF(P12=0,0,P12/TrAvia_act!P30*1000000)</f>
        <v>2598.1334477248802</v>
      </c>
      <c r="Q44" s="101">
        <f>IF(Q12=0,0,Q12/TrAvia_act!Q30*1000000)</f>
        <v>2699.2494176492692</v>
      </c>
      <c r="R44" s="101">
        <f>IF(R12=0,0,R12/TrAvia_act!R30*1000000)</f>
        <v>2766.4879365454362</v>
      </c>
      <c r="S44" s="101">
        <f>IF(S12=0,0,S12/TrAvia_act!S30*1000000)</f>
        <v>2872.7389936400168</v>
      </c>
      <c r="T44" s="101">
        <f>IF(T12=0,0,T12/TrAvia_act!T30*1000000)</f>
        <v>2805.0914315339933</v>
      </c>
      <c r="U44" s="101">
        <f>IF(U12=0,0,U12/TrAvia_act!U30*1000000)</f>
        <v>2659.2446471135768</v>
      </c>
      <c r="V44" s="101">
        <f>IF(V12=0,0,V12/TrAvia_act!V30*1000000)</f>
        <v>2316.6529148763548</v>
      </c>
      <c r="W44" s="101">
        <f>IF(W12=0,0,W12/TrAvia_act!W30*1000000)</f>
        <v>2428.9704978148334</v>
      </c>
      <c r="X44" s="101">
        <f>IF(X12=0,0,X12/TrAvia_act!X30*1000000)</f>
        <v>2648.6897018375894</v>
      </c>
      <c r="Y44" s="101">
        <f>IF(Y12=0,0,Y12/TrAvia_act!Y30*1000000)</f>
        <v>2616.8309481793103</v>
      </c>
      <c r="DA44" s="175" t="s">
        <v>312</v>
      </c>
    </row>
    <row r="45" spans="1:105" ht="11.45" customHeight="1" x14ac:dyDescent="0.25">
      <c r="A45" s="85" t="s">
        <v>182</v>
      </c>
      <c r="B45" s="88">
        <f>IF(B13=0,0,B13/TrAvia_act!B31*1000000)</f>
        <v>49008.266755694232</v>
      </c>
      <c r="C45" s="88">
        <f>IF(C13=0,0,C13/TrAvia_act!C31*1000000)</f>
        <v>48900.304139378371</v>
      </c>
      <c r="D45" s="88">
        <f>IF(D13=0,0,D13/TrAvia_act!D31*1000000)</f>
        <v>49370.218882339439</v>
      </c>
      <c r="E45" s="88">
        <f>IF(E13=0,0,E13/TrAvia_act!E31*1000000)</f>
        <v>48120.584305006698</v>
      </c>
      <c r="F45" s="88">
        <f>IF(F13=0,0,F13/TrAvia_act!F31*1000000)</f>
        <v>47688.908690086217</v>
      </c>
      <c r="G45" s="88">
        <f>IF(G13=0,0,G13/TrAvia_act!G31*1000000)</f>
        <v>47309.118351783873</v>
      </c>
      <c r="H45" s="88">
        <f>IF(H13=0,0,H13/TrAvia_act!H31*1000000)</f>
        <v>49400.442737962199</v>
      </c>
      <c r="I45" s="88">
        <f>IF(I13=0,0,I13/TrAvia_act!I31*1000000)</f>
        <v>51074.452620463198</v>
      </c>
      <c r="J45" s="88">
        <f>IF(J13=0,0,J13/TrAvia_act!J31*1000000)</f>
        <v>50979.844511029994</v>
      </c>
      <c r="K45" s="88">
        <f>IF(K13=0,0,K13/TrAvia_act!K31*1000000)</f>
        <v>55107.872067162236</v>
      </c>
      <c r="L45" s="88">
        <f>IF(L13=0,0,L13/TrAvia_act!L31*1000000)</f>
        <v>52106.576201463387</v>
      </c>
      <c r="M45" s="88">
        <f>IF(M13=0,0,M13/TrAvia_act!M31*1000000)</f>
        <v>49127.265101512668</v>
      </c>
      <c r="N45" s="88">
        <f>IF(N13=0,0,N13/TrAvia_act!N31*1000000)</f>
        <v>44552.73869393894</v>
      </c>
      <c r="O45" s="88">
        <f>IF(O13=0,0,O13/TrAvia_act!O31*1000000)</f>
        <v>43649.319904243814</v>
      </c>
      <c r="P45" s="88">
        <f>IF(P13=0,0,P13/TrAvia_act!P31*1000000)</f>
        <v>44912.708448231628</v>
      </c>
      <c r="Q45" s="88">
        <f>IF(Q13=0,0,Q13/TrAvia_act!Q31*1000000)</f>
        <v>45881.035697235478</v>
      </c>
      <c r="R45" s="88">
        <f>IF(R13=0,0,R13/TrAvia_act!R31*1000000)</f>
        <v>46810.930808597652</v>
      </c>
      <c r="S45" s="88">
        <f>IF(S13=0,0,S13/TrAvia_act!S31*1000000)</f>
        <v>46054.352262154338</v>
      </c>
      <c r="T45" s="88">
        <f>IF(T13=0,0,T13/TrAvia_act!T31*1000000)</f>
        <v>45319.495454974916</v>
      </c>
      <c r="U45" s="88">
        <f>IF(U13=0,0,U13/TrAvia_act!U31*1000000)</f>
        <v>43604.421112445998</v>
      </c>
      <c r="V45" s="88">
        <f>IF(V13=0,0,V13/TrAvia_act!V31*1000000)</f>
        <v>46466.006114647629</v>
      </c>
      <c r="W45" s="88">
        <f>IF(W13=0,0,W13/TrAvia_act!W31*1000000)</f>
        <v>44591.573940140945</v>
      </c>
      <c r="X45" s="88">
        <f>IF(X13=0,0,X13/TrAvia_act!X31*1000000)</f>
        <v>50694.03535691266</v>
      </c>
      <c r="Y45" s="88">
        <f>IF(Y13=0,0,Y13/TrAvia_act!Y31*1000000)</f>
        <v>52871.796850538951</v>
      </c>
      <c r="DA45" s="178" t="s">
        <v>313</v>
      </c>
    </row>
    <row r="46" spans="1:105" x14ac:dyDescent="0.25">
      <c r="A46" s="50"/>
      <c r="B46" s="50"/>
      <c r="C46" s="50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DA46" s="181"/>
    </row>
    <row r="47" spans="1:105" ht="11.45" customHeight="1" x14ac:dyDescent="0.25">
      <c r="A47" s="53" t="s">
        <v>40</v>
      </c>
      <c r="B47" s="76">
        <f t="shared" ref="B47:C47" si="33">IF(B3=0,0,B3/B$3)</f>
        <v>1</v>
      </c>
      <c r="C47" s="76">
        <f t="shared" si="33"/>
        <v>1</v>
      </c>
      <c r="D47" s="76">
        <f t="shared" ref="D47:V47" si="34">IF(D3=0,0,D3/D$3)</f>
        <v>1</v>
      </c>
      <c r="E47" s="76">
        <f t="shared" si="34"/>
        <v>1</v>
      </c>
      <c r="F47" s="76">
        <f t="shared" si="34"/>
        <v>1</v>
      </c>
      <c r="G47" s="76">
        <f t="shared" si="34"/>
        <v>1</v>
      </c>
      <c r="H47" s="76">
        <f t="shared" si="34"/>
        <v>1</v>
      </c>
      <c r="I47" s="76">
        <f t="shared" si="34"/>
        <v>1</v>
      </c>
      <c r="J47" s="76">
        <f t="shared" si="34"/>
        <v>1</v>
      </c>
      <c r="K47" s="76">
        <f t="shared" si="34"/>
        <v>1</v>
      </c>
      <c r="L47" s="76">
        <f t="shared" si="34"/>
        <v>1</v>
      </c>
      <c r="M47" s="76">
        <f t="shared" si="34"/>
        <v>1</v>
      </c>
      <c r="N47" s="76">
        <f t="shared" si="34"/>
        <v>1</v>
      </c>
      <c r="O47" s="76">
        <f t="shared" si="34"/>
        <v>1</v>
      </c>
      <c r="P47" s="76">
        <f t="shared" si="34"/>
        <v>1</v>
      </c>
      <c r="Q47" s="76">
        <f t="shared" si="34"/>
        <v>1</v>
      </c>
      <c r="R47" s="76">
        <f t="shared" si="34"/>
        <v>1</v>
      </c>
      <c r="S47" s="76">
        <f t="shared" si="34"/>
        <v>1</v>
      </c>
      <c r="T47" s="76">
        <f t="shared" si="34"/>
        <v>1</v>
      </c>
      <c r="U47" s="76">
        <f t="shared" si="34"/>
        <v>1</v>
      </c>
      <c r="V47" s="76">
        <f t="shared" si="34"/>
        <v>1</v>
      </c>
      <c r="W47" s="76">
        <f t="shared" ref="W47:Y47" si="35">IF(W3=0,0,W3/W$3)</f>
        <v>1</v>
      </c>
      <c r="X47" s="76">
        <f t="shared" si="35"/>
        <v>1</v>
      </c>
      <c r="Y47" s="76">
        <f t="shared" si="35"/>
        <v>1</v>
      </c>
      <c r="DA47" s="183"/>
    </row>
    <row r="48" spans="1:105" ht="11.45" customHeight="1" x14ac:dyDescent="0.25">
      <c r="A48" s="10" t="s">
        <v>33</v>
      </c>
      <c r="B48" s="16">
        <f t="shared" ref="B48:C48" si="36">IF(B6=0,0,B6/B$3)</f>
        <v>0.83398209055907468</v>
      </c>
      <c r="C48" s="16">
        <f t="shared" si="36"/>
        <v>0.83298238191208052</v>
      </c>
      <c r="D48" s="16">
        <f t="shared" ref="D48:V48" si="37">IF(D6=0,0,D6/D$3)</f>
        <v>0.82871561806520766</v>
      </c>
      <c r="E48" s="16">
        <f t="shared" si="37"/>
        <v>0.81037332397767115</v>
      </c>
      <c r="F48" s="16">
        <f t="shared" si="37"/>
        <v>0.81486921458464867</v>
      </c>
      <c r="G48" s="16">
        <f t="shared" si="37"/>
        <v>0.80531147251364832</v>
      </c>
      <c r="H48" s="16">
        <f t="shared" si="37"/>
        <v>0.78696170957284606</v>
      </c>
      <c r="I48" s="16">
        <f t="shared" si="37"/>
        <v>0.79030477229928098</v>
      </c>
      <c r="J48" s="16">
        <f t="shared" si="37"/>
        <v>0.7877434266002864</v>
      </c>
      <c r="K48" s="16">
        <f t="shared" si="37"/>
        <v>0.81758096779490996</v>
      </c>
      <c r="L48" s="16">
        <f t="shared" si="37"/>
        <v>0.79625660688480093</v>
      </c>
      <c r="M48" s="16">
        <f t="shared" si="37"/>
        <v>0.81731780860240888</v>
      </c>
      <c r="N48" s="16">
        <f t="shared" si="37"/>
        <v>0.8439356171372574</v>
      </c>
      <c r="O48" s="16">
        <f t="shared" si="37"/>
        <v>0.84576049234640216</v>
      </c>
      <c r="P48" s="16">
        <f t="shared" si="37"/>
        <v>0.85650042530775405</v>
      </c>
      <c r="Q48" s="16">
        <f t="shared" si="37"/>
        <v>0.85930268760205186</v>
      </c>
      <c r="R48" s="16">
        <f t="shared" si="37"/>
        <v>0.87439493432160476</v>
      </c>
      <c r="S48" s="16">
        <f t="shared" si="37"/>
        <v>0.8669468289668949</v>
      </c>
      <c r="T48" s="16">
        <f t="shared" si="37"/>
        <v>0.87080033707628313</v>
      </c>
      <c r="U48" s="16">
        <f t="shared" si="37"/>
        <v>0.88597765384269778</v>
      </c>
      <c r="V48" s="16">
        <f t="shared" si="37"/>
        <v>0.70923339832519539</v>
      </c>
      <c r="W48" s="16">
        <f t="shared" ref="W48:Y48" si="38">IF(W6=0,0,W6/W$3)</f>
        <v>0.72982047762273861</v>
      </c>
      <c r="X48" s="16">
        <f t="shared" si="38"/>
        <v>0.81446921981012987</v>
      </c>
      <c r="Y48" s="16">
        <f t="shared" si="38"/>
        <v>0.8481399739437836</v>
      </c>
      <c r="DA48" s="190"/>
    </row>
    <row r="49" spans="1:105" ht="11.45" customHeight="1" x14ac:dyDescent="0.25">
      <c r="A49" s="83" t="s">
        <v>27</v>
      </c>
      <c r="B49" s="103">
        <f t="shared" ref="B49:C49" si="39">IF(B7=0,0,B7/B$3)</f>
        <v>0</v>
      </c>
      <c r="C49" s="103">
        <f t="shared" si="39"/>
        <v>0</v>
      </c>
      <c r="D49" s="103">
        <f t="shared" ref="D49:V49" si="40">IF(D7=0,0,D7/D$3)</f>
        <v>0</v>
      </c>
      <c r="E49" s="103">
        <f t="shared" si="40"/>
        <v>0</v>
      </c>
      <c r="F49" s="103">
        <f t="shared" si="40"/>
        <v>0</v>
      </c>
      <c r="G49" s="103">
        <f t="shared" si="40"/>
        <v>0</v>
      </c>
      <c r="H49" s="103">
        <f t="shared" si="40"/>
        <v>0</v>
      </c>
      <c r="I49" s="103">
        <f t="shared" si="40"/>
        <v>0</v>
      </c>
      <c r="J49" s="103">
        <f t="shared" si="40"/>
        <v>0</v>
      </c>
      <c r="K49" s="103">
        <f t="shared" si="40"/>
        <v>0</v>
      </c>
      <c r="L49" s="103">
        <f t="shared" si="40"/>
        <v>0</v>
      </c>
      <c r="M49" s="103">
        <f t="shared" si="40"/>
        <v>0</v>
      </c>
      <c r="N49" s="103">
        <f t="shared" si="40"/>
        <v>0</v>
      </c>
      <c r="O49" s="103">
        <f t="shared" si="40"/>
        <v>0</v>
      </c>
      <c r="P49" s="103">
        <f t="shared" si="40"/>
        <v>0</v>
      </c>
      <c r="Q49" s="103">
        <f t="shared" si="40"/>
        <v>0</v>
      </c>
      <c r="R49" s="103">
        <f t="shared" si="40"/>
        <v>0</v>
      </c>
      <c r="S49" s="103">
        <f t="shared" si="40"/>
        <v>0</v>
      </c>
      <c r="T49" s="103">
        <f t="shared" si="40"/>
        <v>0</v>
      </c>
      <c r="U49" s="103">
        <f t="shared" si="40"/>
        <v>0</v>
      </c>
      <c r="V49" s="103">
        <f t="shared" si="40"/>
        <v>0</v>
      </c>
      <c r="W49" s="103">
        <f t="shared" ref="W49:Y49" si="41">IF(W7=0,0,W7/W$3)</f>
        <v>0</v>
      </c>
      <c r="X49" s="103">
        <f t="shared" si="41"/>
        <v>0</v>
      </c>
      <c r="Y49" s="103">
        <f t="shared" si="41"/>
        <v>0</v>
      </c>
      <c r="DA49" s="191"/>
    </row>
    <row r="50" spans="1:105" ht="11.45" customHeight="1" x14ac:dyDescent="0.25">
      <c r="A50" s="83" t="s">
        <v>181</v>
      </c>
      <c r="B50" s="103">
        <f t="shared" ref="B50:C50" si="42">IF(B8=0,0,B8/B$3)</f>
        <v>0.18987271021878938</v>
      </c>
      <c r="C50" s="103">
        <f t="shared" si="42"/>
        <v>0.18964322778696935</v>
      </c>
      <c r="D50" s="103">
        <f t="shared" ref="D50:V50" si="43">IF(D8=0,0,D8/D$3)</f>
        <v>0.18756708799936767</v>
      </c>
      <c r="E50" s="103">
        <f t="shared" si="43"/>
        <v>0.18652904109058632</v>
      </c>
      <c r="F50" s="103">
        <f t="shared" si="43"/>
        <v>0.17714361777570484</v>
      </c>
      <c r="G50" s="103">
        <f t="shared" si="43"/>
        <v>0.17475485205303748</v>
      </c>
      <c r="H50" s="103">
        <f t="shared" si="43"/>
        <v>0.17562038257710036</v>
      </c>
      <c r="I50" s="103">
        <f t="shared" si="43"/>
        <v>0.18029009897260953</v>
      </c>
      <c r="J50" s="103">
        <f t="shared" si="43"/>
        <v>0.17367535618361302</v>
      </c>
      <c r="K50" s="103">
        <f t="shared" si="43"/>
        <v>0.17290054306744743</v>
      </c>
      <c r="L50" s="103">
        <f t="shared" si="43"/>
        <v>0.16662507773401319</v>
      </c>
      <c r="M50" s="103">
        <f t="shared" si="43"/>
        <v>0.17391122804670298</v>
      </c>
      <c r="N50" s="103">
        <f t="shared" si="43"/>
        <v>0.17717959930363153</v>
      </c>
      <c r="O50" s="103">
        <f t="shared" si="43"/>
        <v>0.17767720097955567</v>
      </c>
      <c r="P50" s="103">
        <f t="shared" si="43"/>
        <v>0.18201417408775283</v>
      </c>
      <c r="Q50" s="103">
        <f t="shared" si="43"/>
        <v>0.18469461707659499</v>
      </c>
      <c r="R50" s="103">
        <f t="shared" si="43"/>
        <v>0.19785290998503874</v>
      </c>
      <c r="S50" s="103">
        <f t="shared" si="43"/>
        <v>0.2011411952563619</v>
      </c>
      <c r="T50" s="103">
        <f t="shared" si="43"/>
        <v>0.19895149159405093</v>
      </c>
      <c r="U50" s="103">
        <f t="shared" si="43"/>
        <v>0.19567292499736194</v>
      </c>
      <c r="V50" s="103">
        <f t="shared" si="43"/>
        <v>0.12253080457320874</v>
      </c>
      <c r="W50" s="103">
        <f t="shared" ref="W50:Y50" si="44">IF(W8=0,0,W8/W$3)</f>
        <v>0.14093950106778458</v>
      </c>
      <c r="X50" s="103">
        <f t="shared" si="44"/>
        <v>0.18822607976250205</v>
      </c>
      <c r="Y50" s="103">
        <f t="shared" si="44"/>
        <v>0.19188416322292273</v>
      </c>
      <c r="DA50" s="191"/>
    </row>
    <row r="51" spans="1:105" ht="11.45" customHeight="1" x14ac:dyDescent="0.25">
      <c r="A51" s="83" t="s">
        <v>182</v>
      </c>
      <c r="B51" s="103">
        <f t="shared" ref="B51:C51" si="45">IF(B9=0,0,B9/B$3)</f>
        <v>0.64410938034028531</v>
      </c>
      <c r="C51" s="103">
        <f t="shared" si="45"/>
        <v>0.64333915412511111</v>
      </c>
      <c r="D51" s="103">
        <f t="shared" ref="D51:V51" si="46">IF(D9=0,0,D9/D$3)</f>
        <v>0.64114853006583994</v>
      </c>
      <c r="E51" s="103">
        <f t="shared" si="46"/>
        <v>0.62384428288708471</v>
      </c>
      <c r="F51" s="103">
        <f t="shared" si="46"/>
        <v>0.63772559680894381</v>
      </c>
      <c r="G51" s="103">
        <f t="shared" si="46"/>
        <v>0.63055662046061078</v>
      </c>
      <c r="H51" s="103">
        <f t="shared" si="46"/>
        <v>0.61134132699574573</v>
      </c>
      <c r="I51" s="103">
        <f t="shared" si="46"/>
        <v>0.61001467332667147</v>
      </c>
      <c r="J51" s="103">
        <f t="shared" si="46"/>
        <v>0.61406807041667333</v>
      </c>
      <c r="K51" s="103">
        <f t="shared" si="46"/>
        <v>0.64468042472746245</v>
      </c>
      <c r="L51" s="103">
        <f t="shared" si="46"/>
        <v>0.62963152915078768</v>
      </c>
      <c r="M51" s="103">
        <f t="shared" si="46"/>
        <v>0.64340658055570588</v>
      </c>
      <c r="N51" s="103">
        <f t="shared" si="46"/>
        <v>0.66675601783362581</v>
      </c>
      <c r="O51" s="103">
        <f t="shared" si="46"/>
        <v>0.66808329136684652</v>
      </c>
      <c r="P51" s="103">
        <f t="shared" si="46"/>
        <v>0.67448625122000117</v>
      </c>
      <c r="Q51" s="103">
        <f t="shared" si="46"/>
        <v>0.6746080705254569</v>
      </c>
      <c r="R51" s="103">
        <f t="shared" si="46"/>
        <v>0.67654202433656607</v>
      </c>
      <c r="S51" s="103">
        <f t="shared" si="46"/>
        <v>0.66580563371053303</v>
      </c>
      <c r="T51" s="103">
        <f t="shared" si="46"/>
        <v>0.67184884548223223</v>
      </c>
      <c r="U51" s="103">
        <f t="shared" si="46"/>
        <v>0.69030472884533578</v>
      </c>
      <c r="V51" s="103">
        <f t="shared" si="46"/>
        <v>0.58670259375198663</v>
      </c>
      <c r="W51" s="103">
        <f t="shared" ref="W51:Y51" si="47">IF(W9=0,0,W9/W$3)</f>
        <v>0.58888097655495408</v>
      </c>
      <c r="X51" s="103">
        <f t="shared" si="47"/>
        <v>0.62624314004762782</v>
      </c>
      <c r="Y51" s="103">
        <f t="shared" si="47"/>
        <v>0.65625581072086092</v>
      </c>
      <c r="DA51" s="191"/>
    </row>
    <row r="52" spans="1:105" ht="11.45" customHeight="1" x14ac:dyDescent="0.25">
      <c r="A52" s="12" t="s">
        <v>34</v>
      </c>
      <c r="B52" s="17">
        <f t="shared" ref="B52:C52" si="48">IF(B10=0,0,B10/B$3)</f>
        <v>0.16601790944092534</v>
      </c>
      <c r="C52" s="17">
        <f t="shared" si="48"/>
        <v>0.16701761808791954</v>
      </c>
      <c r="D52" s="17">
        <f t="shared" ref="D52:V52" si="49">IF(D10=0,0,D10/D$3)</f>
        <v>0.1712843819347924</v>
      </c>
      <c r="E52" s="17">
        <f t="shared" si="49"/>
        <v>0.18962667602232899</v>
      </c>
      <c r="F52" s="17">
        <f t="shared" si="49"/>
        <v>0.1851307854153513</v>
      </c>
      <c r="G52" s="17">
        <f t="shared" si="49"/>
        <v>0.19468852748635171</v>
      </c>
      <c r="H52" s="17">
        <f t="shared" si="49"/>
        <v>0.21303829042715394</v>
      </c>
      <c r="I52" s="17">
        <f t="shared" si="49"/>
        <v>0.20969522770071897</v>
      </c>
      <c r="J52" s="17">
        <f t="shared" si="49"/>
        <v>0.21225657339971368</v>
      </c>
      <c r="K52" s="17">
        <f t="shared" si="49"/>
        <v>0.18241903220509015</v>
      </c>
      <c r="L52" s="17">
        <f t="shared" si="49"/>
        <v>0.20374339311519918</v>
      </c>
      <c r="M52" s="17">
        <f t="shared" si="49"/>
        <v>0.18268219139759115</v>
      </c>
      <c r="N52" s="17">
        <f t="shared" si="49"/>
        <v>0.1560643828627426</v>
      </c>
      <c r="O52" s="17">
        <f t="shared" si="49"/>
        <v>0.15423950765359787</v>
      </c>
      <c r="P52" s="17">
        <f t="shared" si="49"/>
        <v>0.14349957469224606</v>
      </c>
      <c r="Q52" s="17">
        <f t="shared" si="49"/>
        <v>0.14069731239794819</v>
      </c>
      <c r="R52" s="17">
        <f t="shared" si="49"/>
        <v>0.1256050656783953</v>
      </c>
      <c r="S52" s="17">
        <f t="shared" si="49"/>
        <v>0.13305317103310516</v>
      </c>
      <c r="T52" s="17">
        <f t="shared" si="49"/>
        <v>0.12919966292371682</v>
      </c>
      <c r="U52" s="17">
        <f t="shared" si="49"/>
        <v>0.11402234615730233</v>
      </c>
      <c r="V52" s="17">
        <f t="shared" si="49"/>
        <v>0.29076660167480467</v>
      </c>
      <c r="W52" s="17">
        <f t="shared" ref="W52:Y52" si="50">IF(W10=0,0,W10/W$3)</f>
        <v>0.27017952237726134</v>
      </c>
      <c r="X52" s="17">
        <f t="shared" si="50"/>
        <v>0.18553078018987024</v>
      </c>
      <c r="Y52" s="17">
        <f t="shared" si="50"/>
        <v>0.15186002605621643</v>
      </c>
      <c r="DA52" s="194"/>
    </row>
    <row r="53" spans="1:105" ht="11.45" customHeight="1" x14ac:dyDescent="0.25">
      <c r="A53" s="92" t="s">
        <v>27</v>
      </c>
      <c r="B53" s="104">
        <f t="shared" ref="B53:C53" si="51">IF(B11=0,0,B11/B$3)</f>
        <v>0</v>
      </c>
      <c r="C53" s="104">
        <f t="shared" si="51"/>
        <v>0</v>
      </c>
      <c r="D53" s="104">
        <f t="shared" ref="D53:V53" si="52">IF(D11=0,0,D11/D$3)</f>
        <v>0</v>
      </c>
      <c r="E53" s="104">
        <f t="shared" si="52"/>
        <v>0</v>
      </c>
      <c r="F53" s="104">
        <f t="shared" si="52"/>
        <v>0</v>
      </c>
      <c r="G53" s="104">
        <f t="shared" si="52"/>
        <v>0</v>
      </c>
      <c r="H53" s="104">
        <f t="shared" si="52"/>
        <v>0</v>
      </c>
      <c r="I53" s="104">
        <f t="shared" si="52"/>
        <v>0</v>
      </c>
      <c r="J53" s="104">
        <f t="shared" si="52"/>
        <v>0</v>
      </c>
      <c r="K53" s="104">
        <f t="shared" si="52"/>
        <v>0</v>
      </c>
      <c r="L53" s="104">
        <f t="shared" si="52"/>
        <v>0</v>
      </c>
      <c r="M53" s="104">
        <f t="shared" si="52"/>
        <v>0</v>
      </c>
      <c r="N53" s="104">
        <f t="shared" si="52"/>
        <v>0</v>
      </c>
      <c r="O53" s="104">
        <f t="shared" si="52"/>
        <v>0</v>
      </c>
      <c r="P53" s="104">
        <f t="shared" si="52"/>
        <v>0</v>
      </c>
      <c r="Q53" s="104">
        <f t="shared" si="52"/>
        <v>0</v>
      </c>
      <c r="R53" s="104">
        <f t="shared" si="52"/>
        <v>0</v>
      </c>
      <c r="S53" s="104">
        <f t="shared" si="52"/>
        <v>0</v>
      </c>
      <c r="T53" s="104">
        <f t="shared" si="52"/>
        <v>0</v>
      </c>
      <c r="U53" s="104">
        <f t="shared" si="52"/>
        <v>0</v>
      </c>
      <c r="V53" s="104">
        <f t="shared" si="52"/>
        <v>0</v>
      </c>
      <c r="W53" s="104">
        <f t="shared" ref="W53:Y53" si="53">IF(W11=0,0,W11/W$3)</f>
        <v>0</v>
      </c>
      <c r="X53" s="104">
        <f t="shared" si="53"/>
        <v>0</v>
      </c>
      <c r="Y53" s="104">
        <f t="shared" si="53"/>
        <v>0</v>
      </c>
      <c r="DA53" s="195"/>
    </row>
    <row r="54" spans="1:105" ht="11.45" customHeight="1" x14ac:dyDescent="0.25">
      <c r="A54" s="92" t="s">
        <v>181</v>
      </c>
      <c r="B54" s="104">
        <f t="shared" ref="B54:C54" si="54">IF(B12=0,0,B12/B$3)</f>
        <v>3.6119433791992248E-3</v>
      </c>
      <c r="C54" s="104">
        <f t="shared" si="54"/>
        <v>4.8895101214217343E-3</v>
      </c>
      <c r="D54" s="104">
        <f t="shared" ref="D54:V54" si="55">IF(D12=0,0,D12/D$3)</f>
        <v>3.7815999215404816E-3</v>
      </c>
      <c r="E54" s="104">
        <f t="shared" si="55"/>
        <v>4.0309728799794407E-3</v>
      </c>
      <c r="F54" s="104">
        <f t="shared" si="55"/>
        <v>3.9957387970993834E-3</v>
      </c>
      <c r="G54" s="104">
        <f t="shared" si="55"/>
        <v>3.8988872184037523E-3</v>
      </c>
      <c r="H54" s="104">
        <f t="shared" si="55"/>
        <v>3.9541065830192195E-3</v>
      </c>
      <c r="I54" s="104">
        <f t="shared" si="55"/>
        <v>4.0543316813466236E-3</v>
      </c>
      <c r="J54" s="104">
        <f t="shared" si="55"/>
        <v>5.0493091623006001E-3</v>
      </c>
      <c r="K54" s="104">
        <f t="shared" si="55"/>
        <v>5.2865698076824397E-3</v>
      </c>
      <c r="L54" s="104">
        <f t="shared" si="55"/>
        <v>5.8108133942946921E-3</v>
      </c>
      <c r="M54" s="104">
        <f t="shared" si="55"/>
        <v>4.3700253569490333E-3</v>
      </c>
      <c r="N54" s="104">
        <f t="shared" si="55"/>
        <v>3.4526114406231156E-3</v>
      </c>
      <c r="O54" s="104">
        <f t="shared" si="55"/>
        <v>3.5534714176875233E-3</v>
      </c>
      <c r="P54" s="104">
        <f t="shared" si="55"/>
        <v>3.5466106989848378E-3</v>
      </c>
      <c r="Q54" s="104">
        <f t="shared" si="55"/>
        <v>3.5027721463486323E-3</v>
      </c>
      <c r="R54" s="104">
        <f t="shared" si="55"/>
        <v>3.5430444483217816E-3</v>
      </c>
      <c r="S54" s="104">
        <f t="shared" si="55"/>
        <v>3.1416227985580857E-3</v>
      </c>
      <c r="T54" s="104">
        <f t="shared" si="55"/>
        <v>2.4849899555000441E-3</v>
      </c>
      <c r="U54" s="104">
        <f t="shared" si="55"/>
        <v>2.3045383586221446E-3</v>
      </c>
      <c r="V54" s="104">
        <f t="shared" si="55"/>
        <v>3.6309538835421346E-3</v>
      </c>
      <c r="W54" s="104">
        <f t="shared" ref="W54:Y54" si="56">IF(W12=0,0,W12/W$3)</f>
        <v>3.8258425916536669E-3</v>
      </c>
      <c r="X54" s="104">
        <f t="shared" si="56"/>
        <v>2.7308831348203679E-3</v>
      </c>
      <c r="Y54" s="104">
        <f t="shared" si="56"/>
        <v>2.1984152585437177E-3</v>
      </c>
      <c r="DA54" s="195"/>
    </row>
    <row r="55" spans="1:105" ht="11.45" customHeight="1" x14ac:dyDescent="0.25">
      <c r="A55" s="85" t="s">
        <v>182</v>
      </c>
      <c r="B55" s="105">
        <f t="shared" ref="B55:C55" si="57">IF(B13=0,0,B13/B$3)</f>
        <v>0.16240596606172611</v>
      </c>
      <c r="C55" s="105">
        <f t="shared" si="57"/>
        <v>0.16212810796649782</v>
      </c>
      <c r="D55" s="105">
        <f t="shared" ref="D55:V55" si="58">IF(D13=0,0,D13/D$3)</f>
        <v>0.16750278201325192</v>
      </c>
      <c r="E55" s="105">
        <f t="shared" si="58"/>
        <v>0.18559570314234958</v>
      </c>
      <c r="F55" s="105">
        <f t="shared" si="58"/>
        <v>0.18113504661825192</v>
      </c>
      <c r="G55" s="105">
        <f t="shared" si="58"/>
        <v>0.19078964026794798</v>
      </c>
      <c r="H55" s="105">
        <f t="shared" si="58"/>
        <v>0.20908418384413471</v>
      </c>
      <c r="I55" s="105">
        <f t="shared" si="58"/>
        <v>0.20564089601937235</v>
      </c>
      <c r="J55" s="105">
        <f t="shared" si="58"/>
        <v>0.20720726423741309</v>
      </c>
      <c r="K55" s="105">
        <f t="shared" si="58"/>
        <v>0.17713246239740771</v>
      </c>
      <c r="L55" s="105">
        <f t="shared" si="58"/>
        <v>0.19793257972090447</v>
      </c>
      <c r="M55" s="105">
        <f t="shared" si="58"/>
        <v>0.17831216604064212</v>
      </c>
      <c r="N55" s="105">
        <f t="shared" si="58"/>
        <v>0.15261177142211951</v>
      </c>
      <c r="O55" s="105">
        <f t="shared" si="58"/>
        <v>0.15068603623591034</v>
      </c>
      <c r="P55" s="105">
        <f t="shared" si="58"/>
        <v>0.13995296399326121</v>
      </c>
      <c r="Q55" s="105">
        <f t="shared" si="58"/>
        <v>0.13719454025159955</v>
      </c>
      <c r="R55" s="105">
        <f t="shared" si="58"/>
        <v>0.12206202123007352</v>
      </c>
      <c r="S55" s="105">
        <f t="shared" si="58"/>
        <v>0.12991154823454709</v>
      </c>
      <c r="T55" s="105">
        <f t="shared" si="58"/>
        <v>0.12671467296821676</v>
      </c>
      <c r="U55" s="105">
        <f t="shared" si="58"/>
        <v>0.11171780779868019</v>
      </c>
      <c r="V55" s="105">
        <f t="shared" si="58"/>
        <v>0.28713564779126255</v>
      </c>
      <c r="W55" s="105">
        <f t="shared" ref="W55:Y55" si="59">IF(W13=0,0,W13/W$3)</f>
        <v>0.2663536797856077</v>
      </c>
      <c r="X55" s="105">
        <f t="shared" si="59"/>
        <v>0.18279989705504984</v>
      </c>
      <c r="Y55" s="105">
        <f t="shared" si="59"/>
        <v>0.14966161079767271</v>
      </c>
      <c r="DA55" s="192"/>
    </row>
    <row r="56" spans="1:105" x14ac:dyDescent="0.25">
      <c r="A56" s="50"/>
      <c r="B56" s="50"/>
      <c r="C56" s="50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DA56" s="181"/>
    </row>
    <row r="57" spans="1:105" ht="11.45" customHeight="1" x14ac:dyDescent="0.25">
      <c r="A57" s="53" t="s">
        <v>76</v>
      </c>
      <c r="B57" s="62">
        <v>644.38207967300502</v>
      </c>
      <c r="C57" s="62">
        <v>643.9725746766278</v>
      </c>
      <c r="D57" s="62">
        <v>645.93913996614151</v>
      </c>
      <c r="E57" s="62">
        <v>646.77671931435145</v>
      </c>
      <c r="F57" s="62">
        <v>652.03322806039648</v>
      </c>
      <c r="G57" s="62">
        <v>654.6087275861471</v>
      </c>
      <c r="H57" s="62">
        <v>653.58609864216589</v>
      </c>
      <c r="I57" s="62">
        <v>652.90996240233494</v>
      </c>
      <c r="J57" s="62">
        <v>659.57627201434548</v>
      </c>
      <c r="K57" s="62">
        <v>652.75043060071812</v>
      </c>
      <c r="L57" s="62">
        <v>656.55869669590231</v>
      </c>
      <c r="M57" s="62">
        <v>647.67416843846206</v>
      </c>
      <c r="N57" s="62">
        <v>644.38383661383648</v>
      </c>
      <c r="O57" s="62">
        <v>633.54823103944204</v>
      </c>
      <c r="P57" s="62">
        <v>628.41832675946819</v>
      </c>
      <c r="Q57" s="62">
        <v>626.93225235937985</v>
      </c>
      <c r="R57" s="62">
        <v>617.84422126918469</v>
      </c>
      <c r="S57" s="62">
        <v>613.842388317124</v>
      </c>
      <c r="T57" s="62">
        <v>609.84245983736253</v>
      </c>
      <c r="U57" s="62">
        <v>609.51377230462322</v>
      </c>
      <c r="V57" s="62">
        <v>652.72689684512</v>
      </c>
      <c r="W57" s="62">
        <v>637.42053178914284</v>
      </c>
      <c r="X57" s="62">
        <v>610.11789554974337</v>
      </c>
      <c r="Y57" s="62">
        <v>617.45865316632592</v>
      </c>
      <c r="DA57" s="172" t="s">
        <v>314</v>
      </c>
    </row>
    <row r="58" spans="1:105" ht="11.45" customHeight="1" x14ac:dyDescent="0.25">
      <c r="A58" s="10" t="s">
        <v>33</v>
      </c>
      <c r="B58" s="14">
        <v>622.75539794839676</v>
      </c>
      <c r="C58" s="14">
        <v>622.75664559610141</v>
      </c>
      <c r="D58" s="14">
        <v>623.75792609448013</v>
      </c>
      <c r="E58" s="14">
        <v>621.86919661685204</v>
      </c>
      <c r="F58" s="14">
        <v>628.66298765965848</v>
      </c>
      <c r="G58" s="14">
        <v>629.82277668927861</v>
      </c>
      <c r="H58" s="14">
        <v>623.17072569171899</v>
      </c>
      <c r="I58" s="14">
        <v>620.96523364435814</v>
      </c>
      <c r="J58" s="14">
        <v>627.09102274893871</v>
      </c>
      <c r="K58" s="14">
        <v>624.82519077905056</v>
      </c>
      <c r="L58" s="14">
        <v>624.23276467162134</v>
      </c>
      <c r="M58" s="14">
        <v>619.86280846145712</v>
      </c>
      <c r="N58" s="14">
        <v>622.52942265689342</v>
      </c>
      <c r="O58" s="14">
        <v>613.38141652499337</v>
      </c>
      <c r="P58" s="14">
        <v>609.89659960395329</v>
      </c>
      <c r="Q58" s="14">
        <v>608.95854751998206</v>
      </c>
      <c r="R58" s="14">
        <v>601.45536667181386</v>
      </c>
      <c r="S58" s="14">
        <v>596.00975915363426</v>
      </c>
      <c r="T58" s="14">
        <v>592.77881298108775</v>
      </c>
      <c r="U58" s="14">
        <v>595.03597790343576</v>
      </c>
      <c r="V58" s="14">
        <v>617.63369183189218</v>
      </c>
      <c r="W58" s="14">
        <v>598.31440637654225</v>
      </c>
      <c r="X58" s="14">
        <v>579.29760429334954</v>
      </c>
      <c r="Y58" s="14">
        <v>591.61283569326235</v>
      </c>
      <c r="DA58" s="189" t="s">
        <v>315</v>
      </c>
    </row>
    <row r="59" spans="1:105" ht="11.45" customHeight="1" x14ac:dyDescent="0.25">
      <c r="A59" s="83" t="s">
        <v>27</v>
      </c>
      <c r="B59" s="87">
        <v>0</v>
      </c>
      <c r="C59" s="87">
        <v>0</v>
      </c>
      <c r="D59" s="87">
        <v>0</v>
      </c>
      <c r="E59" s="87">
        <v>0</v>
      </c>
      <c r="F59" s="87">
        <v>0</v>
      </c>
      <c r="G59" s="87">
        <v>0</v>
      </c>
      <c r="H59" s="87">
        <v>0</v>
      </c>
      <c r="I59" s="87">
        <v>0</v>
      </c>
      <c r="J59" s="87">
        <v>0</v>
      </c>
      <c r="K59" s="87">
        <v>0</v>
      </c>
      <c r="L59" s="87">
        <v>0</v>
      </c>
      <c r="M59" s="87">
        <v>0</v>
      </c>
      <c r="N59" s="87">
        <v>0</v>
      </c>
      <c r="O59" s="87">
        <v>0</v>
      </c>
      <c r="P59" s="87">
        <v>0</v>
      </c>
      <c r="Q59" s="87">
        <v>0</v>
      </c>
      <c r="R59" s="87">
        <v>0</v>
      </c>
      <c r="S59" s="87">
        <v>0</v>
      </c>
      <c r="T59" s="87">
        <v>0</v>
      </c>
      <c r="U59" s="87">
        <v>0</v>
      </c>
      <c r="V59" s="87">
        <v>0</v>
      </c>
      <c r="W59" s="87">
        <v>0</v>
      </c>
      <c r="X59" s="87">
        <v>0</v>
      </c>
      <c r="Y59" s="87">
        <v>0</v>
      </c>
      <c r="DA59" s="171" t="s">
        <v>316</v>
      </c>
    </row>
    <row r="60" spans="1:105" ht="11.45" customHeight="1" x14ac:dyDescent="0.25">
      <c r="A60" s="83" t="s">
        <v>181</v>
      </c>
      <c r="B60" s="87">
        <v>370.30584908495445</v>
      </c>
      <c r="C60" s="87">
        <v>370.3058288725336</v>
      </c>
      <c r="D60" s="87">
        <v>370.7182480660955</v>
      </c>
      <c r="E60" s="87">
        <v>371.21130915748222</v>
      </c>
      <c r="F60" s="87">
        <v>370.15158026075522</v>
      </c>
      <c r="G60" s="87">
        <v>368.92847972924312</v>
      </c>
      <c r="H60" s="87">
        <v>367.71651827786241</v>
      </c>
      <c r="I60" s="87">
        <v>366.83084399451127</v>
      </c>
      <c r="J60" s="87">
        <v>366.34855782961296</v>
      </c>
      <c r="K60" s="87">
        <v>366.09055187877328</v>
      </c>
      <c r="L60" s="87">
        <v>363.39105935614538</v>
      </c>
      <c r="M60" s="87">
        <v>361.98836905553048</v>
      </c>
      <c r="N60" s="87">
        <v>362.90821978583102</v>
      </c>
      <c r="O60" s="87">
        <v>362.94289493630208</v>
      </c>
      <c r="P60" s="87">
        <v>362.56171346423639</v>
      </c>
      <c r="Q60" s="87">
        <v>362.48449188733673</v>
      </c>
      <c r="R60" s="87">
        <v>359.310407703301</v>
      </c>
      <c r="S60" s="87">
        <v>355.93240523510616</v>
      </c>
      <c r="T60" s="87">
        <v>354.64543314707828</v>
      </c>
      <c r="U60" s="87">
        <v>354.98319869788702</v>
      </c>
      <c r="V60" s="87">
        <v>351.25792099501854</v>
      </c>
      <c r="W60" s="87">
        <v>340.40205443524457</v>
      </c>
      <c r="X60" s="87">
        <v>346.82862298512816</v>
      </c>
      <c r="Y60" s="87">
        <v>347.83211227086099</v>
      </c>
      <c r="DA60" s="171" t="s">
        <v>317</v>
      </c>
    </row>
    <row r="61" spans="1:105" ht="11.45" customHeight="1" x14ac:dyDescent="0.25">
      <c r="A61" s="83" t="s">
        <v>182</v>
      </c>
      <c r="B61" s="87">
        <v>786.86908076794828</v>
      </c>
      <c r="C61" s="87">
        <v>786.86908076794828</v>
      </c>
      <c r="D61" s="87">
        <v>786.86908076794828</v>
      </c>
      <c r="E61" s="87">
        <v>786.86908076794816</v>
      </c>
      <c r="F61" s="87">
        <v>786.86908076794828</v>
      </c>
      <c r="G61" s="87">
        <v>787.86148298117803</v>
      </c>
      <c r="H61" s="87">
        <v>791.99895692511791</v>
      </c>
      <c r="I61" s="87">
        <v>792.94034450786205</v>
      </c>
      <c r="J61" s="87">
        <v>790.20642662814794</v>
      </c>
      <c r="K61" s="87">
        <v>783.91639445721864</v>
      </c>
      <c r="L61" s="87">
        <v>778.11722896598405</v>
      </c>
      <c r="M61" s="87">
        <v>780.78735128961569</v>
      </c>
      <c r="N61" s="87">
        <v>781.37824923744074</v>
      </c>
      <c r="O61" s="87">
        <v>764.29408969077906</v>
      </c>
      <c r="P61" s="87">
        <v>762.71846227881952</v>
      </c>
      <c r="Q61" s="87">
        <v>762.31925212378758</v>
      </c>
      <c r="R61" s="87">
        <v>765.0705523419017</v>
      </c>
      <c r="S61" s="87">
        <v>764.71932722718429</v>
      </c>
      <c r="T61" s="87">
        <v>758.79609680604199</v>
      </c>
      <c r="U61" s="87">
        <v>757.20207660362053</v>
      </c>
      <c r="V61" s="87">
        <v>788.19722250280859</v>
      </c>
      <c r="W61" s="87">
        <v>770.32758285280227</v>
      </c>
      <c r="X61" s="87">
        <v>761.03272296127307</v>
      </c>
      <c r="Y61" s="87">
        <v>770.53743361180148</v>
      </c>
      <c r="DA61" s="171" t="s">
        <v>318</v>
      </c>
    </row>
    <row r="62" spans="1:105" ht="11.45" customHeight="1" x14ac:dyDescent="0.25">
      <c r="A62" s="12" t="s">
        <v>34</v>
      </c>
      <c r="B62" s="15">
        <v>765.87442796595963</v>
      </c>
      <c r="C62" s="15">
        <v>761.73186514585052</v>
      </c>
      <c r="D62" s="15">
        <v>765.73954673932747</v>
      </c>
      <c r="E62" s="15">
        <v>766.02515613896605</v>
      </c>
      <c r="F62" s="15">
        <v>765.87105583222899</v>
      </c>
      <c r="G62" s="15">
        <v>767.83592385289455</v>
      </c>
      <c r="H62" s="15">
        <v>782.58709934617355</v>
      </c>
      <c r="I62" s="15">
        <v>793.35773877457223</v>
      </c>
      <c r="J62" s="15">
        <v>798.82907583893075</v>
      </c>
      <c r="K62" s="15">
        <v>799.17794119939254</v>
      </c>
      <c r="L62" s="15">
        <v>804.70991456165882</v>
      </c>
      <c r="M62" s="15">
        <v>793.22660385984273</v>
      </c>
      <c r="N62" s="15">
        <v>779.63396337665495</v>
      </c>
      <c r="O62" s="15">
        <v>758.70066456865402</v>
      </c>
      <c r="P62" s="15">
        <v>753.69945554020921</v>
      </c>
      <c r="Q62" s="15">
        <v>750.88593115903802</v>
      </c>
      <c r="R62" s="15">
        <v>748.00945066494467</v>
      </c>
      <c r="S62" s="15">
        <v>747.61619117767589</v>
      </c>
      <c r="T62" s="15">
        <v>742.48222561559317</v>
      </c>
      <c r="U62" s="15">
        <v>738.33681878178413</v>
      </c>
      <c r="V62" s="15">
        <v>752.2275148619342</v>
      </c>
      <c r="W62" s="15">
        <v>764.06001469879959</v>
      </c>
      <c r="X62" s="15">
        <v>781.18342592569923</v>
      </c>
      <c r="Y62" s="15">
        <v>797.87250088955511</v>
      </c>
      <c r="DA62" s="193" t="s">
        <v>319</v>
      </c>
    </row>
    <row r="63" spans="1:105" ht="11.45" customHeight="1" x14ac:dyDescent="0.25">
      <c r="A63" s="92" t="s">
        <v>27</v>
      </c>
      <c r="B63" s="101">
        <v>0</v>
      </c>
      <c r="C63" s="101">
        <v>0</v>
      </c>
      <c r="D63" s="101">
        <v>0</v>
      </c>
      <c r="E63" s="101">
        <v>0</v>
      </c>
      <c r="F63" s="101">
        <v>0</v>
      </c>
      <c r="G63" s="101">
        <v>0</v>
      </c>
      <c r="H63" s="101">
        <v>0</v>
      </c>
      <c r="I63" s="101">
        <v>0</v>
      </c>
      <c r="J63" s="101">
        <v>0</v>
      </c>
      <c r="K63" s="101">
        <v>0</v>
      </c>
      <c r="L63" s="101">
        <v>0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0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DA63" s="175" t="s">
        <v>320</v>
      </c>
    </row>
    <row r="64" spans="1:105" ht="11.45" customHeight="1" x14ac:dyDescent="0.25">
      <c r="A64" s="92" t="s">
        <v>181</v>
      </c>
      <c r="B64" s="101">
        <v>426.96845054710639</v>
      </c>
      <c r="C64" s="101">
        <v>428.67881819684158</v>
      </c>
      <c r="D64" s="101">
        <v>427.99396492088533</v>
      </c>
      <c r="E64" s="101">
        <v>425.39868275235858</v>
      </c>
      <c r="F64" s="101">
        <v>428.27931848849846</v>
      </c>
      <c r="G64" s="101">
        <v>429.06689613028902</v>
      </c>
      <c r="H64" s="101">
        <v>427.55155845306535</v>
      </c>
      <c r="I64" s="101">
        <v>425.2532689842289</v>
      </c>
      <c r="J64" s="101">
        <v>430.078646084946</v>
      </c>
      <c r="K64" s="101">
        <v>429.01174332530883</v>
      </c>
      <c r="L64" s="101">
        <v>426.75741407001203</v>
      </c>
      <c r="M64" s="101">
        <v>421.13415951342296</v>
      </c>
      <c r="N64" s="101">
        <v>434.56788197307742</v>
      </c>
      <c r="O64" s="101">
        <v>427.65460086045158</v>
      </c>
      <c r="P64" s="101">
        <v>427.54152840333626</v>
      </c>
      <c r="Q64" s="101">
        <v>425.67584181074074</v>
      </c>
      <c r="R64" s="101">
        <v>411.88497330442738</v>
      </c>
      <c r="S64" s="101">
        <v>397.24997439576867</v>
      </c>
      <c r="T64" s="101">
        <v>396.10346170094948</v>
      </c>
      <c r="U64" s="101">
        <v>395.93717675922426</v>
      </c>
      <c r="V64" s="101">
        <v>412.20874219839709</v>
      </c>
      <c r="W64" s="101">
        <v>403.63395076401292</v>
      </c>
      <c r="X64" s="101">
        <v>394.48475559768525</v>
      </c>
      <c r="Y64" s="101">
        <v>384.62995625239057</v>
      </c>
      <c r="DA64" s="175" t="s">
        <v>321</v>
      </c>
    </row>
    <row r="65" spans="1:105" ht="11.45" customHeight="1" x14ac:dyDescent="0.25">
      <c r="A65" s="85" t="s">
        <v>182</v>
      </c>
      <c r="B65" s="88">
        <v>778.52731700891684</v>
      </c>
      <c r="C65" s="88">
        <v>778.52731700891684</v>
      </c>
      <c r="D65" s="88">
        <v>778.52731700891695</v>
      </c>
      <c r="E65" s="88">
        <v>778.52731700891695</v>
      </c>
      <c r="F65" s="88">
        <v>778.52731700891684</v>
      </c>
      <c r="G65" s="88">
        <v>779.51679106714118</v>
      </c>
      <c r="H65" s="88">
        <v>794.63069855710569</v>
      </c>
      <c r="I65" s="88">
        <v>806.40718242189962</v>
      </c>
      <c r="J65" s="88">
        <v>814.53411547407472</v>
      </c>
      <c r="K65" s="88">
        <v>819.2798687195301</v>
      </c>
      <c r="L65" s="88">
        <v>824.54014991747727</v>
      </c>
      <c r="M65" s="88">
        <v>810.25916039161314</v>
      </c>
      <c r="N65" s="88">
        <v>793.38332863270432</v>
      </c>
      <c r="O65" s="88">
        <v>772.39033400002722</v>
      </c>
      <c r="P65" s="88">
        <v>768.47201672371011</v>
      </c>
      <c r="Q65" s="88">
        <v>765.72919673624324</v>
      </c>
      <c r="R65" s="88">
        <v>766.13251850357346</v>
      </c>
      <c r="S65" s="88">
        <v>763.47383154986801</v>
      </c>
      <c r="T65" s="88">
        <v>755.33441164102874</v>
      </c>
      <c r="U65" s="88">
        <v>752.05952091018355</v>
      </c>
      <c r="V65" s="88">
        <v>761.86762313909071</v>
      </c>
      <c r="W65" s="88">
        <v>775.07936392069723</v>
      </c>
      <c r="X65" s="88">
        <v>793.61080841238299</v>
      </c>
      <c r="Y65" s="88">
        <v>811.01960178911736</v>
      </c>
      <c r="DA65" s="178" t="s">
        <v>322</v>
      </c>
    </row>
    <row r="66" spans="1:105" x14ac:dyDescent="0.25">
      <c r="A66" s="50"/>
      <c r="B66" s="50"/>
      <c r="C66" s="50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DA66" s="181"/>
    </row>
    <row r="67" spans="1:105" ht="11.45" customHeight="1" x14ac:dyDescent="0.25">
      <c r="A67" s="53" t="s">
        <v>77</v>
      </c>
      <c r="B67" s="59">
        <f t="shared" ref="B67" si="60">IF(B3=0,0,B17/B57)</f>
        <v>1.1763726934564178</v>
      </c>
      <c r="C67" s="59">
        <f t="shared" ref="C67:W67" si="61">IF(C3=0,0,C17/C57)</f>
        <v>1.1737924269177806</v>
      </c>
      <c r="D67" s="59">
        <f t="shared" si="61"/>
        <v>1.1844378709492311</v>
      </c>
      <c r="E67" s="59">
        <f t="shared" si="61"/>
        <v>1.1521243078789623</v>
      </c>
      <c r="F67" s="59">
        <f t="shared" si="61"/>
        <v>1.1431209712235597</v>
      </c>
      <c r="G67" s="59">
        <f t="shared" si="61"/>
        <v>1.1306333831670425</v>
      </c>
      <c r="H67" s="59">
        <f t="shared" si="61"/>
        <v>1.1006784284726101</v>
      </c>
      <c r="I67" s="59">
        <f t="shared" si="61"/>
        <v>1.0893996670654909</v>
      </c>
      <c r="J67" s="59">
        <f t="shared" si="61"/>
        <v>1.0619932610188179</v>
      </c>
      <c r="K67" s="59">
        <f t="shared" si="61"/>
        <v>1.1252599580177329</v>
      </c>
      <c r="L67" s="59">
        <f t="shared" si="61"/>
        <v>1.0488039922653576</v>
      </c>
      <c r="M67" s="59">
        <f t="shared" si="61"/>
        <v>1.0512709413990113</v>
      </c>
      <c r="N67" s="59">
        <f t="shared" si="61"/>
        <v>1.0320556544499004</v>
      </c>
      <c r="O67" s="59">
        <f t="shared" si="61"/>
        <v>1.0479250171039889</v>
      </c>
      <c r="P67" s="59">
        <f t="shared" si="61"/>
        <v>1.0859159539815553</v>
      </c>
      <c r="Q67" s="59">
        <f t="shared" si="61"/>
        <v>1.1140908111302368</v>
      </c>
      <c r="R67" s="59">
        <f t="shared" si="61"/>
        <v>1.122159912527861</v>
      </c>
      <c r="S67" s="59">
        <f t="shared" si="61"/>
        <v>1.1060713367141981</v>
      </c>
      <c r="T67" s="59">
        <f t="shared" si="61"/>
        <v>1.0971099292836821</v>
      </c>
      <c r="U67" s="59">
        <f t="shared" si="61"/>
        <v>1.0778989197717948</v>
      </c>
      <c r="V67" s="59">
        <f t="shared" si="61"/>
        <v>1.0509131077293654</v>
      </c>
      <c r="W67" s="59">
        <f t="shared" si="61"/>
        <v>0.96579672058093891</v>
      </c>
      <c r="X67" s="59">
        <f t="shared" ref="X67:Y67" si="62">IF(X3=0,0,X17/X57)</f>
        <v>1.0039431210949319</v>
      </c>
      <c r="Y67" s="59">
        <f t="shared" si="62"/>
        <v>0.98009639140904581</v>
      </c>
      <c r="DA67" s="172"/>
    </row>
    <row r="68" spans="1:105" ht="11.45" customHeight="1" x14ac:dyDescent="0.25">
      <c r="A68" s="10" t="s">
        <v>33</v>
      </c>
      <c r="B68" s="23">
        <f t="shared" ref="B68:B75" si="63">IF(B6=0,0,B18/B58)</f>
        <v>1.1958482449966774</v>
      </c>
      <c r="C68" s="23">
        <f t="shared" ref="C68:W68" si="64">IF(C6=0,0,C18/C58)</f>
        <v>1.1932139142375384</v>
      </c>
      <c r="D68" s="23">
        <f t="shared" si="64"/>
        <v>1.204667430231052</v>
      </c>
      <c r="E68" s="23">
        <f t="shared" si="64"/>
        <v>1.1738692231655716</v>
      </c>
      <c r="F68" s="23">
        <f t="shared" si="64"/>
        <v>1.1644611095191166</v>
      </c>
      <c r="G68" s="23">
        <f t="shared" si="64"/>
        <v>1.1535032576372861</v>
      </c>
      <c r="H68" s="23">
        <f t="shared" si="64"/>
        <v>1.1226636632735689</v>
      </c>
      <c r="I68" s="23">
        <f t="shared" si="64"/>
        <v>1.1111466090979827</v>
      </c>
      <c r="J68" s="23">
        <f t="shared" si="64"/>
        <v>1.085184484293412</v>
      </c>
      <c r="K68" s="23">
        <f t="shared" si="64"/>
        <v>1.1444014470847073</v>
      </c>
      <c r="L68" s="23">
        <f t="shared" si="64"/>
        <v>1.0700187229040778</v>
      </c>
      <c r="M68" s="23">
        <f t="shared" si="64"/>
        <v>1.0693147272963828</v>
      </c>
      <c r="N68" s="23">
        <f t="shared" si="64"/>
        <v>1.0472448810876032</v>
      </c>
      <c r="O68" s="23">
        <f t="shared" si="64"/>
        <v>1.0629443172432291</v>
      </c>
      <c r="P68" s="23">
        <f t="shared" si="64"/>
        <v>1.1000141714826539</v>
      </c>
      <c r="Q68" s="23">
        <f t="shared" si="64"/>
        <v>1.1285126207759399</v>
      </c>
      <c r="R68" s="23">
        <f t="shared" si="64"/>
        <v>1.1348563838111112</v>
      </c>
      <c r="S68" s="23">
        <f t="shared" si="64"/>
        <v>1.1192462761290494</v>
      </c>
      <c r="T68" s="23">
        <f t="shared" si="64"/>
        <v>1.1093067973606932</v>
      </c>
      <c r="U68" s="23">
        <f t="shared" si="64"/>
        <v>1.0881688161957215</v>
      </c>
      <c r="V68" s="23">
        <f t="shared" si="64"/>
        <v>1.0655059241787155</v>
      </c>
      <c r="W68" s="23">
        <f t="shared" si="64"/>
        <v>0.98281383388124655</v>
      </c>
      <c r="X68" s="23">
        <f t="shared" ref="X68:Y68" si="65">IF(X6=0,0,X18/X58)</f>
        <v>1.0163402544684004</v>
      </c>
      <c r="Y68" s="23">
        <f t="shared" si="65"/>
        <v>0.99186155161072198</v>
      </c>
      <c r="DA68" s="189"/>
    </row>
    <row r="69" spans="1:105" ht="11.45" customHeight="1" x14ac:dyDescent="0.25">
      <c r="A69" s="83" t="s">
        <v>27</v>
      </c>
      <c r="B69" s="91">
        <f t="shared" si="63"/>
        <v>0</v>
      </c>
      <c r="C69" s="91">
        <f t="shared" ref="C69:W69" si="66">IF(C7=0,0,C19/C59)</f>
        <v>0</v>
      </c>
      <c r="D69" s="91">
        <f t="shared" si="66"/>
        <v>0</v>
      </c>
      <c r="E69" s="91">
        <f t="shared" si="66"/>
        <v>0</v>
      </c>
      <c r="F69" s="91">
        <f t="shared" si="66"/>
        <v>0</v>
      </c>
      <c r="G69" s="91">
        <f t="shared" si="66"/>
        <v>0</v>
      </c>
      <c r="H69" s="91">
        <f t="shared" si="66"/>
        <v>0</v>
      </c>
      <c r="I69" s="91">
        <f t="shared" si="66"/>
        <v>0</v>
      </c>
      <c r="J69" s="91">
        <f t="shared" si="66"/>
        <v>0</v>
      </c>
      <c r="K69" s="91">
        <f t="shared" si="66"/>
        <v>0</v>
      </c>
      <c r="L69" s="91">
        <f t="shared" si="66"/>
        <v>0</v>
      </c>
      <c r="M69" s="91">
        <f t="shared" si="66"/>
        <v>0</v>
      </c>
      <c r="N69" s="91">
        <f t="shared" si="66"/>
        <v>0</v>
      </c>
      <c r="O69" s="91">
        <f t="shared" si="66"/>
        <v>0</v>
      </c>
      <c r="P69" s="91">
        <f t="shared" si="66"/>
        <v>0</v>
      </c>
      <c r="Q69" s="91">
        <f t="shared" si="66"/>
        <v>0</v>
      </c>
      <c r="R69" s="91">
        <f t="shared" si="66"/>
        <v>0</v>
      </c>
      <c r="S69" s="91">
        <f t="shared" si="66"/>
        <v>0</v>
      </c>
      <c r="T69" s="91">
        <f t="shared" si="66"/>
        <v>0</v>
      </c>
      <c r="U69" s="91">
        <f t="shared" si="66"/>
        <v>0</v>
      </c>
      <c r="V69" s="91">
        <f t="shared" si="66"/>
        <v>0</v>
      </c>
      <c r="W69" s="91">
        <f t="shared" si="66"/>
        <v>0</v>
      </c>
      <c r="X69" s="91">
        <f t="shared" ref="X69:Y69" si="67">IF(X7=0,0,X19/X59)</f>
        <v>0</v>
      </c>
      <c r="Y69" s="91">
        <f t="shared" si="67"/>
        <v>0</v>
      </c>
      <c r="DA69" s="171"/>
    </row>
    <row r="70" spans="1:105" ht="11.45" customHeight="1" x14ac:dyDescent="0.25">
      <c r="A70" s="83" t="s">
        <v>181</v>
      </c>
      <c r="B70" s="91">
        <f t="shared" si="63"/>
        <v>1.1621841997220481</v>
      </c>
      <c r="C70" s="91">
        <f t="shared" ref="C70:W70" si="68">IF(C8=0,0,C20/C60)</f>
        <v>1.159623797978655</v>
      </c>
      <c r="D70" s="91">
        <f t="shared" si="68"/>
        <v>1.170462489366527</v>
      </c>
      <c r="E70" s="91">
        <f t="shared" si="68"/>
        <v>1.1402790615835123</v>
      </c>
      <c r="F70" s="91">
        <f t="shared" si="68"/>
        <v>1.1324509644359717</v>
      </c>
      <c r="G70" s="91">
        <f t="shared" si="68"/>
        <v>1.1327693022697307</v>
      </c>
      <c r="H70" s="91">
        <f t="shared" si="68"/>
        <v>1.0670256842856829</v>
      </c>
      <c r="I70" s="91">
        <f t="shared" si="68"/>
        <v>1.0631773061649532</v>
      </c>
      <c r="J70" s="91">
        <f t="shared" si="68"/>
        <v>1.064188000840927</v>
      </c>
      <c r="K70" s="91">
        <f t="shared" si="68"/>
        <v>1.0848335858842826</v>
      </c>
      <c r="L70" s="91">
        <f t="shared" si="68"/>
        <v>1.0366154534019667</v>
      </c>
      <c r="M70" s="91">
        <f t="shared" si="68"/>
        <v>1.0139732661581644</v>
      </c>
      <c r="N70" s="91">
        <f t="shared" si="68"/>
        <v>0.99356451240971555</v>
      </c>
      <c r="O70" s="91">
        <f t="shared" si="68"/>
        <v>1.0036585473029127</v>
      </c>
      <c r="P70" s="91">
        <f t="shared" si="68"/>
        <v>1.0296623550483808</v>
      </c>
      <c r="Q70" s="91">
        <f t="shared" si="68"/>
        <v>1.0623784202499418</v>
      </c>
      <c r="R70" s="91">
        <f t="shared" si="68"/>
        <v>1.0659948307395162</v>
      </c>
      <c r="S70" s="91">
        <f t="shared" si="68"/>
        <v>1.0536038370806282</v>
      </c>
      <c r="T70" s="91">
        <f t="shared" si="68"/>
        <v>1.0312609628699589</v>
      </c>
      <c r="U70" s="91">
        <f t="shared" si="68"/>
        <v>0.99917613661544546</v>
      </c>
      <c r="V70" s="91">
        <f t="shared" si="68"/>
        <v>0.82918561686240788</v>
      </c>
      <c r="W70" s="91">
        <f t="shared" si="68"/>
        <v>0.83379013261709622</v>
      </c>
      <c r="X70" s="91">
        <f t="shared" ref="X70:Y70" si="69">IF(X8=0,0,X20/X60)</f>
        <v>0.89414218162218317</v>
      </c>
      <c r="Y70" s="91">
        <f t="shared" si="69"/>
        <v>0.90169203764669903</v>
      </c>
      <c r="DA70" s="171"/>
    </row>
    <row r="71" spans="1:105" ht="11.45" customHeight="1" x14ac:dyDescent="0.25">
      <c r="A71" s="83" t="s">
        <v>182</v>
      </c>
      <c r="B71" s="91">
        <f t="shared" si="63"/>
        <v>1.2061472338038646</v>
      </c>
      <c r="C71" s="91">
        <f t="shared" ref="C71:W71" si="70">IF(C9=0,0,C21/C61)</f>
        <v>1.2034901553221311</v>
      </c>
      <c r="D71" s="91">
        <f t="shared" si="70"/>
        <v>1.2150552729005917</v>
      </c>
      <c r="E71" s="91">
        <f t="shared" si="70"/>
        <v>1.1843003944179651</v>
      </c>
      <c r="F71" s="91">
        <f t="shared" si="70"/>
        <v>1.1736763837498778</v>
      </c>
      <c r="G71" s="91">
        <f t="shared" si="70"/>
        <v>1.1593845579026425</v>
      </c>
      <c r="H71" s="91">
        <f t="shared" si="70"/>
        <v>1.1397359574805732</v>
      </c>
      <c r="I71" s="91">
        <f t="shared" si="70"/>
        <v>1.1261638759270405</v>
      </c>
      <c r="J71" s="91">
        <f t="shared" si="70"/>
        <v>1.0912740132762826</v>
      </c>
      <c r="K71" s="91">
        <f t="shared" si="70"/>
        <v>1.1615064192979996</v>
      </c>
      <c r="L71" s="91">
        <f t="shared" si="70"/>
        <v>1.07922186081659</v>
      </c>
      <c r="M71" s="91">
        <f t="shared" si="70"/>
        <v>1.0853260221705954</v>
      </c>
      <c r="N71" s="91">
        <f t="shared" si="70"/>
        <v>1.0624992705527327</v>
      </c>
      <c r="O71" s="91">
        <f t="shared" si="70"/>
        <v>1.0799092773520962</v>
      </c>
      <c r="P71" s="91">
        <f t="shared" si="70"/>
        <v>1.1206771587657409</v>
      </c>
      <c r="Q71" s="91">
        <f t="shared" si="70"/>
        <v>1.1480794986722793</v>
      </c>
      <c r="R71" s="91">
        <f t="shared" si="70"/>
        <v>1.1567084899596314</v>
      </c>
      <c r="S71" s="91">
        <f t="shared" si="70"/>
        <v>1.1407166046769857</v>
      </c>
      <c r="T71" s="91">
        <f t="shared" si="70"/>
        <v>1.1347371299592623</v>
      </c>
      <c r="U71" s="91">
        <f t="shared" si="70"/>
        <v>1.1163528801849392</v>
      </c>
      <c r="V71" s="91">
        <f t="shared" si="70"/>
        <v>1.1329406703274558</v>
      </c>
      <c r="W71" s="91">
        <f t="shared" si="70"/>
        <v>1.0267337642952681</v>
      </c>
      <c r="X71" s="91">
        <f t="shared" ref="X71:Y71" si="71">IF(X9=0,0,X21/X61)</f>
        <v>1.0598763827207831</v>
      </c>
      <c r="Y71" s="91">
        <f t="shared" si="71"/>
        <v>1.0217364439697061</v>
      </c>
      <c r="DA71" s="171"/>
    </row>
    <row r="72" spans="1:105" ht="11.45" customHeight="1" x14ac:dyDescent="0.25">
      <c r="A72" s="12" t="s">
        <v>34</v>
      </c>
      <c r="B72" s="24">
        <f t="shared" si="63"/>
        <v>1.0874098337432159</v>
      </c>
      <c r="C72" s="24">
        <f t="shared" ref="C72:W72" si="72">IF(C10=0,0,C22/C62)</f>
        <v>1.0856607856567879</v>
      </c>
      <c r="D72" s="24">
        <f t="shared" si="72"/>
        <v>1.0954369695658632</v>
      </c>
      <c r="E72" s="24">
        <f t="shared" si="72"/>
        <v>1.0676088997006792</v>
      </c>
      <c r="F72" s="24">
        <f t="shared" si="72"/>
        <v>1.0577946768434119</v>
      </c>
      <c r="G72" s="24">
        <f t="shared" si="72"/>
        <v>1.044937712013118</v>
      </c>
      <c r="H72" s="24">
        <f t="shared" si="72"/>
        <v>1.0264268995822099</v>
      </c>
      <c r="I72" s="24">
        <f t="shared" si="72"/>
        <v>1.0145634057243897</v>
      </c>
      <c r="J72" s="24">
        <f t="shared" si="72"/>
        <v>0.98395310633399258</v>
      </c>
      <c r="K72" s="24">
        <f t="shared" si="72"/>
        <v>1.0467876313180413</v>
      </c>
      <c r="L72" s="24">
        <f t="shared" si="72"/>
        <v>0.97338184362870561</v>
      </c>
      <c r="M72" s="24">
        <f t="shared" si="72"/>
        <v>0.97747657240000263</v>
      </c>
      <c r="N72" s="24">
        <f t="shared" si="72"/>
        <v>0.95699656178440329</v>
      </c>
      <c r="O72" s="24">
        <f t="shared" si="72"/>
        <v>0.97257005763220394</v>
      </c>
      <c r="P72" s="24">
        <f t="shared" si="72"/>
        <v>1.0087498822585057</v>
      </c>
      <c r="Q72" s="24">
        <f t="shared" si="72"/>
        <v>1.0334313460477564</v>
      </c>
      <c r="R72" s="24">
        <f t="shared" si="72"/>
        <v>1.0410776721693096</v>
      </c>
      <c r="S72" s="24">
        <f t="shared" si="72"/>
        <v>1.0272799046071994</v>
      </c>
      <c r="T72" s="24">
        <f t="shared" si="72"/>
        <v>1.0214167356108614</v>
      </c>
      <c r="U72" s="24">
        <f t="shared" si="72"/>
        <v>1.0042534692196821</v>
      </c>
      <c r="V72" s="24">
        <f t="shared" si="72"/>
        <v>1.0169409111596883</v>
      </c>
      <c r="W72" s="24">
        <f t="shared" si="72"/>
        <v>0.92264359890938741</v>
      </c>
      <c r="X72" s="24">
        <f t="shared" ref="X72:Y72" si="73">IF(X10=0,0,X22/X62)</f>
        <v>0.95291662404139277</v>
      </c>
      <c r="Y72" s="24">
        <f t="shared" si="73"/>
        <v>0.91920140583643972</v>
      </c>
      <c r="DA72" s="193"/>
    </row>
    <row r="73" spans="1:105" ht="11.45" customHeight="1" x14ac:dyDescent="0.25">
      <c r="A73" s="92" t="s">
        <v>27</v>
      </c>
      <c r="B73" s="93">
        <f t="shared" si="63"/>
        <v>0</v>
      </c>
      <c r="C73" s="93">
        <f t="shared" ref="C73:W73" si="74">IF(C11=0,0,C23/C63)</f>
        <v>0</v>
      </c>
      <c r="D73" s="93">
        <f t="shared" si="74"/>
        <v>0</v>
      </c>
      <c r="E73" s="93">
        <f t="shared" si="74"/>
        <v>0</v>
      </c>
      <c r="F73" s="93">
        <f t="shared" si="74"/>
        <v>0</v>
      </c>
      <c r="G73" s="93">
        <f t="shared" si="74"/>
        <v>0</v>
      </c>
      <c r="H73" s="93">
        <f t="shared" si="74"/>
        <v>0</v>
      </c>
      <c r="I73" s="93">
        <f t="shared" si="74"/>
        <v>0</v>
      </c>
      <c r="J73" s="93">
        <f t="shared" si="74"/>
        <v>0</v>
      </c>
      <c r="K73" s="93">
        <f t="shared" si="74"/>
        <v>0</v>
      </c>
      <c r="L73" s="93">
        <f t="shared" si="74"/>
        <v>0</v>
      </c>
      <c r="M73" s="93">
        <f t="shared" si="74"/>
        <v>0</v>
      </c>
      <c r="N73" s="93">
        <f t="shared" si="74"/>
        <v>0</v>
      </c>
      <c r="O73" s="93">
        <f t="shared" si="74"/>
        <v>0</v>
      </c>
      <c r="P73" s="93">
        <f t="shared" si="74"/>
        <v>0</v>
      </c>
      <c r="Q73" s="93">
        <f t="shared" si="74"/>
        <v>0</v>
      </c>
      <c r="R73" s="93">
        <f t="shared" si="74"/>
        <v>0</v>
      </c>
      <c r="S73" s="93">
        <f t="shared" si="74"/>
        <v>0</v>
      </c>
      <c r="T73" s="93">
        <f t="shared" si="74"/>
        <v>0</v>
      </c>
      <c r="U73" s="93">
        <f t="shared" si="74"/>
        <v>0</v>
      </c>
      <c r="V73" s="93">
        <f t="shared" si="74"/>
        <v>0</v>
      </c>
      <c r="W73" s="93">
        <f t="shared" si="74"/>
        <v>0</v>
      </c>
      <c r="X73" s="93">
        <f t="shared" ref="X73:Y73" si="75">IF(X11=0,0,X23/X63)</f>
        <v>0</v>
      </c>
      <c r="Y73" s="93">
        <f t="shared" si="75"/>
        <v>0</v>
      </c>
      <c r="DA73" s="175"/>
    </row>
    <row r="74" spans="1:105" ht="11.45" customHeight="1" x14ac:dyDescent="0.25">
      <c r="A74" s="92" t="s">
        <v>181</v>
      </c>
      <c r="B74" s="93">
        <f t="shared" si="63"/>
        <v>1.1790966039410515</v>
      </c>
      <c r="C74" s="93">
        <f t="shared" ref="C74:W74" si="76">IF(C12=0,0,C24/C64)</f>
        <v>1.1764016799454466</v>
      </c>
      <c r="D74" s="93">
        <f t="shared" si="76"/>
        <v>1.1861050668849775</v>
      </c>
      <c r="E74" s="93">
        <f t="shared" si="76"/>
        <v>1.1542964834093588</v>
      </c>
      <c r="F74" s="93">
        <f t="shared" si="76"/>
        <v>1.1298443330905528</v>
      </c>
      <c r="G74" s="93">
        <f t="shared" si="76"/>
        <v>1.1235307965691728</v>
      </c>
      <c r="H74" s="93">
        <f t="shared" si="76"/>
        <v>1.0628361805872559</v>
      </c>
      <c r="I74" s="93">
        <f t="shared" si="76"/>
        <v>1.0689064815183482</v>
      </c>
      <c r="J74" s="93">
        <f t="shared" si="76"/>
        <v>1.0642856490000989</v>
      </c>
      <c r="K74" s="93">
        <f t="shared" si="76"/>
        <v>1.0971401130467255</v>
      </c>
      <c r="L74" s="93">
        <f t="shared" si="76"/>
        <v>1.0500572420622329</v>
      </c>
      <c r="M74" s="93">
        <f t="shared" si="76"/>
        <v>1.0061904682039451</v>
      </c>
      <c r="N74" s="93">
        <f t="shared" si="76"/>
        <v>0.9912333140062104</v>
      </c>
      <c r="O74" s="93">
        <f t="shared" si="76"/>
        <v>1.0010338138371149</v>
      </c>
      <c r="P74" s="93">
        <f t="shared" si="76"/>
        <v>1.0143231609915042</v>
      </c>
      <c r="Q74" s="93">
        <f t="shared" si="76"/>
        <v>1.039729308067662</v>
      </c>
      <c r="R74" s="93">
        <f t="shared" si="76"/>
        <v>1.0424586765060739</v>
      </c>
      <c r="S74" s="93">
        <f t="shared" si="76"/>
        <v>1.0542424306009621</v>
      </c>
      <c r="T74" s="93">
        <f t="shared" si="76"/>
        <v>1.0292962575217652</v>
      </c>
      <c r="U74" s="93">
        <f t="shared" si="76"/>
        <v>0.98225701707522461</v>
      </c>
      <c r="V74" s="93">
        <f t="shared" si="76"/>
        <v>0.84055589774018102</v>
      </c>
      <c r="W74" s="93">
        <f t="shared" si="76"/>
        <v>0.83365714704092908</v>
      </c>
      <c r="X74" s="93">
        <f t="shared" ref="X74:Y74" si="77">IF(X12=0,0,X24/X64)</f>
        <v>0.89206244292951231</v>
      </c>
      <c r="Y74" s="93">
        <f t="shared" si="77"/>
        <v>0.8952492892107885</v>
      </c>
      <c r="DA74" s="175"/>
    </row>
    <row r="75" spans="1:105" ht="11.45" customHeight="1" x14ac:dyDescent="0.25">
      <c r="A75" s="85" t="s">
        <v>182</v>
      </c>
      <c r="B75" s="94">
        <f t="shared" si="63"/>
        <v>1.0855325104234783</v>
      </c>
      <c r="C75" s="94">
        <f t="shared" ref="C75:W75" si="78">IF(C13=0,0,C25/C65)</f>
        <v>1.083141139789918</v>
      </c>
      <c r="D75" s="94">
        <f t="shared" si="78"/>
        <v>1.0935497456105323</v>
      </c>
      <c r="E75" s="94">
        <f t="shared" si="78"/>
        <v>1.0658703549761681</v>
      </c>
      <c r="F75" s="94">
        <f t="shared" si="78"/>
        <v>1.0563087453748903</v>
      </c>
      <c r="G75" s="94">
        <f t="shared" si="78"/>
        <v>1.0434461021123786</v>
      </c>
      <c r="H75" s="94">
        <f t="shared" si="78"/>
        <v>1.025762361732516</v>
      </c>
      <c r="I75" s="94">
        <f t="shared" si="78"/>
        <v>1.0135474883343365</v>
      </c>
      <c r="J75" s="94">
        <f t="shared" si="78"/>
        <v>0.98214661194865438</v>
      </c>
      <c r="K75" s="94">
        <f t="shared" si="78"/>
        <v>1.0453557773681994</v>
      </c>
      <c r="L75" s="94">
        <f t="shared" si="78"/>
        <v>0.97129967473493106</v>
      </c>
      <c r="M75" s="94">
        <f t="shared" si="78"/>
        <v>0.97679341995353586</v>
      </c>
      <c r="N75" s="94">
        <f t="shared" si="78"/>
        <v>0.95624934349745971</v>
      </c>
      <c r="O75" s="94">
        <f t="shared" si="78"/>
        <v>0.97191834961688672</v>
      </c>
      <c r="P75" s="94">
        <f t="shared" si="78"/>
        <v>1.0086094428891668</v>
      </c>
      <c r="Q75" s="94">
        <f t="shared" si="78"/>
        <v>1.0332715488050515</v>
      </c>
      <c r="R75" s="94">
        <f t="shared" si="78"/>
        <v>1.0410376409636684</v>
      </c>
      <c r="S75" s="94">
        <f t="shared" si="78"/>
        <v>1.0266449442092869</v>
      </c>
      <c r="T75" s="94">
        <f t="shared" si="78"/>
        <v>1.0212634169633359</v>
      </c>
      <c r="U75" s="94">
        <f t="shared" si="78"/>
        <v>1.0047175921664453</v>
      </c>
      <c r="V75" s="94">
        <f t="shared" si="78"/>
        <v>1.0196466032947102</v>
      </c>
      <c r="W75" s="94">
        <f t="shared" si="78"/>
        <v>0.92406038786574152</v>
      </c>
      <c r="X75" s="94">
        <f t="shared" ref="X75:Y75" si="79">IF(X13=0,0,X25/X65)</f>
        <v>0.95388874444870497</v>
      </c>
      <c r="Y75" s="94">
        <f t="shared" si="79"/>
        <v>0.91956279957273557</v>
      </c>
      <c r="DA75" s="178"/>
    </row>
    <row r="76" spans="1:105" x14ac:dyDescent="0.25">
      <c r="A76" s="50"/>
      <c r="B76" s="50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DA76" s="181"/>
    </row>
    <row r="77" spans="1:105" ht="11.45" customHeight="1" x14ac:dyDescent="0.25">
      <c r="A77" s="52" t="s">
        <v>78</v>
      </c>
      <c r="B77" s="50"/>
      <c r="C77" s="50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DA77" s="181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pageSetUpPr fitToPage="1"/>
  </sheetPr>
  <dimension ref="A1:DA5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25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79">
        <f t="shared" ref="B3:C3" si="0">SUM(B4:B5)</f>
        <v>9939.5763742800009</v>
      </c>
      <c r="C3" s="79">
        <f t="shared" si="0"/>
        <v>9676.9013940000004</v>
      </c>
      <c r="D3" s="79">
        <f t="shared" ref="D3" si="1">SUM(D4:D5)</f>
        <v>10102.16672028</v>
      </c>
      <c r="E3" s="79">
        <f t="shared" ref="E3" si="2">SUM(E4:E5)</f>
        <v>9952.1823862799993</v>
      </c>
      <c r="F3" s="79">
        <f t="shared" ref="F3" si="3">SUM(F4:F5)</f>
        <v>10662.158763719997</v>
      </c>
      <c r="G3" s="79">
        <f t="shared" ref="G3" si="4">SUM(G4:G5)</f>
        <v>10978.0515</v>
      </c>
      <c r="H3" s="79">
        <f t="shared" ref="H3" si="5">SUM(H4:H5)</f>
        <v>11128.178700000002</v>
      </c>
      <c r="I3" s="79">
        <f t="shared" ref="I3" si="6">SUM(I4:I5)</f>
        <v>11196.98691372</v>
      </c>
      <c r="J3" s="79">
        <f t="shared" ref="J3" si="7">SUM(J4:J5)</f>
        <v>11350.241936279999</v>
      </c>
      <c r="K3" s="79">
        <f t="shared" ref="K3" si="8">SUM(K4:K5)</f>
        <v>10518.286949999998</v>
      </c>
      <c r="L3" s="79">
        <f t="shared" ref="L3" si="9">SUM(L4:L5)</f>
        <v>10264.9473</v>
      </c>
      <c r="M3" s="79">
        <f t="shared" ref="M3" si="10">SUM(M4:M5)</f>
        <v>10684.052486279999</v>
      </c>
      <c r="N3" s="79">
        <f t="shared" ref="N3" si="11">SUM(N4:N5)</f>
        <v>10268.074863720003</v>
      </c>
      <c r="O3" s="79">
        <f t="shared" ref="O3" si="12">SUM(O4:O5)</f>
        <v>10490.138100000004</v>
      </c>
      <c r="P3" s="79">
        <f t="shared" ref="P3" si="13">SUM(P4:P5)</f>
        <v>10887.349563719999</v>
      </c>
      <c r="Q3" s="79">
        <f t="shared" ref="Q3" si="14">SUM(Q4:Q5)</f>
        <v>11443.354449480003</v>
      </c>
      <c r="R3" s="79">
        <f t="shared" ref="R3" si="15">SUM(R4:R5)</f>
        <v>11740.829425560003</v>
      </c>
      <c r="S3" s="79">
        <f t="shared" ref="S3" si="16">SUM(S4:S5)</f>
        <v>12081.443193720002</v>
      </c>
      <c r="T3" s="79">
        <f t="shared" ref="T3" si="17">SUM(T4:T5)</f>
        <v>12226.288763519999</v>
      </c>
      <c r="U3" s="79">
        <f t="shared" ref="U3" si="18">SUM(U4:U5)</f>
        <v>11956.286806200002</v>
      </c>
      <c r="V3" s="79">
        <f t="shared" ref="V3:W3" si="19">SUM(V4:V5)</f>
        <v>6668.5446172800021</v>
      </c>
      <c r="W3" s="79">
        <f t="shared" si="19"/>
        <v>7333.2762804000022</v>
      </c>
      <c r="X3" s="79">
        <f t="shared" ref="X3:Y3" si="20">SUM(X4:X5)</f>
        <v>9533.9430197999991</v>
      </c>
      <c r="Y3" s="79">
        <f t="shared" si="20"/>
        <v>10043.482501799999</v>
      </c>
      <c r="DA3" s="172" t="s">
        <v>324</v>
      </c>
    </row>
    <row r="4" spans="1:105" ht="11.45" customHeight="1" x14ac:dyDescent="0.25">
      <c r="A4" s="95" t="s">
        <v>27</v>
      </c>
      <c r="B4" s="96">
        <f t="shared" ref="B4:C4" si="21">SUM(B7,B11)</f>
        <v>0</v>
      </c>
      <c r="C4" s="96">
        <f t="shared" si="21"/>
        <v>0</v>
      </c>
      <c r="D4" s="96">
        <f t="shared" ref="D4:V4" si="22">SUM(D7,D11)</f>
        <v>0</v>
      </c>
      <c r="E4" s="96">
        <f t="shared" si="22"/>
        <v>0</v>
      </c>
      <c r="F4" s="96">
        <f t="shared" si="22"/>
        <v>0</v>
      </c>
      <c r="G4" s="96">
        <f t="shared" si="22"/>
        <v>0</v>
      </c>
      <c r="H4" s="96">
        <f t="shared" si="22"/>
        <v>0</v>
      </c>
      <c r="I4" s="96">
        <f t="shared" si="22"/>
        <v>0</v>
      </c>
      <c r="J4" s="96">
        <f t="shared" si="22"/>
        <v>0</v>
      </c>
      <c r="K4" s="96">
        <f t="shared" si="22"/>
        <v>0</v>
      </c>
      <c r="L4" s="96">
        <f t="shared" si="22"/>
        <v>0</v>
      </c>
      <c r="M4" s="96">
        <f t="shared" si="22"/>
        <v>0</v>
      </c>
      <c r="N4" s="96">
        <f t="shared" si="22"/>
        <v>0</v>
      </c>
      <c r="O4" s="96">
        <f t="shared" si="22"/>
        <v>0</v>
      </c>
      <c r="P4" s="96">
        <f t="shared" si="22"/>
        <v>0</v>
      </c>
      <c r="Q4" s="96">
        <f t="shared" si="22"/>
        <v>0</v>
      </c>
      <c r="R4" s="96">
        <f t="shared" si="22"/>
        <v>0</v>
      </c>
      <c r="S4" s="96">
        <f t="shared" si="22"/>
        <v>0</v>
      </c>
      <c r="T4" s="96">
        <f t="shared" si="22"/>
        <v>0</v>
      </c>
      <c r="U4" s="96">
        <f t="shared" si="22"/>
        <v>0</v>
      </c>
      <c r="V4" s="96">
        <f t="shared" si="22"/>
        <v>0</v>
      </c>
      <c r="W4" s="96">
        <f t="shared" ref="W4:Y4" si="23">SUM(W7,W11)</f>
        <v>0</v>
      </c>
      <c r="X4" s="96">
        <f t="shared" si="23"/>
        <v>0</v>
      </c>
      <c r="Y4" s="96">
        <f t="shared" si="23"/>
        <v>0</v>
      </c>
      <c r="DA4" s="171" t="s">
        <v>325</v>
      </c>
    </row>
    <row r="5" spans="1:105" ht="11.45" customHeight="1" x14ac:dyDescent="0.25">
      <c r="A5" s="95" t="s">
        <v>116</v>
      </c>
      <c r="B5" s="96">
        <f t="shared" ref="B5:C5" si="24">SUM(B8:B9,B12:B13)</f>
        <v>9939.5763742800009</v>
      </c>
      <c r="C5" s="96">
        <f t="shared" si="24"/>
        <v>9676.9013940000004</v>
      </c>
      <c r="D5" s="96">
        <f t="shared" ref="D5:V5" si="25">SUM(D8:D9,D12:D13)</f>
        <v>10102.16672028</v>
      </c>
      <c r="E5" s="96">
        <f t="shared" si="25"/>
        <v>9952.1823862799993</v>
      </c>
      <c r="F5" s="96">
        <f t="shared" si="25"/>
        <v>10662.158763719997</v>
      </c>
      <c r="G5" s="96">
        <f t="shared" si="25"/>
        <v>10978.0515</v>
      </c>
      <c r="H5" s="96">
        <f t="shared" si="25"/>
        <v>11128.178700000002</v>
      </c>
      <c r="I5" s="96">
        <f t="shared" si="25"/>
        <v>11196.98691372</v>
      </c>
      <c r="J5" s="96">
        <f t="shared" si="25"/>
        <v>11350.241936279999</v>
      </c>
      <c r="K5" s="96">
        <f t="shared" si="25"/>
        <v>10518.286949999998</v>
      </c>
      <c r="L5" s="96">
        <f t="shared" si="25"/>
        <v>10264.9473</v>
      </c>
      <c r="M5" s="96">
        <f t="shared" si="25"/>
        <v>10684.052486279999</v>
      </c>
      <c r="N5" s="96">
        <f t="shared" si="25"/>
        <v>10268.074863720003</v>
      </c>
      <c r="O5" s="96">
        <f t="shared" si="25"/>
        <v>10490.138100000004</v>
      </c>
      <c r="P5" s="96">
        <f t="shared" si="25"/>
        <v>10887.349563719999</v>
      </c>
      <c r="Q5" s="96">
        <f t="shared" si="25"/>
        <v>11443.354449480003</v>
      </c>
      <c r="R5" s="96">
        <f t="shared" si="25"/>
        <v>11740.829425560003</v>
      </c>
      <c r="S5" s="96">
        <f t="shared" si="25"/>
        <v>12081.443193720002</v>
      </c>
      <c r="T5" s="96">
        <f t="shared" si="25"/>
        <v>12226.288763519999</v>
      </c>
      <c r="U5" s="96">
        <f t="shared" si="25"/>
        <v>11956.286806200002</v>
      </c>
      <c r="V5" s="96">
        <f t="shared" si="25"/>
        <v>6668.5446172800021</v>
      </c>
      <c r="W5" s="96">
        <f t="shared" ref="W5:Y5" si="26">SUM(W8:W9,W12:W13)</f>
        <v>7333.2762804000022</v>
      </c>
      <c r="X5" s="96">
        <f t="shared" si="26"/>
        <v>9533.9430197999991</v>
      </c>
      <c r="Y5" s="96">
        <f t="shared" si="26"/>
        <v>10043.482501799999</v>
      </c>
      <c r="DA5" s="171" t="s">
        <v>326</v>
      </c>
    </row>
    <row r="6" spans="1:105" ht="11.45" customHeight="1" x14ac:dyDescent="0.25">
      <c r="A6" s="10" t="s">
        <v>33</v>
      </c>
      <c r="B6" s="21">
        <f t="shared" ref="B6:C6" si="27">SUM(B7:B9)</f>
        <v>8289.4286838936223</v>
      </c>
      <c r="C6" s="21">
        <f t="shared" si="27"/>
        <v>8060.6883727024524</v>
      </c>
      <c r="D6" s="21">
        <f t="shared" ref="D6:V6" si="28">SUM(D7:D9)</f>
        <v>8371.8233373946114</v>
      </c>
      <c r="E6" s="21">
        <f t="shared" si="28"/>
        <v>8064.9831212017534</v>
      </c>
      <c r="F6" s="21">
        <f t="shared" si="28"/>
        <v>8688.2649375693436</v>
      </c>
      <c r="G6" s="21">
        <f t="shared" si="28"/>
        <v>8840.7508187956646</v>
      </c>
      <c r="H6" s="21">
        <f t="shared" si="28"/>
        <v>8757.4505341841323</v>
      </c>
      <c r="I6" s="21">
        <f t="shared" si="28"/>
        <v>8849.0321932855149</v>
      </c>
      <c r="J6" s="21">
        <f t="shared" si="28"/>
        <v>8941.0784756274752</v>
      </c>
      <c r="K6" s="21">
        <f t="shared" si="28"/>
        <v>8599.5512241255692</v>
      </c>
      <c r="L6" s="21">
        <f t="shared" si="28"/>
        <v>8173.5321069492984</v>
      </c>
      <c r="M6" s="21">
        <f t="shared" si="28"/>
        <v>8732.2663650794875</v>
      </c>
      <c r="N6" s="21">
        <f t="shared" si="28"/>
        <v>8665.5940969251005</v>
      </c>
      <c r="O6" s="21">
        <f t="shared" si="28"/>
        <v>8872.1443642377544</v>
      </c>
      <c r="P6" s="21">
        <f t="shared" si="28"/>
        <v>9325.0195318003698</v>
      </c>
      <c r="Q6" s="21">
        <f t="shared" si="28"/>
        <v>9833.305233621064</v>
      </c>
      <c r="R6" s="21">
        <f t="shared" si="28"/>
        <v>10266.121774443704</v>
      </c>
      <c r="S6" s="21">
        <f t="shared" si="28"/>
        <v>10473.96886613923</v>
      </c>
      <c r="T6" s="21">
        <f t="shared" si="28"/>
        <v>10646.656376465187</v>
      </c>
      <c r="U6" s="21">
        <f t="shared" si="28"/>
        <v>10593.002933227479</v>
      </c>
      <c r="V6" s="21">
        <f t="shared" si="28"/>
        <v>4729.5545607966851</v>
      </c>
      <c r="W6" s="21">
        <f t="shared" ref="W6:Y6" si="29">SUM(W7:W9)</f>
        <v>5351.9751975010295</v>
      </c>
      <c r="X6" s="21">
        <f t="shared" si="29"/>
        <v>7765.1031330507376</v>
      </c>
      <c r="Y6" s="21">
        <f t="shared" si="29"/>
        <v>8518.2789873814982</v>
      </c>
      <c r="DA6" s="189" t="s">
        <v>327</v>
      </c>
    </row>
    <row r="7" spans="1:105" ht="11.45" customHeight="1" x14ac:dyDescent="0.25">
      <c r="A7" s="83" t="s">
        <v>27</v>
      </c>
      <c r="B7" s="96">
        <v>0</v>
      </c>
      <c r="C7" s="96">
        <v>0</v>
      </c>
      <c r="D7" s="96">
        <v>0</v>
      </c>
      <c r="E7" s="96">
        <v>0</v>
      </c>
      <c r="F7" s="96">
        <v>0</v>
      </c>
      <c r="G7" s="96">
        <v>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0</v>
      </c>
      <c r="S7" s="96">
        <v>0</v>
      </c>
      <c r="T7" s="96">
        <v>0</v>
      </c>
      <c r="U7" s="96">
        <v>0</v>
      </c>
      <c r="V7" s="96">
        <v>0</v>
      </c>
      <c r="W7" s="96">
        <v>0</v>
      </c>
      <c r="X7" s="96">
        <v>0</v>
      </c>
      <c r="Y7" s="96">
        <v>0</v>
      </c>
      <c r="DA7" s="171" t="s">
        <v>328</v>
      </c>
    </row>
    <row r="8" spans="1:105" ht="11.45" customHeight="1" x14ac:dyDescent="0.25">
      <c r="A8" s="83" t="s">
        <v>181</v>
      </c>
      <c r="B8" s="96">
        <v>1887.2543046111916</v>
      </c>
      <c r="C8" s="96">
        <v>1835.1588153343832</v>
      </c>
      <c r="D8" s="96">
        <v>1894.8339942070425</v>
      </c>
      <c r="E8" s="96">
        <v>1856.3710372714313</v>
      </c>
      <c r="F8" s="96">
        <v>1888.7333767042969</v>
      </c>
      <c r="G8" s="96">
        <v>1918.4677657131265</v>
      </c>
      <c r="H8" s="96">
        <v>1954.3350006803394</v>
      </c>
      <c r="I8" s="96">
        <v>2018.7058788695927</v>
      </c>
      <c r="J8" s="96">
        <v>1971.2573110536105</v>
      </c>
      <c r="K8" s="96">
        <v>1818.6175257942448</v>
      </c>
      <c r="L8" s="96">
        <v>1710.3976417980489</v>
      </c>
      <c r="M8" s="96">
        <v>1858.0766884043846</v>
      </c>
      <c r="N8" s="96">
        <v>1819.2933899736013</v>
      </c>
      <c r="O8" s="96">
        <v>1863.8583754969948</v>
      </c>
      <c r="P8" s="96">
        <v>1981.651938845152</v>
      </c>
      <c r="Q8" s="96">
        <v>2113.5259681184584</v>
      </c>
      <c r="R8" s="96">
        <v>2322.9572674850174</v>
      </c>
      <c r="S8" s="96">
        <v>2430.0759244066794</v>
      </c>
      <c r="T8" s="96">
        <v>2432.4383861618885</v>
      </c>
      <c r="U8" s="96">
        <v>2339.5216114765212</v>
      </c>
      <c r="V8" s="96">
        <v>817.10213728765882</v>
      </c>
      <c r="W8" s="96">
        <v>1033.5483001517953</v>
      </c>
      <c r="X8" s="96">
        <v>1794.5367192960241</v>
      </c>
      <c r="Y8" s="96">
        <v>1927.1852357019595</v>
      </c>
      <c r="DA8" s="171" t="s">
        <v>329</v>
      </c>
    </row>
    <row r="9" spans="1:105" ht="11.45" customHeight="1" x14ac:dyDescent="0.25">
      <c r="A9" s="83" t="s">
        <v>182</v>
      </c>
      <c r="B9" s="96">
        <v>6402.1743792824309</v>
      </c>
      <c r="C9" s="96">
        <v>6225.5295573680687</v>
      </c>
      <c r="D9" s="96">
        <v>6476.9893431875689</v>
      </c>
      <c r="E9" s="96">
        <v>6208.6120839303221</v>
      </c>
      <c r="F9" s="96">
        <v>6799.5315608650471</v>
      </c>
      <c r="G9" s="96">
        <v>6922.2830530825386</v>
      </c>
      <c r="H9" s="96">
        <v>6803.1155335037929</v>
      </c>
      <c r="I9" s="96">
        <v>6830.3263144159218</v>
      </c>
      <c r="J9" s="96">
        <v>6969.8211645738647</v>
      </c>
      <c r="K9" s="96">
        <v>6780.9336983313242</v>
      </c>
      <c r="L9" s="96">
        <v>6463.1344651512491</v>
      </c>
      <c r="M9" s="96">
        <v>6874.1896766751024</v>
      </c>
      <c r="N9" s="96">
        <v>6846.3007069514997</v>
      </c>
      <c r="O9" s="96">
        <v>7008.2859887407603</v>
      </c>
      <c r="P9" s="96">
        <v>7343.3675929552173</v>
      </c>
      <c r="Q9" s="96">
        <v>7719.7792655026051</v>
      </c>
      <c r="R9" s="96">
        <v>7943.1645069586857</v>
      </c>
      <c r="S9" s="96">
        <v>8043.8929417325508</v>
      </c>
      <c r="T9" s="96">
        <v>8214.2179903032993</v>
      </c>
      <c r="U9" s="96">
        <v>8253.4813217509582</v>
      </c>
      <c r="V9" s="96">
        <v>3912.4524235090262</v>
      </c>
      <c r="W9" s="96">
        <v>4318.4268973492344</v>
      </c>
      <c r="X9" s="96">
        <v>5970.5664137547137</v>
      </c>
      <c r="Y9" s="96">
        <v>6591.0937516795393</v>
      </c>
      <c r="DA9" s="171" t="s">
        <v>330</v>
      </c>
    </row>
    <row r="10" spans="1:105" ht="11.45" customHeight="1" x14ac:dyDescent="0.25">
      <c r="A10" s="12" t="s">
        <v>34</v>
      </c>
      <c r="B10" s="22">
        <f t="shared" ref="B10:C10" si="30">SUM(B11:B13)</f>
        <v>1650.1476903863781</v>
      </c>
      <c r="C10" s="22">
        <f t="shared" si="30"/>
        <v>1616.2130212975485</v>
      </c>
      <c r="D10" s="22">
        <f t="shared" ref="D10:V10" si="31">SUM(D11:D13)</f>
        <v>1730.3433828853886</v>
      </c>
      <c r="E10" s="22">
        <f t="shared" si="31"/>
        <v>1887.1992650782465</v>
      </c>
      <c r="F10" s="22">
        <f t="shared" si="31"/>
        <v>1973.8938261506544</v>
      </c>
      <c r="G10" s="22">
        <f t="shared" si="31"/>
        <v>2137.300681204335</v>
      </c>
      <c r="H10" s="22">
        <f t="shared" si="31"/>
        <v>2370.7281658158686</v>
      </c>
      <c r="I10" s="22">
        <f t="shared" si="31"/>
        <v>2347.9547204344863</v>
      </c>
      <c r="J10" s="22">
        <f t="shared" si="31"/>
        <v>2409.163460652524</v>
      </c>
      <c r="K10" s="22">
        <f t="shared" si="31"/>
        <v>1918.7357258744291</v>
      </c>
      <c r="L10" s="22">
        <f t="shared" si="31"/>
        <v>2091.4151930507023</v>
      </c>
      <c r="M10" s="22">
        <f t="shared" si="31"/>
        <v>1951.7861212005125</v>
      </c>
      <c r="N10" s="22">
        <f t="shared" si="31"/>
        <v>1602.4807667949021</v>
      </c>
      <c r="O10" s="22">
        <f t="shared" si="31"/>
        <v>1617.9937357622493</v>
      </c>
      <c r="P10" s="22">
        <f t="shared" si="31"/>
        <v>1562.3300319196305</v>
      </c>
      <c r="Q10" s="22">
        <f t="shared" si="31"/>
        <v>1610.0492158589382</v>
      </c>
      <c r="R10" s="22">
        <f t="shared" si="31"/>
        <v>1474.7076511163002</v>
      </c>
      <c r="S10" s="22">
        <f t="shared" si="31"/>
        <v>1607.4743275807716</v>
      </c>
      <c r="T10" s="22">
        <f t="shared" si="31"/>
        <v>1579.6323870548101</v>
      </c>
      <c r="U10" s="22">
        <f t="shared" si="31"/>
        <v>1363.2838729725233</v>
      </c>
      <c r="V10" s="22">
        <f t="shared" si="31"/>
        <v>1938.9900564833172</v>
      </c>
      <c r="W10" s="22">
        <f t="shared" ref="W10:Y10" si="32">SUM(W11:W13)</f>
        <v>1981.301082898972</v>
      </c>
      <c r="X10" s="22">
        <f t="shared" si="32"/>
        <v>1768.839886749261</v>
      </c>
      <c r="Y10" s="22">
        <f t="shared" si="32"/>
        <v>1525.2035144185015</v>
      </c>
      <c r="DA10" s="193" t="s">
        <v>331</v>
      </c>
    </row>
    <row r="11" spans="1:105" ht="11.45" customHeight="1" x14ac:dyDescent="0.25">
      <c r="A11" s="92" t="s">
        <v>27</v>
      </c>
      <c r="B11" s="97">
        <v>0</v>
      </c>
      <c r="C11" s="97">
        <v>0</v>
      </c>
      <c r="D11" s="97">
        <v>0</v>
      </c>
      <c r="E11" s="97">
        <v>0</v>
      </c>
      <c r="F11" s="97">
        <v>0</v>
      </c>
      <c r="G11" s="97">
        <v>0</v>
      </c>
      <c r="H11" s="97">
        <v>0</v>
      </c>
      <c r="I11" s="97">
        <v>0</v>
      </c>
      <c r="J11" s="97">
        <v>0</v>
      </c>
      <c r="K11" s="97">
        <v>0</v>
      </c>
      <c r="L11" s="97">
        <v>0</v>
      </c>
      <c r="M11" s="97">
        <v>0</v>
      </c>
      <c r="N11" s="97">
        <v>0</v>
      </c>
      <c r="O11" s="97">
        <v>0</v>
      </c>
      <c r="P11" s="97">
        <v>0</v>
      </c>
      <c r="Q11" s="97">
        <v>0</v>
      </c>
      <c r="R11" s="97">
        <v>0</v>
      </c>
      <c r="S11" s="97">
        <v>0</v>
      </c>
      <c r="T11" s="97">
        <v>0</v>
      </c>
      <c r="U11" s="97">
        <v>0</v>
      </c>
      <c r="V11" s="97">
        <v>0</v>
      </c>
      <c r="W11" s="97">
        <v>0</v>
      </c>
      <c r="X11" s="97">
        <v>0</v>
      </c>
      <c r="Y11" s="97">
        <v>0</v>
      </c>
      <c r="DA11" s="175" t="s">
        <v>332</v>
      </c>
    </row>
    <row r="12" spans="1:105" ht="11.45" customHeight="1" x14ac:dyDescent="0.25">
      <c r="A12" s="92" t="s">
        <v>181</v>
      </c>
      <c r="B12" s="97">
        <v>35.901187077125691</v>
      </c>
      <c r="C12" s="97">
        <v>47.315307309963089</v>
      </c>
      <c r="D12" s="97">
        <v>38.202352876799708</v>
      </c>
      <c r="E12" s="97">
        <v>40.116977295703748</v>
      </c>
      <c r="F12" s="97">
        <v>42.603201433029199</v>
      </c>
      <c r="G12" s="97">
        <v>42.802184676328132</v>
      </c>
      <c r="H12" s="97">
        <v>44.002004654684271</v>
      </c>
      <c r="I12" s="97">
        <v>45.39629877991856</v>
      </c>
      <c r="J12" s="97">
        <v>57.310880603187101</v>
      </c>
      <c r="K12" s="97">
        <v>55.60565821841022</v>
      </c>
      <c r="L12" s="97">
        <v>59.647693262569128</v>
      </c>
      <c r="M12" s="97">
        <v>46.689580280017957</v>
      </c>
      <c r="N12" s="97">
        <v>35.451672747654321</v>
      </c>
      <c r="O12" s="97">
        <v>37.276405905944905</v>
      </c>
      <c r="P12" s="97">
        <v>38.613190446277251</v>
      </c>
      <c r="Q12" s="97">
        <v>40.083463226433238</v>
      </c>
      <c r="R12" s="97">
        <v>41.598280514923374</v>
      </c>
      <c r="S12" s="97">
        <v>37.955337376875164</v>
      </c>
      <c r="T12" s="97">
        <v>30.382204770390253</v>
      </c>
      <c r="U12" s="97">
        <v>27.553721571575753</v>
      </c>
      <c r="V12" s="97">
        <v>24.213177975686822</v>
      </c>
      <c r="W12" s="97">
        <v>28.055960729917903</v>
      </c>
      <c r="X12" s="97">
        <v>26.036084201110185</v>
      </c>
      <c r="Y12" s="97">
        <v>22.07974518087395</v>
      </c>
      <c r="DA12" s="175" t="s">
        <v>333</v>
      </c>
    </row>
    <row r="13" spans="1:105" ht="11.45" customHeight="1" x14ac:dyDescent="0.25">
      <c r="A13" s="85" t="s">
        <v>182</v>
      </c>
      <c r="B13" s="98">
        <v>1614.2465033092524</v>
      </c>
      <c r="C13" s="98">
        <v>1568.8977139875853</v>
      </c>
      <c r="D13" s="98">
        <v>1692.1410300085888</v>
      </c>
      <c r="E13" s="98">
        <v>1847.0822877825428</v>
      </c>
      <c r="F13" s="98">
        <v>1931.2906247176252</v>
      </c>
      <c r="G13" s="98">
        <v>2094.4984965280069</v>
      </c>
      <c r="H13" s="98">
        <v>2326.7261611611843</v>
      </c>
      <c r="I13" s="98">
        <v>2302.5584216545676</v>
      </c>
      <c r="J13" s="98">
        <v>2351.8525800493371</v>
      </c>
      <c r="K13" s="98">
        <v>1863.1300676560188</v>
      </c>
      <c r="L13" s="98">
        <v>2031.7674997881331</v>
      </c>
      <c r="M13" s="98">
        <v>1905.0965409204946</v>
      </c>
      <c r="N13" s="98">
        <v>1567.0290940472478</v>
      </c>
      <c r="O13" s="98">
        <v>1580.7173298563043</v>
      </c>
      <c r="P13" s="98">
        <v>1523.7168414733533</v>
      </c>
      <c r="Q13" s="98">
        <v>1569.965752632505</v>
      </c>
      <c r="R13" s="98">
        <v>1433.1093706013769</v>
      </c>
      <c r="S13" s="98">
        <v>1569.5189902038965</v>
      </c>
      <c r="T13" s="98">
        <v>1549.2501822844199</v>
      </c>
      <c r="U13" s="98">
        <v>1335.7301514009475</v>
      </c>
      <c r="V13" s="98">
        <v>1914.7768785076303</v>
      </c>
      <c r="W13" s="98">
        <v>1953.2451221690542</v>
      </c>
      <c r="X13" s="98">
        <v>1742.8038025481508</v>
      </c>
      <c r="Y13" s="98">
        <v>1503.1237692376276</v>
      </c>
      <c r="DA13" s="178" t="s">
        <v>334</v>
      </c>
    </row>
    <row r="14" spans="1:105" x14ac:dyDescent="0.25">
      <c r="A14" s="50"/>
      <c r="B14" s="50"/>
      <c r="C14" s="50"/>
      <c r="D14" s="51"/>
      <c r="E14" s="51"/>
      <c r="F14" s="51"/>
      <c r="G14" s="51"/>
      <c r="H14" s="51"/>
      <c r="I14" s="51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DA14" s="181"/>
    </row>
    <row r="15" spans="1:105" ht="11.45" customHeight="1" x14ac:dyDescent="0.25">
      <c r="A15" s="68" t="s">
        <v>36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  <c r="L15" s="69"/>
      <c r="M15" s="69"/>
      <c r="N15" s="69"/>
      <c r="O15" s="69"/>
      <c r="P15" s="69"/>
      <c r="Q15" s="69"/>
      <c r="R15" s="69"/>
      <c r="S15" s="69"/>
      <c r="T15" s="69"/>
      <c r="U15" s="69"/>
      <c r="V15" s="69"/>
      <c r="W15" s="69"/>
      <c r="X15" s="69"/>
      <c r="Y15" s="69"/>
      <c r="DA15" s="179"/>
    </row>
    <row r="16" spans="1:105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48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DA17" s="172"/>
    </row>
    <row r="18" spans="1:105" ht="11.45" customHeight="1" x14ac:dyDescent="0.25">
      <c r="A18" s="99" t="s">
        <v>27</v>
      </c>
      <c r="B18" s="97">
        <f>IF(B4=0,0,B4/TrAvia_ene!B4)</f>
        <v>0</v>
      </c>
      <c r="C18" s="97">
        <f>IF(C4=0,0,C4/TrAvia_ene!C4)</f>
        <v>0</v>
      </c>
      <c r="D18" s="97">
        <f>IF(D4=0,0,D4/TrAvia_ene!D4)</f>
        <v>0</v>
      </c>
      <c r="E18" s="97">
        <f>IF(E4=0,0,E4/TrAvia_ene!E4)</f>
        <v>0</v>
      </c>
      <c r="F18" s="97">
        <f>IF(F4=0,0,F4/TrAvia_ene!F4)</f>
        <v>0</v>
      </c>
      <c r="G18" s="97">
        <f>IF(G4=0,0,G4/TrAvia_ene!G4)</f>
        <v>0</v>
      </c>
      <c r="H18" s="97">
        <f>IF(H4=0,0,H4/TrAvia_ene!H4)</f>
        <v>0</v>
      </c>
      <c r="I18" s="97">
        <f>IF(I4=0,0,I4/TrAvia_ene!I4)</f>
        <v>0</v>
      </c>
      <c r="J18" s="97">
        <f>IF(J4=0,0,J4/TrAvia_ene!J4)</f>
        <v>0</v>
      </c>
      <c r="K18" s="97">
        <f>IF(K4=0,0,K4/TrAvia_ene!K4)</f>
        <v>0</v>
      </c>
      <c r="L18" s="97">
        <f>IF(L4=0,0,L4/TrAvia_ene!L4)</f>
        <v>0</v>
      </c>
      <c r="M18" s="97">
        <f>IF(M4=0,0,M4/TrAvia_ene!M4)</f>
        <v>0</v>
      </c>
      <c r="N18" s="97">
        <f>IF(N4=0,0,N4/TrAvia_ene!N4)</f>
        <v>0</v>
      </c>
      <c r="O18" s="97">
        <f>IF(O4=0,0,O4/TrAvia_ene!O4)</f>
        <v>0</v>
      </c>
      <c r="P18" s="97">
        <f>IF(P4=0,0,P4/TrAvia_ene!P4)</f>
        <v>0</v>
      </c>
      <c r="Q18" s="97">
        <f>IF(Q4=0,0,Q4/TrAvia_ene!Q4)</f>
        <v>0</v>
      </c>
      <c r="R18" s="97">
        <f>IF(R4=0,0,R4/TrAvia_ene!R4)</f>
        <v>0</v>
      </c>
      <c r="S18" s="97">
        <f>IF(S4=0,0,S4/TrAvia_ene!S4)</f>
        <v>0</v>
      </c>
      <c r="T18" s="97">
        <f>IF(T4=0,0,T4/TrAvia_ene!T4)</f>
        <v>0</v>
      </c>
      <c r="U18" s="97">
        <f>IF(U4=0,0,U4/TrAvia_ene!U4)</f>
        <v>0</v>
      </c>
      <c r="V18" s="97">
        <f>IF(V4=0,0,V4/TrAvia_ene!V4)</f>
        <v>0</v>
      </c>
      <c r="W18" s="97">
        <f>IF(W4=0,0,W4/TrAvia_ene!W4)</f>
        <v>0</v>
      </c>
      <c r="X18" s="97">
        <f>IF(X4=0,0,X4/TrAvia_ene!X4)</f>
        <v>0</v>
      </c>
      <c r="Y18" s="97">
        <f>IF(Y4=0,0,Y4/TrAvia_ene!Y4)</f>
        <v>0</v>
      </c>
      <c r="DA18" s="175"/>
    </row>
    <row r="19" spans="1:105" ht="11.45" customHeight="1" x14ac:dyDescent="0.25">
      <c r="A19" s="100" t="s">
        <v>116</v>
      </c>
      <c r="B19" s="98">
        <f>IF(B5=0,0,B5/TrAvia_ene!B5)</f>
        <v>3.0102585634274073</v>
      </c>
      <c r="C19" s="98">
        <f>IF(C5=0,0,C5/TrAvia_ene!C5)</f>
        <v>3.0102831942478327</v>
      </c>
      <c r="D19" s="98">
        <f>IF(D5=0,0,D5/TrAvia_ene!D5)</f>
        <v>3.0102344661643432</v>
      </c>
      <c r="E19" s="98">
        <f>IF(E5=0,0,E5/TrAvia_ene!E5)</f>
        <v>3.0103091999999996</v>
      </c>
      <c r="F19" s="98">
        <f>IF(F5=0,0,F5/TrAvia_ene!F5)</f>
        <v>3.0103092000000005</v>
      </c>
      <c r="G19" s="98">
        <f>IF(G5=0,0,G5/TrAvia_ene!G5)</f>
        <v>3.0103092000000009</v>
      </c>
      <c r="H19" s="98">
        <f>IF(H5=0,0,H5/TrAvia_ene!H5)</f>
        <v>3.0103092000000009</v>
      </c>
      <c r="I19" s="98">
        <f>IF(I5=0,0,I5/TrAvia_ene!I5)</f>
        <v>3.0103092000000005</v>
      </c>
      <c r="J19" s="98">
        <f>IF(J5=0,0,J5/TrAvia_ene!J5)</f>
        <v>3.0103092000000009</v>
      </c>
      <c r="K19" s="98">
        <f>IF(K5=0,0,K5/TrAvia_ene!K5)</f>
        <v>3.0103091999999996</v>
      </c>
      <c r="L19" s="98">
        <f>IF(L5=0,0,L5/TrAvia_ene!L5)</f>
        <v>3.0103092000000005</v>
      </c>
      <c r="M19" s="98">
        <f>IF(M5=0,0,M5/TrAvia_ene!M5)</f>
        <v>3.0103092000000009</v>
      </c>
      <c r="N19" s="98">
        <f>IF(N5=0,0,N5/TrAvia_ene!N5)</f>
        <v>3.0103092000000009</v>
      </c>
      <c r="O19" s="98">
        <f>IF(O5=0,0,O5/TrAvia_ene!O5)</f>
        <v>3.0103092000000009</v>
      </c>
      <c r="P19" s="98">
        <f>IF(P5=0,0,P5/TrAvia_ene!P5)</f>
        <v>3.0103092000000005</v>
      </c>
      <c r="Q19" s="98">
        <f>IF(Q5=0,0,Q5/TrAvia_ene!Q5)</f>
        <v>3.0103092000000014</v>
      </c>
      <c r="R19" s="98">
        <f>IF(R5=0,0,R5/TrAvia_ene!R5)</f>
        <v>3.0103092000000022</v>
      </c>
      <c r="S19" s="98">
        <f>IF(S5=0,0,S5/TrAvia_ene!S5)</f>
        <v>3.0103092000000005</v>
      </c>
      <c r="T19" s="98">
        <f>IF(T5=0,0,T5/TrAvia_ene!T5)</f>
        <v>3.0103092</v>
      </c>
      <c r="U19" s="98">
        <f>IF(U5=0,0,U5/TrAvia_ene!U5)</f>
        <v>3.0103092000000014</v>
      </c>
      <c r="V19" s="98">
        <f>IF(V5=0,0,V5/TrAvia_ene!V5)</f>
        <v>3.0103092</v>
      </c>
      <c r="W19" s="98">
        <f>IF(W5=0,0,W5/TrAvia_ene!W5)</f>
        <v>3.0103092000000009</v>
      </c>
      <c r="X19" s="98">
        <f>IF(X5=0,0,X5/TrAvia_ene!X5)</f>
        <v>2.9905073924267658</v>
      </c>
      <c r="Y19" s="98">
        <f>IF(Y5=0,0,Y5/TrAvia_ene!Y5)</f>
        <v>2.9543380400520909</v>
      </c>
      <c r="DA19" s="178"/>
    </row>
    <row r="20" spans="1:105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129</v>
      </c>
      <c r="B21" s="54">
        <f>IF(B3=0,0,B3/TrAvia_act!B13*1000)</f>
        <v>22818.767826021136</v>
      </c>
      <c r="C21" s="54">
        <f>IF(C3=0,0,C3/TrAvia_act!C13*1000)</f>
        <v>22754.433589446708</v>
      </c>
      <c r="D21" s="54">
        <f>IF(D3=0,0,D3/TrAvia_act!D13*1000)</f>
        <v>23030.544710588976</v>
      </c>
      <c r="E21" s="54">
        <f>IF(E3=0,0,E3/TrAvia_act!E13*1000)</f>
        <v>22431.836177698264</v>
      </c>
      <c r="F21" s="54">
        <f>IF(F3=0,0,F3/TrAvia_act!F13*1000)</f>
        <v>22437.425624639673</v>
      </c>
      <c r="G21" s="54">
        <f>IF(G3=0,0,G3/TrAvia_act!G13*1000)</f>
        <v>22279.975116383252</v>
      </c>
      <c r="H21" s="54">
        <f>IF(H3=0,0,H3/TrAvia_act!H13*1000)</f>
        <v>21655.80675780942</v>
      </c>
      <c r="I21" s="54">
        <f>IF(I3=0,0,I3/TrAvia_act!I13*1000)</f>
        <v>21411.724136949262</v>
      </c>
      <c r="J21" s="54">
        <f>IF(J3=0,0,J3/TrAvia_act!J13*1000)</f>
        <v>21086.179075314383</v>
      </c>
      <c r="K21" s="54">
        <f>IF(K3=0,0,K3/TrAvia_act!K13*1000)</f>
        <v>22111.140173275253</v>
      </c>
      <c r="L21" s="54">
        <f>IF(L3=0,0,L3/TrAvia_act!L13*1000)</f>
        <v>20729.030761235117</v>
      </c>
      <c r="M21" s="54">
        <f>IF(M3=0,0,M3/TrAvia_act!M13*1000)</f>
        <v>20496.624370654474</v>
      </c>
      <c r="N21" s="54">
        <f>IF(N3=0,0,N3/TrAvia_act!N13*1000)</f>
        <v>20019.759768249281</v>
      </c>
      <c r="O21" s="54">
        <f>IF(O3=0,0,O3/TrAvia_act!O13*1000)</f>
        <v>19985.775142469407</v>
      </c>
      <c r="P21" s="54">
        <f>IF(P3=0,0,P3/TrAvia_act!P13*1000)</f>
        <v>20542.635562888463</v>
      </c>
      <c r="Q21" s="54">
        <f>IF(Q3=0,0,Q3/TrAvia_act!Q13*1000)</f>
        <v>21025.789429453645</v>
      </c>
      <c r="R21" s="54">
        <f>IF(R3=0,0,R3/TrAvia_act!R13*1000)</f>
        <v>20871.0762660812</v>
      </c>
      <c r="S21" s="54">
        <f>IF(S3=0,0,S3/TrAvia_act!S13*1000)</f>
        <v>20438.598800562759</v>
      </c>
      <c r="T21" s="54">
        <f>IF(T3=0,0,T3/TrAvia_act!T13*1000)</f>
        <v>20140.901707951318</v>
      </c>
      <c r="U21" s="54">
        <f>IF(U3=0,0,U3/TrAvia_act!U13*1000)</f>
        <v>19777.557952450919</v>
      </c>
      <c r="V21" s="54">
        <f>IF(V3=0,0,V3/TrAvia_act!V13*1000)</f>
        <v>20649.494461033843</v>
      </c>
      <c r="W21" s="54">
        <f>IF(W3=0,0,W3/TrAvia_act!W13*1000)</f>
        <v>18532.025135805015</v>
      </c>
      <c r="X21" s="54">
        <f>IF(X3=0,0,X3/TrAvia_act!X13*1000)</f>
        <v>18317.5654610778</v>
      </c>
      <c r="Y21" s="54">
        <f>IF(Y3=0,0,Y3/TrAvia_act!Y13*1000)</f>
        <v>17878.737908979816</v>
      </c>
      <c r="DA21" s="172" t="s">
        <v>335</v>
      </c>
    </row>
    <row r="22" spans="1:105" ht="11.45" customHeight="1" x14ac:dyDescent="0.25">
      <c r="A22" s="10" t="s">
        <v>33</v>
      </c>
      <c r="B22" s="11">
        <f>IF(B6=0,0,B6/TrAvia_act!B14*1000)</f>
        <v>22418.026161945971</v>
      </c>
      <c r="C22" s="11">
        <f>IF(C6=0,0,C6/TrAvia_act!C14*1000)</f>
        <v>22368.86939592833</v>
      </c>
      <c r="D22" s="11">
        <f>IF(D6=0,0,D6/TrAvia_act!D14*1000)</f>
        <v>22619.529650889712</v>
      </c>
      <c r="E22" s="11">
        <f>IF(E6=0,0,E6/TrAvia_act!E14*1000)</f>
        <v>21975.049772069404</v>
      </c>
      <c r="F22" s="11">
        <f>IF(F6=0,0,F6/TrAvia_act!F14*1000)</f>
        <v>22037.076873457027</v>
      </c>
      <c r="G22" s="11">
        <f>IF(G6=0,0,G6/TrAvia_act!G14*1000)</f>
        <v>21869.975347937248</v>
      </c>
      <c r="H22" s="11">
        <f>IF(H6=0,0,H6/TrAvia_act!H14*1000)</f>
        <v>21060.458203085589</v>
      </c>
      <c r="I22" s="11">
        <f>IF(I6=0,0,I6/TrAvia_act!I14*1000)</f>
        <v>20770.63418203839</v>
      </c>
      <c r="J22" s="11">
        <f>IF(J6=0,0,J6/TrAvia_act!J14*1000)</f>
        <v>20485.438523831355</v>
      </c>
      <c r="K22" s="11">
        <f>IF(K6=0,0,K6/TrAvia_act!K14*1000)</f>
        <v>21525.241597561897</v>
      </c>
      <c r="L22" s="11">
        <f>IF(L6=0,0,L6/TrAvia_act!L14*1000)</f>
        <v>20107.08171681473</v>
      </c>
      <c r="M22" s="11">
        <f>IF(M6=0,0,M6/TrAvia_act!M14*1000)</f>
        <v>19953.185208238643</v>
      </c>
      <c r="N22" s="11">
        <f>IF(N6=0,0,N6/TrAvia_act!N14*1000)</f>
        <v>19625.432412038695</v>
      </c>
      <c r="O22" s="11">
        <f>IF(O6=0,0,O6/TrAvia_act!O14*1000)</f>
        <v>19626.923713014869</v>
      </c>
      <c r="P22" s="11">
        <f>IF(P6=0,0,P6/TrAvia_act!P14*1000)</f>
        <v>20196.010978412425</v>
      </c>
      <c r="Q22" s="11">
        <f>IF(Q6=0,0,Q6/TrAvia_act!Q14*1000)</f>
        <v>20687.368809031723</v>
      </c>
      <c r="R22" s="11">
        <f>IF(R6=0,0,R6/TrAvia_act!R14*1000)</f>
        <v>20547.330912003206</v>
      </c>
      <c r="S22" s="11">
        <f>IF(S6=0,0,S6/TrAvia_act!S14*1000)</f>
        <v>20081.221891052359</v>
      </c>
      <c r="T22" s="11">
        <f>IF(T6=0,0,T6/TrAvia_act!T14*1000)</f>
        <v>19794.997571264681</v>
      </c>
      <c r="U22" s="11">
        <f>IF(U6=0,0,U6/TrAvia_act!U14*1000)</f>
        <v>19491.739898388078</v>
      </c>
      <c r="V22" s="11">
        <f>IF(V6=0,0,V6/TrAvia_act!V14*1000)</f>
        <v>19810.614785909249</v>
      </c>
      <c r="W22" s="11">
        <f>IF(W6=0,0,W6/TrAvia_act!W14*1000)</f>
        <v>17701.571629420032</v>
      </c>
      <c r="X22" s="11">
        <f>IF(X6=0,0,X6/TrAvia_act!X14*1000)</f>
        <v>17607.015230638564</v>
      </c>
      <c r="Y22" s="11">
        <f>IF(Y6=0,0,Y6/TrAvia_act!Y14*1000)</f>
        <v>17335.997275680853</v>
      </c>
      <c r="DA22" s="189" t="s">
        <v>336</v>
      </c>
    </row>
    <row r="23" spans="1:105" ht="11.25" customHeight="1" x14ac:dyDescent="0.25">
      <c r="A23" s="83" t="s">
        <v>27</v>
      </c>
      <c r="B23" s="84">
        <f>IF(B7=0,0,B7/TrAvia_act!B15*1000)</f>
        <v>0</v>
      </c>
      <c r="C23" s="84">
        <f>IF(C7=0,0,C7/TrAvia_act!C15*1000)</f>
        <v>0</v>
      </c>
      <c r="D23" s="84">
        <f>IF(D7=0,0,D7/TrAvia_act!D15*1000)</f>
        <v>0</v>
      </c>
      <c r="E23" s="84">
        <f>IF(E7=0,0,E7/TrAvia_act!E15*1000)</f>
        <v>0</v>
      </c>
      <c r="F23" s="84">
        <f>IF(F7=0,0,F7/TrAvia_act!F15*1000)</f>
        <v>0</v>
      </c>
      <c r="G23" s="84">
        <f>IF(G7=0,0,G7/TrAvia_act!G15*1000)</f>
        <v>0</v>
      </c>
      <c r="H23" s="84">
        <f>IF(H7=0,0,H7/TrAvia_act!H15*1000)</f>
        <v>0</v>
      </c>
      <c r="I23" s="84">
        <f>IF(I7=0,0,I7/TrAvia_act!I15*1000)</f>
        <v>0</v>
      </c>
      <c r="J23" s="84">
        <f>IF(J7=0,0,J7/TrAvia_act!J15*1000)</f>
        <v>0</v>
      </c>
      <c r="K23" s="84">
        <f>IF(K7=0,0,K7/TrAvia_act!K15*1000)</f>
        <v>0</v>
      </c>
      <c r="L23" s="84">
        <f>IF(L7=0,0,L7/TrAvia_act!L15*1000)</f>
        <v>0</v>
      </c>
      <c r="M23" s="84">
        <f>IF(M7=0,0,M7/TrAvia_act!M15*1000)</f>
        <v>0</v>
      </c>
      <c r="N23" s="84">
        <f>IF(N7=0,0,N7/TrAvia_act!N15*1000)</f>
        <v>0</v>
      </c>
      <c r="O23" s="84">
        <f>IF(O7=0,0,O7/TrAvia_act!O15*1000)</f>
        <v>0</v>
      </c>
      <c r="P23" s="84">
        <f>IF(P7=0,0,P7/TrAvia_act!P15*1000)</f>
        <v>0</v>
      </c>
      <c r="Q23" s="84">
        <f>IF(Q7=0,0,Q7/TrAvia_act!Q15*1000)</f>
        <v>0</v>
      </c>
      <c r="R23" s="84">
        <f>IF(R7=0,0,R7/TrAvia_act!R15*1000)</f>
        <v>0</v>
      </c>
      <c r="S23" s="84">
        <f>IF(S7=0,0,S7/TrAvia_act!S15*1000)</f>
        <v>0</v>
      </c>
      <c r="T23" s="84">
        <f>IF(T7=0,0,T7/TrAvia_act!T15*1000)</f>
        <v>0</v>
      </c>
      <c r="U23" s="84">
        <f>IF(U7=0,0,U7/TrAvia_act!U15*1000)</f>
        <v>0</v>
      </c>
      <c r="V23" s="84">
        <f>IF(V7=0,0,V7/TrAvia_act!V15*1000)</f>
        <v>0</v>
      </c>
      <c r="W23" s="84">
        <f>IF(W7=0,0,W7/TrAvia_act!W15*1000)</f>
        <v>0</v>
      </c>
      <c r="X23" s="84">
        <f>IF(X7=0,0,X7/TrAvia_act!X15*1000)</f>
        <v>0</v>
      </c>
      <c r="Y23" s="84">
        <f>IF(Y7=0,0,Y7/TrAvia_act!Y15*1000)</f>
        <v>0</v>
      </c>
      <c r="DA23" s="171" t="s">
        <v>337</v>
      </c>
    </row>
    <row r="24" spans="1:105" ht="11.45" customHeight="1" x14ac:dyDescent="0.25">
      <c r="A24" s="83" t="s">
        <v>181</v>
      </c>
      <c r="B24" s="84">
        <f>IF(B8=0,0,B8/TrAvia_act!B16*1000)</f>
        <v>12955.057329715095</v>
      </c>
      <c r="C24" s="84">
        <f>IF(C8=0,0,C8/TrAvia_act!C16*1000)</f>
        <v>12926.621175751614</v>
      </c>
      <c r="D24" s="84">
        <f>IF(D8=0,0,D8/TrAvia_act!D16*1000)</f>
        <v>13061.762661261964</v>
      </c>
      <c r="E24" s="84">
        <f>IF(E8=0,0,E8/TrAvia_act!E16*1000)</f>
        <v>12742.17174160618</v>
      </c>
      <c r="F24" s="84">
        <f>IF(F8=0,0,F8/TrAvia_act!F16*1000)</f>
        <v>12618.569372984572</v>
      </c>
      <c r="G24" s="84">
        <f>IF(G8=0,0,G8/TrAvia_act!G16*1000)</f>
        <v>12580.408963135371</v>
      </c>
      <c r="H24" s="84">
        <f>IF(H8=0,0,H8/TrAvia_act!H16*1000)</f>
        <v>11811.338569413223</v>
      </c>
      <c r="I24" s="84">
        <f>IF(I8=0,0,I8/TrAvia_act!I16*1000)</f>
        <v>11740.393378201286</v>
      </c>
      <c r="J24" s="84">
        <f>IF(J8=0,0,J8/TrAvia_act!J16*1000)</f>
        <v>11736.10401364847</v>
      </c>
      <c r="K24" s="84">
        <f>IF(K8=0,0,K8/TrAvia_act!K16*1000)</f>
        <v>11955.362496737933</v>
      </c>
      <c r="L24" s="84">
        <f>IF(L8=0,0,L8/TrAvia_act!L16*1000)</f>
        <v>11339.738057944163</v>
      </c>
      <c r="M24" s="84">
        <f>IF(M8=0,0,M8/TrAvia_act!M16*1000)</f>
        <v>11049.235427230655</v>
      </c>
      <c r="N24" s="84">
        <f>IF(N8=0,0,N8/TrAvia_act!N16*1000)</f>
        <v>10854.354016950054</v>
      </c>
      <c r="O24" s="84">
        <f>IF(O8=0,0,O8/TrAvia_act!O16*1000)</f>
        <v>10965.675559563068</v>
      </c>
      <c r="P24" s="84">
        <f>IF(P8=0,0,P8/TrAvia_act!P16*1000)</f>
        <v>11237.970340381255</v>
      </c>
      <c r="Q24" s="84">
        <f>IF(Q8=0,0,Q8/TrAvia_act!Q16*1000)</f>
        <v>11592.57134178693</v>
      </c>
      <c r="R24" s="84">
        <f>IF(R8=0,0,R8/TrAvia_act!R16*1000)</f>
        <v>11530.17772823423</v>
      </c>
      <c r="S24" s="84">
        <f>IF(S8=0,0,S8/TrAvia_act!S16*1000)</f>
        <v>11289.01314802555</v>
      </c>
      <c r="T24" s="84">
        <f>IF(T8=0,0,T8/TrAvia_act!T16*1000)</f>
        <v>11009.663768342911</v>
      </c>
      <c r="U24" s="84">
        <f>IF(U8=0,0,U8/TrAvia_act!U16*1000)</f>
        <v>10677.288009025566</v>
      </c>
      <c r="V24" s="84">
        <f>IF(V8=0,0,V8/TrAvia_act!V16*1000)</f>
        <v>8767.7668483168018</v>
      </c>
      <c r="W24" s="84">
        <f>IF(W8=0,0,W8/TrAvia_act!W16*1000)</f>
        <v>8543.9761941506586</v>
      </c>
      <c r="X24" s="84">
        <f>IF(X8=0,0,X8/TrAvia_act!X16*1000)</f>
        <v>9273.985133453587</v>
      </c>
      <c r="Y24" s="84">
        <f>IF(Y8=0,0,Y8/TrAvia_act!Y16*1000)</f>
        <v>9265.9103771667869</v>
      </c>
      <c r="DA24" s="171" t="s">
        <v>338</v>
      </c>
    </row>
    <row r="25" spans="1:105" ht="11.45" customHeight="1" x14ac:dyDescent="0.25">
      <c r="A25" s="83" t="s">
        <v>182</v>
      </c>
      <c r="B25" s="84">
        <f>IF(B9=0,0,B9/TrAvia_act!B17*1000)</f>
        <v>28569.760924221606</v>
      </c>
      <c r="C25" s="84">
        <f>IF(C9=0,0,C9/TrAvia_act!C17*1000)</f>
        <v>28507.056505091179</v>
      </c>
      <c r="D25" s="84">
        <f>IF(D9=0,0,D9/TrAvia_act!D17*1000)</f>
        <v>28780.533418857125</v>
      </c>
      <c r="E25" s="84">
        <f>IF(E9=0,0,E9/TrAvia_act!E17*1000)</f>
        <v>28052.75121944385</v>
      </c>
      <c r="F25" s="84">
        <f>IF(F9=0,0,F9/TrAvia_act!F17*1000)</f>
        <v>27801.098235429588</v>
      </c>
      <c r="G25" s="84">
        <f>IF(G9=0,0,G9/TrAvia_act!G17*1000)</f>
        <v>27497.200897032693</v>
      </c>
      <c r="H25" s="84">
        <f>IF(H9=0,0,H9/TrAvia_act!H17*1000)</f>
        <v>27173.148708469322</v>
      </c>
      <c r="I25" s="84">
        <f>IF(I9=0,0,I9/TrAvia_act!I17*1000)</f>
        <v>26881.482326218149</v>
      </c>
      <c r="J25" s="84">
        <f>IF(J9=0,0,J9/TrAvia_act!J17*1000)</f>
        <v>25958.851658682062</v>
      </c>
      <c r="K25" s="84">
        <f>IF(K9=0,0,K9/TrAvia_act!K17*1000)</f>
        <v>27409.585463059666</v>
      </c>
      <c r="L25" s="84">
        <f>IF(L9=0,0,L9/TrAvia_act!L17*1000)</f>
        <v>25279.406367116073</v>
      </c>
      <c r="M25" s="84">
        <f>IF(M9=0,0,M9/TrAvia_act!M17*1000)</f>
        <v>25509.625975204635</v>
      </c>
      <c r="N25" s="84">
        <f>IF(N9=0,0,N9/TrAvia_act!N17*1000)</f>
        <v>24992.00299833158</v>
      </c>
      <c r="O25" s="84">
        <f>IF(O9=0,0,O9/TrAvia_act!O17*1000)</f>
        <v>24846.137208997512</v>
      </c>
      <c r="P25" s="84">
        <f>IF(P9=0,0,P9/TrAvia_act!P17*1000)</f>
        <v>25730.953814772936</v>
      </c>
      <c r="Q25" s="84">
        <f>IF(Q9=0,0,Q9/TrAvia_act!Q17*1000)</f>
        <v>26346.319582675867</v>
      </c>
      <c r="R25" s="84">
        <f>IF(R9=0,0,R9/TrAvia_act!R17*1000)</f>
        <v>26640.140767152123</v>
      </c>
      <c r="S25" s="84">
        <f>IF(S9=0,0,S9/TrAvia_act!S17*1000)</f>
        <v>26259.771076295048</v>
      </c>
      <c r="T25" s="84">
        <f>IF(T9=0,0,T9/TrAvia_act!T17*1000)</f>
        <v>25919.788881383767</v>
      </c>
      <c r="U25" s="84">
        <f>IF(U9=0,0,U9/TrAvia_act!U17*1000)</f>
        <v>25446.285727055372</v>
      </c>
      <c r="V25" s="84">
        <f>IF(V9=0,0,V9/TrAvia_act!V17*1000)</f>
        <v>26881.479853630666</v>
      </c>
      <c r="W25" s="84">
        <f>IF(W9=0,0,W9/TrAvia_act!W17*1000)</f>
        <v>23809.17782915611</v>
      </c>
      <c r="X25" s="84">
        <f>IF(X9=0,0,X9/TrAvia_act!X17*1000)</f>
        <v>24121.450855782899</v>
      </c>
      <c r="Y25" s="84">
        <f>IF(Y9=0,0,Y9/TrAvia_act!Y17*1000)</f>
        <v>23259.095021938563</v>
      </c>
      <c r="DA25" s="171" t="s">
        <v>339</v>
      </c>
    </row>
    <row r="26" spans="1:105" ht="11.45" customHeight="1" x14ac:dyDescent="0.25">
      <c r="A26" s="12" t="s">
        <v>34</v>
      </c>
      <c r="B26" s="13">
        <f>IF(B10=0,0,B10/TrAvia_act!B18*1000)</f>
        <v>25070.016836261977</v>
      </c>
      <c r="C26" s="13">
        <f>IF(C10=0,0,C10/TrAvia_act!C18*1000)</f>
        <v>24894.512663369405</v>
      </c>
      <c r="D26" s="13">
        <f>IF(D10=0,0,D10/TrAvia_act!D18*1000)</f>
        <v>25250.430945254691</v>
      </c>
      <c r="E26" s="13">
        <f>IF(E10=0,0,E10/TrAvia_act!E18*1000)</f>
        <v>24618.768434893209</v>
      </c>
      <c r="F26" s="13">
        <f>IF(F10=0,0,F10/TrAvia_act!F18*1000)</f>
        <v>24387.548148170059</v>
      </c>
      <c r="G26" s="13">
        <f>IF(G10=0,0,G10/TrAvia_act!G18*1000)</f>
        <v>24152.936313002971</v>
      </c>
      <c r="H26" s="13">
        <f>IF(H10=0,0,H10/TrAvia_act!H18*1000)</f>
        <v>24180.864052098837</v>
      </c>
      <c r="I26" s="13">
        <f>IF(I10=0,0,I10/TrAvia_act!I18*1000)</f>
        <v>24230.331842276159</v>
      </c>
      <c r="J26" s="13">
        <f>IF(J10=0,0,J10/TrAvia_act!J18*1000)</f>
        <v>23661.341897113085</v>
      </c>
      <c r="K26" s="13">
        <f>IF(K10=0,0,K10/TrAvia_act!K18*1000)</f>
        <v>25183.33115365314</v>
      </c>
      <c r="L26" s="13">
        <f>IF(L10=0,0,L10/TrAvia_act!L18*1000)</f>
        <v>23579.45154143453</v>
      </c>
      <c r="M26" s="13">
        <f>IF(M10=0,0,M10/TrAvia_act!M18*1000)</f>
        <v>23340.746112934608</v>
      </c>
      <c r="N26" s="13">
        <f>IF(N10=0,0,N10/TrAvia_act!N18*1000)</f>
        <v>22460.12833720764</v>
      </c>
      <c r="O26" s="13">
        <f>IF(O10=0,0,O10/TrAvia_act!O18*1000)</f>
        <v>22212.75698134605</v>
      </c>
      <c r="P26" s="13">
        <f>IF(P10=0,0,P10/TrAvia_act!P18*1000)</f>
        <v>22887.207364518938</v>
      </c>
      <c r="Q26" s="13">
        <f>IF(Q10=0,0,Q10/TrAvia_act!Q18*1000)</f>
        <v>23359.670021005924</v>
      </c>
      <c r="R26" s="13">
        <f>IF(R10=0,0,R10/TrAvia_act!R18*1000)</f>
        <v>23442.359575052287</v>
      </c>
      <c r="S26" s="13">
        <f>IF(S10=0,0,S10/TrAvia_act!S18*1000)</f>
        <v>23119.508485918512</v>
      </c>
      <c r="T26" s="13">
        <f>IF(T10=0,0,T10/TrAvia_act!T18*1000)</f>
        <v>22829.696433855079</v>
      </c>
      <c r="U26" s="13">
        <f>IF(U10=0,0,U10/TrAvia_act!U18*1000)</f>
        <v>22320.759730446167</v>
      </c>
      <c r="V26" s="13">
        <f>IF(V10=0,0,V10/TrAvia_act!V18*1000)</f>
        <v>23027.990414457861</v>
      </c>
      <c r="W26" s="13">
        <f>IF(W10=0,0,W10/TrAvia_act!W18*1000)</f>
        <v>21221.327681621002</v>
      </c>
      <c r="X26" s="13">
        <f>IF(X10=0,0,X10/TrAvia_act!X18*1000)</f>
        <v>22261.416965194574</v>
      </c>
      <c r="Y26" s="13">
        <f>IF(Y10=0,0,Y10/TrAvia_act!Y18*1000)</f>
        <v>21667.278398026378</v>
      </c>
      <c r="DA26" s="193" t="s">
        <v>340</v>
      </c>
    </row>
    <row r="27" spans="1:105" ht="11.45" customHeight="1" x14ac:dyDescent="0.25">
      <c r="A27" s="92" t="s">
        <v>27</v>
      </c>
      <c r="B27" s="102">
        <f>IF(B11=0,0,B11/TrAvia_act!B19*1000)</f>
        <v>0</v>
      </c>
      <c r="C27" s="102">
        <f>IF(C11=0,0,C11/TrAvia_act!C19*1000)</f>
        <v>0</v>
      </c>
      <c r="D27" s="102">
        <f>IF(D11=0,0,D11/TrAvia_act!D19*1000)</f>
        <v>0</v>
      </c>
      <c r="E27" s="102">
        <f>IF(E11=0,0,E11/TrAvia_act!E19*1000)</f>
        <v>0</v>
      </c>
      <c r="F27" s="102">
        <f>IF(F11=0,0,F11/TrAvia_act!F19*1000)</f>
        <v>0</v>
      </c>
      <c r="G27" s="102">
        <f>IF(G11=0,0,G11/TrAvia_act!G19*1000)</f>
        <v>0</v>
      </c>
      <c r="H27" s="102">
        <f>IF(H11=0,0,H11/TrAvia_act!H19*1000)</f>
        <v>0</v>
      </c>
      <c r="I27" s="102">
        <f>IF(I11=0,0,I11/TrAvia_act!I19*1000)</f>
        <v>0</v>
      </c>
      <c r="J27" s="102">
        <f>IF(J11=0,0,J11/TrAvia_act!J19*1000)</f>
        <v>0</v>
      </c>
      <c r="K27" s="102">
        <f>IF(K11=0,0,K11/TrAvia_act!K19*1000)</f>
        <v>0</v>
      </c>
      <c r="L27" s="102">
        <f>IF(L11=0,0,L11/TrAvia_act!L19*1000)</f>
        <v>0</v>
      </c>
      <c r="M27" s="102">
        <f>IF(M11=0,0,M11/TrAvia_act!M19*1000)</f>
        <v>0</v>
      </c>
      <c r="N27" s="102">
        <f>IF(N11=0,0,N11/TrAvia_act!N19*1000)</f>
        <v>0</v>
      </c>
      <c r="O27" s="102">
        <f>IF(O11=0,0,O11/TrAvia_act!O19*1000)</f>
        <v>0</v>
      </c>
      <c r="P27" s="102">
        <f>IF(P11=0,0,P11/TrAvia_act!P19*1000)</f>
        <v>0</v>
      </c>
      <c r="Q27" s="102">
        <f>IF(Q11=0,0,Q11/TrAvia_act!Q19*1000)</f>
        <v>0</v>
      </c>
      <c r="R27" s="102">
        <f>IF(R11=0,0,R11/TrAvia_act!R19*1000)</f>
        <v>0</v>
      </c>
      <c r="S27" s="102">
        <f>IF(S11=0,0,S11/TrAvia_act!S19*1000)</f>
        <v>0</v>
      </c>
      <c r="T27" s="102">
        <f>IF(T11=0,0,T11/TrAvia_act!T19*1000)</f>
        <v>0</v>
      </c>
      <c r="U27" s="102">
        <f>IF(U11=0,0,U11/TrAvia_act!U19*1000)</f>
        <v>0</v>
      </c>
      <c r="V27" s="102">
        <f>IF(V11=0,0,V11/TrAvia_act!V19*1000)</f>
        <v>0</v>
      </c>
      <c r="W27" s="102">
        <f>IF(W11=0,0,W11/TrAvia_act!W19*1000)</f>
        <v>0</v>
      </c>
      <c r="X27" s="102">
        <f>IF(X11=0,0,X11/TrAvia_act!X19*1000)</f>
        <v>0</v>
      </c>
      <c r="Y27" s="102">
        <f>IF(Y11=0,0,Y11/TrAvia_act!Y19*1000)</f>
        <v>0</v>
      </c>
      <c r="DA27" s="175" t="s">
        <v>341</v>
      </c>
    </row>
    <row r="28" spans="1:105" ht="11.45" customHeight="1" x14ac:dyDescent="0.25">
      <c r="A28" s="92" t="s">
        <v>181</v>
      </c>
      <c r="B28" s="102">
        <f>IF(B12=0,0,B12/TrAvia_act!B20*1000)</f>
        <v>15154.756909996384</v>
      </c>
      <c r="C28" s="102">
        <f>IF(C12=0,0,C12/TrAvia_act!C20*1000)</f>
        <v>15180.812448994775</v>
      </c>
      <c r="D28" s="102">
        <f>IF(D12=0,0,D12/TrAvia_act!D20*1000)</f>
        <v>15281.329150364554</v>
      </c>
      <c r="E28" s="102">
        <f>IF(E12=0,0,E12/TrAvia_act!E20*1000)</f>
        <v>14781.708010736798</v>
      </c>
      <c r="F28" s="102">
        <f>IF(F12=0,0,F12/TrAvia_act!F20*1000)</f>
        <v>14566.553909988168</v>
      </c>
      <c r="G28" s="102">
        <f>IF(G12=0,0,G12/TrAvia_act!G20*1000)</f>
        <v>14511.793694923819</v>
      </c>
      <c r="H28" s="102">
        <f>IF(H12=0,0,H12/TrAvia_act!H20*1000)</f>
        <v>13679.364746435174</v>
      </c>
      <c r="I28" s="102">
        <f>IF(I12=0,0,I12/TrAvia_act!I20*1000)</f>
        <v>13683.54034974991</v>
      </c>
      <c r="J28" s="102">
        <f>IF(J12=0,0,J12/TrAvia_act!J20*1000)</f>
        <v>13778.983872618739</v>
      </c>
      <c r="K28" s="102">
        <f>IF(K12=0,0,K12/TrAvia_act!K20*1000)</f>
        <v>14169.103737455123</v>
      </c>
      <c r="L28" s="102">
        <f>IF(L12=0,0,L12/TrAvia_act!L20*1000)</f>
        <v>13489.788954917178</v>
      </c>
      <c r="M28" s="102">
        <f>IF(M12=0,0,M12/TrAvia_act!M20*1000)</f>
        <v>12755.919639558037</v>
      </c>
      <c r="N28" s="102">
        <f>IF(N12=0,0,N12/TrAvia_act!N20*1000)</f>
        <v>12967.152574682197</v>
      </c>
      <c r="O28" s="102">
        <f>IF(O12=0,0,O12/TrAvia_act!O20*1000)</f>
        <v>12887.034829786437</v>
      </c>
      <c r="P28" s="102">
        <f>IF(P12=0,0,P12/TrAvia_act!P20*1000)</f>
        <v>13054.665656839745</v>
      </c>
      <c r="Q28" s="102">
        <f>IF(Q12=0,0,Q12/TrAvia_act!Q20*1000)</f>
        <v>13323.256699865795</v>
      </c>
      <c r="R28" s="102">
        <f>IF(R12=0,0,R12/TrAvia_act!R20*1000)</f>
        <v>12925.456852238896</v>
      </c>
      <c r="S28" s="102">
        <f>IF(S12=0,0,S12/TrAvia_act!S20*1000)</f>
        <v>12607.108057482588</v>
      </c>
      <c r="T28" s="102">
        <f>IF(T12=0,0,T12/TrAvia_act!T20*1000)</f>
        <v>12273.265735228866</v>
      </c>
      <c r="U28" s="102">
        <f>IF(U12=0,0,U12/TrAvia_act!U20*1000)</f>
        <v>11707.455828921356</v>
      </c>
      <c r="V28" s="102">
        <f>IF(V12=0,0,V12/TrAvia_act!V20*1000)</f>
        <v>10430.254459624313</v>
      </c>
      <c r="W28" s="102">
        <f>IF(W12=0,0,W12/TrAvia_act!W20*1000)</f>
        <v>10129.459502345546</v>
      </c>
      <c r="X28" s="102">
        <f>IF(X12=0,0,X12/TrAvia_act!X20*1000)</f>
        <v>10523.746079325856</v>
      </c>
      <c r="Y28" s="102">
        <f>IF(Y12=0,0,Y12/TrAvia_act!Y20*1000)</f>
        <v>10172.958594733738</v>
      </c>
      <c r="DA28" s="175" t="s">
        <v>342</v>
      </c>
    </row>
    <row r="29" spans="1:105" ht="11.45" customHeight="1" x14ac:dyDescent="0.25">
      <c r="A29" s="85" t="s">
        <v>182</v>
      </c>
      <c r="B29" s="86">
        <f>IF(B13=0,0,B13/TrAvia_act!B21*1000)</f>
        <v>25440.198220003305</v>
      </c>
      <c r="C29" s="86">
        <f>IF(C13=0,0,C13/TrAvia_act!C21*1000)</f>
        <v>25384.362511185882</v>
      </c>
      <c r="D29" s="86">
        <f>IF(D13=0,0,D13/TrAvia_act!D21*1000)</f>
        <v>25627.882466191943</v>
      </c>
      <c r="E29" s="86">
        <f>IF(E13=0,0,E13/TrAvia_act!E21*1000)</f>
        <v>24979.822320950519</v>
      </c>
      <c r="F29" s="86">
        <f>IF(F13=0,0,F13/TrAvia_act!F21*1000)</f>
        <v>24755.735678680085</v>
      </c>
      <c r="G29" s="86">
        <f>IF(G13=0,0,G13/TrAvia_act!G21*1000)</f>
        <v>24485.366073398927</v>
      </c>
      <c r="H29" s="86">
        <f>IF(H13=0,0,H13/TrAvia_act!H21*1000)</f>
        <v>24537.098384112865</v>
      </c>
      <c r="I29" s="86">
        <f>IF(I13=0,0,I13/TrAvia_act!I21*1000)</f>
        <v>24604.219617451014</v>
      </c>
      <c r="J29" s="86">
        <f>IF(J13=0,0,J13/TrAvia_act!J21*1000)</f>
        <v>24082.230422088945</v>
      </c>
      <c r="K29" s="86">
        <f>IF(K13=0,0,K13/TrAvia_act!K21*1000)</f>
        <v>25781.460325042357</v>
      </c>
      <c r="L29" s="86">
        <f>IF(L13=0,0,L13/TrAvia_act!L21*1000)</f>
        <v>24108.831247855749</v>
      </c>
      <c r="M29" s="86">
        <f>IF(M13=0,0,M13/TrAvia_act!M21*1000)</f>
        <v>23825.267252844984</v>
      </c>
      <c r="N29" s="86">
        <f>IF(N13=0,0,N13/TrAvia_act!N21*1000)</f>
        <v>22838.381657832131</v>
      </c>
      <c r="O29" s="86">
        <f>IF(O13=0,0,O13/TrAvia_act!O21*1000)</f>
        <v>22598.401359755615</v>
      </c>
      <c r="P29" s="86">
        <f>IF(P13=0,0,P13/TrAvia_act!P21*1000)</f>
        <v>23332.549365681029</v>
      </c>
      <c r="Q29" s="86">
        <f>IF(Q13=0,0,Q13/TrAvia_act!Q21*1000)</f>
        <v>23817.752821163875</v>
      </c>
      <c r="R29" s="86">
        <f>IF(R13=0,0,R13/TrAvia_act!R21*1000)</f>
        <v>24009.407065894131</v>
      </c>
      <c r="S29" s="86">
        <f>IF(S13=0,0,S13/TrAvia_act!S21*1000)</f>
        <v>23595.30169159274</v>
      </c>
      <c r="T29" s="86">
        <f>IF(T13=0,0,T13/TrAvia_act!T21*1000)</f>
        <v>23221.386760277041</v>
      </c>
      <c r="U29" s="86">
        <f>IF(U13=0,0,U13/TrAvia_act!U21*1000)</f>
        <v>22746.120011720079</v>
      </c>
      <c r="V29" s="86">
        <f>IF(V13=0,0,V13/TrAvia_act!V21*1000)</f>
        <v>23385.157572318865</v>
      </c>
      <c r="W29" s="86">
        <f>IF(W13=0,0,W13/TrAvia_act!W21*1000)</f>
        <v>21560.440695969501</v>
      </c>
      <c r="X29" s="86">
        <f>IF(X13=0,0,X13/TrAvia_act!X21*1000)</f>
        <v>22638.631930732914</v>
      </c>
      <c r="Y29" s="86">
        <f>IF(Y13=0,0,Y13/TrAvia_act!Y21*1000)</f>
        <v>22032.964323124936</v>
      </c>
      <c r="DA29" s="178" t="s">
        <v>343</v>
      </c>
    </row>
    <row r="30" spans="1:105" x14ac:dyDescent="0.25">
      <c r="A30" s="50"/>
      <c r="B30" s="50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DA30" s="181"/>
    </row>
    <row r="31" spans="1:105" ht="11.45" customHeight="1" x14ac:dyDescent="0.25">
      <c r="A31" s="53" t="s">
        <v>71</v>
      </c>
      <c r="B31" s="62"/>
      <c r="C31" s="62"/>
      <c r="D31" s="62"/>
      <c r="E31" s="62"/>
      <c r="F31" s="62"/>
      <c r="G31" s="62"/>
      <c r="H31" s="62"/>
      <c r="I31" s="62"/>
      <c r="J31" s="62"/>
      <c r="K31" s="62"/>
      <c r="L31" s="62"/>
      <c r="M31" s="62"/>
      <c r="N31" s="62"/>
      <c r="O31" s="62"/>
      <c r="P31" s="62"/>
      <c r="Q31" s="62"/>
      <c r="R31" s="62"/>
      <c r="S31" s="62"/>
      <c r="T31" s="62"/>
      <c r="U31" s="62"/>
      <c r="V31" s="62"/>
      <c r="W31" s="62"/>
      <c r="X31" s="62"/>
      <c r="Y31" s="62"/>
      <c r="DA31" s="172"/>
    </row>
    <row r="32" spans="1:105" ht="11.45" customHeight="1" x14ac:dyDescent="0.25">
      <c r="A32" s="10" t="s">
        <v>160</v>
      </c>
      <c r="B32" s="14">
        <f>IF(B6=0,0,B6/TrAvia_act!B4*1000)</f>
        <v>132.90600036602311</v>
      </c>
      <c r="C32" s="14">
        <f>IF(C6=0,0,C6/TrAvia_act!C4*1000)</f>
        <v>131.65016594242141</v>
      </c>
      <c r="D32" s="14">
        <f>IF(D6=0,0,D6/TrAvia_act!D4*1000)</f>
        <v>133.40283435348269</v>
      </c>
      <c r="E32" s="14">
        <f>IF(E6=0,0,E6/TrAvia_act!E4*1000)</f>
        <v>130.32824364835554</v>
      </c>
      <c r="F32" s="14">
        <f>IF(F6=0,0,F6/TrAvia_act!F4*1000)</f>
        <v>124.8553224365439</v>
      </c>
      <c r="G32" s="14">
        <f>IF(G6=0,0,G6/TrAvia_act!G4*1000)</f>
        <v>120.35579473308898</v>
      </c>
      <c r="H32" s="14">
        <f>IF(H6=0,0,H6/TrAvia_act!H4*1000)</f>
        <v>118.34196367941874</v>
      </c>
      <c r="I32" s="14">
        <f>IF(I6=0,0,I6/TrAvia_act!I4*1000)</f>
        <v>117.37490935849898</v>
      </c>
      <c r="J32" s="14">
        <f>IF(J6=0,0,J6/TrAvia_act!J4*1000)</f>
        <v>118.02872342760739</v>
      </c>
      <c r="K32" s="14">
        <f>IF(K6=0,0,K6/TrAvia_act!K4*1000)</f>
        <v>124.57364972601583</v>
      </c>
      <c r="L32" s="14">
        <f>IF(L6=0,0,L6/TrAvia_act!L4*1000)</f>
        <v>112.491766636913</v>
      </c>
      <c r="M32" s="14">
        <f>IF(M6=0,0,M6/TrAvia_act!M4*1000)</f>
        <v>110.00677301325744</v>
      </c>
      <c r="N32" s="14">
        <f>IF(N6=0,0,N6/TrAvia_act!N4*1000)</f>
        <v>106.01986035765708</v>
      </c>
      <c r="O32" s="14">
        <f>IF(O6=0,0,O6/TrAvia_act!O4*1000)</f>
        <v>104.14392538843333</v>
      </c>
      <c r="P32" s="14">
        <f>IF(P6=0,0,P6/TrAvia_act!P4*1000)</f>
        <v>105.75703463289615</v>
      </c>
      <c r="Q32" s="14">
        <f>IF(Q6=0,0,Q6/TrAvia_act!Q4*1000)</f>
        <v>106.7987166604555</v>
      </c>
      <c r="R32" s="14">
        <f>IF(R6=0,0,R6/TrAvia_act!R4*1000)</f>
        <v>104.36152920493231</v>
      </c>
      <c r="S32" s="14">
        <f>IF(S6=0,0,S6/TrAvia_act!S4*1000)</f>
        <v>99.074870430668597</v>
      </c>
      <c r="T32" s="14">
        <f>IF(T6=0,0,T6/TrAvia_act!T4*1000)</f>
        <v>95.839034872401484</v>
      </c>
      <c r="U32" s="14">
        <f>IF(U6=0,0,U6/TrAvia_act!U4*1000)</f>
        <v>93.633527540049613</v>
      </c>
      <c r="V32" s="14">
        <f>IF(V6=0,0,V6/TrAvia_act!V4*1000)</f>
        <v>139.43448121287381</v>
      </c>
      <c r="W32" s="14">
        <f>IF(W6=0,0,W6/TrAvia_act!W4*1000)</f>
        <v>125.94190698376035</v>
      </c>
      <c r="X32" s="14">
        <f>IF(X6=0,0,X6/TrAvia_act!X4*1000)</f>
        <v>90.453762106420157</v>
      </c>
      <c r="Y32" s="14">
        <f>IF(Y6=0,0,Y6/TrAvia_act!Y4*1000)</f>
        <v>84.052451072508646</v>
      </c>
      <c r="DA32" s="189" t="s">
        <v>344</v>
      </c>
    </row>
    <row r="33" spans="1:105" ht="11.45" customHeight="1" x14ac:dyDescent="0.25">
      <c r="A33" s="83" t="s">
        <v>27</v>
      </c>
      <c r="B33" s="87">
        <f>IF(B7=0,0,B7/TrAvia_act!B5*1000)</f>
        <v>0</v>
      </c>
      <c r="C33" s="87">
        <f>IF(C7=0,0,C7/TrAvia_act!C5*1000)</f>
        <v>0</v>
      </c>
      <c r="D33" s="87">
        <f>IF(D7=0,0,D7/TrAvia_act!D5*1000)</f>
        <v>0</v>
      </c>
      <c r="E33" s="87">
        <f>IF(E7=0,0,E7/TrAvia_act!E5*1000)</f>
        <v>0</v>
      </c>
      <c r="F33" s="87">
        <f>IF(F7=0,0,F7/TrAvia_act!F5*1000)</f>
        <v>0</v>
      </c>
      <c r="G33" s="87">
        <f>IF(G7=0,0,G7/TrAvia_act!G5*1000)</f>
        <v>0</v>
      </c>
      <c r="H33" s="87">
        <f>IF(H7=0,0,H7/TrAvia_act!H5*1000)</f>
        <v>0</v>
      </c>
      <c r="I33" s="87">
        <f>IF(I7=0,0,I7/TrAvia_act!I5*1000)</f>
        <v>0</v>
      </c>
      <c r="J33" s="87">
        <f>IF(J7=0,0,J7/TrAvia_act!J5*1000)</f>
        <v>0</v>
      </c>
      <c r="K33" s="87">
        <f>IF(K7=0,0,K7/TrAvia_act!K5*1000)</f>
        <v>0</v>
      </c>
      <c r="L33" s="87">
        <f>IF(L7=0,0,L7/TrAvia_act!L5*1000)</f>
        <v>0</v>
      </c>
      <c r="M33" s="87">
        <f>IF(M7=0,0,M7/TrAvia_act!M5*1000)</f>
        <v>0</v>
      </c>
      <c r="N33" s="87">
        <f>IF(N7=0,0,N7/TrAvia_act!N5*1000)</f>
        <v>0</v>
      </c>
      <c r="O33" s="87">
        <f>IF(O7=0,0,O7/TrAvia_act!O5*1000)</f>
        <v>0</v>
      </c>
      <c r="P33" s="87">
        <f>IF(P7=0,0,P7/TrAvia_act!P5*1000)</f>
        <v>0</v>
      </c>
      <c r="Q33" s="87">
        <f>IF(Q7=0,0,Q7/TrAvia_act!Q5*1000)</f>
        <v>0</v>
      </c>
      <c r="R33" s="87">
        <f>IF(R7=0,0,R7/TrAvia_act!R5*1000)</f>
        <v>0</v>
      </c>
      <c r="S33" s="87">
        <f>IF(S7=0,0,S7/TrAvia_act!S5*1000)</f>
        <v>0</v>
      </c>
      <c r="T33" s="87">
        <f>IF(T7=0,0,T7/TrAvia_act!T5*1000)</f>
        <v>0</v>
      </c>
      <c r="U33" s="87">
        <f>IF(U7=0,0,U7/TrAvia_act!U5*1000)</f>
        <v>0</v>
      </c>
      <c r="V33" s="87">
        <f>IF(V7=0,0,V7/TrAvia_act!V5*1000)</f>
        <v>0</v>
      </c>
      <c r="W33" s="87">
        <f>IF(W7=0,0,W7/TrAvia_act!W5*1000)</f>
        <v>0</v>
      </c>
      <c r="X33" s="87">
        <f>IF(X7=0,0,X7/TrAvia_act!X5*1000)</f>
        <v>0</v>
      </c>
      <c r="Y33" s="87">
        <f>IF(Y7=0,0,Y7/TrAvia_act!Y5*1000)</f>
        <v>0</v>
      </c>
      <c r="DA33" s="171" t="s">
        <v>345</v>
      </c>
    </row>
    <row r="34" spans="1:105" ht="11.45" customHeight="1" x14ac:dyDescent="0.25">
      <c r="A34" s="83" t="s">
        <v>181</v>
      </c>
      <c r="B34" s="87">
        <f>IF(B8=0,0,B8/TrAvia_act!B6*1000)</f>
        <v>118.2956999207077</v>
      </c>
      <c r="C34" s="87">
        <f>IF(C8=0,0,C8/TrAvia_act!C6*1000)</f>
        <v>116.44372323528738</v>
      </c>
      <c r="D34" s="87">
        <f>IF(D8=0,0,D8/TrAvia_act!D6*1000)</f>
        <v>117.64086420272616</v>
      </c>
      <c r="E34" s="87">
        <f>IF(E8=0,0,E8/TrAvia_act!E6*1000)</f>
        <v>116.15252243567281</v>
      </c>
      <c r="F34" s="87">
        <f>IF(F8=0,0,F8/TrAvia_act!F6*1000)</f>
        <v>112.53313974474614</v>
      </c>
      <c r="G34" s="87">
        <f>IF(G8=0,0,G8/TrAvia_act!G6*1000)</f>
        <v>109.36732719294086</v>
      </c>
      <c r="H34" s="87">
        <f>IF(H8=0,0,H8/TrAvia_act!H6*1000)</f>
        <v>106.6672640844743</v>
      </c>
      <c r="I34" s="87">
        <f>IF(I8=0,0,I8/TrAvia_act!I6*1000)</f>
        <v>110.64928029808888</v>
      </c>
      <c r="J34" s="87">
        <f>IF(J8=0,0,J8/TrAvia_act!J6*1000)</f>
        <v>114.4215683585534</v>
      </c>
      <c r="K34" s="87">
        <f>IF(K8=0,0,K8/TrAvia_act!K6*1000)</f>
        <v>115.27228013903022</v>
      </c>
      <c r="L34" s="87">
        <f>IF(L8=0,0,L8/TrAvia_act!L6*1000)</f>
        <v>103.62567559456902</v>
      </c>
      <c r="M34" s="87">
        <f>IF(M8=0,0,M8/TrAvia_act!M6*1000)</f>
        <v>97.812264549767903</v>
      </c>
      <c r="N34" s="87">
        <f>IF(N8=0,0,N8/TrAvia_act!N6*1000)</f>
        <v>93.525475869320772</v>
      </c>
      <c r="O34" s="87">
        <f>IF(O8=0,0,O8/TrAvia_act!O6*1000)</f>
        <v>91.492379540246844</v>
      </c>
      <c r="P34" s="87">
        <f>IF(P8=0,0,P8/TrAvia_act!P6*1000)</f>
        <v>92.602346021567257</v>
      </c>
      <c r="Q34" s="87">
        <f>IF(Q8=0,0,Q8/TrAvia_act!Q6*1000)</f>
        <v>93.705240527224689</v>
      </c>
      <c r="R34" s="87">
        <f>IF(R8=0,0,R8/TrAvia_act!R6*1000)</f>
        <v>89.613410938813459</v>
      </c>
      <c r="S34" s="87">
        <f>IF(S8=0,0,S8/TrAvia_act!S6*1000)</f>
        <v>84.391015002904339</v>
      </c>
      <c r="T34" s="87">
        <f>IF(T8=0,0,T8/TrAvia_act!T6*1000)</f>
        <v>81.118608872268709</v>
      </c>
      <c r="U34" s="87">
        <f>IF(U8=0,0,U8/TrAvia_act!U6*1000)</f>
        <v>77.650994996433866</v>
      </c>
      <c r="V34" s="87">
        <f>IF(V8=0,0,V8/TrAvia_act!V6*1000)</f>
        <v>87.195190209773543</v>
      </c>
      <c r="W34" s="87">
        <f>IF(W8=0,0,W8/TrAvia_act!W6*1000)</f>
        <v>78.71383416311599</v>
      </c>
      <c r="X34" s="87">
        <f>IF(X8=0,0,X8/TrAvia_act!X6*1000)</f>
        <v>72.38311715339195</v>
      </c>
      <c r="Y34" s="87">
        <f>IF(Y8=0,0,Y8/TrAvia_act!Y6*1000)</f>
        <v>69.459792184488563</v>
      </c>
      <c r="DA34" s="171" t="s">
        <v>346</v>
      </c>
    </row>
    <row r="35" spans="1:105" ht="11.45" customHeight="1" x14ac:dyDescent="0.25">
      <c r="A35" s="83" t="s">
        <v>182</v>
      </c>
      <c r="B35" s="87">
        <f>IF(B9=0,0,B9/TrAvia_act!B7*1000)</f>
        <v>137.92762651375281</v>
      </c>
      <c r="C35" s="87">
        <f>IF(C9=0,0,C9/TrAvia_act!C7*1000)</f>
        <v>136.92099520779612</v>
      </c>
      <c r="D35" s="87">
        <f>IF(D9=0,0,D9/TrAvia_act!D7*1000)</f>
        <v>138.84511435407364</v>
      </c>
      <c r="E35" s="87">
        <f>IF(E9=0,0,E9/TrAvia_act!E7*1000)</f>
        <v>135.26418034578651</v>
      </c>
      <c r="F35" s="87">
        <f>IF(F9=0,0,F9/TrAvia_act!F7*1000)</f>
        <v>128.77202315265328</v>
      </c>
      <c r="G35" s="87">
        <f>IF(G9=0,0,G9/TrAvia_act!G7*1000)</f>
        <v>123.8031527501775</v>
      </c>
      <c r="H35" s="87">
        <f>IF(H9=0,0,H9/TrAvia_act!H7*1000)</f>
        <v>122.18362182980076</v>
      </c>
      <c r="I35" s="87">
        <f>IF(I9=0,0,I9/TrAvia_act!I7*1000)</f>
        <v>119.52206738845125</v>
      </c>
      <c r="J35" s="87">
        <f>IF(J9=0,0,J9/TrAvia_act!J7*1000)</f>
        <v>119.09055569911158</v>
      </c>
      <c r="K35" s="87">
        <f>IF(K9=0,0,K9/TrAvia_act!K7*1000)</f>
        <v>127.32915825455146</v>
      </c>
      <c r="L35" s="87">
        <f>IF(L9=0,0,L9/TrAvia_act!L7*1000)</f>
        <v>115.09783536674105</v>
      </c>
      <c r="M35" s="87">
        <f>IF(M9=0,0,M9/TrAvia_act!M7*1000)</f>
        <v>113.8431384442772</v>
      </c>
      <c r="N35" s="87">
        <f>IF(N9=0,0,N9/TrAvia_act!N7*1000)</f>
        <v>109.92212600045922</v>
      </c>
      <c r="O35" s="87">
        <f>IF(O9=0,0,O9/TrAvia_act!O7*1000)</f>
        <v>108.12010717857136</v>
      </c>
      <c r="P35" s="87">
        <f>IF(P9=0,0,P9/TrAvia_act!P7*1000)</f>
        <v>109.97279537402011</v>
      </c>
      <c r="Q35" s="87">
        <f>IF(Q9=0,0,Q9/TrAvia_act!Q7*1000)</f>
        <v>111.0468692293375</v>
      </c>
      <c r="R35" s="87">
        <f>IF(R9=0,0,R9/TrAvia_act!R7*1000)</f>
        <v>109.63836803194134</v>
      </c>
      <c r="S35" s="87">
        <f>IF(S9=0,0,S9/TrAvia_act!S7*1000)</f>
        <v>104.57169127744545</v>
      </c>
      <c r="T35" s="87">
        <f>IF(T9=0,0,T9/TrAvia_act!T7*1000)</f>
        <v>101.28163214725059</v>
      </c>
      <c r="U35" s="87">
        <f>IF(U9=0,0,U9/TrAvia_act!U7*1000)</f>
        <v>99.434851106593825</v>
      </c>
      <c r="V35" s="87">
        <f>IF(V9=0,0,V9/TrAvia_act!V7*1000)</f>
        <v>159.37582745538981</v>
      </c>
      <c r="W35" s="87">
        <f>IF(W9=0,0,W9/TrAvia_act!W7*1000)</f>
        <v>147.05967208550359</v>
      </c>
      <c r="X35" s="87">
        <f>IF(X9=0,0,X9/TrAvia_act!X7*1000)</f>
        <v>97.79172102516489</v>
      </c>
      <c r="Y35" s="87">
        <f>IF(Y9=0,0,Y9/TrAvia_act!Y7*1000)</f>
        <v>89.553553687514167</v>
      </c>
      <c r="DA35" s="171" t="s">
        <v>347</v>
      </c>
    </row>
    <row r="36" spans="1:105" ht="11.45" customHeight="1" x14ac:dyDescent="0.25">
      <c r="A36" s="12" t="s">
        <v>159</v>
      </c>
      <c r="B36" s="15">
        <f>IF(B10=0,0,B10/TrAvia_act!B8*1000)</f>
        <v>362.68807744462538</v>
      </c>
      <c r="C36" s="15">
        <f>IF(C10=0,0,C10/TrAvia_act!C8*1000)</f>
        <v>346.34353974097633</v>
      </c>
      <c r="D36" s="15">
        <f>IF(D10=0,0,D10/TrAvia_act!D8*1000)</f>
        <v>369.32539563611078</v>
      </c>
      <c r="E36" s="15">
        <f>IF(E10=0,0,E10/TrAvia_act!E8*1000)</f>
        <v>395.44927878069296</v>
      </c>
      <c r="F36" s="15">
        <f>IF(F10=0,0,F10/TrAvia_act!F8*1000)</f>
        <v>404.31185692823254</v>
      </c>
      <c r="G36" s="15">
        <f>IF(G10=0,0,G10/TrAvia_act!G8*1000)</f>
        <v>424.80654631291213</v>
      </c>
      <c r="H36" s="15">
        <f>IF(H10=0,0,H10/TrAvia_act!H8*1000)</f>
        <v>440.38710126594572</v>
      </c>
      <c r="I36" s="15">
        <f>IF(I10=0,0,I10/TrAvia_act!I8*1000)</f>
        <v>449.1794632843347</v>
      </c>
      <c r="J36" s="15">
        <f>IF(J10=0,0,J10/TrAvia_act!J8*1000)</f>
        <v>449.61694814809567</v>
      </c>
      <c r="K36" s="15">
        <f>IF(K10=0,0,K10/TrAvia_act!K8*1000)</f>
        <v>427.95136224537646</v>
      </c>
      <c r="L36" s="15">
        <f>IF(L10=0,0,L10/TrAvia_act!L8*1000)</f>
        <v>393.71151097092678</v>
      </c>
      <c r="M36" s="15">
        <f>IF(M10=0,0,M10/TrAvia_act!M8*1000)</f>
        <v>367.68413353854129</v>
      </c>
      <c r="N36" s="15">
        <f>IF(N10=0,0,N10/TrAvia_act!N8*1000)</f>
        <v>327.23023129707639</v>
      </c>
      <c r="O36" s="15">
        <f>IF(O10=0,0,O10/TrAvia_act!O8*1000)</f>
        <v>320.63617433973837</v>
      </c>
      <c r="P36" s="15">
        <f>IF(P10=0,0,P10/TrAvia_act!P8*1000)</f>
        <v>283.80274236295952</v>
      </c>
      <c r="Q36" s="15">
        <f>IF(Q10=0,0,Q10/TrAvia_act!Q8*1000)</f>
        <v>289.25125912322102</v>
      </c>
      <c r="R36" s="15">
        <f>IF(R10=0,0,R10/TrAvia_act!R8*1000)</f>
        <v>268.68011721132177</v>
      </c>
      <c r="S36" s="15">
        <f>IF(S10=0,0,S10/TrAvia_act!S8*1000)</f>
        <v>267.23592829879777</v>
      </c>
      <c r="T36" s="15">
        <f>IF(T10=0,0,T10/TrAvia_act!T8*1000)</f>
        <v>261.24223773366663</v>
      </c>
      <c r="U36" s="15">
        <f>IF(U10=0,0,U10/TrAvia_act!U8*1000)</f>
        <v>243.25390092670349</v>
      </c>
      <c r="V36" s="15">
        <f>IF(V10=0,0,V10/TrAvia_act!V8*1000)</f>
        <v>377.97585347600028</v>
      </c>
      <c r="W36" s="15">
        <f>IF(W10=0,0,W10/TrAvia_act!W8*1000)</f>
        <v>331.01975670225568</v>
      </c>
      <c r="X36" s="15">
        <f>IF(X10=0,0,X10/TrAvia_act!X8*1000)</f>
        <v>314.99596699725305</v>
      </c>
      <c r="Y36" s="15">
        <f>IF(Y10=0,0,Y10/TrAvia_act!Y8*1000)</f>
        <v>298.68556479957937</v>
      </c>
      <c r="DA36" s="193" t="s">
        <v>348</v>
      </c>
    </row>
    <row r="37" spans="1:105" ht="11.45" customHeight="1" x14ac:dyDescent="0.25">
      <c r="A37" s="92" t="s">
        <v>27</v>
      </c>
      <c r="B37" s="101">
        <f>IF(B11=0,0,B11/TrAvia_act!B9*1000)</f>
        <v>0</v>
      </c>
      <c r="C37" s="101">
        <f>IF(C11=0,0,C11/TrAvia_act!C9*1000)</f>
        <v>0</v>
      </c>
      <c r="D37" s="101">
        <f>IF(D11=0,0,D11/TrAvia_act!D9*1000)</f>
        <v>0</v>
      </c>
      <c r="E37" s="101">
        <f>IF(E11=0,0,E11/TrAvia_act!E9*1000)</f>
        <v>0</v>
      </c>
      <c r="F37" s="101">
        <f>IF(F11=0,0,F11/TrAvia_act!F9*1000)</f>
        <v>0</v>
      </c>
      <c r="G37" s="101">
        <f>IF(G11=0,0,G11/TrAvia_act!G9*1000)</f>
        <v>0</v>
      </c>
      <c r="H37" s="101">
        <f>IF(H11=0,0,H11/TrAvia_act!H9*1000)</f>
        <v>0</v>
      </c>
      <c r="I37" s="101">
        <f>IF(I11=0,0,I11/TrAvia_act!I9*1000)</f>
        <v>0</v>
      </c>
      <c r="J37" s="101">
        <f>IF(J11=0,0,J11/TrAvia_act!J9*1000)</f>
        <v>0</v>
      </c>
      <c r="K37" s="101">
        <f>IF(K11=0,0,K11/TrAvia_act!K9*1000)</f>
        <v>0</v>
      </c>
      <c r="L37" s="101">
        <f>IF(L11=0,0,L11/TrAvia_act!L9*1000)</f>
        <v>0</v>
      </c>
      <c r="M37" s="101">
        <f>IF(M11=0,0,M11/TrAvia_act!M9*1000)</f>
        <v>0</v>
      </c>
      <c r="N37" s="101">
        <f>IF(N11=0,0,N11/TrAvia_act!N9*1000)</f>
        <v>0</v>
      </c>
      <c r="O37" s="101">
        <f>IF(O11=0,0,O11/TrAvia_act!O9*1000)</f>
        <v>0</v>
      </c>
      <c r="P37" s="101">
        <f>IF(P11=0,0,P11/TrAvia_act!P9*1000)</f>
        <v>0</v>
      </c>
      <c r="Q37" s="101">
        <f>IF(Q11=0,0,Q11/TrAvia_act!Q9*1000)</f>
        <v>0</v>
      </c>
      <c r="R37" s="101">
        <f>IF(R11=0,0,R11/TrAvia_act!R9*1000)</f>
        <v>0</v>
      </c>
      <c r="S37" s="101">
        <f>IF(S11=0,0,S11/TrAvia_act!S9*1000)</f>
        <v>0</v>
      </c>
      <c r="T37" s="101">
        <f>IF(T11=0,0,T11/TrAvia_act!T9*1000)</f>
        <v>0</v>
      </c>
      <c r="U37" s="101">
        <f>IF(U11=0,0,U11/TrAvia_act!U9*1000)</f>
        <v>0</v>
      </c>
      <c r="V37" s="101">
        <f>IF(V11=0,0,V11/TrAvia_act!V9*1000)</f>
        <v>0</v>
      </c>
      <c r="W37" s="101">
        <f>IF(W11=0,0,W11/TrAvia_act!W9*1000)</f>
        <v>0</v>
      </c>
      <c r="X37" s="101">
        <f>IF(X11=0,0,X11/TrAvia_act!X9*1000)</f>
        <v>0</v>
      </c>
      <c r="Y37" s="101">
        <f>IF(Y11=0,0,Y11/TrAvia_act!Y9*1000)</f>
        <v>0</v>
      </c>
      <c r="DA37" s="175" t="s">
        <v>349</v>
      </c>
    </row>
    <row r="38" spans="1:105" ht="11.45" customHeight="1" x14ac:dyDescent="0.25">
      <c r="A38" s="92" t="s">
        <v>181</v>
      </c>
      <c r="B38" s="101">
        <f>IF(B12=0,0,B12/TrAvia_act!B10*1000)</f>
        <v>586.90986661797695</v>
      </c>
      <c r="C38" s="101">
        <f>IF(C12=0,0,C12/TrAvia_act!C10*1000)</f>
        <v>557.37366651784509</v>
      </c>
      <c r="D38" s="101">
        <f>IF(D12=0,0,D12/TrAvia_act!D10*1000)</f>
        <v>598.74306348660218</v>
      </c>
      <c r="E38" s="101">
        <f>IF(E12=0,0,E12/TrAvia_act!E10*1000)</f>
        <v>574.63366072440431</v>
      </c>
      <c r="F38" s="101">
        <f>IF(F12=0,0,F12/TrAvia_act!F10*1000)</f>
        <v>638.62178603606048</v>
      </c>
      <c r="G38" s="101">
        <f>IF(G12=0,0,G12/TrAvia_act!G10*1000)</f>
        <v>650.51377734914536</v>
      </c>
      <c r="H38" s="101">
        <f>IF(H12=0,0,H12/TrAvia_act!H10*1000)</f>
        <v>707.64835050061254</v>
      </c>
      <c r="I38" s="101">
        <f>IF(I12=0,0,I12/TrAvia_act!I10*1000)</f>
        <v>716.62347394126857</v>
      </c>
      <c r="J38" s="101">
        <f>IF(J12=0,0,J12/TrAvia_act!J10*1000)</f>
        <v>733.86282745875678</v>
      </c>
      <c r="K38" s="101">
        <f>IF(K12=0,0,K12/TrAvia_act!K10*1000)</f>
        <v>722.60896639895725</v>
      </c>
      <c r="L38" s="101">
        <f>IF(L12=0,0,L12/TrAvia_act!L10*1000)</f>
        <v>677.92057339185135</v>
      </c>
      <c r="M38" s="101">
        <f>IF(M12=0,0,M12/TrAvia_act!M10*1000)</f>
        <v>611.69903275427248</v>
      </c>
      <c r="N38" s="101">
        <f>IF(N12=0,0,N12/TrAvia_act!N10*1000)</f>
        <v>571.29723967516838</v>
      </c>
      <c r="O38" s="101">
        <f>IF(O12=0,0,O12/TrAvia_act!O10*1000)</f>
        <v>562.86987623850314</v>
      </c>
      <c r="P38" s="101">
        <f>IF(P12=0,0,P12/TrAvia_act!P10*1000)</f>
        <v>494.14240958202186</v>
      </c>
      <c r="Q38" s="101">
        <f>IF(Q12=0,0,Q12/TrAvia_act!Q10*1000)</f>
        <v>517.24420682566677</v>
      </c>
      <c r="R38" s="101">
        <f>IF(R12=0,0,R12/TrAvia_act!R10*1000)</f>
        <v>461.00652077350793</v>
      </c>
      <c r="S38" s="101">
        <f>IF(S12=0,0,S12/TrAvia_act!S10*1000)</f>
        <v>498.98228766677329</v>
      </c>
      <c r="T38" s="101">
        <f>IF(T12=0,0,T12/TrAvia_act!T10*1000)</f>
        <v>475.03081658864363</v>
      </c>
      <c r="U38" s="101">
        <f>IF(U12=0,0,U12/TrAvia_act!U10*1000)</f>
        <v>431.56322966908056</v>
      </c>
      <c r="V38" s="101">
        <f>IF(V12=0,0,V12/TrAvia_act!V10*1000)</f>
        <v>460.37455828275887</v>
      </c>
      <c r="W38" s="101">
        <f>IF(W12=0,0,W12/TrAvia_act!W10*1000)</f>
        <v>448.60922193374</v>
      </c>
      <c r="X38" s="101">
        <f>IF(X12=0,0,X12/TrAvia_act!X10*1000)</f>
        <v>466.77664532898922</v>
      </c>
      <c r="Y38" s="101">
        <f>IF(Y12=0,0,Y12/TrAvia_act!Y10*1000)</f>
        <v>455.55863049779606</v>
      </c>
      <c r="DA38" s="175" t="s">
        <v>350</v>
      </c>
    </row>
    <row r="39" spans="1:105" ht="11.45" customHeight="1" x14ac:dyDescent="0.25">
      <c r="A39" s="85" t="s">
        <v>182</v>
      </c>
      <c r="B39" s="88">
        <f>IF(B13=0,0,B13/TrAvia_act!B11*1000)</f>
        <v>359.63242329906387</v>
      </c>
      <c r="C39" s="88">
        <f>IF(C13=0,0,C13/TrAvia_act!C11*1000)</f>
        <v>342.43349891656675</v>
      </c>
      <c r="D39" s="88">
        <f>IF(D13=0,0,D13/TrAvia_act!D11*1000)</f>
        <v>366.15795564322707</v>
      </c>
      <c r="E39" s="88">
        <f>IF(E13=0,0,E13/TrAvia_act!E11*1000)</f>
        <v>392.7891021163145</v>
      </c>
      <c r="F39" s="88">
        <f>IF(F13=0,0,F13/TrAvia_act!F11*1000)</f>
        <v>401.06579211207986</v>
      </c>
      <c r="G39" s="88">
        <f>IF(G13=0,0,G13/TrAvia_act!G11*1000)</f>
        <v>421.81567606219073</v>
      </c>
      <c r="H39" s="88">
        <f>IF(H13=0,0,H13/TrAvia_act!H11*1000)</f>
        <v>437.26397613759957</v>
      </c>
      <c r="I39" s="88">
        <f>IF(I13=0,0,I13/TrAvia_act!I11*1000)</f>
        <v>445.89860292937885</v>
      </c>
      <c r="J39" s="88">
        <f>IF(J13=0,0,J13/TrAvia_act!J11*1000)</f>
        <v>445.41288673506784</v>
      </c>
      <c r="K39" s="88">
        <f>IF(K13=0,0,K13/TrAvia_act!K11*1000)</f>
        <v>422.80582085279286</v>
      </c>
      <c r="L39" s="88">
        <f>IF(L13=0,0,L13/TrAvia_act!L11*1000)</f>
        <v>388.92472178104572</v>
      </c>
      <c r="M39" s="88">
        <f>IF(M13=0,0,M13/TrAvia_act!M11*1000)</f>
        <v>364.12428778731982</v>
      </c>
      <c r="N39" s="88">
        <f>IF(N13=0,0,N13/TrAvia_act!N11*1000)</f>
        <v>324.09779176625523</v>
      </c>
      <c r="O39" s="88">
        <f>IF(O13=0,0,O13/TrAvia_act!O11*1000)</f>
        <v>317.41485613767526</v>
      </c>
      <c r="P39" s="88">
        <f>IF(P13=0,0,P13/TrAvia_act!P11*1000)</f>
        <v>280.77403428918177</v>
      </c>
      <c r="Q39" s="88">
        <f>IF(Q13=0,0,Q13/TrAvia_act!Q11*1000)</f>
        <v>286.03229667364127</v>
      </c>
      <c r="R39" s="88">
        <f>IF(R13=0,0,R13/TrAvia_act!R11*1000)</f>
        <v>265.46545094125889</v>
      </c>
      <c r="S39" s="88">
        <f>IF(S13=0,0,S13/TrAvia_act!S11*1000)</f>
        <v>264.26782938869553</v>
      </c>
      <c r="T39" s="88">
        <f>IF(T13=0,0,T13/TrAvia_act!T11*1000)</f>
        <v>258.95670415921734</v>
      </c>
      <c r="U39" s="88">
        <f>IF(U13=0,0,U13/TrAvia_act!U11*1000)</f>
        <v>241.08391373697143</v>
      </c>
      <c r="V39" s="88">
        <f>IF(V13=0,0,V13/TrAvia_act!V11*1000)</f>
        <v>377.12231143553754</v>
      </c>
      <c r="W39" s="88">
        <f>IF(W13=0,0,W13/TrAvia_act!W11*1000)</f>
        <v>329.77813164629777</v>
      </c>
      <c r="X39" s="88">
        <f>IF(X13=0,0,X13/TrAvia_act!X11*1000)</f>
        <v>313.47319476254506</v>
      </c>
      <c r="Y39" s="88">
        <f>IF(Y13=0,0,Y13/TrAvia_act!Y11*1000)</f>
        <v>297.18233143957389</v>
      </c>
      <c r="DA39" s="178" t="s">
        <v>351</v>
      </c>
    </row>
    <row r="40" spans="1:105" x14ac:dyDescent="0.25">
      <c r="A40" s="50"/>
      <c r="B40" s="50"/>
      <c r="C40" s="50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DA40" s="181"/>
    </row>
    <row r="41" spans="1:105" ht="11.45" customHeight="1" x14ac:dyDescent="0.25">
      <c r="A41" s="53" t="s">
        <v>72</v>
      </c>
      <c r="B41" s="54">
        <f>IF(B3=0,0,B3/TrAvia_act!B23*1000000)</f>
        <v>46496.591543621653</v>
      </c>
      <c r="C41" s="54">
        <f>IF(C3=0,0,C3/TrAvia_act!C23*1000000)</f>
        <v>46219.361003778024</v>
      </c>
      <c r="D41" s="54">
        <f>IF(D3=0,0,D3/TrAvia_act!D23*1000000)</f>
        <v>47064.094631091975</v>
      </c>
      <c r="E41" s="54">
        <f>IF(E3=0,0,E3/TrAvia_act!E23*1000000)</f>
        <v>45826.268516567507</v>
      </c>
      <c r="F41" s="54">
        <f>IF(F3=0,0,F3/TrAvia_act!F23*1000000)</f>
        <v>47310.833867520974</v>
      </c>
      <c r="G41" s="54">
        <f>IF(G3=0,0,G3/TrAvia_act!G23*1000000)</f>
        <v>47917.746244031041</v>
      </c>
      <c r="H41" s="54">
        <f>IF(H3=0,0,H3/TrAvia_act!H23*1000000)</f>
        <v>45785.741558286609</v>
      </c>
      <c r="I41" s="54">
        <f>IF(I3=0,0,I3/TrAvia_act!I23*1000000)</f>
        <v>44942.910811357557</v>
      </c>
      <c r="J41" s="54">
        <f>IF(J3=0,0,J3/TrAvia_act!J23*1000000)</f>
        <v>45718.804876622278</v>
      </c>
      <c r="K41" s="54">
        <f>IF(K3=0,0,K3/TrAvia_act!K23*1000000)</f>
        <v>46910.983730119784</v>
      </c>
      <c r="L41" s="54">
        <f>IF(L3=0,0,L3/TrAvia_act!L23*1000000)</f>
        <v>45782.327886107792</v>
      </c>
      <c r="M41" s="54">
        <f>IF(M3=0,0,M3/TrAvia_act!M23*1000000)</f>
        <v>43828.054437261046</v>
      </c>
      <c r="N41" s="54">
        <f>IF(N3=0,0,N3/TrAvia_act!N23*1000000)</f>
        <v>41888.795863858337</v>
      </c>
      <c r="O41" s="54">
        <f>IF(O3=0,0,O3/TrAvia_act!O23*1000000)</f>
        <v>42041.271641551793</v>
      </c>
      <c r="P41" s="54">
        <f>IF(P3=0,0,P3/TrAvia_act!P23*1000000)</f>
        <v>42633.627927007867</v>
      </c>
      <c r="Q41" s="54">
        <f>IF(Q3=0,0,Q3/TrAvia_act!Q23*1000000)</f>
        <v>43529.05949058543</v>
      </c>
      <c r="R41" s="54">
        <f>IF(R3=0,0,R3/TrAvia_act!R23*1000000)</f>
        <v>42457.245339832865</v>
      </c>
      <c r="S41" s="54">
        <f>IF(S3=0,0,S3/TrAvia_act!S23*1000000)</f>
        <v>42309.379070985822</v>
      </c>
      <c r="T41" s="54">
        <f>IF(T3=0,0,T3/TrAvia_act!T23*1000000)</f>
        <v>42225.284022807886</v>
      </c>
      <c r="U41" s="54">
        <f>IF(U3=0,0,U3/TrAvia_act!U23*1000000)</f>
        <v>41511.857837449359</v>
      </c>
      <c r="V41" s="54">
        <f>IF(V3=0,0,V3/TrAvia_act!V23*1000000)</f>
        <v>50993.28314927395</v>
      </c>
      <c r="W41" s="54">
        <f>IF(W3=0,0,W3/TrAvia_act!W23*1000000)</f>
        <v>47578.204776456405</v>
      </c>
      <c r="X41" s="54">
        <f>IF(X3=0,0,X3/TrAvia_act!X23*1000000)</f>
        <v>40776.106529177283</v>
      </c>
      <c r="Y41" s="54">
        <f>IF(Y3=0,0,Y3/TrAvia_act!Y23*1000000)</f>
        <v>39317.131086561647</v>
      </c>
      <c r="DA41" s="172" t="s">
        <v>352</v>
      </c>
    </row>
    <row r="42" spans="1:105" ht="11.45" customHeight="1" x14ac:dyDescent="0.25">
      <c r="A42" s="10" t="s">
        <v>33</v>
      </c>
      <c r="B42" s="11">
        <f>IF(B6=0,0,B6/TrAvia_act!B24*1000000)</f>
        <v>41484.479450973988</v>
      </c>
      <c r="C42" s="11">
        <f>IF(C6=0,0,C6/TrAvia_act!C24*1000000)</f>
        <v>41393.753326122322</v>
      </c>
      <c r="D42" s="11">
        <f>IF(D6=0,0,D6/TrAvia_act!D24*1000000)</f>
        <v>41843.007129228303</v>
      </c>
      <c r="E42" s="11">
        <f>IF(E6=0,0,E6/TrAvia_act!E24*1000000)</f>
        <v>40129.684689991955</v>
      </c>
      <c r="F42" s="11">
        <f>IF(F6=0,0,F6/TrAvia_act!F24*1000000)</f>
        <v>41760.265211747814</v>
      </c>
      <c r="G42" s="11">
        <f>IF(G6=0,0,G6/TrAvia_act!G24*1000000)</f>
        <v>42002.008793046807</v>
      </c>
      <c r="H42" s="11">
        <f>IF(H6=0,0,H6/TrAvia_act!H24*1000000)</f>
        <v>39231.846781846543</v>
      </c>
      <c r="I42" s="11">
        <f>IF(I6=0,0,I6/TrAvia_act!I24*1000000)</f>
        <v>38469.369786658644</v>
      </c>
      <c r="J42" s="11">
        <f>IF(J6=0,0,J6/TrAvia_act!J24*1000000)</f>
        <v>39262.785106653115</v>
      </c>
      <c r="K42" s="11">
        <f>IF(K6=0,0,K6/TrAvia_act!K24*1000000)</f>
        <v>41286.23523880326</v>
      </c>
      <c r="L42" s="11">
        <f>IF(L6=0,0,L6/TrAvia_act!L24*1000000)</f>
        <v>39643.662456404985</v>
      </c>
      <c r="M42" s="11">
        <f>IF(M6=0,0,M6/TrAvia_act!M24*1000000)</f>
        <v>38654.766471950417</v>
      </c>
      <c r="N42" s="11">
        <f>IF(N6=0,0,N6/TrAvia_act!N24*1000000)</f>
        <v>37884.531566493839</v>
      </c>
      <c r="O42" s="11">
        <f>IF(O6=0,0,O6/TrAvia_act!O24*1000000)</f>
        <v>38134.66563610937</v>
      </c>
      <c r="P42" s="11">
        <f>IF(P6=0,0,P6/TrAvia_act!P24*1000000)</f>
        <v>38990.226463961277</v>
      </c>
      <c r="Q42" s="11">
        <f>IF(Q6=0,0,Q6/TrAvia_act!Q24*1000000)</f>
        <v>39877.145194943281</v>
      </c>
      <c r="R42" s="11">
        <f>IF(R6=0,0,R6/TrAvia_act!R24*1000000)</f>
        <v>39278.418836444034</v>
      </c>
      <c r="S42" s="11">
        <f>IF(S6=0,0,S6/TrAvia_act!S24*1000000)</f>
        <v>38815.479047358545</v>
      </c>
      <c r="T42" s="11">
        <f>IF(T6=0,0,T6/TrAvia_act!T24*1000000)</f>
        <v>38772.21499468376</v>
      </c>
      <c r="U42" s="11">
        <f>IF(U6=0,0,U6/TrAvia_act!U24*1000000)</f>
        <v>38603.816041469952</v>
      </c>
      <c r="V42" s="11">
        <f>IF(V6=0,0,V6/TrAvia_act!V24*1000000)</f>
        <v>41629.005393767249</v>
      </c>
      <c r="W42" s="11">
        <f>IF(W6=0,0,W6/TrAvia_act!W24*1000000)</f>
        <v>39427.264739257495</v>
      </c>
      <c r="X42" s="11">
        <f>IF(X6=0,0,X6/TrAvia_act!X24*1000000)</f>
        <v>35452.39732204748</v>
      </c>
      <c r="Y42" s="11">
        <f>IF(Y6=0,0,Y6/TrAvia_act!Y24*1000000)</f>
        <v>35059.11860106227</v>
      </c>
      <c r="DA42" s="189" t="s">
        <v>353</v>
      </c>
    </row>
    <row r="43" spans="1:105" ht="11.45" customHeight="1" x14ac:dyDescent="0.25">
      <c r="A43" s="83" t="s">
        <v>27</v>
      </c>
      <c r="B43" s="84">
        <f>IF(B7=0,0,B7/TrAvia_act!B25*1000000)</f>
        <v>0</v>
      </c>
      <c r="C43" s="84">
        <f>IF(C7=0,0,C7/TrAvia_act!C25*1000000)</f>
        <v>0</v>
      </c>
      <c r="D43" s="84">
        <f>IF(D7=0,0,D7/TrAvia_act!D25*1000000)</f>
        <v>0</v>
      </c>
      <c r="E43" s="84">
        <f>IF(E7=0,0,E7/TrAvia_act!E25*1000000)</f>
        <v>0</v>
      </c>
      <c r="F43" s="84">
        <f>IF(F7=0,0,F7/TrAvia_act!F25*1000000)</f>
        <v>0</v>
      </c>
      <c r="G43" s="84">
        <f>IF(G7=0,0,G7/TrAvia_act!G25*1000000)</f>
        <v>0</v>
      </c>
      <c r="H43" s="84">
        <f>IF(H7=0,0,H7/TrAvia_act!H25*1000000)</f>
        <v>0</v>
      </c>
      <c r="I43" s="84">
        <f>IF(I7=0,0,I7/TrAvia_act!I25*1000000)</f>
        <v>0</v>
      </c>
      <c r="J43" s="84">
        <f>IF(J7=0,0,J7/TrAvia_act!J25*1000000)</f>
        <v>0</v>
      </c>
      <c r="K43" s="84">
        <f>IF(K7=0,0,K7/TrAvia_act!K25*1000000)</f>
        <v>0</v>
      </c>
      <c r="L43" s="84">
        <f>IF(L7=0,0,L7/TrAvia_act!L25*1000000)</f>
        <v>0</v>
      </c>
      <c r="M43" s="84">
        <f>IF(M7=0,0,M7/TrAvia_act!M25*1000000)</f>
        <v>0</v>
      </c>
      <c r="N43" s="84">
        <f>IF(N7=0,0,N7/TrAvia_act!N25*1000000)</f>
        <v>0</v>
      </c>
      <c r="O43" s="84">
        <f>IF(O7=0,0,O7/TrAvia_act!O25*1000000)</f>
        <v>0</v>
      </c>
      <c r="P43" s="84">
        <f>IF(P7=0,0,P7/TrAvia_act!P25*1000000)</f>
        <v>0</v>
      </c>
      <c r="Q43" s="84">
        <f>IF(Q7=0,0,Q7/TrAvia_act!Q25*1000000)</f>
        <v>0</v>
      </c>
      <c r="R43" s="84">
        <f>IF(R7=0,0,R7/TrAvia_act!R25*1000000)</f>
        <v>0</v>
      </c>
      <c r="S43" s="84">
        <f>IF(S7=0,0,S7/TrAvia_act!S25*1000000)</f>
        <v>0</v>
      </c>
      <c r="T43" s="84">
        <f>IF(T7=0,0,T7/TrAvia_act!T25*1000000)</f>
        <v>0</v>
      </c>
      <c r="U43" s="84">
        <f>IF(U7=0,0,U7/TrAvia_act!U25*1000000)</f>
        <v>0</v>
      </c>
      <c r="V43" s="84">
        <f>IF(V7=0,0,V7/TrAvia_act!V25*1000000)</f>
        <v>0</v>
      </c>
      <c r="W43" s="84">
        <f>IF(W7=0,0,W7/TrAvia_act!W25*1000000)</f>
        <v>0</v>
      </c>
      <c r="X43" s="84">
        <f>IF(X7=0,0,X7/TrAvia_act!X25*1000000)</f>
        <v>0</v>
      </c>
      <c r="Y43" s="84">
        <f>IF(Y7=0,0,Y7/TrAvia_act!Y25*1000000)</f>
        <v>0</v>
      </c>
      <c r="DA43" s="171" t="s">
        <v>354</v>
      </c>
    </row>
    <row r="44" spans="1:105" ht="11.45" customHeight="1" x14ac:dyDescent="0.25">
      <c r="A44" s="83" t="s">
        <v>181</v>
      </c>
      <c r="B44" s="84">
        <f>IF(B8=0,0,B8/TrAvia_act!B26*1000000)</f>
        <v>11687.666773667535</v>
      </c>
      <c r="C44" s="84">
        <f>IF(C8=0,0,C8/TrAvia_act!C26*1000000)</f>
        <v>11662.020153114368</v>
      </c>
      <c r="D44" s="84">
        <f>IF(D8=0,0,D8/TrAvia_act!D26*1000000)</f>
        <v>11727.852805381312</v>
      </c>
      <c r="E44" s="84">
        <f>IF(E8=0,0,E8/TrAvia_act!E26*1000000)</f>
        <v>11381.726888685116</v>
      </c>
      <c r="F44" s="84">
        <f>IF(F8=0,0,F8/TrAvia_act!F26*1000000)</f>
        <v>11364.288453626657</v>
      </c>
      <c r="G44" s="84">
        <f>IF(G8=0,0,G8/TrAvia_act!G26*1000000)</f>
        <v>11451.282826148439</v>
      </c>
      <c r="H44" s="84">
        <f>IF(H8=0,0,H8/TrAvia_act!H26*1000000)</f>
        <v>10796.357272096362</v>
      </c>
      <c r="I44" s="84">
        <f>IF(I8=0,0,I8/TrAvia_act!I26*1000000)</f>
        <v>10777.870266947815</v>
      </c>
      <c r="J44" s="84">
        <f>IF(J8=0,0,J8/TrAvia_act!J26*1000000)</f>
        <v>10819.610583576814</v>
      </c>
      <c r="K44" s="84">
        <f>IF(K8=0,0,K8/TrAvia_act!K26*1000000)</f>
        <v>10986.633998636167</v>
      </c>
      <c r="L44" s="84">
        <f>IF(L8=0,0,L8/TrAvia_act!L26*1000000)</f>
        <v>10610.933804395063</v>
      </c>
      <c r="M44" s="84">
        <f>IF(M8=0,0,M8/TrAvia_act!M26*1000000)</f>
        <v>10396.055975271975</v>
      </c>
      <c r="N44" s="84">
        <f>IF(N8=0,0,N8/TrAvia_act!N26*1000000)</f>
        <v>10066.917828539183</v>
      </c>
      <c r="O44" s="84">
        <f>IF(O8=0,0,O8/TrAvia_act!O26*1000000)</f>
        <v>10186.298690529382</v>
      </c>
      <c r="P44" s="84">
        <f>IF(P8=0,0,P8/TrAvia_act!P26*1000000)</f>
        <v>10484.930893360592</v>
      </c>
      <c r="Q44" s="84">
        <f>IF(Q8=0,0,Q8/TrAvia_act!Q26*1000000)</f>
        <v>10816.075085301673</v>
      </c>
      <c r="R44" s="84">
        <f>IF(R8=0,0,R8/TrAvia_act!R26*1000000)</f>
        <v>11051.702114682037</v>
      </c>
      <c r="S44" s="84">
        <f>IF(S8=0,0,S8/TrAvia_act!S26*1000000)</f>
        <v>11167.679651132034</v>
      </c>
      <c r="T44" s="84">
        <f>IF(T8=0,0,T8/TrAvia_act!T26*1000000)</f>
        <v>11015.131239213903</v>
      </c>
      <c r="U44" s="84">
        <f>IF(U8=0,0,U8/TrAvia_act!U26*1000000)</f>
        <v>10677.140366823454</v>
      </c>
      <c r="V44" s="84">
        <f>IF(V8=0,0,V8/TrAvia_act!V26*1000000)</f>
        <v>8965.253149380178</v>
      </c>
      <c r="W44" s="84">
        <f>IF(W8=0,0,W8/TrAvia_act!W26*1000000)</f>
        <v>9780.257768027057</v>
      </c>
      <c r="X44" s="84">
        <f>IF(X8=0,0,X8/TrAvia_act!X26*1000000)</f>
        <v>10120.271819446225</v>
      </c>
      <c r="Y44" s="84">
        <f>IF(Y8=0,0,Y8/TrAvia_act!Y26*1000000)</f>
        <v>9801.7223114072513</v>
      </c>
      <c r="DA44" s="171" t="s">
        <v>355</v>
      </c>
    </row>
    <row r="45" spans="1:105" ht="11.45" customHeight="1" x14ac:dyDescent="0.25">
      <c r="A45" s="83" t="s">
        <v>182</v>
      </c>
      <c r="B45" s="84">
        <f>IF(B9=0,0,B9/TrAvia_act!B27*1000000)</f>
        <v>166958.07592141113</v>
      </c>
      <c r="C45" s="84">
        <f>IF(C9=0,0,C9/TrAvia_act!C27*1000000)</f>
        <v>166591.6392124182</v>
      </c>
      <c r="D45" s="84">
        <f>IF(D9=0,0,D9/TrAvia_act!D27*1000000)</f>
        <v>168189.80377012643</v>
      </c>
      <c r="E45" s="84">
        <f>IF(E9=0,0,E9/TrAvia_act!E27*1000000)</f>
        <v>163936.73647893753</v>
      </c>
      <c r="F45" s="84">
        <f>IF(F9=0,0,F9/TrAvia_act!F27*1000000)</f>
        <v>162466.10821143666</v>
      </c>
      <c r="G45" s="84">
        <f>IF(G9=0,0,G9/TrAvia_act!G27*1000000)</f>
        <v>161166.98221421012</v>
      </c>
      <c r="H45" s="84">
        <f>IF(H9=0,0,H9/TrAvia_act!H27*1000000)</f>
        <v>161192.16996810315</v>
      </c>
      <c r="I45" s="84">
        <f>IF(I9=0,0,I9/TrAvia_act!I27*1000000)</f>
        <v>159859.72135689194</v>
      </c>
      <c r="J45" s="84">
        <f>IF(J9=0,0,J9/TrAvia_act!J27*1000000)</f>
        <v>153078.58743655673</v>
      </c>
      <c r="K45" s="84">
        <f>IF(K9=0,0,K9/TrAvia_act!K27*1000000)</f>
        <v>158577.52855011166</v>
      </c>
      <c r="L45" s="84">
        <f>IF(L9=0,0,L9/TrAvia_act!L27*1000000)</f>
        <v>143679.48925485738</v>
      </c>
      <c r="M45" s="84">
        <f>IF(M9=0,0,M9/TrAvia_act!M27*1000000)</f>
        <v>145716.79229835936</v>
      </c>
      <c r="N45" s="84">
        <f>IF(N9=0,0,N9/TrAvia_act!N27*1000000)</f>
        <v>142580.76737304495</v>
      </c>
      <c r="O45" s="84">
        <f>IF(O9=0,0,O9/TrAvia_act!O27*1000000)</f>
        <v>141079.91764112972</v>
      </c>
      <c r="P45" s="84">
        <f>IF(P9=0,0,P9/TrAvia_act!P27*1000000)</f>
        <v>146390.12006768372</v>
      </c>
      <c r="Q45" s="84">
        <f>IF(Q9=0,0,Q9/TrAvia_act!Q27*1000000)</f>
        <v>150824.0713016295</v>
      </c>
      <c r="R45" s="84">
        <f>IF(R9=0,0,R9/TrAvia_act!R27*1000000)</f>
        <v>155206.62212197986</v>
      </c>
      <c r="S45" s="84">
        <f>IF(S9=0,0,S9/TrAvia_act!S27*1000000)</f>
        <v>153976.62643771272</v>
      </c>
      <c r="T45" s="84">
        <f>IF(T9=0,0,T9/TrAvia_act!T27*1000000)</f>
        <v>152771.49959647559</v>
      </c>
      <c r="U45" s="84">
        <f>IF(U9=0,0,U9/TrAvia_act!U27*1000000)</f>
        <v>149281.60399636373</v>
      </c>
      <c r="V45" s="84">
        <f>IF(V9=0,0,V9/TrAvia_act!V27*1000000)</f>
        <v>174111.1843491178</v>
      </c>
      <c r="W45" s="84">
        <f>IF(W9=0,0,W9/TrAvia_act!W27*1000000)</f>
        <v>143631.57378265265</v>
      </c>
      <c r="X45" s="84">
        <f>IF(X9=0,0,X9/TrAvia_act!X27*1000000)</f>
        <v>143151.5875552583</v>
      </c>
      <c r="Y45" s="84">
        <f>IF(Y9=0,0,Y9/TrAvia_act!Y27*1000000)</f>
        <v>142196.53416636906</v>
      </c>
      <c r="DA45" s="171" t="s">
        <v>356</v>
      </c>
    </row>
    <row r="46" spans="1:105" ht="11.45" customHeight="1" x14ac:dyDescent="0.25">
      <c r="A46" s="12" t="s">
        <v>34</v>
      </c>
      <c r="B46" s="13">
        <f>IF(B10=0,0,B10/TrAvia_act!B28*1000000)</f>
        <v>118290.15701694468</v>
      </c>
      <c r="C46" s="13">
        <f>IF(C10=0,0,C10/TrAvia_act!C28*1000000)</f>
        <v>110419.69128219911</v>
      </c>
      <c r="D46" s="13">
        <f>IF(D10=0,0,D10/TrAvia_act!D28*1000000)</f>
        <v>118760.69889398686</v>
      </c>
      <c r="E46" s="13">
        <f>IF(E10=0,0,E10/TrAvia_act!E28*1000000)</f>
        <v>116500.97321305306</v>
      </c>
      <c r="F46" s="13">
        <f>IF(F10=0,0,F10/TrAvia_act!F28*1000000)</f>
        <v>114012.23509216509</v>
      </c>
      <c r="G46" s="13">
        <f>IF(G10=0,0,G10/TrAvia_act!G28*1000000)</f>
        <v>114797.54437664276</v>
      </c>
      <c r="H46" s="13">
        <f>IF(H10=0,0,H10/TrAvia_act!H28*1000000)</f>
        <v>119576.72580529953</v>
      </c>
      <c r="I46" s="13">
        <f>IF(I10=0,0,I10/TrAvia_act!I28*1000000)</f>
        <v>122865.23916454664</v>
      </c>
      <c r="J46" s="13">
        <f>IF(J10=0,0,J10/TrAvia_act!J28*1000000)</f>
        <v>117302.72960621891</v>
      </c>
      <c r="K46" s="13">
        <f>IF(K10=0,0,K10/TrAvia_act!K28*1000000)</f>
        <v>120470.63011706091</v>
      </c>
      <c r="L46" s="13">
        <f>IF(L10=0,0,L10/TrAvia_act!L28*1000000)</f>
        <v>115951.38842660654</v>
      </c>
      <c r="M46" s="13">
        <f>IF(M10=0,0,M10/TrAvia_act!M28*1000000)</f>
        <v>109233.6087531068</v>
      </c>
      <c r="N46" s="13">
        <f>IF(N10=0,0,N10/TrAvia_act!N28*1000000)</f>
        <v>97771.858864850656</v>
      </c>
      <c r="O46" s="13">
        <f>IF(O10=0,0,O10/TrAvia_act!O28*1000000)</f>
        <v>95926.586575102236</v>
      </c>
      <c r="P46" s="13">
        <f>IF(P10=0,0,P10/TrAvia_act!P28*1000000)</f>
        <v>96398.471766497838</v>
      </c>
      <c r="Q46" s="13">
        <f>IF(Q10=0,0,Q10/TrAvia_act!Q28*1000000)</f>
        <v>98776.025512818291</v>
      </c>
      <c r="R46" s="13">
        <f>IF(R10=0,0,R10/TrAvia_act!R28*1000000)</f>
        <v>97244.157673346534</v>
      </c>
      <c r="S46" s="13">
        <f>IF(S10=0,0,S10/TrAvia_act!S28*1000000)</f>
        <v>102321.72677153224</v>
      </c>
      <c r="T46" s="13">
        <f>IF(T10=0,0,T10/TrAvia_act!T28*1000000)</f>
        <v>105632.76628693394</v>
      </c>
      <c r="U46" s="13">
        <f>IF(U10=0,0,U10/TrAvia_act!U28*1000000)</f>
        <v>100108.96408962575</v>
      </c>
      <c r="V46" s="13">
        <f>IF(V10=0,0,V10/TrAvia_act!V28*1000000)</f>
        <v>112988.17414389121</v>
      </c>
      <c r="W46" s="13">
        <f>IF(W10=0,0,W10/TrAvia_act!W28*1000000)</f>
        <v>107749.67820855841</v>
      </c>
      <c r="X46" s="13">
        <f>IF(X10=0,0,X10/TrAvia_act!X28*1000000)</f>
        <v>119653.64856587033</v>
      </c>
      <c r="Y46" s="13">
        <f>IF(Y10=0,0,Y10/TrAvia_act!Y28*1000000)</f>
        <v>122221.61346409981</v>
      </c>
      <c r="DA46" s="193" t="s">
        <v>357</v>
      </c>
    </row>
    <row r="47" spans="1:105" ht="11.45" customHeight="1" x14ac:dyDescent="0.25">
      <c r="A47" s="92" t="s">
        <v>27</v>
      </c>
      <c r="B47" s="102">
        <f>IF(B11=0,0,B11/TrAvia_act!B29*1000000)</f>
        <v>0</v>
      </c>
      <c r="C47" s="102">
        <f>IF(C11=0,0,C11/TrAvia_act!C29*1000000)</f>
        <v>0</v>
      </c>
      <c r="D47" s="102">
        <f>IF(D11=0,0,D11/TrAvia_act!D29*1000000)</f>
        <v>0</v>
      </c>
      <c r="E47" s="102">
        <f>IF(E11=0,0,E11/TrAvia_act!E29*1000000)</f>
        <v>0</v>
      </c>
      <c r="F47" s="102">
        <f>IF(F11=0,0,F11/TrAvia_act!F29*1000000)</f>
        <v>0</v>
      </c>
      <c r="G47" s="102">
        <f>IF(G11=0,0,G11/TrAvia_act!G29*1000000)</f>
        <v>0</v>
      </c>
      <c r="H47" s="102">
        <f>IF(H11=0,0,H11/TrAvia_act!H29*1000000)</f>
        <v>0</v>
      </c>
      <c r="I47" s="102">
        <f>IF(I11=0,0,I11/TrAvia_act!I29*1000000)</f>
        <v>0</v>
      </c>
      <c r="J47" s="102">
        <f>IF(J11=0,0,J11/TrAvia_act!J29*1000000)</f>
        <v>0</v>
      </c>
      <c r="K47" s="102">
        <f>IF(K11=0,0,K11/TrAvia_act!K29*1000000)</f>
        <v>0</v>
      </c>
      <c r="L47" s="102">
        <f>IF(L11=0,0,L11/TrAvia_act!L29*1000000)</f>
        <v>0</v>
      </c>
      <c r="M47" s="102">
        <f>IF(M11=0,0,M11/TrAvia_act!M29*1000000)</f>
        <v>0</v>
      </c>
      <c r="N47" s="102">
        <f>IF(N11=0,0,N11/TrAvia_act!N29*1000000)</f>
        <v>0</v>
      </c>
      <c r="O47" s="102">
        <f>IF(O11=0,0,O11/TrAvia_act!O29*1000000)</f>
        <v>0</v>
      </c>
      <c r="P47" s="102">
        <f>IF(P11=0,0,P11/TrAvia_act!P29*1000000)</f>
        <v>0</v>
      </c>
      <c r="Q47" s="102">
        <f>IF(Q11=0,0,Q11/TrAvia_act!Q29*1000000)</f>
        <v>0</v>
      </c>
      <c r="R47" s="102">
        <f>IF(R11=0,0,R11/TrAvia_act!R29*1000000)</f>
        <v>0</v>
      </c>
      <c r="S47" s="102">
        <f>IF(S11=0,0,S11/TrAvia_act!S29*1000000)</f>
        <v>0</v>
      </c>
      <c r="T47" s="102">
        <f>IF(T11=0,0,T11/TrAvia_act!T29*1000000)</f>
        <v>0</v>
      </c>
      <c r="U47" s="102">
        <f>IF(U11=0,0,U11/TrAvia_act!U29*1000000)</f>
        <v>0</v>
      </c>
      <c r="V47" s="102">
        <f>IF(V11=0,0,V11/TrAvia_act!V29*1000000)</f>
        <v>0</v>
      </c>
      <c r="W47" s="102">
        <f>IF(W11=0,0,W11/TrAvia_act!W29*1000000)</f>
        <v>0</v>
      </c>
      <c r="X47" s="102">
        <f>IF(X11=0,0,X11/TrAvia_act!X29*1000000)</f>
        <v>0</v>
      </c>
      <c r="Y47" s="102">
        <f>IF(Y11=0,0,Y11/TrAvia_act!Y29*1000000)</f>
        <v>0</v>
      </c>
      <c r="DA47" s="175" t="s">
        <v>358</v>
      </c>
    </row>
    <row r="48" spans="1:105" ht="11.45" customHeight="1" x14ac:dyDescent="0.25">
      <c r="A48" s="92" t="s">
        <v>181</v>
      </c>
      <c r="B48" s="102">
        <f>IF(B12=0,0,B12/TrAvia_act!B30*1000000)</f>
        <v>11935.235065533807</v>
      </c>
      <c r="C48" s="102">
        <f>IF(C12=0,0,C12/TrAvia_act!C30*1000000)</f>
        <v>11891.255921076423</v>
      </c>
      <c r="D48" s="102">
        <f>IF(D12=0,0,D12/TrAvia_act!D30*1000000)</f>
        <v>11998.226406030059</v>
      </c>
      <c r="E48" s="102">
        <f>IF(E12=0,0,E12/TrAvia_act!E30*1000000)</f>
        <v>11634.854204090414</v>
      </c>
      <c r="F48" s="102">
        <f>IF(F12=0,0,F12/TrAvia_act!F30*1000000)</f>
        <v>11037.098816846943</v>
      </c>
      <c r="G48" s="102">
        <f>IF(G12=0,0,G12/TrAvia_act!G30*1000000)</f>
        <v>10944.051310746136</v>
      </c>
      <c r="H48" s="102">
        <f>IF(H12=0,0,H12/TrAvia_act!H30*1000000)</f>
        <v>10526.795371934037</v>
      </c>
      <c r="I48" s="102">
        <f>IF(I12=0,0,I12/TrAvia_act!I30*1000000)</f>
        <v>10981.2043492788</v>
      </c>
      <c r="J48" s="102">
        <f>IF(J12=0,0,J12/TrAvia_act!J30*1000000)</f>
        <v>10993.838596429523</v>
      </c>
      <c r="K48" s="102">
        <f>IF(K12=0,0,K12/TrAvia_act!K30*1000000)</f>
        <v>11841.068615504731</v>
      </c>
      <c r="L48" s="102">
        <f>IF(L12=0,0,L12/TrAvia_act!L30*1000000)</f>
        <v>11732.4337652575</v>
      </c>
      <c r="M48" s="102">
        <f>IF(M12=0,0,M12/TrAvia_act!M30*1000000)</f>
        <v>9364.1356357837867</v>
      </c>
      <c r="N48" s="102">
        <f>IF(N12=0,0,N12/TrAvia_act!N30*1000000)</f>
        <v>7533.2921265733794</v>
      </c>
      <c r="O48" s="102">
        <f>IF(O12=0,0,O12/TrAvia_act!O30*1000000)</f>
        <v>7706.5135220063894</v>
      </c>
      <c r="P48" s="102">
        <f>IF(P12=0,0,P12/TrAvia_act!P30*1000000)</f>
        <v>7821.1850205139253</v>
      </c>
      <c r="Q48" s="102">
        <f>IF(Q12=0,0,Q12/TrAvia_act!Q30*1000000)</f>
        <v>8125.5753550442396</v>
      </c>
      <c r="R48" s="102">
        <f>IF(R12=0,0,R12/TrAvia_act!R30*1000000)</f>
        <v>8327.9840870717453</v>
      </c>
      <c r="S48" s="102">
        <f>IF(S12=0,0,S12/TrAvia_act!S30*1000000)</f>
        <v>8647.8326217532831</v>
      </c>
      <c r="T48" s="102">
        <f>IF(T12=0,0,T12/TrAvia_act!T30*1000000)</f>
        <v>8444.1925431879517</v>
      </c>
      <c r="U48" s="102">
        <f>IF(U12=0,0,U12/TrAvia_act!U30*1000000)</f>
        <v>8005.1486262567551</v>
      </c>
      <c r="V48" s="102">
        <f>IF(V12=0,0,V12/TrAvia_act!V30*1000000)</f>
        <v>6973.8415828591078</v>
      </c>
      <c r="W48" s="102">
        <f>IF(W12=0,0,W12/TrAvia_act!W30*1000000)</f>
        <v>7311.9522361005738</v>
      </c>
      <c r="X48" s="102">
        <f>IF(X12=0,0,X12/TrAvia_act!X30*1000000)</f>
        <v>7920.9261335899555</v>
      </c>
      <c r="Y48" s="102">
        <f>IF(Y12=0,0,Y12/TrAvia_act!Y30*1000000)</f>
        <v>7731.0032145917185</v>
      </c>
      <c r="DA48" s="175" t="s">
        <v>359</v>
      </c>
    </row>
    <row r="49" spans="1:105" ht="11.45" customHeight="1" x14ac:dyDescent="0.25">
      <c r="A49" s="85" t="s">
        <v>182</v>
      </c>
      <c r="B49" s="86">
        <f>IF(B13=0,0,B13/TrAvia_act!B31*1000000)</f>
        <v>147527.5546800633</v>
      </c>
      <c r="C49" s="86">
        <f>IF(C13=0,0,C13/TrAvia_act!C31*1000000)</f>
        <v>147203.76374437843</v>
      </c>
      <c r="D49" s="86">
        <f>IF(D13=0,0,D13/TrAvia_act!D31*1000000)</f>
        <v>148615.93448169582</v>
      </c>
      <c r="E49" s="86">
        <f>IF(E13=0,0,E13/TrAvia_act!E31*1000000)</f>
        <v>144857.83764273726</v>
      </c>
      <c r="F49" s="86">
        <f>IF(F13=0,0,F13/TrAvia_act!F31*1000000)</f>
        <v>143558.36056772654</v>
      </c>
      <c r="G49" s="86">
        <f>IF(G13=0,0,G13/TrAvia_act!G31*1000000)</f>
        <v>142415.07421826388</v>
      </c>
      <c r="H49" s="86">
        <f>IF(H13=0,0,H13/TrAvia_act!H31*1000000)</f>
        <v>148710.60725816083</v>
      </c>
      <c r="I49" s="86">
        <f>IF(I13=0,0,I13/TrAvia_act!I31*1000000)</f>
        <v>153749.8946083445</v>
      </c>
      <c r="J49" s="86">
        <f>IF(J13=0,0,J13/TrAvia_act!J31*1000000)</f>
        <v>153465.09494612314</v>
      </c>
      <c r="K49" s="86">
        <f>IF(K13=0,0,K13/TrAvia_act!K31*1000000)</f>
        <v>165891.73427620149</v>
      </c>
      <c r="L49" s="86">
        <f>IF(L13=0,0,L13/TrAvia_act!L31*1000000)</f>
        <v>156856.90571976634</v>
      </c>
      <c r="M49" s="86">
        <f>IF(M13=0,0,M13/TrAvia_act!M31*1000000)</f>
        <v>147888.25810592258</v>
      </c>
      <c r="N49" s="86">
        <f>IF(N13=0,0,N13/TrAvia_act!N31*1000000)</f>
        <v>134117.51917556042</v>
      </c>
      <c r="O49" s="86">
        <f>IF(O13=0,0,O13/TrAvia_act!O31*1000000)</f>
        <v>131397.94928148831</v>
      </c>
      <c r="P49" s="86">
        <f>IF(P13=0,0,P13/TrAvia_act!P31*1000000)</f>
        <v>135201.13943862938</v>
      </c>
      <c r="Q49" s="86">
        <f>IF(Q13=0,0,Q13/TrAvia_act!Q31*1000000)</f>
        <v>138116.10386491643</v>
      </c>
      <c r="R49" s="86">
        <f>IF(R13=0,0,R13/TrAvia_act!R31*1000000)</f>
        <v>140915.37567368505</v>
      </c>
      <c r="S49" s="86">
        <f>IF(S13=0,0,S13/TrAvia_act!S31*1000000)</f>
        <v>138637.84031480402</v>
      </c>
      <c r="T49" s="86">
        <f>IF(T13=0,0,T13/TrAvia_act!T31*1000000)</f>
        <v>136425.69410746917</v>
      </c>
      <c r="U49" s="86">
        <f>IF(U13=0,0,U13/TrAvia_act!U31*1000000)</f>
        <v>131262.79003547048</v>
      </c>
      <c r="V49" s="86">
        <f>IF(V13=0,0,V13/TrAvia_act!V31*1000000)</f>
        <v>139877.04569418004</v>
      </c>
      <c r="W49" s="86">
        <f>IF(W13=0,0,W13/TrAvia_act!W31*1000000)</f>
        <v>134234.4252744866</v>
      </c>
      <c r="X49" s="86">
        <f>IF(X13=0,0,X13/TrAvia_act!X31*1000000)</f>
        <v>151600.88748679112</v>
      </c>
      <c r="Y49" s="86">
        <f>IF(Y13=0,0,Y13/TrAvia_act!Y31*1000000)</f>
        <v>156201.16068145356</v>
      </c>
      <c r="DA49" s="178" t="s">
        <v>360</v>
      </c>
    </row>
    <row r="50" spans="1:105" x14ac:dyDescent="0.25">
      <c r="A50" s="50"/>
      <c r="B50" s="50"/>
      <c r="C50" s="50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DA50" s="181"/>
    </row>
    <row r="51" spans="1:105" ht="11.45" customHeight="1" x14ac:dyDescent="0.25">
      <c r="A51" s="53" t="s">
        <v>41</v>
      </c>
      <c r="B51" s="76">
        <f t="shared" ref="B51:C51" si="33">IF(B3=0,0,B3/B$3)</f>
        <v>1</v>
      </c>
      <c r="C51" s="76">
        <f t="shared" si="33"/>
        <v>1</v>
      </c>
      <c r="D51" s="76">
        <f t="shared" ref="D51:V51" si="34">IF(D3=0,0,D3/D$3)</f>
        <v>1</v>
      </c>
      <c r="E51" s="76">
        <f t="shared" si="34"/>
        <v>1</v>
      </c>
      <c r="F51" s="76">
        <f t="shared" si="34"/>
        <v>1</v>
      </c>
      <c r="G51" s="76">
        <f t="shared" si="34"/>
        <v>1</v>
      </c>
      <c r="H51" s="76">
        <f t="shared" si="34"/>
        <v>1</v>
      </c>
      <c r="I51" s="76">
        <f t="shared" si="34"/>
        <v>1</v>
      </c>
      <c r="J51" s="76">
        <f t="shared" si="34"/>
        <v>1</v>
      </c>
      <c r="K51" s="76">
        <f t="shared" si="34"/>
        <v>1</v>
      </c>
      <c r="L51" s="76">
        <f t="shared" si="34"/>
        <v>1</v>
      </c>
      <c r="M51" s="76">
        <f t="shared" si="34"/>
        <v>1</v>
      </c>
      <c r="N51" s="76">
        <f t="shared" si="34"/>
        <v>1</v>
      </c>
      <c r="O51" s="76">
        <f t="shared" si="34"/>
        <v>1</v>
      </c>
      <c r="P51" s="76">
        <f t="shared" si="34"/>
        <v>1</v>
      </c>
      <c r="Q51" s="76">
        <f t="shared" si="34"/>
        <v>1</v>
      </c>
      <c r="R51" s="76">
        <f t="shared" si="34"/>
        <v>1</v>
      </c>
      <c r="S51" s="76">
        <f t="shared" si="34"/>
        <v>1</v>
      </c>
      <c r="T51" s="76">
        <f t="shared" si="34"/>
        <v>1</v>
      </c>
      <c r="U51" s="76">
        <f t="shared" si="34"/>
        <v>1</v>
      </c>
      <c r="V51" s="76">
        <f t="shared" si="34"/>
        <v>1</v>
      </c>
      <c r="W51" s="76">
        <f t="shared" ref="W51:Y51" si="35">IF(W3=0,0,W3/W$3)</f>
        <v>1</v>
      </c>
      <c r="X51" s="76">
        <f t="shared" si="35"/>
        <v>1</v>
      </c>
      <c r="Y51" s="76">
        <f t="shared" si="35"/>
        <v>1</v>
      </c>
      <c r="DA51" s="183"/>
    </row>
    <row r="52" spans="1:105" ht="11.45" customHeight="1" x14ac:dyDescent="0.25">
      <c r="A52" s="10" t="s">
        <v>33</v>
      </c>
      <c r="B52" s="16">
        <f t="shared" ref="B52:C52" si="36">IF(B6=0,0,B6/B$3)</f>
        <v>0.83398209055907457</v>
      </c>
      <c r="C52" s="16">
        <f t="shared" si="36"/>
        <v>0.83298238191208052</v>
      </c>
      <c r="D52" s="16">
        <f t="shared" ref="D52:V52" si="37">IF(D6=0,0,D6/D$3)</f>
        <v>0.82871561806520766</v>
      </c>
      <c r="E52" s="16">
        <f t="shared" si="37"/>
        <v>0.81037332397767103</v>
      </c>
      <c r="F52" s="16">
        <f t="shared" si="37"/>
        <v>0.81486921458464878</v>
      </c>
      <c r="G52" s="16">
        <f t="shared" si="37"/>
        <v>0.80531147251364821</v>
      </c>
      <c r="H52" s="16">
        <f t="shared" si="37"/>
        <v>0.78696170957284595</v>
      </c>
      <c r="I52" s="16">
        <f t="shared" si="37"/>
        <v>0.79030477229928109</v>
      </c>
      <c r="J52" s="16">
        <f t="shared" si="37"/>
        <v>0.78774342660028629</v>
      </c>
      <c r="K52" s="16">
        <f t="shared" si="37"/>
        <v>0.81758096779490985</v>
      </c>
      <c r="L52" s="16">
        <f t="shared" si="37"/>
        <v>0.79625660688480093</v>
      </c>
      <c r="M52" s="16">
        <f t="shared" si="37"/>
        <v>0.81731780860240888</v>
      </c>
      <c r="N52" s="16">
        <f t="shared" si="37"/>
        <v>0.8439356171372574</v>
      </c>
      <c r="O52" s="16">
        <f t="shared" si="37"/>
        <v>0.84576049234640216</v>
      </c>
      <c r="P52" s="16">
        <f t="shared" si="37"/>
        <v>0.85650042530775405</v>
      </c>
      <c r="Q52" s="16">
        <f t="shared" si="37"/>
        <v>0.85930268760205175</v>
      </c>
      <c r="R52" s="16">
        <f t="shared" si="37"/>
        <v>0.87439493432160476</v>
      </c>
      <c r="S52" s="16">
        <f t="shared" si="37"/>
        <v>0.86694682896689479</v>
      </c>
      <c r="T52" s="16">
        <f t="shared" si="37"/>
        <v>0.87080033707628313</v>
      </c>
      <c r="U52" s="16">
        <f t="shared" si="37"/>
        <v>0.88597765384269778</v>
      </c>
      <c r="V52" s="16">
        <f t="shared" si="37"/>
        <v>0.70923339832519539</v>
      </c>
      <c r="W52" s="16">
        <f t="shared" ref="W52:Y52" si="38">IF(W6=0,0,W6/W$3)</f>
        <v>0.72982047762273861</v>
      </c>
      <c r="X52" s="16">
        <f t="shared" si="38"/>
        <v>0.81446921981012976</v>
      </c>
      <c r="Y52" s="16">
        <f t="shared" si="38"/>
        <v>0.8481399739437836</v>
      </c>
      <c r="DA52" s="190"/>
    </row>
    <row r="53" spans="1:105" ht="11.45" customHeight="1" x14ac:dyDescent="0.25">
      <c r="A53" s="83" t="s">
        <v>27</v>
      </c>
      <c r="B53" s="103">
        <f t="shared" ref="B53:C53" si="39">IF(B7=0,0,B7/B$3)</f>
        <v>0</v>
      </c>
      <c r="C53" s="103">
        <f t="shared" si="39"/>
        <v>0</v>
      </c>
      <c r="D53" s="103">
        <f t="shared" ref="D53:V53" si="40">IF(D7=0,0,D7/D$3)</f>
        <v>0</v>
      </c>
      <c r="E53" s="103">
        <f t="shared" si="40"/>
        <v>0</v>
      </c>
      <c r="F53" s="103">
        <f t="shared" si="40"/>
        <v>0</v>
      </c>
      <c r="G53" s="103">
        <f t="shared" si="40"/>
        <v>0</v>
      </c>
      <c r="H53" s="103">
        <f t="shared" si="40"/>
        <v>0</v>
      </c>
      <c r="I53" s="103">
        <f t="shared" si="40"/>
        <v>0</v>
      </c>
      <c r="J53" s="103">
        <f t="shared" si="40"/>
        <v>0</v>
      </c>
      <c r="K53" s="103">
        <f t="shared" si="40"/>
        <v>0</v>
      </c>
      <c r="L53" s="103">
        <f t="shared" si="40"/>
        <v>0</v>
      </c>
      <c r="M53" s="103">
        <f t="shared" si="40"/>
        <v>0</v>
      </c>
      <c r="N53" s="103">
        <f t="shared" si="40"/>
        <v>0</v>
      </c>
      <c r="O53" s="103">
        <f t="shared" si="40"/>
        <v>0</v>
      </c>
      <c r="P53" s="103">
        <f t="shared" si="40"/>
        <v>0</v>
      </c>
      <c r="Q53" s="103">
        <f t="shared" si="40"/>
        <v>0</v>
      </c>
      <c r="R53" s="103">
        <f t="shared" si="40"/>
        <v>0</v>
      </c>
      <c r="S53" s="103">
        <f t="shared" si="40"/>
        <v>0</v>
      </c>
      <c r="T53" s="103">
        <f t="shared" si="40"/>
        <v>0</v>
      </c>
      <c r="U53" s="103">
        <f t="shared" si="40"/>
        <v>0</v>
      </c>
      <c r="V53" s="103">
        <f t="shared" si="40"/>
        <v>0</v>
      </c>
      <c r="W53" s="103">
        <f t="shared" ref="W53:Y53" si="41">IF(W7=0,0,W7/W$3)</f>
        <v>0</v>
      </c>
      <c r="X53" s="103">
        <f t="shared" si="41"/>
        <v>0</v>
      </c>
      <c r="Y53" s="103">
        <f t="shared" si="41"/>
        <v>0</v>
      </c>
      <c r="DA53" s="191"/>
    </row>
    <row r="54" spans="1:105" ht="11.45" customHeight="1" x14ac:dyDescent="0.25">
      <c r="A54" s="83" t="s">
        <v>181</v>
      </c>
      <c r="B54" s="103">
        <f t="shared" ref="B54:C54" si="42">IF(B8=0,0,B8/B$3)</f>
        <v>0.18987271021878935</v>
      </c>
      <c r="C54" s="103">
        <f t="shared" si="42"/>
        <v>0.18964322778696935</v>
      </c>
      <c r="D54" s="103">
        <f t="shared" ref="D54:V54" si="43">IF(D8=0,0,D8/D$3)</f>
        <v>0.18756708799936769</v>
      </c>
      <c r="E54" s="103">
        <f t="shared" si="43"/>
        <v>0.18652904109058632</v>
      </c>
      <c r="F54" s="103">
        <f t="shared" si="43"/>
        <v>0.17714361777570484</v>
      </c>
      <c r="G54" s="103">
        <f t="shared" si="43"/>
        <v>0.17475485205303751</v>
      </c>
      <c r="H54" s="103">
        <f t="shared" si="43"/>
        <v>0.17562038257710033</v>
      </c>
      <c r="I54" s="103">
        <f t="shared" si="43"/>
        <v>0.18029009897260953</v>
      </c>
      <c r="J54" s="103">
        <f t="shared" si="43"/>
        <v>0.17367535618361302</v>
      </c>
      <c r="K54" s="103">
        <f t="shared" si="43"/>
        <v>0.17290054306744743</v>
      </c>
      <c r="L54" s="103">
        <f t="shared" si="43"/>
        <v>0.16662507773401319</v>
      </c>
      <c r="M54" s="103">
        <f t="shared" si="43"/>
        <v>0.17391122804670295</v>
      </c>
      <c r="N54" s="103">
        <f t="shared" si="43"/>
        <v>0.17717959930363156</v>
      </c>
      <c r="O54" s="103">
        <f t="shared" si="43"/>
        <v>0.17767720097955567</v>
      </c>
      <c r="P54" s="103">
        <f t="shared" si="43"/>
        <v>0.18201417408775286</v>
      </c>
      <c r="Q54" s="103">
        <f t="shared" si="43"/>
        <v>0.18469461707659499</v>
      </c>
      <c r="R54" s="103">
        <f t="shared" si="43"/>
        <v>0.19785290998503874</v>
      </c>
      <c r="S54" s="103">
        <f t="shared" si="43"/>
        <v>0.2011411952563619</v>
      </c>
      <c r="T54" s="103">
        <f t="shared" si="43"/>
        <v>0.19895149159405096</v>
      </c>
      <c r="U54" s="103">
        <f t="shared" si="43"/>
        <v>0.19567292499736197</v>
      </c>
      <c r="V54" s="103">
        <f t="shared" si="43"/>
        <v>0.12253080457320871</v>
      </c>
      <c r="W54" s="103">
        <f t="shared" ref="W54:Y54" si="44">IF(W8=0,0,W8/W$3)</f>
        <v>0.14093950106778455</v>
      </c>
      <c r="X54" s="103">
        <f t="shared" si="44"/>
        <v>0.18822607976250202</v>
      </c>
      <c r="Y54" s="103">
        <f t="shared" si="44"/>
        <v>0.19188416322292273</v>
      </c>
      <c r="DA54" s="191"/>
    </row>
    <row r="55" spans="1:105" ht="11.45" customHeight="1" x14ac:dyDescent="0.25">
      <c r="A55" s="83" t="s">
        <v>182</v>
      </c>
      <c r="B55" s="103">
        <f t="shared" ref="B55:C55" si="45">IF(B9=0,0,B9/B$3)</f>
        <v>0.64410938034028531</v>
      </c>
      <c r="C55" s="103">
        <f t="shared" si="45"/>
        <v>0.64333915412511111</v>
      </c>
      <c r="D55" s="103">
        <f t="shared" ref="D55:V55" si="46">IF(D9=0,0,D9/D$3)</f>
        <v>0.64114853006583994</v>
      </c>
      <c r="E55" s="103">
        <f t="shared" si="46"/>
        <v>0.62384428288708471</v>
      </c>
      <c r="F55" s="103">
        <f t="shared" si="46"/>
        <v>0.63772559680894392</v>
      </c>
      <c r="G55" s="103">
        <f t="shared" si="46"/>
        <v>0.63055662046061078</v>
      </c>
      <c r="H55" s="103">
        <f t="shared" si="46"/>
        <v>0.61134132699574562</v>
      </c>
      <c r="I55" s="103">
        <f t="shared" si="46"/>
        <v>0.61001467332667147</v>
      </c>
      <c r="J55" s="103">
        <f t="shared" si="46"/>
        <v>0.61406807041667333</v>
      </c>
      <c r="K55" s="103">
        <f t="shared" si="46"/>
        <v>0.64468042472746245</v>
      </c>
      <c r="L55" s="103">
        <f t="shared" si="46"/>
        <v>0.62963152915078768</v>
      </c>
      <c r="M55" s="103">
        <f t="shared" si="46"/>
        <v>0.64340658055570588</v>
      </c>
      <c r="N55" s="103">
        <f t="shared" si="46"/>
        <v>0.66675601783362581</v>
      </c>
      <c r="O55" s="103">
        <f t="shared" si="46"/>
        <v>0.66808329136684652</v>
      </c>
      <c r="P55" s="103">
        <f t="shared" si="46"/>
        <v>0.67448625122000117</v>
      </c>
      <c r="Q55" s="103">
        <f t="shared" si="46"/>
        <v>0.67460807052545679</v>
      </c>
      <c r="R55" s="103">
        <f t="shared" si="46"/>
        <v>0.67654202433656596</v>
      </c>
      <c r="S55" s="103">
        <f t="shared" si="46"/>
        <v>0.66580563371053292</v>
      </c>
      <c r="T55" s="103">
        <f t="shared" si="46"/>
        <v>0.67184884548223223</v>
      </c>
      <c r="U55" s="103">
        <f t="shared" si="46"/>
        <v>0.69030472884533578</v>
      </c>
      <c r="V55" s="103">
        <f t="shared" si="46"/>
        <v>0.58670259375198663</v>
      </c>
      <c r="W55" s="103">
        <f t="shared" ref="W55:Y55" si="47">IF(W9=0,0,W9/W$3)</f>
        <v>0.58888097655495408</v>
      </c>
      <c r="X55" s="103">
        <f t="shared" si="47"/>
        <v>0.62624314004762771</v>
      </c>
      <c r="Y55" s="103">
        <f t="shared" si="47"/>
        <v>0.65625581072086092</v>
      </c>
      <c r="DA55" s="191"/>
    </row>
    <row r="56" spans="1:105" ht="11.45" customHeight="1" x14ac:dyDescent="0.25">
      <c r="A56" s="12" t="s">
        <v>34</v>
      </c>
      <c r="B56" s="17">
        <f t="shared" ref="B56:C56" si="48">IF(B10=0,0,B10/B$3)</f>
        <v>0.16601790944092534</v>
      </c>
      <c r="C56" s="17">
        <f t="shared" si="48"/>
        <v>0.16701761808791957</v>
      </c>
      <c r="D56" s="17">
        <f t="shared" ref="D56:V56" si="49">IF(D10=0,0,D10/D$3)</f>
        <v>0.1712843819347924</v>
      </c>
      <c r="E56" s="17">
        <f t="shared" si="49"/>
        <v>0.18962667602232899</v>
      </c>
      <c r="F56" s="17">
        <f t="shared" si="49"/>
        <v>0.18513078541535133</v>
      </c>
      <c r="G56" s="17">
        <f t="shared" si="49"/>
        <v>0.19468852748635174</v>
      </c>
      <c r="H56" s="17">
        <f t="shared" si="49"/>
        <v>0.21303829042715391</v>
      </c>
      <c r="I56" s="17">
        <f t="shared" si="49"/>
        <v>0.20969522770071899</v>
      </c>
      <c r="J56" s="17">
        <f t="shared" si="49"/>
        <v>0.21225657339971368</v>
      </c>
      <c r="K56" s="17">
        <f t="shared" si="49"/>
        <v>0.18241903220509015</v>
      </c>
      <c r="L56" s="17">
        <f t="shared" si="49"/>
        <v>0.20374339311519918</v>
      </c>
      <c r="M56" s="17">
        <f t="shared" si="49"/>
        <v>0.18268219139759115</v>
      </c>
      <c r="N56" s="17">
        <f t="shared" si="49"/>
        <v>0.1560643828627426</v>
      </c>
      <c r="O56" s="17">
        <f t="shared" si="49"/>
        <v>0.1542395076535979</v>
      </c>
      <c r="P56" s="17">
        <f t="shared" si="49"/>
        <v>0.14349957469224606</v>
      </c>
      <c r="Q56" s="17">
        <f t="shared" si="49"/>
        <v>0.14069731239794817</v>
      </c>
      <c r="R56" s="17">
        <f t="shared" si="49"/>
        <v>0.1256050656783953</v>
      </c>
      <c r="S56" s="17">
        <f t="shared" si="49"/>
        <v>0.13305317103310516</v>
      </c>
      <c r="T56" s="17">
        <f t="shared" si="49"/>
        <v>0.12919966292371679</v>
      </c>
      <c r="U56" s="17">
        <f t="shared" si="49"/>
        <v>0.11402234615730233</v>
      </c>
      <c r="V56" s="17">
        <f t="shared" si="49"/>
        <v>0.29076660167480467</v>
      </c>
      <c r="W56" s="17">
        <f t="shared" ref="W56:Y56" si="50">IF(W10=0,0,W10/W$3)</f>
        <v>0.27017952237726134</v>
      </c>
      <c r="X56" s="17">
        <f t="shared" si="50"/>
        <v>0.18553078018987021</v>
      </c>
      <c r="Y56" s="17">
        <f t="shared" si="50"/>
        <v>0.15186002605621643</v>
      </c>
      <c r="DA56" s="194"/>
    </row>
    <row r="57" spans="1:105" ht="11.45" customHeight="1" x14ac:dyDescent="0.25">
      <c r="A57" s="92" t="s">
        <v>27</v>
      </c>
      <c r="B57" s="104">
        <f t="shared" ref="B57:C57" si="51">IF(B11=0,0,B11/B$3)</f>
        <v>0</v>
      </c>
      <c r="C57" s="104">
        <f t="shared" si="51"/>
        <v>0</v>
      </c>
      <c r="D57" s="104">
        <f t="shared" ref="D57:V57" si="52">IF(D11=0,0,D11/D$3)</f>
        <v>0</v>
      </c>
      <c r="E57" s="104">
        <f t="shared" si="52"/>
        <v>0</v>
      </c>
      <c r="F57" s="104">
        <f t="shared" si="52"/>
        <v>0</v>
      </c>
      <c r="G57" s="104">
        <f t="shared" si="52"/>
        <v>0</v>
      </c>
      <c r="H57" s="104">
        <f t="shared" si="52"/>
        <v>0</v>
      </c>
      <c r="I57" s="104">
        <f t="shared" si="52"/>
        <v>0</v>
      </c>
      <c r="J57" s="104">
        <f t="shared" si="52"/>
        <v>0</v>
      </c>
      <c r="K57" s="104">
        <f t="shared" si="52"/>
        <v>0</v>
      </c>
      <c r="L57" s="104">
        <f t="shared" si="52"/>
        <v>0</v>
      </c>
      <c r="M57" s="104">
        <f t="shared" si="52"/>
        <v>0</v>
      </c>
      <c r="N57" s="104">
        <f t="shared" si="52"/>
        <v>0</v>
      </c>
      <c r="O57" s="104">
        <f t="shared" si="52"/>
        <v>0</v>
      </c>
      <c r="P57" s="104">
        <f t="shared" si="52"/>
        <v>0</v>
      </c>
      <c r="Q57" s="104">
        <f t="shared" si="52"/>
        <v>0</v>
      </c>
      <c r="R57" s="104">
        <f t="shared" si="52"/>
        <v>0</v>
      </c>
      <c r="S57" s="104">
        <f t="shared" si="52"/>
        <v>0</v>
      </c>
      <c r="T57" s="104">
        <f t="shared" si="52"/>
        <v>0</v>
      </c>
      <c r="U57" s="104">
        <f t="shared" si="52"/>
        <v>0</v>
      </c>
      <c r="V57" s="104">
        <f t="shared" si="52"/>
        <v>0</v>
      </c>
      <c r="W57" s="104">
        <f t="shared" ref="W57:Y57" si="53">IF(W11=0,0,W11/W$3)</f>
        <v>0</v>
      </c>
      <c r="X57" s="104">
        <f t="shared" si="53"/>
        <v>0</v>
      </c>
      <c r="Y57" s="104">
        <f t="shared" si="53"/>
        <v>0</v>
      </c>
      <c r="DA57" s="195"/>
    </row>
    <row r="58" spans="1:105" ht="11.45" customHeight="1" x14ac:dyDescent="0.25">
      <c r="A58" s="92" t="s">
        <v>181</v>
      </c>
      <c r="B58" s="104">
        <f t="shared" ref="B58:C58" si="54">IF(B12=0,0,B12/B$3)</f>
        <v>3.6119433791992252E-3</v>
      </c>
      <c r="C58" s="104">
        <f t="shared" si="54"/>
        <v>4.8895101214217343E-3</v>
      </c>
      <c r="D58" s="104">
        <f t="shared" ref="D58:V58" si="55">IF(D12=0,0,D12/D$3)</f>
        <v>3.7815999215404811E-3</v>
      </c>
      <c r="E58" s="104">
        <f t="shared" si="55"/>
        <v>4.0309728799794407E-3</v>
      </c>
      <c r="F58" s="104">
        <f t="shared" si="55"/>
        <v>3.9957387970993843E-3</v>
      </c>
      <c r="G58" s="104">
        <f t="shared" si="55"/>
        <v>3.8988872184037514E-3</v>
      </c>
      <c r="H58" s="104">
        <f t="shared" si="55"/>
        <v>3.9541065830192195E-3</v>
      </c>
      <c r="I58" s="104">
        <f t="shared" si="55"/>
        <v>4.0543316813466245E-3</v>
      </c>
      <c r="J58" s="104">
        <f t="shared" si="55"/>
        <v>5.0493091623006001E-3</v>
      </c>
      <c r="K58" s="104">
        <f t="shared" si="55"/>
        <v>5.2865698076824414E-3</v>
      </c>
      <c r="L58" s="104">
        <f t="shared" si="55"/>
        <v>5.8108133942946913E-3</v>
      </c>
      <c r="M58" s="104">
        <f t="shared" si="55"/>
        <v>4.3700253569490333E-3</v>
      </c>
      <c r="N58" s="104">
        <f t="shared" si="55"/>
        <v>3.4526114406231156E-3</v>
      </c>
      <c r="O58" s="104">
        <f t="shared" si="55"/>
        <v>3.5534714176875225E-3</v>
      </c>
      <c r="P58" s="104">
        <f t="shared" si="55"/>
        <v>3.5466106989848374E-3</v>
      </c>
      <c r="Q58" s="104">
        <f t="shared" si="55"/>
        <v>3.5027721463486323E-3</v>
      </c>
      <c r="R58" s="104">
        <f t="shared" si="55"/>
        <v>3.5430444483217811E-3</v>
      </c>
      <c r="S58" s="104">
        <f t="shared" si="55"/>
        <v>3.1416227985580853E-3</v>
      </c>
      <c r="T58" s="104">
        <f t="shared" si="55"/>
        <v>2.4849899555000445E-3</v>
      </c>
      <c r="U58" s="104">
        <f t="shared" si="55"/>
        <v>2.3045383586221446E-3</v>
      </c>
      <c r="V58" s="104">
        <f t="shared" si="55"/>
        <v>3.6309538835421346E-3</v>
      </c>
      <c r="W58" s="104">
        <f t="shared" ref="W58:Y58" si="56">IF(W12=0,0,W12/W$3)</f>
        <v>3.8258425916536665E-3</v>
      </c>
      <c r="X58" s="104">
        <f t="shared" si="56"/>
        <v>2.7308831348203679E-3</v>
      </c>
      <c r="Y58" s="104">
        <f t="shared" si="56"/>
        <v>2.1984152585437177E-3</v>
      </c>
      <c r="DA58" s="195"/>
    </row>
    <row r="59" spans="1:105" ht="11.45" customHeight="1" x14ac:dyDescent="0.25">
      <c r="A59" s="85" t="s">
        <v>182</v>
      </c>
      <c r="B59" s="105">
        <f t="shared" ref="B59:C59" si="57">IF(B13=0,0,B13/B$3)</f>
        <v>0.16240596606172611</v>
      </c>
      <c r="C59" s="105">
        <f t="shared" si="57"/>
        <v>0.16212810796649782</v>
      </c>
      <c r="D59" s="105">
        <f t="shared" ref="D59:V59" si="58">IF(D13=0,0,D13/D$3)</f>
        <v>0.16750278201325192</v>
      </c>
      <c r="E59" s="105">
        <f t="shared" si="58"/>
        <v>0.18559570314234955</v>
      </c>
      <c r="F59" s="105">
        <f t="shared" si="58"/>
        <v>0.18113504661825194</v>
      </c>
      <c r="G59" s="105">
        <f t="shared" si="58"/>
        <v>0.19078964026794801</v>
      </c>
      <c r="H59" s="105">
        <f t="shared" si="58"/>
        <v>0.20908418384413469</v>
      </c>
      <c r="I59" s="105">
        <f t="shared" si="58"/>
        <v>0.20564089601937235</v>
      </c>
      <c r="J59" s="105">
        <f t="shared" si="58"/>
        <v>0.20720726423741309</v>
      </c>
      <c r="K59" s="105">
        <f t="shared" si="58"/>
        <v>0.17713246239740771</v>
      </c>
      <c r="L59" s="105">
        <f t="shared" si="58"/>
        <v>0.19793257972090447</v>
      </c>
      <c r="M59" s="105">
        <f t="shared" si="58"/>
        <v>0.17831216604064212</v>
      </c>
      <c r="N59" s="105">
        <f t="shared" si="58"/>
        <v>0.15261177142211949</v>
      </c>
      <c r="O59" s="105">
        <f t="shared" si="58"/>
        <v>0.15068603623591034</v>
      </c>
      <c r="P59" s="105">
        <f t="shared" si="58"/>
        <v>0.13995296399326121</v>
      </c>
      <c r="Q59" s="105">
        <f t="shared" si="58"/>
        <v>0.13719454025159955</v>
      </c>
      <c r="R59" s="105">
        <f t="shared" si="58"/>
        <v>0.12206202123007351</v>
      </c>
      <c r="S59" s="105">
        <f t="shared" si="58"/>
        <v>0.12991154823454706</v>
      </c>
      <c r="T59" s="105">
        <f t="shared" si="58"/>
        <v>0.12671467296821676</v>
      </c>
      <c r="U59" s="105">
        <f t="shared" si="58"/>
        <v>0.11171780779868018</v>
      </c>
      <c r="V59" s="105">
        <f t="shared" si="58"/>
        <v>0.28713564779126255</v>
      </c>
      <c r="W59" s="105">
        <f t="shared" ref="W59:Y59" si="59">IF(W13=0,0,W13/W$3)</f>
        <v>0.26635367978560764</v>
      </c>
      <c r="X59" s="105">
        <f t="shared" si="59"/>
        <v>0.18279989705504984</v>
      </c>
      <c r="Y59" s="105">
        <f t="shared" si="59"/>
        <v>0.14966161079767271</v>
      </c>
      <c r="DA59" s="192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  <ignoredErrors>
    <ignoredError sqref="B5:Y5" formulaRange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pageSetUpPr fitToPage="1"/>
  </sheetPr>
  <dimension ref="A1:DA27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361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67</v>
      </c>
      <c r="B3" s="54"/>
      <c r="C3" s="54"/>
      <c r="D3" s="54"/>
      <c r="E3" s="54"/>
      <c r="F3" s="54"/>
      <c r="G3" s="54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DA3" s="172"/>
    </row>
    <row r="4" spans="1:105" ht="11.45" customHeight="1" x14ac:dyDescent="0.25">
      <c r="A4" s="10" t="s">
        <v>33</v>
      </c>
      <c r="B4" s="11">
        <f t="shared" ref="B4:C4" si="0">SUM(B5:B7)</f>
        <v>26889643</v>
      </c>
      <c r="C4" s="11">
        <f t="shared" si="0"/>
        <v>26452120</v>
      </c>
      <c r="D4" s="11">
        <f t="shared" ref="D4" si="1">SUM(D5:D7)</f>
        <v>27324451</v>
      </c>
      <c r="E4" s="11">
        <f t="shared" ref="E4" si="2">SUM(E5:E7)</f>
        <v>27513646</v>
      </c>
      <c r="F4" s="11">
        <f t="shared" ref="F4" si="3">SUM(F5:F7)</f>
        <v>30189889</v>
      </c>
      <c r="G4" s="11">
        <f t="shared" ref="G4" si="4">SUM(G5:G7)</f>
        <v>32226778</v>
      </c>
      <c r="H4" s="11">
        <f t="shared" ref="H4" si="5">SUM(H5:H7)</f>
        <v>34053681</v>
      </c>
      <c r="I4" s="11">
        <f t="shared" ref="I4" si="6">SUM(I5:I7)</f>
        <v>34282739</v>
      </c>
      <c r="J4" s="11">
        <f t="shared" ref="J4" si="7">SUM(J5:J7)</f>
        <v>34248820</v>
      </c>
      <c r="K4" s="11">
        <f t="shared" ref="K4" si="8">SUM(K5:K7)</f>
        <v>32048122</v>
      </c>
      <c r="L4" s="11">
        <f t="shared" ref="L4" si="9">SUM(L5:L7)</f>
        <v>32318532</v>
      </c>
      <c r="M4" s="11">
        <f t="shared" ref="M4" si="10">SUM(M5:M7)</f>
        <v>34634583</v>
      </c>
      <c r="N4" s="11">
        <f t="shared" ref="N4" si="11">SUM(N5:N7)</f>
        <v>35020908</v>
      </c>
      <c r="O4" s="11">
        <f t="shared" ref="O4" si="12">SUM(O5:O7)</f>
        <v>36218494</v>
      </c>
      <c r="P4" s="11">
        <f t="shared" ref="P4" si="13">SUM(P5:P7)</f>
        <v>37969341</v>
      </c>
      <c r="Q4" s="11">
        <f t="shared" ref="Q4" si="14">SUM(Q5:Q7)</f>
        <v>39710426</v>
      </c>
      <c r="R4" s="11">
        <f t="shared" ref="R4" si="15">SUM(R5:R7)</f>
        <v>42851508</v>
      </c>
      <c r="S4" s="11">
        <f t="shared" ref="S4" si="16">SUM(S5:S7)</f>
        <v>45545293</v>
      </c>
      <c r="T4" s="11">
        <f t="shared" ref="T4" si="17">SUM(T5:T7)</f>
        <v>47578600</v>
      </c>
      <c r="U4" s="11">
        <f t="shared" ref="U4" si="18">SUM(U5:U7)</f>
        <v>48647729</v>
      </c>
      <c r="V4" s="11">
        <f t="shared" ref="V4:W4" si="19">SUM(V5:V7)</f>
        <v>20422376</v>
      </c>
      <c r="W4" s="11">
        <f t="shared" si="19"/>
        <v>24355545</v>
      </c>
      <c r="X4" s="11">
        <f t="shared" ref="X4:Y4" si="20">SUM(X5:X7)</f>
        <v>39218942</v>
      </c>
      <c r="Y4" s="11">
        <f t="shared" si="20"/>
        <v>43530270</v>
      </c>
      <c r="DA4" s="189" t="s">
        <v>362</v>
      </c>
    </row>
    <row r="5" spans="1:105" ht="11.45" customHeight="1" x14ac:dyDescent="0.25">
      <c r="A5" s="83" t="s">
        <v>27</v>
      </c>
      <c r="B5" s="84">
        <v>0</v>
      </c>
      <c r="C5" s="84">
        <v>0</v>
      </c>
      <c r="D5" s="84">
        <v>0</v>
      </c>
      <c r="E5" s="84">
        <v>0</v>
      </c>
      <c r="F5" s="84">
        <v>0</v>
      </c>
      <c r="G5" s="84">
        <v>0</v>
      </c>
      <c r="H5" s="84">
        <v>0</v>
      </c>
      <c r="I5" s="84">
        <v>0</v>
      </c>
      <c r="J5" s="84">
        <v>0</v>
      </c>
      <c r="K5" s="84">
        <v>0</v>
      </c>
      <c r="L5" s="84">
        <v>0</v>
      </c>
      <c r="M5" s="84">
        <v>0</v>
      </c>
      <c r="N5" s="84">
        <v>0</v>
      </c>
      <c r="O5" s="84">
        <v>0</v>
      </c>
      <c r="P5" s="84">
        <v>0</v>
      </c>
      <c r="Q5" s="84">
        <v>0</v>
      </c>
      <c r="R5" s="84">
        <v>0</v>
      </c>
      <c r="S5" s="84">
        <v>0</v>
      </c>
      <c r="T5" s="84">
        <v>0</v>
      </c>
      <c r="U5" s="84">
        <v>0</v>
      </c>
      <c r="V5" s="84">
        <v>0</v>
      </c>
      <c r="W5" s="84">
        <v>0</v>
      </c>
      <c r="X5" s="84">
        <v>0</v>
      </c>
      <c r="Y5" s="84">
        <v>0</v>
      </c>
      <c r="DA5" s="171" t="s">
        <v>363</v>
      </c>
    </row>
    <row r="6" spans="1:105" ht="11.45" customHeight="1" x14ac:dyDescent="0.25">
      <c r="A6" s="83" t="s">
        <v>181</v>
      </c>
      <c r="B6" s="84">
        <v>17067566</v>
      </c>
      <c r="C6" s="84">
        <v>16848716</v>
      </c>
      <c r="D6" s="84">
        <v>17506195</v>
      </c>
      <c r="E6" s="84">
        <v>17882911</v>
      </c>
      <c r="F6" s="84">
        <v>19117095</v>
      </c>
      <c r="G6" s="84">
        <v>20284127</v>
      </c>
      <c r="H6" s="84">
        <v>22709456</v>
      </c>
      <c r="I6" s="84">
        <v>23250771</v>
      </c>
      <c r="J6" s="84">
        <v>22719462</v>
      </c>
      <c r="K6" s="84">
        <v>21153966</v>
      </c>
      <c r="L6" s="84">
        <v>21057049</v>
      </c>
      <c r="M6" s="84">
        <v>22962789</v>
      </c>
      <c r="N6" s="84">
        <v>23282865</v>
      </c>
      <c r="O6" s="84">
        <v>23882461</v>
      </c>
      <c r="P6" s="84">
        <v>25433386</v>
      </c>
      <c r="Q6" s="84">
        <v>26774789</v>
      </c>
      <c r="R6" s="84">
        <v>29630314</v>
      </c>
      <c r="S6" s="84">
        <v>31631706</v>
      </c>
      <c r="T6" s="84">
        <v>32714211</v>
      </c>
      <c r="U6" s="84">
        <v>33271881</v>
      </c>
      <c r="V6" s="84">
        <v>13498665</v>
      </c>
      <c r="W6" s="84">
        <v>15533998</v>
      </c>
      <c r="X6" s="84">
        <v>27122587</v>
      </c>
      <c r="Y6" s="84">
        <v>30353159</v>
      </c>
      <c r="DA6" s="171" t="s">
        <v>364</v>
      </c>
    </row>
    <row r="7" spans="1:105" ht="11.45" customHeight="1" x14ac:dyDescent="0.25">
      <c r="A7" s="85" t="s">
        <v>182</v>
      </c>
      <c r="B7" s="86">
        <v>9822077</v>
      </c>
      <c r="C7" s="86">
        <v>9603404</v>
      </c>
      <c r="D7" s="86">
        <v>9818256</v>
      </c>
      <c r="E7" s="86">
        <v>9630735</v>
      </c>
      <c r="F7" s="86">
        <v>11072794</v>
      </c>
      <c r="G7" s="86">
        <v>11942651</v>
      </c>
      <c r="H7" s="86">
        <v>11344225</v>
      </c>
      <c r="I7" s="86">
        <v>11031968</v>
      </c>
      <c r="J7" s="86">
        <v>11529358</v>
      </c>
      <c r="K7" s="86">
        <v>10894156</v>
      </c>
      <c r="L7" s="86">
        <v>11261483</v>
      </c>
      <c r="M7" s="86">
        <v>11671794</v>
      </c>
      <c r="N7" s="86">
        <v>11738043</v>
      </c>
      <c r="O7" s="86">
        <v>12336033</v>
      </c>
      <c r="P7" s="86">
        <v>12535955</v>
      </c>
      <c r="Q7" s="86">
        <v>12935637</v>
      </c>
      <c r="R7" s="86">
        <v>13221194</v>
      </c>
      <c r="S7" s="86">
        <v>13913587</v>
      </c>
      <c r="T7" s="86">
        <v>14864389</v>
      </c>
      <c r="U7" s="86">
        <v>15375848</v>
      </c>
      <c r="V7" s="86">
        <v>6923711</v>
      </c>
      <c r="W7" s="86">
        <v>8821547</v>
      </c>
      <c r="X7" s="86">
        <v>12096355</v>
      </c>
      <c r="Y7" s="86">
        <v>13177111</v>
      </c>
      <c r="DA7" s="178" t="s">
        <v>365</v>
      </c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68" t="s">
        <v>36</v>
      </c>
      <c r="B9" s="69"/>
      <c r="C9" s="69"/>
      <c r="D9" s="69"/>
      <c r="E9" s="69"/>
      <c r="F9" s="69"/>
      <c r="G9" s="69"/>
      <c r="H9" s="69"/>
      <c r="I9" s="69"/>
      <c r="J9" s="69"/>
      <c r="K9" s="69"/>
      <c r="L9" s="69"/>
      <c r="M9" s="69"/>
      <c r="N9" s="69"/>
      <c r="O9" s="69"/>
      <c r="P9" s="69"/>
      <c r="Q9" s="69"/>
      <c r="R9" s="69"/>
      <c r="S9" s="69"/>
      <c r="T9" s="69"/>
      <c r="U9" s="69"/>
      <c r="V9" s="69"/>
      <c r="W9" s="69"/>
      <c r="X9" s="69"/>
      <c r="Y9" s="69"/>
      <c r="DA9" s="179"/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53" t="s">
        <v>68</v>
      </c>
      <c r="B11" s="62"/>
      <c r="C11" s="62"/>
      <c r="D11" s="62"/>
      <c r="E11" s="62"/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DA11" s="172"/>
    </row>
    <row r="12" spans="1:105" ht="11.45" customHeight="1" x14ac:dyDescent="0.25">
      <c r="A12" s="10" t="s">
        <v>33</v>
      </c>
      <c r="B12" s="14">
        <f>IF(B4=0,0,B4/TrAvia_act!B24)</f>
        <v>134.56932739465518</v>
      </c>
      <c r="C12" s="14">
        <f>IF(C4=0,0,C4/TrAvia_act!C24)</f>
        <v>135.83858841895528</v>
      </c>
      <c r="D12" s="14">
        <f>IF(D4=0,0,D4/TrAvia_act!D24)</f>
        <v>136.56967567486518</v>
      </c>
      <c r="E12" s="14">
        <f>IF(E4=0,0,E4/TrAvia_act!E24)</f>
        <v>136.90220079314136</v>
      </c>
      <c r="F12" s="14">
        <f>IF(F4=0,0,F4/TrAvia_act!F24)</f>
        <v>145.10811772113567</v>
      </c>
      <c r="G12" s="14">
        <f>IF(G4=0,0,G4/TrAvia_act!G24)</f>
        <v>153.10797020201059</v>
      </c>
      <c r="H12" s="14">
        <f>IF(H4=0,0,H4/TrAvia_act!H24)</f>
        <v>152.55453515094771</v>
      </c>
      <c r="I12" s="14">
        <f>IF(I4=0,0,I4/TrAvia_act!I24)</f>
        <v>149.03724329212096</v>
      </c>
      <c r="J12" s="14">
        <f>IF(J4=0,0,J4/TrAvia_act!J24)</f>
        <v>150.39618134232668</v>
      </c>
      <c r="K12" s="14">
        <f>IF(K4=0,0,K4/TrAvia_act!K24)</f>
        <v>153.86225040928318</v>
      </c>
      <c r="L12" s="14">
        <f>IF(L4=0,0,L4/TrAvia_act!L24)</f>
        <v>156.75291378683158</v>
      </c>
      <c r="M12" s="14">
        <f>IF(M4=0,0,M4/TrAvia_act!M24)</f>
        <v>153.31549242155961</v>
      </c>
      <c r="N12" s="14">
        <f>IF(N4=0,0,N4/TrAvia_act!N24)</f>
        <v>153.10556665515418</v>
      </c>
      <c r="O12" s="14">
        <f>IF(O4=0,0,O4/TrAvia_act!O24)</f>
        <v>155.67602394983086</v>
      </c>
      <c r="P12" s="14">
        <f>IF(P4=0,0,P4/TrAvia_act!P24)</f>
        <v>158.75926042071725</v>
      </c>
      <c r="Q12" s="14">
        <f>IF(Q4=0,0,Q4/TrAvia_act!Q24)</f>
        <v>161.03826594752422</v>
      </c>
      <c r="R12" s="14">
        <f>IF(R4=0,0,R4/TrAvia_act!R24)</f>
        <v>163.95085855957882</v>
      </c>
      <c r="S12" s="14">
        <f>IF(S4=0,0,S4/TrAvia_act!S24)</f>
        <v>168.78629187666766</v>
      </c>
      <c r="T12" s="14">
        <f>IF(T4=0,0,T4/TrAvia_act!T24)</f>
        <v>173.26826781259675</v>
      </c>
      <c r="U12" s="14">
        <f>IF(U4=0,0,U4/TrAvia_act!U24)</f>
        <v>177.28570387349993</v>
      </c>
      <c r="V12" s="14">
        <f>IF(V4=0,0,V4/TrAvia_act!V24)</f>
        <v>179.75544836813012</v>
      </c>
      <c r="W12" s="14">
        <f>IF(W4=0,0,W4/TrAvia_act!W24)</f>
        <v>179.42394819622373</v>
      </c>
      <c r="X12" s="14">
        <f>IF(X4=0,0,X4/TrAvia_act!X24)</f>
        <v>179.05821603531953</v>
      </c>
      <c r="Y12" s="14">
        <f>IF(Y4=0,0,Y4/TrAvia_act!Y24)</f>
        <v>179.15976935329198</v>
      </c>
      <c r="DA12" s="189" t="s">
        <v>366</v>
      </c>
    </row>
    <row r="13" spans="1:105" ht="11.45" customHeight="1" x14ac:dyDescent="0.25">
      <c r="A13" s="83" t="s">
        <v>27</v>
      </c>
      <c r="B13" s="87">
        <f>IF(B5=0,0,B5/TrAvia_act!B25)</f>
        <v>0</v>
      </c>
      <c r="C13" s="87">
        <f>IF(C5=0,0,C5/TrAvia_act!C25)</f>
        <v>0</v>
      </c>
      <c r="D13" s="87">
        <f>IF(D5=0,0,D5/TrAvia_act!D25)</f>
        <v>0</v>
      </c>
      <c r="E13" s="87">
        <f>IF(E5=0,0,E5/TrAvia_act!E25)</f>
        <v>0</v>
      </c>
      <c r="F13" s="87">
        <f>IF(F5=0,0,F5/TrAvia_act!F25)</f>
        <v>0</v>
      </c>
      <c r="G13" s="87">
        <f>IF(G5=0,0,G5/TrAvia_act!G25)</f>
        <v>0</v>
      </c>
      <c r="H13" s="87">
        <f>IF(H5=0,0,H5/TrAvia_act!H25)</f>
        <v>0</v>
      </c>
      <c r="I13" s="87">
        <f>IF(I5=0,0,I5/TrAvia_act!I25)</f>
        <v>0</v>
      </c>
      <c r="J13" s="87">
        <f>IF(J5=0,0,J5/TrAvia_act!J25)</f>
        <v>0</v>
      </c>
      <c r="K13" s="87">
        <f>IF(K5=0,0,K5/TrAvia_act!K25)</f>
        <v>0</v>
      </c>
      <c r="L13" s="87">
        <f>IF(L5=0,0,L5/TrAvia_act!L25)</f>
        <v>0</v>
      </c>
      <c r="M13" s="87">
        <f>IF(M5=0,0,M5/TrAvia_act!M25)</f>
        <v>0</v>
      </c>
      <c r="N13" s="87">
        <f>IF(N5=0,0,N5/TrAvia_act!N25)</f>
        <v>0</v>
      </c>
      <c r="O13" s="87">
        <f>IF(O5=0,0,O5/TrAvia_act!O25)</f>
        <v>0</v>
      </c>
      <c r="P13" s="87">
        <f>IF(P5=0,0,P5/TrAvia_act!P25)</f>
        <v>0</v>
      </c>
      <c r="Q13" s="87">
        <f>IF(Q5=0,0,Q5/TrAvia_act!Q25)</f>
        <v>0</v>
      </c>
      <c r="R13" s="87">
        <f>IF(R5=0,0,R5/TrAvia_act!R25)</f>
        <v>0</v>
      </c>
      <c r="S13" s="87">
        <f>IF(S5=0,0,S5/TrAvia_act!S25)</f>
        <v>0</v>
      </c>
      <c r="T13" s="87">
        <f>IF(T5=0,0,T5/TrAvia_act!T25)</f>
        <v>0</v>
      </c>
      <c r="U13" s="87">
        <f>IF(U5=0,0,U5/TrAvia_act!U25)</f>
        <v>0</v>
      </c>
      <c r="V13" s="87">
        <f>IF(V5=0,0,V5/TrAvia_act!V25)</f>
        <v>0</v>
      </c>
      <c r="W13" s="87">
        <f>IF(W5=0,0,W5/TrAvia_act!W25)</f>
        <v>0</v>
      </c>
      <c r="X13" s="87">
        <f>IF(X5=0,0,X5/TrAvia_act!X25)</f>
        <v>0</v>
      </c>
      <c r="Y13" s="87">
        <f>IF(Y5=0,0,Y5/TrAvia_act!Y25)</f>
        <v>0</v>
      </c>
      <c r="DA13" s="171" t="s">
        <v>367</v>
      </c>
    </row>
    <row r="14" spans="1:105" ht="11.45" customHeight="1" x14ac:dyDescent="0.25">
      <c r="A14" s="83" t="s">
        <v>181</v>
      </c>
      <c r="B14" s="87">
        <f>IF(B6=0,0,B6/TrAvia_act!B26)</f>
        <v>105.69853970298624</v>
      </c>
      <c r="C14" s="87">
        <f>IF(C6=0,0,C6/TrAvia_act!C26)</f>
        <v>107.06978813182344</v>
      </c>
      <c r="D14" s="87">
        <f>IF(D6=0,0,D6/TrAvia_act!D26)</f>
        <v>108.35254105108098</v>
      </c>
      <c r="E14" s="87">
        <f>IF(E6=0,0,E6/TrAvia_act!E26)</f>
        <v>109.64317202224389</v>
      </c>
      <c r="F14" s="87">
        <f>IF(F6=0,0,F6/TrAvia_act!F26)</f>
        <v>115.0253310790077</v>
      </c>
      <c r="G14" s="87">
        <f>IF(G6=0,0,G6/TrAvia_act!G26)</f>
        <v>121.07541200838044</v>
      </c>
      <c r="H14" s="87">
        <f>IF(H6=0,0,H6/TrAvia_act!H26)</f>
        <v>125.45413163331823</v>
      </c>
      <c r="I14" s="87">
        <f>IF(I6=0,0,I6/TrAvia_act!I26)</f>
        <v>124.13586152770139</v>
      </c>
      <c r="J14" s="87">
        <f>IF(J6=0,0,J6/TrAvia_act!J26)</f>
        <v>124.69997200770611</v>
      </c>
      <c r="K14" s="87">
        <f>IF(K6=0,0,K6/TrAvia_act!K26)</f>
        <v>127.7953603576391</v>
      </c>
      <c r="L14" s="87">
        <f>IF(L6=0,0,L6/TrAvia_act!L26)</f>
        <v>130.63333788277333</v>
      </c>
      <c r="M14" s="87">
        <f>IF(M6=0,0,M6/TrAvia_act!M26)</f>
        <v>128.47824919291219</v>
      </c>
      <c r="N14" s="87">
        <f>IF(N6=0,0,N6/TrAvia_act!N26)</f>
        <v>128.83391434262947</v>
      </c>
      <c r="O14" s="87">
        <f>IF(O6=0,0,O6/TrAvia_act!O26)</f>
        <v>130.52165572722254</v>
      </c>
      <c r="P14" s="87">
        <f>IF(P6=0,0,P6/TrAvia_act!P26)</f>
        <v>134.56817989417991</v>
      </c>
      <c r="Q14" s="87">
        <f>IF(Q6=0,0,Q6/TrAvia_act!Q26)</f>
        <v>137.02132483137672</v>
      </c>
      <c r="R14" s="87">
        <f>IF(R6=0,0,R6/TrAvia_act!R26)</f>
        <v>140.96918978067464</v>
      </c>
      <c r="S14" s="87">
        <f>IF(S6=0,0,S6/TrAvia_act!S26)</f>
        <v>145.36696400259191</v>
      </c>
      <c r="T14" s="87">
        <f>IF(T6=0,0,T6/TrAvia_act!T26)</f>
        <v>148.14407205640615</v>
      </c>
      <c r="U14" s="87">
        <f>IF(U6=0,0,U6/TrAvia_act!U26)</f>
        <v>151.84666042945486</v>
      </c>
      <c r="V14" s="87">
        <f>IF(V6=0,0,V6/TrAvia_act!V26)</f>
        <v>148.10749278590316</v>
      </c>
      <c r="W14" s="87">
        <f>IF(W6=0,0,W6/TrAvia_act!W26)</f>
        <v>146.99506988275596</v>
      </c>
      <c r="X14" s="87">
        <f>IF(X6=0,0,X6/TrAvia_act!X26)</f>
        <v>152.95755719852696</v>
      </c>
      <c r="Y14" s="87">
        <f>IF(Y6=0,0,Y6/TrAvia_act!Y26)</f>
        <v>154.37708336512102</v>
      </c>
      <c r="DA14" s="171" t="s">
        <v>368</v>
      </c>
    </row>
    <row r="15" spans="1:105" ht="11.45" customHeight="1" x14ac:dyDescent="0.25">
      <c r="A15" s="85" t="s">
        <v>182</v>
      </c>
      <c r="B15" s="88">
        <f>IF(B7=0,0,B7/TrAvia_act!B27)</f>
        <v>256.14345694466175</v>
      </c>
      <c r="C15" s="88">
        <f>IF(C7=0,0,C7/TrAvia_act!C27)</f>
        <v>256.9816430291678</v>
      </c>
      <c r="D15" s="88">
        <f>IF(D7=0,0,D7/TrAvia_act!D27)</f>
        <v>254.95341469748118</v>
      </c>
      <c r="E15" s="88">
        <f>IF(E7=0,0,E7/TrAvia_act!E27)</f>
        <v>254.29697401774399</v>
      </c>
      <c r="F15" s="88">
        <f>IF(F7=0,0,F7/TrAvia_act!F27)</f>
        <v>264.57024753894677</v>
      </c>
      <c r="G15" s="88">
        <f>IF(G7=0,0,G7/TrAvia_act!G27)</f>
        <v>278.05292077017998</v>
      </c>
      <c r="H15" s="88">
        <f>IF(H7=0,0,H7/TrAvia_act!H27)</f>
        <v>268.78865063381119</v>
      </c>
      <c r="I15" s="88">
        <f>IF(I7=0,0,I7/TrAvia_act!I27)</f>
        <v>258.19664380836474</v>
      </c>
      <c r="J15" s="88">
        <f>IF(J7=0,0,J7/TrAvia_act!J27)</f>
        <v>253.21996002723418</v>
      </c>
      <c r="K15" s="88">
        <f>IF(K7=0,0,K7/TrAvia_act!K27)</f>
        <v>254.76850401066392</v>
      </c>
      <c r="L15" s="88">
        <f>IF(L7=0,0,L7/TrAvia_act!L27)</f>
        <v>250.34975435164395</v>
      </c>
      <c r="M15" s="88">
        <f>IF(M7=0,0,M7/TrAvia_act!M27)</f>
        <v>247.41481717011129</v>
      </c>
      <c r="N15" s="88">
        <f>IF(N7=0,0,N7/TrAvia_act!N27)</f>
        <v>244.45598433887997</v>
      </c>
      <c r="O15" s="88">
        <f>IF(O7=0,0,O7/TrAvia_act!O27)</f>
        <v>248.32983734600208</v>
      </c>
      <c r="P15" s="88">
        <f>IF(P7=0,0,P7/TrAvia_act!P27)</f>
        <v>249.90441161812493</v>
      </c>
      <c r="Q15" s="88">
        <f>IF(Q7=0,0,Q7/TrAvia_act!Q27)</f>
        <v>252.72813769928104</v>
      </c>
      <c r="R15" s="88">
        <f>IF(R7=0,0,R7/TrAvia_act!R27)</f>
        <v>258.33744968541168</v>
      </c>
      <c r="S15" s="88">
        <f>IF(S7=0,0,S7/TrAvia_act!S27)</f>
        <v>266.33462223158057</v>
      </c>
      <c r="T15" s="88">
        <f>IF(T7=0,0,T7/TrAvia_act!T27)</f>
        <v>276.45419208451125</v>
      </c>
      <c r="U15" s="88">
        <f>IF(U7=0,0,U7/TrAvia_act!U27)</f>
        <v>278.10461582983652</v>
      </c>
      <c r="V15" s="88">
        <f>IF(V7=0,0,V7/TrAvia_act!V27)</f>
        <v>308.11761826353967</v>
      </c>
      <c r="W15" s="88">
        <f>IF(W7=0,0,W7/TrAvia_act!W27)</f>
        <v>293.40607330539478</v>
      </c>
      <c r="X15" s="88">
        <f>IF(X7=0,0,X7/TrAvia_act!X27)</f>
        <v>290.02481538313992</v>
      </c>
      <c r="Y15" s="88">
        <f>IF(Y7=0,0,Y7/TrAvia_act!Y27)</f>
        <v>284.28354763548498</v>
      </c>
      <c r="DA15" s="178" t="s">
        <v>369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69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DA17" s="183"/>
    </row>
    <row r="18" spans="1:105" ht="11.45" customHeight="1" x14ac:dyDescent="0.25">
      <c r="A18" s="10" t="s">
        <v>33</v>
      </c>
      <c r="B18" s="25">
        <f>IF(TrAvia_act!B34=0,0,(TrAvia_act!B34/TrAvia_act!B24)/TrAvia_png!B12)</f>
        <v>0.74869305628192984</v>
      </c>
      <c r="C18" s="25">
        <f>IF(TrAvia_act!C34=0,0,(TrAvia_act!C34/TrAvia_act!C24)/TrAvia_png!C12)</f>
        <v>0.74691540791437505</v>
      </c>
      <c r="D18" s="25">
        <f>IF(TrAvia_act!D34=0,0,(TrAvia_act!D34/TrAvia_act!D24)/TrAvia_png!D12)</f>
        <v>0.74659889781500099</v>
      </c>
      <c r="E18" s="25">
        <f>IF(TrAvia_act!E34=0,0,(TrAvia_act!E34/TrAvia_act!E24)/TrAvia_png!E12)</f>
        <v>0.74624653526471929</v>
      </c>
      <c r="F18" s="25">
        <f>IF(TrAvia_act!F34=0,0,(TrAvia_act!F34/TrAvia_act!F24)/TrAvia_png!F12)</f>
        <v>0.74450147862418448</v>
      </c>
      <c r="G18" s="25">
        <f>IF(TrAvia_act!G34=0,0,(TrAvia_act!G34/TrAvia_act!G24)/TrAvia_png!G12)</f>
        <v>0.72766259785573362</v>
      </c>
      <c r="H18" s="25">
        <f>IF(TrAvia_act!H34=0,0,(TrAvia_act!H34/TrAvia_act!H24)/TrAvia_png!H12)</f>
        <v>0.72017544887438156</v>
      </c>
      <c r="I18" s="25">
        <f>IF(TrAvia_act!I34=0,0,(TrAvia_act!I34/TrAvia_act!I24)/TrAvia_png!I12)</f>
        <v>0.74040531008913835</v>
      </c>
      <c r="J18" s="25">
        <f>IF(TrAvia_act!J34=0,0,(TrAvia_act!J34/TrAvia_act!J24)/TrAvia_png!J12)</f>
        <v>0.73938351744673247</v>
      </c>
      <c r="K18" s="25">
        <f>IF(TrAvia_act!K34=0,0,(TrAvia_act!K34/TrAvia_act!K24)/TrAvia_png!K12)</f>
        <v>0.72743582291655029</v>
      </c>
      <c r="L18" s="25">
        <f>IF(TrAvia_act!L34=0,0,(TrAvia_act!L34/TrAvia_act!L24)/TrAvia_png!L12)</f>
        <v>0.75425681463502114</v>
      </c>
      <c r="M18" s="25">
        <f>IF(TrAvia_act!M34=0,0,(TrAvia_act!M34/TrAvia_act!M24)/TrAvia_png!M12)</f>
        <v>0.78070389933668316</v>
      </c>
      <c r="N18" s="25">
        <f>IF(TrAvia_act!N34=0,0,(TrAvia_act!N34/TrAvia_act!N24)/TrAvia_png!N12)</f>
        <v>0.79855522306845961</v>
      </c>
      <c r="O18" s="25">
        <f>IF(TrAvia_act!O34=0,0,(TrAvia_act!O34/TrAvia_act!O24)/TrAvia_png!O12)</f>
        <v>0.80544635566569944</v>
      </c>
      <c r="P18" s="25">
        <f>IF(TrAvia_act!P34=0,0,(TrAvia_act!P34/TrAvia_act!P24)/TrAvia_png!P12)</f>
        <v>0.80598875814041648</v>
      </c>
      <c r="Q18" s="25">
        <f>IF(TrAvia_act!Q34=0,0,(TrAvia_act!Q34/TrAvia_act!Q24)/TrAvia_png!Q12)</f>
        <v>0.81840857108911391</v>
      </c>
      <c r="R18" s="25">
        <f>IF(TrAvia_act!R34=0,0,(TrAvia_act!R34/TrAvia_act!R24)/TrAvia_png!R12)</f>
        <v>0.82529389630815331</v>
      </c>
      <c r="S18" s="25">
        <f>IF(TrAvia_act!S34=0,0,(TrAvia_act!S34/TrAvia_act!S24)/TrAvia_png!S12)</f>
        <v>0.84164141835688699</v>
      </c>
      <c r="T18" s="25">
        <f>IF(TrAvia_act!T34=0,0,(TrAvia_act!T34/TrAvia_act!T24)/TrAvia_png!T12)</f>
        <v>0.8422999415703698</v>
      </c>
      <c r="U18" s="25">
        <f>IF(TrAvia_act!U34=0,0,(TrAvia_act!U34/TrAvia_act!U24)/TrAvia_png!U12)</f>
        <v>0.83819962078805366</v>
      </c>
      <c r="V18" s="25">
        <f>IF(TrAvia_act!V34=0,0,(TrAvia_act!V34/TrAvia_act!V24)/TrAvia_png!V12)</f>
        <v>0.57468288704507253</v>
      </c>
      <c r="W18" s="25">
        <f>IF(TrAvia_act!W34=0,0,(TrAvia_act!W34/TrAvia_act!W24)/TrAvia_png!W12)</f>
        <v>0.60066202583436346</v>
      </c>
      <c r="X18" s="25">
        <f>IF(TrAvia_act!X34=0,0,(TrAvia_act!X34/TrAvia_act!X24)/TrAvia_png!X12)</f>
        <v>0.77889107768383958</v>
      </c>
      <c r="Y18" s="25">
        <f>IF(TrAvia_act!Y34=0,0,(TrAvia_act!Y34/TrAvia_act!Y24)/TrAvia_png!Y12)</f>
        <v>0.81881623982575802</v>
      </c>
      <c r="DA18" s="190"/>
    </row>
    <row r="19" spans="1:105" ht="11.45" customHeight="1" x14ac:dyDescent="0.25">
      <c r="A19" s="83" t="s">
        <v>27</v>
      </c>
      <c r="B19" s="89">
        <f>IF(TrAvia_act!B35=0,0,(TrAvia_act!B35/TrAvia_act!B25)/TrAvia_png!B13)</f>
        <v>0</v>
      </c>
      <c r="C19" s="89">
        <f>IF(TrAvia_act!C35=0,0,(TrAvia_act!C35/TrAvia_act!C25)/TrAvia_png!C13)</f>
        <v>0</v>
      </c>
      <c r="D19" s="89">
        <f>IF(TrAvia_act!D35=0,0,(TrAvia_act!D35/TrAvia_act!D25)/TrAvia_png!D13)</f>
        <v>0</v>
      </c>
      <c r="E19" s="89">
        <f>IF(TrAvia_act!E35=0,0,(TrAvia_act!E35/TrAvia_act!E25)/TrAvia_png!E13)</f>
        <v>0</v>
      </c>
      <c r="F19" s="89">
        <f>IF(TrAvia_act!F35=0,0,(TrAvia_act!F35/TrAvia_act!F25)/TrAvia_png!F13)</f>
        <v>0</v>
      </c>
      <c r="G19" s="89">
        <f>IF(TrAvia_act!G35=0,0,(TrAvia_act!G35/TrAvia_act!G25)/TrAvia_png!G13)</f>
        <v>0</v>
      </c>
      <c r="H19" s="89">
        <f>IF(TrAvia_act!H35=0,0,(TrAvia_act!H35/TrAvia_act!H25)/TrAvia_png!H13)</f>
        <v>0</v>
      </c>
      <c r="I19" s="89">
        <f>IF(TrAvia_act!I35=0,0,(TrAvia_act!I35/TrAvia_act!I25)/TrAvia_png!I13)</f>
        <v>0</v>
      </c>
      <c r="J19" s="89">
        <f>IF(TrAvia_act!J35=0,0,(TrAvia_act!J35/TrAvia_act!J25)/TrAvia_png!J13)</f>
        <v>0</v>
      </c>
      <c r="K19" s="89">
        <f>IF(TrAvia_act!K35=0,0,(TrAvia_act!K35/TrAvia_act!K25)/TrAvia_png!K13)</f>
        <v>0</v>
      </c>
      <c r="L19" s="89">
        <f>IF(TrAvia_act!L35=0,0,(TrAvia_act!L35/TrAvia_act!L25)/TrAvia_png!L13)</f>
        <v>0</v>
      </c>
      <c r="M19" s="89">
        <f>IF(TrAvia_act!M35=0,0,(TrAvia_act!M35/TrAvia_act!M25)/TrAvia_png!M13)</f>
        <v>0</v>
      </c>
      <c r="N19" s="89">
        <f>IF(TrAvia_act!N35=0,0,(TrAvia_act!N35/TrAvia_act!N25)/TrAvia_png!N13)</f>
        <v>0</v>
      </c>
      <c r="O19" s="89">
        <f>IF(TrAvia_act!O35=0,0,(TrAvia_act!O35/TrAvia_act!O25)/TrAvia_png!O13)</f>
        <v>0</v>
      </c>
      <c r="P19" s="89">
        <f>IF(TrAvia_act!P35=0,0,(TrAvia_act!P35/TrAvia_act!P25)/TrAvia_png!P13)</f>
        <v>0</v>
      </c>
      <c r="Q19" s="89">
        <f>IF(TrAvia_act!Q35=0,0,(TrAvia_act!Q35/TrAvia_act!Q25)/TrAvia_png!Q13)</f>
        <v>0</v>
      </c>
      <c r="R19" s="89">
        <f>IF(TrAvia_act!R35=0,0,(TrAvia_act!R35/TrAvia_act!R25)/TrAvia_png!R13)</f>
        <v>0</v>
      </c>
      <c r="S19" s="89">
        <f>IF(TrAvia_act!S35=0,0,(TrAvia_act!S35/TrAvia_act!S25)/TrAvia_png!S13)</f>
        <v>0</v>
      </c>
      <c r="T19" s="89">
        <f>IF(TrAvia_act!T35=0,0,(TrAvia_act!T35/TrAvia_act!T25)/TrAvia_png!T13)</f>
        <v>0</v>
      </c>
      <c r="U19" s="89">
        <f>IF(TrAvia_act!U35=0,0,(TrAvia_act!U35/TrAvia_act!U25)/TrAvia_png!U13)</f>
        <v>0</v>
      </c>
      <c r="V19" s="89">
        <f>IF(TrAvia_act!V35=0,0,(TrAvia_act!V35/TrAvia_act!V25)/TrAvia_png!V13)</f>
        <v>0</v>
      </c>
      <c r="W19" s="89">
        <f>IF(TrAvia_act!W35=0,0,(TrAvia_act!W35/TrAvia_act!W25)/TrAvia_png!W13)</f>
        <v>0</v>
      </c>
      <c r="X19" s="89">
        <f>IF(TrAvia_act!X35=0,0,(TrAvia_act!X35/TrAvia_act!X25)/TrAvia_png!X13)</f>
        <v>0</v>
      </c>
      <c r="Y19" s="89">
        <f>IF(TrAvia_act!Y35=0,0,(TrAvia_act!Y35/TrAvia_act!Y25)/TrAvia_png!Y13)</f>
        <v>0</v>
      </c>
      <c r="DA19" s="191"/>
    </row>
    <row r="20" spans="1:105" ht="11.45" customHeight="1" x14ac:dyDescent="0.25">
      <c r="A20" s="83" t="s">
        <v>181</v>
      </c>
      <c r="B20" s="89">
        <f>IF(TrAvia_act!B36=0,0,(TrAvia_act!B36/TrAvia_act!B26)/TrAvia_png!B14)</f>
        <v>0.7512871489701578</v>
      </c>
      <c r="C20" s="89">
        <f>IF(TrAvia_act!C36=0,0,(TrAvia_act!C36/TrAvia_act!C26)/TrAvia_png!C14)</f>
        <v>0.74768142569439711</v>
      </c>
      <c r="D20" s="89">
        <f>IF(TrAvia_act!D36=0,0,(TrAvia_act!D36/TrAvia_act!D26)/TrAvia_png!D14)</f>
        <v>0.74570213572966593</v>
      </c>
      <c r="E20" s="89">
        <f>IF(TrAvia_act!E36=0,0,(TrAvia_act!E36/TrAvia_act!E26)/TrAvia_png!E14)</f>
        <v>0.74394672097848058</v>
      </c>
      <c r="F20" s="89">
        <f>IF(TrAvia_act!F36=0,0,(TrAvia_act!F36/TrAvia_act!F26)/TrAvia_png!F14)</f>
        <v>0.74076898189813878</v>
      </c>
      <c r="G20" s="89">
        <f>IF(TrAvia_act!G36=0,0,(TrAvia_act!G36/TrAvia_act!G26)/TrAvia_png!G14)</f>
        <v>0.7232917147481871</v>
      </c>
      <c r="H20" s="89">
        <f>IF(TrAvia_act!H36=0,0,(TrAvia_act!H36/TrAvia_act!H26)/TrAvia_png!H14)</f>
        <v>0.69957153531110561</v>
      </c>
      <c r="I20" s="89">
        <f>IF(TrAvia_act!I36=0,0,(TrAvia_act!I36/TrAvia_act!I26)/TrAvia_png!I14)</f>
        <v>0.71136466829422562</v>
      </c>
      <c r="J20" s="89">
        <f>IF(TrAvia_act!J36=0,0,(TrAvia_act!J36/TrAvia_act!J26)/TrAvia_png!J14)</f>
        <v>0.71259535106949279</v>
      </c>
      <c r="K20" s="89">
        <f>IF(TrAvia_act!K36=0,0,(TrAvia_act!K36/TrAvia_act!K26)/TrAvia_png!K14)</f>
        <v>0.70161850501225165</v>
      </c>
      <c r="L20" s="89">
        <f>IF(TrAvia_act!L36=0,0,(TrAvia_act!L36/TrAvia_act!L26)/TrAvia_png!L14)</f>
        <v>0.72586239410850018</v>
      </c>
      <c r="M20" s="89">
        <f>IF(TrAvia_act!M36=0,0,(TrAvia_act!M36/TrAvia_act!M26)/TrAvia_png!M14)</f>
        <v>0.75899695807856782</v>
      </c>
      <c r="N20" s="89">
        <f>IF(TrAvia_act!N36=0,0,(TrAvia_act!N36/TrAvia_act!N26)/TrAvia_png!N14)</f>
        <v>0.76952527105233837</v>
      </c>
      <c r="O20" s="89">
        <f>IF(TrAvia_act!O36=0,0,(TrAvia_act!O36/TrAvia_act!O26)/TrAvia_png!O14)</f>
        <v>0.78197866626894108</v>
      </c>
      <c r="P20" s="89">
        <f>IF(TrAvia_act!P36=0,0,(TrAvia_act!P36/TrAvia_act!P26)/TrAvia_png!P14)</f>
        <v>0.78564077154335632</v>
      </c>
      <c r="Q20" s="89">
        <f>IF(TrAvia_act!Q36=0,0,(TrAvia_act!Q36/TrAvia_act!Q26)/TrAvia_png!Q14)</f>
        <v>0.80507480376409324</v>
      </c>
      <c r="R20" s="89">
        <f>IF(TrAvia_act!R36=0,0,(TrAvia_act!R36/TrAvia_act!R26)/TrAvia_png!R14)</f>
        <v>0.81455431083180541</v>
      </c>
      <c r="S20" s="89">
        <f>IF(TrAvia_act!S36=0,0,(TrAvia_act!S36/TrAvia_act!S26)/TrAvia_png!S14)</f>
        <v>0.8344305868295564</v>
      </c>
      <c r="T20" s="89">
        <f>IF(TrAvia_act!T36=0,0,(TrAvia_act!T36/TrAvia_act!T26)/TrAvia_png!T14)</f>
        <v>0.83699481549470967</v>
      </c>
      <c r="U20" s="89">
        <f>IF(TrAvia_act!U36=0,0,(TrAvia_act!U36/TrAvia_act!U26)/TrAvia_png!U14)</f>
        <v>0.83675344354591796</v>
      </c>
      <c r="V20" s="89">
        <f>IF(TrAvia_act!V36=0,0,(TrAvia_act!V36/TrAvia_act!V26)/TrAvia_png!V14)</f>
        <v>0.61362638453506324</v>
      </c>
      <c r="W20" s="89">
        <f>IF(TrAvia_act!W36=0,0,(TrAvia_act!W36/TrAvia_act!W26)/TrAvia_png!W14)</f>
        <v>0.661087699380417</v>
      </c>
      <c r="X20" s="89">
        <f>IF(TrAvia_act!X36=0,0,(TrAvia_act!X36/TrAvia_act!X26)/TrAvia_png!X14)</f>
        <v>0.78302832985658788</v>
      </c>
      <c r="Y20" s="89">
        <f>IF(TrAvia_act!Y36=0,0,(TrAvia_act!Y36/TrAvia_act!Y26)/TrAvia_png!Y14)</f>
        <v>0.81165680316832922</v>
      </c>
      <c r="DA20" s="191"/>
    </row>
    <row r="21" spans="1:105" ht="11.45" customHeight="1" x14ac:dyDescent="0.25">
      <c r="A21" s="85" t="s">
        <v>182</v>
      </c>
      <c r="B21" s="90">
        <f>IF(TrAvia_act!B37=0,0,(TrAvia_act!B37/TrAvia_act!B27)/TrAvia_png!B15)</f>
        <v>0.74418536934703328</v>
      </c>
      <c r="C21" s="90">
        <f>IF(TrAvia_act!C37=0,0,(TrAvia_act!C37/TrAvia_act!C27)/TrAvia_png!C15)</f>
        <v>0.74557146611763903</v>
      </c>
      <c r="D21" s="90">
        <f>IF(TrAvia_act!D37=0,0,(TrAvia_act!D37/TrAvia_act!D27)/TrAvia_png!D15)</f>
        <v>0.74819784694960079</v>
      </c>
      <c r="E21" s="90">
        <f>IF(TrAvia_act!E37=0,0,(TrAvia_act!E37/TrAvia_act!E27)/TrAvia_png!E15)</f>
        <v>0.75051696469687923</v>
      </c>
      <c r="F21" s="90">
        <f>IF(TrAvia_act!F37=0,0,(TrAvia_act!F37/TrAvia_act!F27)/TrAvia_png!F15)</f>
        <v>0.75094560595997717</v>
      </c>
      <c r="G21" s="90">
        <f>IF(TrAvia_act!G37=0,0,(TrAvia_act!G37/TrAvia_act!G27)/TrAvia_png!G15)</f>
        <v>0.73508637236405883</v>
      </c>
      <c r="H21" s="90">
        <f>IF(TrAvia_act!H37=0,0,(TrAvia_act!H37/TrAvia_act!H27)/TrAvia_png!H15)</f>
        <v>0.76142142808345203</v>
      </c>
      <c r="I21" s="90">
        <f>IF(TrAvia_act!I37=0,0,(TrAvia_act!I37/TrAvia_act!I27)/TrAvia_png!I15)</f>
        <v>0.80161082773264025</v>
      </c>
      <c r="J21" s="90">
        <f>IF(TrAvia_act!J37=0,0,(TrAvia_act!J37/TrAvia_act!J27)/TrAvia_png!J15)</f>
        <v>0.79217160226961481</v>
      </c>
      <c r="K21" s="90">
        <f>IF(TrAvia_act!K37=0,0,(TrAvia_act!K37/TrAvia_act!K27)/TrAvia_png!K15)</f>
        <v>0.77756716536829473</v>
      </c>
      <c r="L21" s="90">
        <f>IF(TrAvia_act!L37=0,0,(TrAvia_act!L37/TrAvia_act!L27)/TrAvia_png!L15)</f>
        <v>0.80734952936482707</v>
      </c>
      <c r="M21" s="90">
        <f>IF(TrAvia_act!M37=0,0,(TrAvia_act!M37/TrAvia_act!M27)/TrAvia_png!M15)</f>
        <v>0.82340958039526746</v>
      </c>
      <c r="N21" s="90">
        <f>IF(TrAvia_act!N37=0,0,(TrAvia_act!N37/TrAvia_act!N27)/TrAvia_png!N15)</f>
        <v>0.85613726240396293</v>
      </c>
      <c r="O21" s="90">
        <f>IF(TrAvia_act!O37=0,0,(TrAvia_act!O37/TrAvia_act!O27)/TrAvia_png!O15)</f>
        <v>0.85087961421633684</v>
      </c>
      <c r="P21" s="90">
        <f>IF(TrAvia_act!P37=0,0,(TrAvia_act!P37/TrAvia_act!P27)/TrAvia_png!P15)</f>
        <v>0.84727146834844247</v>
      </c>
      <c r="Q21" s="90">
        <f>IF(TrAvia_act!Q37=0,0,(TrAvia_act!Q37/TrAvia_act!Q27)/TrAvia_png!Q15)</f>
        <v>0.84600742893450076</v>
      </c>
      <c r="R21" s="90">
        <f>IF(TrAvia_act!R37=0,0,(TrAvia_act!R37/TrAvia_act!R27)/TrAvia_png!R15)</f>
        <v>0.84936262186304812</v>
      </c>
      <c r="S21" s="90">
        <f>IF(TrAvia_act!S37=0,0,(TrAvia_act!S37/TrAvia_act!S27)/TrAvia_png!S15)</f>
        <v>0.85803481158381378</v>
      </c>
      <c r="T21" s="90">
        <f>IF(TrAvia_act!T37=0,0,(TrAvia_act!T37/TrAvia_act!T27)/TrAvia_png!T15)</f>
        <v>0.85397569990936051</v>
      </c>
      <c r="U21" s="90">
        <f>IF(TrAvia_act!U37=0,0,(TrAvia_act!U37/TrAvia_act!U27)/TrAvia_png!U15)</f>
        <v>0.84132901157711748</v>
      </c>
      <c r="V21" s="90">
        <f>IF(TrAvia_act!V37=0,0,(TrAvia_act!V37/TrAvia_act!V27)/TrAvia_png!V15)</f>
        <v>0.49875753046307109</v>
      </c>
      <c r="W21" s="90">
        <f>IF(TrAvia_act!W37=0,0,(TrAvia_act!W37/TrAvia_act!W27)/TrAvia_png!W15)</f>
        <v>0.49425752648600074</v>
      </c>
      <c r="X21" s="90">
        <f>IF(TrAvia_act!X37=0,0,(TrAvia_act!X37/TrAvia_act!X27)/TrAvia_png!X15)</f>
        <v>0.76961448304055224</v>
      </c>
      <c r="Y21" s="90">
        <f>IF(TrAvia_act!Y37=0,0,(TrAvia_act!Y37/TrAvia_act!Y27)/TrAvia_png!Y15)</f>
        <v>0.83530783037344081</v>
      </c>
      <c r="DA21" s="192"/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70</v>
      </c>
      <c r="B23" s="59"/>
      <c r="C23" s="59"/>
      <c r="D23" s="59"/>
      <c r="E23" s="59"/>
      <c r="F23" s="59"/>
      <c r="G23" s="59"/>
      <c r="H23" s="59"/>
      <c r="I23" s="59"/>
      <c r="J23" s="59"/>
      <c r="K23" s="59"/>
      <c r="L23" s="59"/>
      <c r="M23" s="59"/>
      <c r="N23" s="59"/>
      <c r="O23" s="59"/>
      <c r="P23" s="59"/>
      <c r="Q23" s="59"/>
      <c r="R23" s="59"/>
      <c r="S23" s="59"/>
      <c r="T23" s="59"/>
      <c r="U23" s="59"/>
      <c r="V23" s="59"/>
      <c r="W23" s="59"/>
      <c r="X23" s="59"/>
      <c r="Y23" s="59"/>
      <c r="DA23" s="172"/>
    </row>
    <row r="24" spans="1:105" ht="11.45" customHeight="1" x14ac:dyDescent="0.25">
      <c r="A24" s="10" t="s">
        <v>33</v>
      </c>
      <c r="B24" s="23">
        <f>IF(TrAvia_ene!B6=0,0,TrAvia_ene!B6/(B12*TrAvia_act!B14))</f>
        <v>5.5341062047128617E-2</v>
      </c>
      <c r="C24" s="23">
        <f>IF(TrAvia_ene!C6=0,0,TrAvia_ene!C6/(C12*TrAvia_act!C14))</f>
        <v>5.4703299214015691E-2</v>
      </c>
      <c r="D24" s="23">
        <f>IF(TrAvia_ene!D6=0,0,TrAvia_ene!D6/(D12*TrAvia_act!D14))</f>
        <v>5.5021061901282843E-2</v>
      </c>
      <c r="E24" s="23">
        <f>IF(TrAvia_ene!E6=0,0,TrAvia_ene!E6/(E12*TrAvia_act!E14))</f>
        <v>5.3322233427513605E-2</v>
      </c>
      <c r="F24" s="23">
        <f>IF(TrAvia_ene!F6=0,0,TrAvia_ene!F6/(F12*TrAvia_act!F14))</f>
        <v>5.0448838536421979E-2</v>
      </c>
      <c r="G24" s="23">
        <f>IF(TrAvia_ene!G6=0,0,TrAvia_ene!G6/(G12*TrAvia_act!G14))</f>
        <v>4.7450346555224829E-2</v>
      </c>
      <c r="H24" s="23">
        <f>IF(TrAvia_ene!H6=0,0,TrAvia_ene!H6/(H12*TrAvia_act!H14))</f>
        <v>4.5859739866643191E-2</v>
      </c>
      <c r="I24" s="23">
        <f>IF(TrAvia_ene!I6=0,0,TrAvia_ene!I6/(I12*TrAvia_act!I14))</f>
        <v>4.6296039734126104E-2</v>
      </c>
      <c r="J24" s="23">
        <f>IF(TrAvia_ene!J6=0,0,TrAvia_ene!J6/(J12*TrAvia_act!J14))</f>
        <v>4.5247787680053039E-2</v>
      </c>
      <c r="K24" s="23">
        <f>IF(TrAvia_ene!K6=0,0,TrAvia_ene!K6/(K12*TrAvia_act!K14))</f>
        <v>4.6473443005054453E-2</v>
      </c>
      <c r="L24" s="23">
        <f>IF(TrAvia_ene!L6=0,0,TrAvia_ene!L6/(L12*TrAvia_act!L14))</f>
        <v>4.2611057715784675E-2</v>
      </c>
      <c r="M24" s="23">
        <f>IF(TrAvia_ene!M6=0,0,TrAvia_ene!M6/(M12*TrAvia_act!M14))</f>
        <v>4.3232971405694966E-2</v>
      </c>
      <c r="N24" s="23">
        <f>IF(TrAvia_ene!N6=0,0,TrAvia_ene!N6/(N12*TrAvia_act!N14))</f>
        <v>4.2581126568196251E-2</v>
      </c>
      <c r="O24" s="23">
        <f>IF(TrAvia_ene!O6=0,0,TrAvia_ene!O6/(O12*TrAvia_act!O14))</f>
        <v>4.1881227080154508E-2</v>
      </c>
      <c r="P24" s="23">
        <f>IF(TrAvia_ene!P6=0,0,TrAvia_ene!P6/(P12*TrAvia_act!P14))</f>
        <v>4.2258631145391905E-2</v>
      </c>
      <c r="Q24" s="23">
        <f>IF(TrAvia_ene!Q6=0,0,TrAvia_ene!Q6/(Q12*TrAvia_act!Q14))</f>
        <v>4.267416830168929E-2</v>
      </c>
      <c r="R24" s="23">
        <f>IF(TrAvia_ene!R6=0,0,TrAvia_ene!R6/(R12*TrAvia_act!R14))</f>
        <v>4.1632320101386976E-2</v>
      </c>
      <c r="S24" s="23">
        <f>IF(TrAvia_ene!S6=0,0,TrAvia_ene!S6/(S12*TrAvia_act!S14))</f>
        <v>3.9522267836579653E-2</v>
      </c>
      <c r="T24" s="23">
        <f>IF(TrAvia_ene!T6=0,0,TrAvia_ene!T6/(T12*TrAvia_act!T14))</f>
        <v>3.7951182572133819E-2</v>
      </c>
      <c r="U24" s="23">
        <f>IF(TrAvia_ene!U6=0,0,TrAvia_ene!U6/(U12*TrAvia_act!U14))</f>
        <v>3.6522944688820523E-2</v>
      </c>
      <c r="V24" s="23">
        <f>IF(TrAvia_ene!V6=0,0,TrAvia_ene!V6/(V12*TrAvia_act!V14))</f>
        <v>3.6610426198126253E-2</v>
      </c>
      <c r="W24" s="23">
        <f>IF(TrAvia_ene!W6=0,0,TrAvia_ene!W6/(W12*TrAvia_act!W14))</f>
        <v>3.2773310447623279E-2</v>
      </c>
      <c r="X24" s="23">
        <f>IF(TrAvia_ene!X6=0,0,TrAvia_ene!X6/(X12*TrAvia_act!X14))</f>
        <v>3.2881120319231988E-2</v>
      </c>
      <c r="Y24" s="23">
        <f>IF(TrAvia_ene!Y6=0,0,TrAvia_ene!Y6/(Y12*TrAvia_act!Y14))</f>
        <v>3.2752778555235181E-2</v>
      </c>
      <c r="DA24" s="189"/>
    </row>
    <row r="25" spans="1:105" ht="11.45" customHeight="1" x14ac:dyDescent="0.25">
      <c r="A25" s="83" t="s">
        <v>27</v>
      </c>
      <c r="B25" s="91">
        <f>IF(TrAvia_ene!B7=0,0,TrAvia_ene!B7/(B13*TrAvia_act!B15))</f>
        <v>0</v>
      </c>
      <c r="C25" s="91">
        <f>IF(TrAvia_ene!C7=0,0,TrAvia_ene!C7/(C13*TrAvia_act!C15))</f>
        <v>0</v>
      </c>
      <c r="D25" s="91">
        <f>IF(TrAvia_ene!D7=0,0,TrAvia_ene!D7/(D13*TrAvia_act!D15))</f>
        <v>0</v>
      </c>
      <c r="E25" s="91">
        <f>IF(TrAvia_ene!E7=0,0,TrAvia_ene!E7/(E13*TrAvia_act!E15))</f>
        <v>0</v>
      </c>
      <c r="F25" s="91">
        <f>IF(TrAvia_ene!F7=0,0,TrAvia_ene!F7/(F13*TrAvia_act!F15))</f>
        <v>0</v>
      </c>
      <c r="G25" s="91">
        <f>IF(TrAvia_ene!G7=0,0,TrAvia_ene!G7/(G13*TrAvia_act!G15))</f>
        <v>0</v>
      </c>
      <c r="H25" s="91">
        <f>IF(TrAvia_ene!H7=0,0,TrAvia_ene!H7/(H13*TrAvia_act!H15))</f>
        <v>0</v>
      </c>
      <c r="I25" s="91">
        <f>IF(TrAvia_ene!I7=0,0,TrAvia_ene!I7/(I13*TrAvia_act!I15))</f>
        <v>0</v>
      </c>
      <c r="J25" s="91">
        <f>IF(TrAvia_ene!J7=0,0,TrAvia_ene!J7/(J13*TrAvia_act!J15))</f>
        <v>0</v>
      </c>
      <c r="K25" s="91">
        <f>IF(TrAvia_ene!K7=0,0,TrAvia_ene!K7/(K13*TrAvia_act!K15))</f>
        <v>0</v>
      </c>
      <c r="L25" s="91">
        <f>IF(TrAvia_ene!L7=0,0,TrAvia_ene!L7/(L13*TrAvia_act!L15))</f>
        <v>0</v>
      </c>
      <c r="M25" s="91">
        <f>IF(TrAvia_ene!M7=0,0,TrAvia_ene!M7/(M13*TrAvia_act!M15))</f>
        <v>0</v>
      </c>
      <c r="N25" s="91">
        <f>IF(TrAvia_ene!N7=0,0,TrAvia_ene!N7/(N13*TrAvia_act!N15))</f>
        <v>0</v>
      </c>
      <c r="O25" s="91">
        <f>IF(TrAvia_ene!O7=0,0,TrAvia_ene!O7/(O13*TrAvia_act!O15))</f>
        <v>0</v>
      </c>
      <c r="P25" s="91">
        <f>IF(TrAvia_ene!P7=0,0,TrAvia_ene!P7/(P13*TrAvia_act!P15))</f>
        <v>0</v>
      </c>
      <c r="Q25" s="91">
        <f>IF(TrAvia_ene!Q7=0,0,TrAvia_ene!Q7/(Q13*TrAvia_act!Q15))</f>
        <v>0</v>
      </c>
      <c r="R25" s="91">
        <f>IF(TrAvia_ene!R7=0,0,TrAvia_ene!R7/(R13*TrAvia_act!R15))</f>
        <v>0</v>
      </c>
      <c r="S25" s="91">
        <f>IF(TrAvia_ene!S7=0,0,TrAvia_ene!S7/(S13*TrAvia_act!S15))</f>
        <v>0</v>
      </c>
      <c r="T25" s="91">
        <f>IF(TrAvia_ene!T7=0,0,TrAvia_ene!T7/(T13*TrAvia_act!T15))</f>
        <v>0</v>
      </c>
      <c r="U25" s="91">
        <f>IF(TrAvia_ene!U7=0,0,TrAvia_ene!U7/(U13*TrAvia_act!U15))</f>
        <v>0</v>
      </c>
      <c r="V25" s="91">
        <f>IF(TrAvia_ene!V7=0,0,TrAvia_ene!V7/(V13*TrAvia_act!V15))</f>
        <v>0</v>
      </c>
      <c r="W25" s="91">
        <f>IF(TrAvia_ene!W7=0,0,TrAvia_ene!W7/(W13*TrAvia_act!W15))</f>
        <v>0</v>
      </c>
      <c r="X25" s="91">
        <f>IF(TrAvia_ene!X7=0,0,TrAvia_ene!X7/(X13*TrAvia_act!X15))</f>
        <v>0</v>
      </c>
      <c r="Y25" s="91">
        <f>IF(TrAvia_ene!Y7=0,0,TrAvia_ene!Y7/(Y13*TrAvia_act!Y15))</f>
        <v>0</v>
      </c>
      <c r="DA25" s="171"/>
    </row>
    <row r="26" spans="1:105" ht="11.45" customHeight="1" x14ac:dyDescent="0.25">
      <c r="A26" s="92" t="s">
        <v>181</v>
      </c>
      <c r="B26" s="93">
        <f>IF(TrAvia_ene!B8=0,0,TrAvia_ene!B8/(B14*TrAvia_act!B16))</f>
        <v>4.0716135537966415E-2</v>
      </c>
      <c r="C26" s="93">
        <f>IF(TrAvia_ene!C8=0,0,TrAvia_ene!C8/(C14*TrAvia_act!C16))</f>
        <v>4.0106126964789407E-2</v>
      </c>
      <c r="D26" s="93">
        <f>IF(TrAvia_ene!D8=0,0,TrAvia_ene!D8/(D14*TrAvia_act!D16))</f>
        <v>4.0046296955830452E-2</v>
      </c>
      <c r="E26" s="93">
        <f>IF(TrAvia_ene!E8=0,0,TrAvia_ene!E8/(E14*TrAvia_act!E16))</f>
        <v>3.8605640045638864E-2</v>
      </c>
      <c r="F26" s="93">
        <f>IF(TrAvia_ene!F8=0,0,TrAvia_ene!F8/(F14*TrAvia_act!F16))</f>
        <v>3.6442278420035071E-2</v>
      </c>
      <c r="G26" s="93">
        <f>IF(TrAvia_ene!G8=0,0,TrAvia_ene!G8/(G14*TrAvia_act!G16))</f>
        <v>3.4516575218542379E-2</v>
      </c>
      <c r="H26" s="93">
        <f>IF(TrAvia_ene!H8=0,0,TrAvia_ene!H8/(H14*TrAvia_act!H16))</f>
        <v>3.1275412330412311E-2</v>
      </c>
      <c r="I26" s="93">
        <f>IF(TrAvia_ene!I8=0,0,TrAvia_ene!I8/(I14*TrAvia_act!I16))</f>
        <v>3.1417692175058479E-2</v>
      </c>
      <c r="J26" s="93">
        <f>IF(TrAvia_ene!J8=0,0,TrAvia_ene!J8/(J14*TrAvia_act!J16))</f>
        <v>3.1264140086860646E-2</v>
      </c>
      <c r="K26" s="93">
        <f>IF(TrAvia_ene!K8=0,0,TrAvia_ene!K8/(K14*TrAvia_act!K16))</f>
        <v>3.1076818832982443E-2</v>
      </c>
      <c r="L26" s="93">
        <f>IF(TrAvia_ene!L8=0,0,TrAvia_ene!L8/(L14*TrAvia_act!L16))</f>
        <v>2.8836190964876721E-2</v>
      </c>
      <c r="M26" s="93">
        <f>IF(TrAvia_ene!M8=0,0,TrAvia_ene!M8/(M14*TrAvia_act!M16))</f>
        <v>2.8568767957864751E-2</v>
      </c>
      <c r="N26" s="93">
        <f>IF(TrAvia_ene!N8=0,0,TrAvia_ene!N8/(N14*TrAvia_act!N16))</f>
        <v>2.7987407685375141E-2</v>
      </c>
      <c r="O26" s="93">
        <f>IF(TrAvia_ene!O8=0,0,TrAvia_ene!O8/(O14*TrAvia_act!O16))</f>
        <v>2.7908835254662478E-2</v>
      </c>
      <c r="P26" s="93">
        <f>IF(TrAvia_ene!P8=0,0,TrAvia_ene!P8/(P14*TrAvia_act!P16))</f>
        <v>2.7741784724258416E-2</v>
      </c>
      <c r="Q26" s="93">
        <f>IF(TrAvia_ene!Q8=0,0,TrAvia_ene!Q8/(Q14*TrAvia_act!Q16))</f>
        <v>2.8104800645467703E-2</v>
      </c>
      <c r="R26" s="93">
        <f>IF(TrAvia_ene!R8=0,0,TrAvia_ene!R8/(R14*TrAvia_act!R16))</f>
        <v>2.717069154178647E-2</v>
      </c>
      <c r="S26" s="93">
        <f>IF(TrAvia_ene!S8=0,0,TrAvia_ene!S8/(S14*TrAvia_act!S16))</f>
        <v>2.5797590977435451E-2</v>
      </c>
      <c r="T26" s="93">
        <f>IF(TrAvia_ene!T8=0,0,TrAvia_ene!T8/(T14*TrAvia_act!T16))</f>
        <v>2.4687588628280476E-2</v>
      </c>
      <c r="U26" s="93">
        <f>IF(TrAvia_ene!U8=0,0,TrAvia_ene!U8/(U14*TrAvia_act!U16))</f>
        <v>2.3358481512547359E-2</v>
      </c>
      <c r="V26" s="93">
        <f>IF(TrAvia_ene!V8=0,0,TrAvia_ene!V8/(V14*TrAvia_act!V16))</f>
        <v>1.9665312700896876E-2</v>
      </c>
      <c r="W26" s="93">
        <f>IF(TrAvia_ene!W8=0,0,TrAvia_ene!W8/(W14*TrAvia_act!W16))</f>
        <v>1.9308394107167948E-2</v>
      </c>
      <c r="X26" s="93">
        <f>IF(TrAvia_ene!X8=0,0,TrAvia_ene!X8/(X14*TrAvia_act!X16))</f>
        <v>2.0274519761219533E-2</v>
      </c>
      <c r="Y26" s="93">
        <f>IF(TrAvia_ene!Y8=0,0,TrAvia_ene!Y8/(Y14*TrAvia_act!Y16))</f>
        <v>2.0316321518439134E-2</v>
      </c>
      <c r="DA26" s="175"/>
    </row>
    <row r="27" spans="1:105" ht="11.45" customHeight="1" x14ac:dyDescent="0.25">
      <c r="A27" s="85" t="s">
        <v>182</v>
      </c>
      <c r="B27" s="94">
        <f>IF(TrAvia_ene!B9=0,0,TrAvia_ene!B9/(B15*TrAvia_act!B17))</f>
        <v>3.7052672609907557E-2</v>
      </c>
      <c r="C27" s="94">
        <f>IF(TrAvia_ene!C9=0,0,TrAvia_ene!C9/(C15*TrAvia_act!C17))</f>
        <v>3.685046064259602E-2</v>
      </c>
      <c r="D27" s="94">
        <f>IF(TrAvia_ene!D9=0,0,TrAvia_ene!D9/(D15*TrAvia_act!D17))</f>
        <v>3.7500553848396165E-2</v>
      </c>
      <c r="E27" s="94">
        <f>IF(TrAvia_ene!E9=0,0,TrAvia_ene!E9/(E15*TrAvia_act!E17))</f>
        <v>3.6645711822106006E-2</v>
      </c>
      <c r="F27" s="94">
        <f>IF(TrAvia_ene!F9=0,0,TrAvia_ene!F9/(F15*TrAvia_act!F17))</f>
        <v>3.4906784333879629E-2</v>
      </c>
      <c r="G27" s="94">
        <f>IF(TrAvia_ene!G9=0,0,TrAvia_ene!G9/(G15*TrAvia_act!G17))</f>
        <v>3.2851100236765268E-2</v>
      </c>
      <c r="H27" s="94">
        <f>IF(TrAvia_ene!H9=0,0,TrAvia_ene!H9/(H15*TrAvia_act!H17))</f>
        <v>3.3582879610658561E-2</v>
      </c>
      <c r="I27" s="94">
        <f>IF(TrAvia_ene!I9=0,0,TrAvia_ene!I9/(I15*TrAvia_act!I17))</f>
        <v>3.4585297414348765E-2</v>
      </c>
      <c r="J27" s="94">
        <f>IF(TrAvia_ene!J9=0,0,TrAvia_ene!J9/(J15*TrAvia_act!J17))</f>
        <v>3.4054651079261852E-2</v>
      </c>
      <c r="K27" s="94">
        <f>IF(TrAvia_ene!K9=0,0,TrAvia_ene!K9/(K15*TrAvia_act!K17))</f>
        <v>3.5739265647879701E-2</v>
      </c>
      <c r="L27" s="94">
        <f>IF(TrAvia_ene!L9=0,0,TrAvia_ene!L9/(L15*TrAvia_act!L17))</f>
        <v>3.3543516986982158E-2</v>
      </c>
      <c r="M27" s="94">
        <f>IF(TrAvia_ene!M9=0,0,TrAvia_ene!M9/(M15*TrAvia_act!M17))</f>
        <v>3.4250528720502368E-2</v>
      </c>
      <c r="N27" s="94">
        <f>IF(TrAvia_ene!N9=0,0,TrAvia_ene!N9/(N15*TrAvia_act!N17))</f>
        <v>3.3961689344027622E-2</v>
      </c>
      <c r="O27" s="94">
        <f>IF(TrAvia_ene!O9=0,0,TrAvia_ene!O9/(O15*TrAvia_act!O17))</f>
        <v>3.3236774400671319E-2</v>
      </c>
      <c r="P27" s="94">
        <f>IF(TrAvia_ene!P9=0,0,TrAvia_ene!P9/(P15*TrAvia_act!P17))</f>
        <v>3.4203524207925932E-2</v>
      </c>
      <c r="Q27" s="94">
        <f>IF(TrAvia_ene!Q9=0,0,TrAvia_ene!Q9/(Q15*TrAvia_act!Q17))</f>
        <v>3.4630220155695578E-2</v>
      </c>
      <c r="R27" s="94">
        <f>IF(TrAvia_ene!R9=0,0,TrAvia_ene!R9/(R15*TrAvia_act!R17))</f>
        <v>3.425610976610783E-2</v>
      </c>
      <c r="S27" s="94">
        <f>IF(TrAvia_ene!S9=0,0,TrAvia_ene!S9/(S15*TrAvia_act!S17))</f>
        <v>3.2753084340907235E-2</v>
      </c>
      <c r="T27" s="94">
        <f>IF(TrAvia_ene!T9=0,0,TrAvia_ene!T9/(T15*TrAvia_act!T17))</f>
        <v>3.1145633879581861E-2</v>
      </c>
      <c r="U27" s="94">
        <f>IF(TrAvia_ene!U9=0,0,TrAvia_ene!U9/(U15*TrAvia_act!U17))</f>
        <v>3.0395206371392418E-2</v>
      </c>
      <c r="V27" s="94">
        <f>IF(TrAvia_ene!V9=0,0,TrAvia_ene!V9/(V15*TrAvia_act!V17))</f>
        <v>2.8981812031559494E-2</v>
      </c>
      <c r="W27" s="94">
        <f>IF(TrAvia_ene!W9=0,0,TrAvia_ene!W9/(W15*TrAvia_act!W17))</f>
        <v>2.6956542854506424E-2</v>
      </c>
      <c r="X27" s="94">
        <f>IF(TrAvia_ene!X9=0,0,TrAvia_ene!X9/(X15*TrAvia_act!X17))</f>
        <v>2.781143428981327E-2</v>
      </c>
      <c r="Y27" s="94">
        <f>IF(TrAvia_ene!Y9=0,0,TrAvia_ene!Y9/(Y15*TrAvia_act!Y17))</f>
        <v>2.7693694690117711E-2</v>
      </c>
      <c r="DA27" s="178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pageSetUpPr fitToPage="1"/>
  </sheetPr>
  <dimension ref="A1:DA24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999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149</v>
      </c>
      <c r="B3" s="54">
        <f t="shared" ref="B3:Q3" si="0">SUM(B4:B5)</f>
        <v>41285.409</v>
      </c>
      <c r="C3" s="54">
        <f t="shared" si="0"/>
        <v>41806.741000000002</v>
      </c>
      <c r="D3" s="54">
        <f t="shared" si="0"/>
        <v>40996.849000000002</v>
      </c>
      <c r="E3" s="54">
        <f t="shared" si="0"/>
        <v>39045.567999999999</v>
      </c>
      <c r="F3" s="54">
        <f t="shared" si="0"/>
        <v>43065.902000000002</v>
      </c>
      <c r="G3" s="54">
        <f t="shared" si="0"/>
        <v>42251.942000000003</v>
      </c>
      <c r="H3" s="54">
        <f t="shared" si="0"/>
        <v>42235.853000000003</v>
      </c>
      <c r="I3" s="54">
        <f t="shared" si="0"/>
        <v>46510.224999999999</v>
      </c>
      <c r="J3" s="54">
        <f t="shared" si="0"/>
        <v>46259.752999999997</v>
      </c>
      <c r="K3" s="54">
        <f t="shared" si="0"/>
        <v>37887.330999999998</v>
      </c>
      <c r="L3" s="54">
        <f t="shared" si="0"/>
        <v>46591.43</v>
      </c>
      <c r="M3" s="54">
        <f t="shared" si="0"/>
        <v>46492.169000000002</v>
      </c>
      <c r="N3" s="54">
        <f t="shared" si="0"/>
        <v>47564.614000000001</v>
      </c>
      <c r="O3" s="54">
        <f t="shared" si="0"/>
        <v>48652.112999999998</v>
      </c>
      <c r="P3" s="54">
        <f t="shared" si="0"/>
        <v>49325.353999999999</v>
      </c>
      <c r="Q3" s="54">
        <f t="shared" si="0"/>
        <v>48581.078000000001</v>
      </c>
      <c r="R3" s="54">
        <f t="shared" ref="R3:V3" si="1">SUM(R4:R5)</f>
        <v>48849.392999999996</v>
      </c>
      <c r="S3" s="54">
        <f t="shared" si="1"/>
        <v>49072.838000000003</v>
      </c>
      <c r="T3" s="54">
        <f t="shared" si="1"/>
        <v>46968.654000000002</v>
      </c>
      <c r="U3" s="54">
        <f t="shared" si="1"/>
        <v>47080.563000000002</v>
      </c>
      <c r="V3" s="54">
        <f t="shared" si="1"/>
        <v>45244.006000000001</v>
      </c>
      <c r="W3" s="54">
        <f t="shared" ref="W3:Y3" si="2">SUM(W4:W5)</f>
        <v>47448.449000000001</v>
      </c>
      <c r="X3" s="54">
        <f t="shared" si="2"/>
        <v>44620.042999999998</v>
      </c>
      <c r="Y3" s="54">
        <f t="shared" si="2"/>
        <v>41706.302000000003</v>
      </c>
      <c r="Z3" s="54"/>
      <c r="AA3" s="54"/>
      <c r="AB3" s="54"/>
      <c r="AC3" s="54"/>
      <c r="AD3" s="54"/>
      <c r="AE3" s="54"/>
      <c r="AF3" s="54"/>
      <c r="AG3" s="54"/>
      <c r="DA3" s="172" t="s">
        <v>385</v>
      </c>
    </row>
    <row r="4" spans="1:105" ht="11.45" customHeight="1" x14ac:dyDescent="0.25">
      <c r="A4" s="55" t="s">
        <v>30</v>
      </c>
      <c r="B4" s="56">
        <v>14.409000000000001</v>
      </c>
      <c r="C4" s="56">
        <v>13.741</v>
      </c>
      <c r="D4" s="56">
        <v>13.849</v>
      </c>
      <c r="E4" s="56">
        <v>14.568</v>
      </c>
      <c r="F4" s="56">
        <v>16.902000000000001</v>
      </c>
      <c r="G4" s="56">
        <v>18.942</v>
      </c>
      <c r="H4" s="56">
        <v>20.853000000000002</v>
      </c>
      <c r="I4" s="56">
        <v>24.225000000000001</v>
      </c>
      <c r="J4" s="56">
        <v>25.753</v>
      </c>
      <c r="K4" s="56">
        <v>24.331</v>
      </c>
      <c r="L4" s="56">
        <v>29.43</v>
      </c>
      <c r="M4" s="56">
        <v>30.169</v>
      </c>
      <c r="N4" s="56">
        <v>31.614000000000001</v>
      </c>
      <c r="O4" s="56">
        <v>25.113</v>
      </c>
      <c r="P4" s="56">
        <v>30.353999999999999</v>
      </c>
      <c r="Q4" s="56">
        <v>46.078000000000003</v>
      </c>
      <c r="R4" s="56">
        <v>51.393000000000001</v>
      </c>
      <c r="S4" s="56">
        <v>57.838000000000001</v>
      </c>
      <c r="T4" s="56">
        <v>76.653999999999996</v>
      </c>
      <c r="U4" s="56">
        <v>87.563000000000002</v>
      </c>
      <c r="V4" s="56">
        <v>78.006</v>
      </c>
      <c r="W4" s="56">
        <v>54.448999999999998</v>
      </c>
      <c r="X4" s="56">
        <v>69.043000000000006</v>
      </c>
      <c r="Y4" s="56">
        <v>75.302000000000007</v>
      </c>
      <c r="Z4" s="56"/>
      <c r="AA4" s="56"/>
      <c r="AB4" s="56"/>
      <c r="AC4" s="56"/>
      <c r="AD4" s="56"/>
      <c r="AE4" s="56"/>
      <c r="AF4" s="56"/>
      <c r="AG4" s="56"/>
      <c r="DA4" s="181" t="s">
        <v>386</v>
      </c>
    </row>
    <row r="5" spans="1:105" ht="11.45" customHeight="1" x14ac:dyDescent="0.25">
      <c r="A5" s="57" t="s">
        <v>31</v>
      </c>
      <c r="B5" s="58">
        <v>41271</v>
      </c>
      <c r="C5" s="58">
        <v>41793</v>
      </c>
      <c r="D5" s="58">
        <v>40983</v>
      </c>
      <c r="E5" s="58">
        <v>39031</v>
      </c>
      <c r="F5" s="58">
        <v>43049</v>
      </c>
      <c r="G5" s="58">
        <v>42233</v>
      </c>
      <c r="H5" s="58">
        <v>42215</v>
      </c>
      <c r="I5" s="58">
        <v>46486</v>
      </c>
      <c r="J5" s="58">
        <v>46234</v>
      </c>
      <c r="K5" s="58">
        <v>37863</v>
      </c>
      <c r="L5" s="58">
        <v>46562</v>
      </c>
      <c r="M5" s="58">
        <v>46462</v>
      </c>
      <c r="N5" s="58">
        <v>47533</v>
      </c>
      <c r="O5" s="58">
        <v>48627</v>
      </c>
      <c r="P5" s="58">
        <v>49295</v>
      </c>
      <c r="Q5" s="58">
        <v>48535</v>
      </c>
      <c r="R5" s="58">
        <v>48798</v>
      </c>
      <c r="S5" s="58">
        <v>49015</v>
      </c>
      <c r="T5" s="58">
        <v>46892</v>
      </c>
      <c r="U5" s="58">
        <v>46993</v>
      </c>
      <c r="V5" s="58">
        <v>45166</v>
      </c>
      <c r="W5" s="58">
        <v>47394</v>
      </c>
      <c r="X5" s="58">
        <v>44551</v>
      </c>
      <c r="Y5" s="58">
        <v>41631</v>
      </c>
      <c r="Z5" s="58"/>
      <c r="AA5" s="58"/>
      <c r="AB5" s="58"/>
      <c r="AC5" s="58"/>
      <c r="AD5" s="58"/>
      <c r="AE5" s="58"/>
      <c r="AF5" s="58"/>
      <c r="AG5" s="58"/>
      <c r="DA5" s="182" t="s">
        <v>387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53" t="s">
        <v>161</v>
      </c>
      <c r="B7" s="59">
        <f t="shared" ref="B7:Q7" si="3">SUM(B8:B9)</f>
        <v>47.823999999999998</v>
      </c>
      <c r="C7" s="59">
        <f t="shared" si="3"/>
        <v>49.03</v>
      </c>
      <c r="D7" s="59">
        <f t="shared" si="3"/>
        <v>49.433</v>
      </c>
      <c r="E7" s="59">
        <f t="shared" si="3"/>
        <v>46.801000000000002</v>
      </c>
      <c r="F7" s="59">
        <f t="shared" si="3"/>
        <v>49.457999999999998</v>
      </c>
      <c r="G7" s="59">
        <f t="shared" si="3"/>
        <v>51.061</v>
      </c>
      <c r="H7" s="59">
        <f t="shared" si="3"/>
        <v>52.290999999999997</v>
      </c>
      <c r="I7" s="59">
        <f t="shared" si="3"/>
        <v>57.106000000000002</v>
      </c>
      <c r="J7" s="59">
        <f t="shared" si="3"/>
        <v>55.682000000000002</v>
      </c>
      <c r="K7" s="59">
        <f t="shared" si="3"/>
        <v>48.853999999999999</v>
      </c>
      <c r="L7" s="59">
        <f t="shared" si="3"/>
        <v>49.344000000000001</v>
      </c>
      <c r="M7" s="59">
        <f t="shared" si="3"/>
        <v>57.109000000000002</v>
      </c>
      <c r="N7" s="59">
        <f t="shared" si="3"/>
        <v>55.432000000000002</v>
      </c>
      <c r="O7" s="59">
        <f t="shared" si="3"/>
        <v>57.758000000000003</v>
      </c>
      <c r="P7" s="59">
        <f t="shared" si="3"/>
        <v>54.243000000000002</v>
      </c>
      <c r="Q7" s="59">
        <f t="shared" si="3"/>
        <v>56.276000000000003</v>
      </c>
      <c r="R7" s="59">
        <f t="shared" ref="R7:V7" si="4">SUM(R8:R9)</f>
        <v>54.295999999999999</v>
      </c>
      <c r="S7" s="59">
        <f t="shared" si="4"/>
        <v>53.567</v>
      </c>
      <c r="T7" s="59">
        <f t="shared" si="4"/>
        <v>52.506999999999998</v>
      </c>
      <c r="U7" s="59">
        <f t="shared" si="4"/>
        <v>50.355000000000004</v>
      </c>
      <c r="V7" s="59">
        <f t="shared" si="4"/>
        <v>42.905999999999999</v>
      </c>
      <c r="W7" s="59">
        <f t="shared" ref="W7:Y7" si="5">SUM(W8:W9)</f>
        <v>46.506</v>
      </c>
      <c r="X7" s="59">
        <f t="shared" si="5"/>
        <v>46.405000000000001</v>
      </c>
      <c r="Y7" s="59">
        <f t="shared" si="5"/>
        <v>46.106999999999999</v>
      </c>
      <c r="Z7" s="59"/>
      <c r="AA7" s="59"/>
      <c r="AB7" s="59"/>
      <c r="AC7" s="59"/>
      <c r="AD7" s="59"/>
      <c r="AE7" s="59"/>
      <c r="AF7" s="59"/>
      <c r="AG7" s="59"/>
      <c r="DA7" s="172" t="s">
        <v>1000</v>
      </c>
    </row>
    <row r="8" spans="1:105" ht="11.45" customHeight="1" x14ac:dyDescent="0.25">
      <c r="A8" s="55" t="s">
        <v>30</v>
      </c>
      <c r="B8" s="60">
        <v>6.0000000000000001E-3</v>
      </c>
      <c r="C8" s="60">
        <v>5.0000000000000001E-3</v>
      </c>
      <c r="D8" s="60">
        <v>5.0000000000000001E-3</v>
      </c>
      <c r="E8" s="60">
        <v>5.0000000000000001E-3</v>
      </c>
      <c r="F8" s="60">
        <v>6.0000000000000001E-3</v>
      </c>
      <c r="G8" s="60">
        <v>7.0000000000000001E-3</v>
      </c>
      <c r="H8" s="60">
        <v>7.0000000000000001E-3</v>
      </c>
      <c r="I8" s="60">
        <v>8.0000000000000002E-3</v>
      </c>
      <c r="J8" s="60">
        <v>8.9999999999999993E-3</v>
      </c>
      <c r="K8" s="60">
        <v>8.0000000000000002E-3</v>
      </c>
      <c r="L8" s="60">
        <v>0.01</v>
      </c>
      <c r="M8" s="60">
        <v>1.0999999999999999E-2</v>
      </c>
      <c r="N8" s="60">
        <v>1.0999999999999999E-2</v>
      </c>
      <c r="O8" s="60">
        <v>8.9999999999999993E-3</v>
      </c>
      <c r="P8" s="60">
        <v>1.0999999999999999E-2</v>
      </c>
      <c r="Q8" s="60">
        <v>1.4999999999999999E-2</v>
      </c>
      <c r="R8" s="60">
        <v>1.6E-2</v>
      </c>
      <c r="S8" s="60">
        <v>1.7999999999999999E-2</v>
      </c>
      <c r="T8" s="60">
        <v>2.4E-2</v>
      </c>
      <c r="U8" s="60">
        <v>2.9000000000000001E-2</v>
      </c>
      <c r="V8" s="60">
        <v>2.4E-2</v>
      </c>
      <c r="W8" s="60">
        <v>1.7000000000000001E-2</v>
      </c>
      <c r="X8" s="60">
        <v>2.1999999999999999E-2</v>
      </c>
      <c r="Y8" s="60">
        <v>2.4E-2</v>
      </c>
      <c r="Z8" s="60"/>
      <c r="AA8" s="60"/>
      <c r="AB8" s="60"/>
      <c r="AC8" s="60"/>
      <c r="AD8" s="60"/>
      <c r="AE8" s="60"/>
      <c r="AF8" s="60"/>
      <c r="AG8" s="60"/>
      <c r="DA8" s="181" t="s">
        <v>1001</v>
      </c>
    </row>
    <row r="9" spans="1:105" ht="11.45" customHeight="1" x14ac:dyDescent="0.25">
      <c r="A9" s="57" t="s">
        <v>31</v>
      </c>
      <c r="B9" s="61">
        <v>47.817999999999998</v>
      </c>
      <c r="C9" s="61">
        <v>49.024999999999999</v>
      </c>
      <c r="D9" s="61">
        <v>49.427999999999997</v>
      </c>
      <c r="E9" s="61">
        <v>46.795999999999999</v>
      </c>
      <c r="F9" s="61">
        <v>49.451999999999998</v>
      </c>
      <c r="G9" s="61">
        <v>51.054000000000002</v>
      </c>
      <c r="H9" s="61">
        <v>52.283999999999999</v>
      </c>
      <c r="I9" s="61">
        <v>57.097999999999999</v>
      </c>
      <c r="J9" s="61">
        <v>55.673000000000002</v>
      </c>
      <c r="K9" s="61">
        <v>48.845999999999997</v>
      </c>
      <c r="L9" s="61">
        <v>49.334000000000003</v>
      </c>
      <c r="M9" s="61">
        <v>57.097999999999999</v>
      </c>
      <c r="N9" s="61">
        <v>55.420999999999999</v>
      </c>
      <c r="O9" s="61">
        <v>57.749000000000002</v>
      </c>
      <c r="P9" s="61">
        <v>54.231999999999999</v>
      </c>
      <c r="Q9" s="61">
        <v>56.261000000000003</v>
      </c>
      <c r="R9" s="61">
        <v>54.28</v>
      </c>
      <c r="S9" s="61">
        <v>53.548999999999999</v>
      </c>
      <c r="T9" s="61">
        <v>52.482999999999997</v>
      </c>
      <c r="U9" s="61">
        <v>50.326000000000001</v>
      </c>
      <c r="V9" s="61">
        <v>42.881999999999998</v>
      </c>
      <c r="W9" s="61">
        <v>46.488999999999997</v>
      </c>
      <c r="X9" s="61">
        <v>46.383000000000003</v>
      </c>
      <c r="Y9" s="61">
        <v>46.082999999999998</v>
      </c>
      <c r="Z9" s="61"/>
      <c r="AA9" s="61"/>
      <c r="AB9" s="61"/>
      <c r="AC9" s="61"/>
      <c r="AD9" s="61"/>
      <c r="AE9" s="61"/>
      <c r="AF9" s="61"/>
      <c r="AG9" s="61"/>
      <c r="DA9" s="182" t="s">
        <v>1002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  <c r="AB10" s="51"/>
      <c r="AC10" s="51"/>
      <c r="AD10" s="51"/>
      <c r="AE10" s="51"/>
      <c r="AF10" s="51"/>
      <c r="AG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143</v>
      </c>
      <c r="B13" s="62">
        <f t="shared" ref="B13:E15" si="6">IF(B3=0,0,B3/B7)</f>
        <v>863.27804031448647</v>
      </c>
      <c r="C13" s="62">
        <f t="shared" si="6"/>
        <v>852.67674892922707</v>
      </c>
      <c r="D13" s="62">
        <f t="shared" si="6"/>
        <v>829.34171504865174</v>
      </c>
      <c r="E13" s="62">
        <f t="shared" si="6"/>
        <v>834.28918185508849</v>
      </c>
      <c r="F13" s="62">
        <f t="shared" ref="F13:V13" si="7">IF(F3=0,0,F3/F7)</f>
        <v>870.75704638278955</v>
      </c>
      <c r="G13" s="62">
        <f t="shared" si="7"/>
        <v>827.47972033450196</v>
      </c>
      <c r="H13" s="62">
        <f t="shared" si="7"/>
        <v>807.7078847220364</v>
      </c>
      <c r="I13" s="62">
        <f t="shared" si="7"/>
        <v>814.4542604980212</v>
      </c>
      <c r="J13" s="62">
        <f t="shared" si="7"/>
        <v>830.78468804999807</v>
      </c>
      <c r="K13" s="62">
        <f t="shared" si="7"/>
        <v>775.52157448724768</v>
      </c>
      <c r="L13" s="62">
        <f t="shared" si="7"/>
        <v>944.21672341115436</v>
      </c>
      <c r="M13" s="62">
        <f t="shared" si="7"/>
        <v>814.09530897056504</v>
      </c>
      <c r="N13" s="62">
        <f t="shared" si="7"/>
        <v>858.07140279982684</v>
      </c>
      <c r="O13" s="62">
        <f t="shared" si="7"/>
        <v>842.34414280272858</v>
      </c>
      <c r="P13" s="62">
        <f t="shared" si="7"/>
        <v>909.34044945891628</v>
      </c>
      <c r="Q13" s="62">
        <f t="shared" si="7"/>
        <v>863.26458881228234</v>
      </c>
      <c r="R13" s="62">
        <f t="shared" si="7"/>
        <v>899.68677250626195</v>
      </c>
      <c r="S13" s="62">
        <f t="shared" si="7"/>
        <v>916.1020404353427</v>
      </c>
      <c r="T13" s="62">
        <f t="shared" si="7"/>
        <v>894.52175900356156</v>
      </c>
      <c r="U13" s="62">
        <f t="shared" si="7"/>
        <v>934.97295204051238</v>
      </c>
      <c r="V13" s="62">
        <f t="shared" si="7"/>
        <v>1054.4913531906959</v>
      </c>
      <c r="W13" s="62">
        <f t="shared" ref="W13:Y13" si="8">IF(W3=0,0,W3/W7)</f>
        <v>1020.2651055777749</v>
      </c>
      <c r="X13" s="62">
        <f t="shared" si="8"/>
        <v>961.5352440469776</v>
      </c>
      <c r="Y13" s="62">
        <f t="shared" si="8"/>
        <v>904.55466631964782</v>
      </c>
      <c r="Z13" s="62"/>
      <c r="AA13" s="62"/>
      <c r="AB13" s="62"/>
      <c r="AC13" s="62"/>
      <c r="AD13" s="62"/>
      <c r="AE13" s="62"/>
      <c r="AF13" s="62"/>
      <c r="AG13" s="62"/>
      <c r="DA13" s="172" t="s">
        <v>1003</v>
      </c>
    </row>
    <row r="14" spans="1:105" ht="11.45" customHeight="1" x14ac:dyDescent="0.25">
      <c r="A14" s="55" t="s">
        <v>30</v>
      </c>
      <c r="B14" s="63">
        <f t="shared" si="6"/>
        <v>2401.5</v>
      </c>
      <c r="C14" s="63">
        <f t="shared" si="6"/>
        <v>2748.2</v>
      </c>
      <c r="D14" s="63">
        <f t="shared" si="6"/>
        <v>2769.8</v>
      </c>
      <c r="E14" s="63">
        <f t="shared" si="6"/>
        <v>2913.6</v>
      </c>
      <c r="F14" s="63">
        <f t="shared" ref="F14:V14" si="9">IF(F4=0,0,F4/F8)</f>
        <v>2817</v>
      </c>
      <c r="G14" s="63">
        <f t="shared" si="9"/>
        <v>2706</v>
      </c>
      <c r="H14" s="63">
        <f t="shared" si="9"/>
        <v>2979</v>
      </c>
      <c r="I14" s="63">
        <f t="shared" si="9"/>
        <v>3028.125</v>
      </c>
      <c r="J14" s="63">
        <f t="shared" si="9"/>
        <v>2861.4444444444448</v>
      </c>
      <c r="K14" s="63">
        <f t="shared" si="9"/>
        <v>3041.375</v>
      </c>
      <c r="L14" s="63">
        <f t="shared" si="9"/>
        <v>2943</v>
      </c>
      <c r="M14" s="63">
        <f t="shared" si="9"/>
        <v>2742.636363636364</v>
      </c>
      <c r="N14" s="63">
        <f t="shared" si="9"/>
        <v>2874.0000000000005</v>
      </c>
      <c r="O14" s="63">
        <f t="shared" si="9"/>
        <v>2790.3333333333335</v>
      </c>
      <c r="P14" s="63">
        <f t="shared" si="9"/>
        <v>2759.4545454545455</v>
      </c>
      <c r="Q14" s="63">
        <f t="shared" si="9"/>
        <v>3071.8666666666668</v>
      </c>
      <c r="R14" s="63">
        <f t="shared" si="9"/>
        <v>3212.0625</v>
      </c>
      <c r="S14" s="63">
        <f t="shared" si="9"/>
        <v>3213.2222222222226</v>
      </c>
      <c r="T14" s="63">
        <f t="shared" si="9"/>
        <v>3193.9166666666665</v>
      </c>
      <c r="U14" s="63">
        <f t="shared" si="9"/>
        <v>3019.4137931034484</v>
      </c>
      <c r="V14" s="63">
        <f t="shared" si="9"/>
        <v>3250.25</v>
      </c>
      <c r="W14" s="63">
        <f t="shared" ref="W14:Y14" si="10">IF(W4=0,0,W4/W8)</f>
        <v>3202.8823529411761</v>
      </c>
      <c r="X14" s="63">
        <f t="shared" si="10"/>
        <v>3138.3181818181824</v>
      </c>
      <c r="Y14" s="63">
        <f t="shared" si="10"/>
        <v>3137.5833333333335</v>
      </c>
      <c r="Z14" s="63"/>
      <c r="AA14" s="63"/>
      <c r="AB14" s="63"/>
      <c r="AC14" s="63"/>
      <c r="AD14" s="63"/>
      <c r="AE14" s="63"/>
      <c r="AF14" s="63"/>
      <c r="AG14" s="63"/>
      <c r="DA14" s="181" t="s">
        <v>1004</v>
      </c>
    </row>
    <row r="15" spans="1:105" ht="11.45" customHeight="1" x14ac:dyDescent="0.25">
      <c r="A15" s="57" t="s">
        <v>31</v>
      </c>
      <c r="B15" s="64">
        <f t="shared" si="6"/>
        <v>863.08503074156181</v>
      </c>
      <c r="C15" s="64">
        <f t="shared" si="6"/>
        <v>852.48342682304951</v>
      </c>
      <c r="D15" s="64">
        <f t="shared" si="6"/>
        <v>829.14542364651618</v>
      </c>
      <c r="E15" s="64">
        <f t="shared" si="6"/>
        <v>834.06701427472433</v>
      </c>
      <c r="F15" s="64">
        <f t="shared" ref="F15:V15" si="11">IF(F5=0,0,F5/F9)</f>
        <v>870.52090916444229</v>
      </c>
      <c r="G15" s="64">
        <f t="shared" si="11"/>
        <v>827.22215693187604</v>
      </c>
      <c r="H15" s="64">
        <f t="shared" si="11"/>
        <v>807.41718307704082</v>
      </c>
      <c r="I15" s="64">
        <f t="shared" si="11"/>
        <v>814.14410312094992</v>
      </c>
      <c r="J15" s="64">
        <f t="shared" si="11"/>
        <v>830.45641513839735</v>
      </c>
      <c r="K15" s="64">
        <f t="shared" si="11"/>
        <v>775.15047291487542</v>
      </c>
      <c r="L15" s="64">
        <f t="shared" si="11"/>
        <v>943.81157011391736</v>
      </c>
      <c r="M15" s="64">
        <f t="shared" si="11"/>
        <v>813.72377316193217</v>
      </c>
      <c r="N15" s="64">
        <f t="shared" si="11"/>
        <v>857.67127983977196</v>
      </c>
      <c r="O15" s="64">
        <f t="shared" si="11"/>
        <v>842.04055481480191</v>
      </c>
      <c r="P15" s="64">
        <f t="shared" si="11"/>
        <v>908.96518660569404</v>
      </c>
      <c r="Q15" s="64">
        <f t="shared" si="11"/>
        <v>862.67574341017757</v>
      </c>
      <c r="R15" s="64">
        <f t="shared" si="11"/>
        <v>899.0051584377303</v>
      </c>
      <c r="S15" s="64">
        <f t="shared" si="11"/>
        <v>915.3298847784273</v>
      </c>
      <c r="T15" s="64">
        <f t="shared" si="11"/>
        <v>893.47026656250603</v>
      </c>
      <c r="U15" s="64">
        <f t="shared" si="11"/>
        <v>933.7718078130589</v>
      </c>
      <c r="V15" s="64">
        <f t="shared" si="11"/>
        <v>1053.2624411174852</v>
      </c>
      <c r="W15" s="64">
        <f t="shared" ref="W15:Y15" si="12">IF(W5=0,0,W5/W9)</f>
        <v>1019.4669706812365</v>
      </c>
      <c r="X15" s="64">
        <f t="shared" si="12"/>
        <v>960.50277041157312</v>
      </c>
      <c r="Y15" s="64">
        <f t="shared" si="12"/>
        <v>903.39170626912312</v>
      </c>
      <c r="Z15" s="64"/>
      <c r="AA15" s="64"/>
      <c r="AB15" s="64"/>
      <c r="AC15" s="64"/>
      <c r="AD15" s="64"/>
      <c r="AE15" s="64"/>
      <c r="AF15" s="64"/>
      <c r="AG15" s="64"/>
      <c r="DA15" s="182" t="s">
        <v>1005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65</v>
      </c>
      <c r="B17" s="65">
        <f t="shared" ref="B17:E17" si="13">IF(B3=0,0,B3/B$3)</f>
        <v>1</v>
      </c>
      <c r="C17" s="65">
        <f t="shared" si="13"/>
        <v>1</v>
      </c>
      <c r="D17" s="65">
        <f t="shared" si="13"/>
        <v>1</v>
      </c>
      <c r="E17" s="65">
        <f t="shared" si="13"/>
        <v>1</v>
      </c>
      <c r="F17" s="65">
        <f t="shared" ref="F17:V17" si="14">IF(F3=0,0,F3/F$3)</f>
        <v>1</v>
      </c>
      <c r="G17" s="65">
        <f t="shared" si="14"/>
        <v>1</v>
      </c>
      <c r="H17" s="65">
        <f t="shared" si="14"/>
        <v>1</v>
      </c>
      <c r="I17" s="65">
        <f t="shared" si="14"/>
        <v>1</v>
      </c>
      <c r="J17" s="65">
        <f t="shared" si="14"/>
        <v>1</v>
      </c>
      <c r="K17" s="65">
        <f t="shared" si="14"/>
        <v>1</v>
      </c>
      <c r="L17" s="65">
        <f t="shared" si="14"/>
        <v>1</v>
      </c>
      <c r="M17" s="65">
        <f t="shared" si="14"/>
        <v>1</v>
      </c>
      <c r="N17" s="65">
        <f t="shared" si="14"/>
        <v>1</v>
      </c>
      <c r="O17" s="65">
        <f t="shared" si="14"/>
        <v>1</v>
      </c>
      <c r="P17" s="65">
        <f t="shared" si="14"/>
        <v>1</v>
      </c>
      <c r="Q17" s="65">
        <f t="shared" si="14"/>
        <v>1</v>
      </c>
      <c r="R17" s="65">
        <f t="shared" si="14"/>
        <v>1</v>
      </c>
      <c r="S17" s="65">
        <f t="shared" si="14"/>
        <v>1</v>
      </c>
      <c r="T17" s="65">
        <f t="shared" si="14"/>
        <v>1</v>
      </c>
      <c r="U17" s="65">
        <f t="shared" si="14"/>
        <v>1</v>
      </c>
      <c r="V17" s="65">
        <f t="shared" si="14"/>
        <v>1</v>
      </c>
      <c r="W17" s="65">
        <f t="shared" ref="W17:Y17" si="15">IF(W3=0,0,W3/W$3)</f>
        <v>1</v>
      </c>
      <c r="X17" s="65">
        <f t="shared" si="15"/>
        <v>1</v>
      </c>
      <c r="Y17" s="65">
        <f t="shared" si="15"/>
        <v>1</v>
      </c>
      <c r="Z17" s="65"/>
      <c r="AA17" s="65"/>
      <c r="AB17" s="65"/>
      <c r="AC17" s="65"/>
      <c r="AD17" s="65"/>
      <c r="AE17" s="65"/>
      <c r="AF17" s="65"/>
      <c r="AG17" s="65"/>
      <c r="DA17" s="172"/>
    </row>
    <row r="18" spans="1:105" ht="11.45" customHeight="1" x14ac:dyDescent="0.25">
      <c r="A18" s="55" t="s">
        <v>30</v>
      </c>
      <c r="B18" s="66">
        <f t="shared" ref="B18:E18" si="16">IF(B4=0,0,B4/B$3)</f>
        <v>3.4900950115330094E-4</v>
      </c>
      <c r="C18" s="66">
        <f t="shared" si="16"/>
        <v>3.2867905202177801E-4</v>
      </c>
      <c r="D18" s="66">
        <f t="shared" si="16"/>
        <v>3.3780644946639678E-4</v>
      </c>
      <c r="E18" s="66">
        <f t="shared" si="16"/>
        <v>3.7310252472188394E-4</v>
      </c>
      <c r="F18" s="66">
        <f t="shared" ref="F18:V18" si="17">IF(F4=0,0,F4/F$3)</f>
        <v>3.9246826874774388E-4</v>
      </c>
      <c r="G18" s="66">
        <f t="shared" si="17"/>
        <v>4.4831075456839355E-4</v>
      </c>
      <c r="H18" s="66">
        <f t="shared" si="17"/>
        <v>4.9372744999372925E-4</v>
      </c>
      <c r="I18" s="66">
        <f t="shared" si="17"/>
        <v>5.2085321023495374E-4</v>
      </c>
      <c r="J18" s="66">
        <f t="shared" si="17"/>
        <v>5.5670422624176142E-4</v>
      </c>
      <c r="K18" s="66">
        <f t="shared" si="17"/>
        <v>6.4219356069183128E-4</v>
      </c>
      <c r="L18" s="66">
        <f t="shared" si="17"/>
        <v>6.3166123040224345E-4</v>
      </c>
      <c r="M18" s="66">
        <f t="shared" si="17"/>
        <v>6.4890498010535924E-4</v>
      </c>
      <c r="N18" s="66">
        <f t="shared" si="17"/>
        <v>6.646537697120805E-4</v>
      </c>
      <c r="O18" s="66">
        <f t="shared" si="17"/>
        <v>5.161749089911059E-4</v>
      </c>
      <c r="P18" s="66">
        <f t="shared" si="17"/>
        <v>6.153833178774551E-4</v>
      </c>
      <c r="Q18" s="66">
        <f t="shared" si="17"/>
        <v>9.4847627712172223E-4</v>
      </c>
      <c r="R18" s="66">
        <f t="shared" si="17"/>
        <v>1.0520703911305511E-3</v>
      </c>
      <c r="S18" s="66">
        <f t="shared" si="17"/>
        <v>1.178615347251773E-3</v>
      </c>
      <c r="T18" s="66">
        <f t="shared" si="17"/>
        <v>1.6320246264668345E-3</v>
      </c>
      <c r="U18" s="66">
        <f t="shared" si="17"/>
        <v>1.8598545646108778E-3</v>
      </c>
      <c r="V18" s="66">
        <f t="shared" si="17"/>
        <v>1.7241178864665519E-3</v>
      </c>
      <c r="W18" s="66">
        <f t="shared" ref="W18:Y18" si="18">IF(W4=0,0,W4/W$3)</f>
        <v>1.1475401440413785E-3</v>
      </c>
      <c r="X18" s="66">
        <f t="shared" si="18"/>
        <v>1.5473539548135355E-3</v>
      </c>
      <c r="Y18" s="66">
        <f t="shared" si="18"/>
        <v>1.8055304927298518E-3</v>
      </c>
      <c r="Z18" s="66"/>
      <c r="AA18" s="66"/>
      <c r="AB18" s="66"/>
      <c r="AC18" s="66"/>
      <c r="AD18" s="66"/>
      <c r="AE18" s="66"/>
      <c r="AF18" s="66"/>
      <c r="AG18" s="66"/>
      <c r="DA18" s="181"/>
    </row>
    <row r="19" spans="1:105" ht="11.45" customHeight="1" x14ac:dyDescent="0.25">
      <c r="A19" s="57" t="s">
        <v>31</v>
      </c>
      <c r="B19" s="67">
        <f t="shared" ref="B19:E19" si="19">IF(B5=0,0,B5/B$3)</f>
        <v>0.99965099049884676</v>
      </c>
      <c r="C19" s="67">
        <f t="shared" si="19"/>
        <v>0.99967132094797817</v>
      </c>
      <c r="D19" s="67">
        <f t="shared" si="19"/>
        <v>0.99966219355053354</v>
      </c>
      <c r="E19" s="67">
        <f t="shared" si="19"/>
        <v>0.99962689747527811</v>
      </c>
      <c r="F19" s="67">
        <f t="shared" ref="F19:V19" si="20">IF(F5=0,0,F5/F$3)</f>
        <v>0.99960753173125216</v>
      </c>
      <c r="G19" s="67">
        <f t="shared" si="20"/>
        <v>0.99955168924543158</v>
      </c>
      <c r="H19" s="67">
        <f t="shared" si="20"/>
        <v>0.99950627255000624</v>
      </c>
      <c r="I19" s="67">
        <f t="shared" si="20"/>
        <v>0.99947914678976513</v>
      </c>
      <c r="J19" s="67">
        <f t="shared" si="20"/>
        <v>0.99944329577375834</v>
      </c>
      <c r="K19" s="67">
        <f t="shared" si="20"/>
        <v>0.99935780643930816</v>
      </c>
      <c r="L19" s="67">
        <f t="shared" si="20"/>
        <v>0.99936833876959774</v>
      </c>
      <c r="M19" s="67">
        <f t="shared" si="20"/>
        <v>0.99935109501989461</v>
      </c>
      <c r="N19" s="67">
        <f t="shared" si="20"/>
        <v>0.99933534623028786</v>
      </c>
      <c r="O19" s="67">
        <f t="shared" si="20"/>
        <v>0.99948382509100897</v>
      </c>
      <c r="P19" s="67">
        <f t="shared" si="20"/>
        <v>0.99938461668212253</v>
      </c>
      <c r="Q19" s="67">
        <f t="shared" si="20"/>
        <v>0.9990515237228782</v>
      </c>
      <c r="R19" s="67">
        <f t="shared" si="20"/>
        <v>0.99894792960886958</v>
      </c>
      <c r="S19" s="67">
        <f t="shared" si="20"/>
        <v>0.99882138465274817</v>
      </c>
      <c r="T19" s="67">
        <f t="shared" si="20"/>
        <v>0.99836797537353317</v>
      </c>
      <c r="U19" s="67">
        <f t="shared" si="20"/>
        <v>0.99814014543538909</v>
      </c>
      <c r="V19" s="67">
        <f t="shared" si="20"/>
        <v>0.99827588211353346</v>
      </c>
      <c r="W19" s="67">
        <f t="shared" ref="W19:Y19" si="21">IF(W5=0,0,W5/W$3)</f>
        <v>0.99885245985595861</v>
      </c>
      <c r="X19" s="67">
        <f t="shared" si="21"/>
        <v>0.99845264604518646</v>
      </c>
      <c r="Y19" s="67">
        <f t="shared" si="21"/>
        <v>0.99819446950727009</v>
      </c>
      <c r="Z19" s="67"/>
      <c r="AA19" s="67"/>
      <c r="AB19" s="67"/>
      <c r="AC19" s="67"/>
      <c r="AD19" s="67"/>
      <c r="AE19" s="67"/>
      <c r="AF19" s="67"/>
      <c r="AG19" s="67"/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66</v>
      </c>
      <c r="B21" s="65">
        <f t="shared" ref="B21:E21" si="22">IF(B7=0,0,B7/B$7)</f>
        <v>1</v>
      </c>
      <c r="C21" s="65">
        <f t="shared" si="22"/>
        <v>1</v>
      </c>
      <c r="D21" s="65">
        <f t="shared" si="22"/>
        <v>1</v>
      </c>
      <c r="E21" s="65">
        <f t="shared" si="22"/>
        <v>1</v>
      </c>
      <c r="F21" s="65">
        <f t="shared" ref="F21:V21" si="23">IF(F7=0,0,F7/F$7)</f>
        <v>1</v>
      </c>
      <c r="G21" s="65">
        <f t="shared" si="23"/>
        <v>1</v>
      </c>
      <c r="H21" s="65">
        <f t="shared" si="23"/>
        <v>1</v>
      </c>
      <c r="I21" s="65">
        <f t="shared" si="23"/>
        <v>1</v>
      </c>
      <c r="J21" s="65">
        <f t="shared" si="23"/>
        <v>1</v>
      </c>
      <c r="K21" s="65">
        <f t="shared" si="23"/>
        <v>1</v>
      </c>
      <c r="L21" s="65">
        <f t="shared" si="23"/>
        <v>1</v>
      </c>
      <c r="M21" s="65">
        <f t="shared" si="23"/>
        <v>1</v>
      </c>
      <c r="N21" s="65">
        <f t="shared" si="23"/>
        <v>1</v>
      </c>
      <c r="O21" s="65">
        <f t="shared" si="23"/>
        <v>1</v>
      </c>
      <c r="P21" s="65">
        <f t="shared" si="23"/>
        <v>1</v>
      </c>
      <c r="Q21" s="65">
        <f t="shared" si="23"/>
        <v>1</v>
      </c>
      <c r="R21" s="65">
        <f t="shared" si="23"/>
        <v>1</v>
      </c>
      <c r="S21" s="65">
        <f t="shared" si="23"/>
        <v>1</v>
      </c>
      <c r="T21" s="65">
        <f t="shared" si="23"/>
        <v>1</v>
      </c>
      <c r="U21" s="65">
        <f t="shared" si="23"/>
        <v>1</v>
      </c>
      <c r="V21" s="65">
        <f t="shared" si="23"/>
        <v>1</v>
      </c>
      <c r="W21" s="65">
        <f t="shared" ref="W21:Y21" si="24">IF(W7=0,0,W7/W$7)</f>
        <v>1</v>
      </c>
      <c r="X21" s="65">
        <f t="shared" si="24"/>
        <v>1</v>
      </c>
      <c r="Y21" s="65">
        <f t="shared" si="24"/>
        <v>1</v>
      </c>
      <c r="Z21" s="65"/>
      <c r="AA21" s="65"/>
      <c r="AB21" s="65"/>
      <c r="AC21" s="65"/>
      <c r="AD21" s="65"/>
      <c r="AE21" s="65"/>
      <c r="AF21" s="65"/>
      <c r="AG21" s="65"/>
      <c r="DA21" s="172"/>
    </row>
    <row r="22" spans="1:105" ht="11.45" customHeight="1" x14ac:dyDescent="0.25">
      <c r="A22" s="55" t="s">
        <v>30</v>
      </c>
      <c r="B22" s="66">
        <f t="shared" ref="B22:E22" si="25">IF(B8=0,0,B8/B$7)</f>
        <v>1.2546002007360322E-4</v>
      </c>
      <c r="C22" s="66">
        <f t="shared" si="25"/>
        <v>1.0197838058331633E-4</v>
      </c>
      <c r="D22" s="66">
        <f t="shared" si="25"/>
        <v>1.011470070600611E-4</v>
      </c>
      <c r="E22" s="66">
        <f t="shared" si="25"/>
        <v>1.0683532403153778E-4</v>
      </c>
      <c r="F22" s="66">
        <f t="shared" ref="F22:V22" si="26">IF(F8=0,0,F8/F$7)</f>
        <v>1.2131505519835012E-4</v>
      </c>
      <c r="G22" s="66">
        <f t="shared" si="26"/>
        <v>1.3709093045572942E-4</v>
      </c>
      <c r="H22" s="66">
        <f t="shared" si="26"/>
        <v>1.3386624849400471E-4</v>
      </c>
      <c r="I22" s="66">
        <f t="shared" si="26"/>
        <v>1.4009035828109131E-4</v>
      </c>
      <c r="J22" s="66">
        <f t="shared" si="26"/>
        <v>1.6163212528285621E-4</v>
      </c>
      <c r="K22" s="66">
        <f t="shared" si="26"/>
        <v>1.6375322389159538E-4</v>
      </c>
      <c r="L22" s="66">
        <f t="shared" si="26"/>
        <v>2.0265888456549936E-4</v>
      </c>
      <c r="M22" s="66">
        <f t="shared" si="26"/>
        <v>1.9261412386839199E-4</v>
      </c>
      <c r="N22" s="66">
        <f t="shared" si="26"/>
        <v>1.9844133352576128E-4</v>
      </c>
      <c r="O22" s="66">
        <f t="shared" si="26"/>
        <v>1.5582257003358841E-4</v>
      </c>
      <c r="P22" s="66">
        <f t="shared" si="26"/>
        <v>2.0279114355769407E-4</v>
      </c>
      <c r="Q22" s="66">
        <f t="shared" si="26"/>
        <v>2.6654346435425399E-4</v>
      </c>
      <c r="R22" s="66">
        <f t="shared" si="26"/>
        <v>2.9468100780904674E-4</v>
      </c>
      <c r="S22" s="66">
        <f t="shared" si="26"/>
        <v>3.3602777829633913E-4</v>
      </c>
      <c r="T22" s="66">
        <f t="shared" si="26"/>
        <v>4.5708191288780547E-4</v>
      </c>
      <c r="U22" s="66">
        <f t="shared" si="26"/>
        <v>5.7591103167510668E-4</v>
      </c>
      <c r="V22" s="66">
        <f t="shared" si="26"/>
        <v>5.5936232694728011E-4</v>
      </c>
      <c r="W22" s="66">
        <f t="shared" ref="W22:Y22" si="27">IF(W8=0,0,W8/W$7)</f>
        <v>3.6554423085193309E-4</v>
      </c>
      <c r="X22" s="66">
        <f t="shared" si="27"/>
        <v>4.7408684409007645E-4</v>
      </c>
      <c r="Y22" s="66">
        <f t="shared" si="27"/>
        <v>5.2052833626130529E-4</v>
      </c>
      <c r="Z22" s="66"/>
      <c r="AA22" s="66"/>
      <c r="AB22" s="66"/>
      <c r="AC22" s="66"/>
      <c r="AD22" s="66"/>
      <c r="AE22" s="66"/>
      <c r="AF22" s="66"/>
      <c r="AG22" s="66"/>
      <c r="DA22" s="181"/>
    </row>
    <row r="23" spans="1:105" ht="11.45" customHeight="1" x14ac:dyDescent="0.25">
      <c r="A23" s="57" t="s">
        <v>31</v>
      </c>
      <c r="B23" s="67">
        <f t="shared" ref="B23:E23" si="28">IF(B9=0,0,B9/B$7)</f>
        <v>0.99987453997992637</v>
      </c>
      <c r="C23" s="67">
        <f t="shared" si="28"/>
        <v>0.99989802161941665</v>
      </c>
      <c r="D23" s="67">
        <f t="shared" si="28"/>
        <v>0.9998988529929399</v>
      </c>
      <c r="E23" s="67">
        <f t="shared" si="28"/>
        <v>0.99989316467596845</v>
      </c>
      <c r="F23" s="67">
        <f t="shared" ref="F23:V23" si="29">IF(F9=0,0,F9/F$7)</f>
        <v>0.9998786849448017</v>
      </c>
      <c r="G23" s="67">
        <f t="shared" si="29"/>
        <v>0.99986290906954434</v>
      </c>
      <c r="H23" s="67">
        <f t="shared" si="29"/>
        <v>0.99986613375150601</v>
      </c>
      <c r="I23" s="67">
        <f t="shared" si="29"/>
        <v>0.99985990964171889</v>
      </c>
      <c r="J23" s="67">
        <f t="shared" si="29"/>
        <v>0.99983836787471714</v>
      </c>
      <c r="K23" s="67">
        <f t="shared" si="29"/>
        <v>0.99983624677610838</v>
      </c>
      <c r="L23" s="67">
        <f t="shared" si="29"/>
        <v>0.9997973411154345</v>
      </c>
      <c r="M23" s="67">
        <f t="shared" si="29"/>
        <v>0.9998073858761316</v>
      </c>
      <c r="N23" s="67">
        <f t="shared" si="29"/>
        <v>0.99980155866647424</v>
      </c>
      <c r="O23" s="67">
        <f t="shared" si="29"/>
        <v>0.99984417742996645</v>
      </c>
      <c r="P23" s="67">
        <f t="shared" si="29"/>
        <v>0.9997972088564423</v>
      </c>
      <c r="Q23" s="67">
        <f t="shared" si="29"/>
        <v>0.99973345653564571</v>
      </c>
      <c r="R23" s="67">
        <f t="shared" si="29"/>
        <v>0.99970531899219095</v>
      </c>
      <c r="S23" s="67">
        <f t="shared" si="29"/>
        <v>0.99966397222170367</v>
      </c>
      <c r="T23" s="67">
        <f t="shared" si="29"/>
        <v>0.99954291808711215</v>
      </c>
      <c r="U23" s="67">
        <f t="shared" si="29"/>
        <v>0.9994240889683248</v>
      </c>
      <c r="V23" s="67">
        <f t="shared" si="29"/>
        <v>0.99944063767305269</v>
      </c>
      <c r="W23" s="67">
        <f t="shared" ref="W23:Y23" si="30">IF(W9=0,0,W9/W$7)</f>
        <v>0.999634455769148</v>
      </c>
      <c r="X23" s="67">
        <f t="shared" si="30"/>
        <v>0.99952591315591</v>
      </c>
      <c r="Y23" s="67">
        <f t="shared" si="30"/>
        <v>0.99947947166373863</v>
      </c>
      <c r="Z23" s="67"/>
      <c r="AA23" s="67"/>
      <c r="AB23" s="67"/>
      <c r="AC23" s="67"/>
      <c r="AD23" s="67"/>
      <c r="AE23" s="67"/>
      <c r="AF23" s="67"/>
      <c r="AG23" s="67"/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1006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32</v>
      </c>
      <c r="B3" s="62">
        <f>SUM(B4,B10)</f>
        <v>243.97394668959589</v>
      </c>
      <c r="C3" s="62">
        <f t="shared" ref="C3:V3" si="0">SUM(C4,C10)</f>
        <v>253.23877901977642</v>
      </c>
      <c r="D3" s="62">
        <f t="shared" si="0"/>
        <v>262.50361134995705</v>
      </c>
      <c r="E3" s="62">
        <f t="shared" si="0"/>
        <v>247.0621668099742</v>
      </c>
      <c r="F3" s="62">
        <f t="shared" si="0"/>
        <v>250.15047291487531</v>
      </c>
      <c r="G3" s="62">
        <f t="shared" si="0"/>
        <v>271.76844368013752</v>
      </c>
      <c r="H3" s="62">
        <f t="shared" si="0"/>
        <v>285.15098882201198</v>
      </c>
      <c r="I3" s="62">
        <f t="shared" si="0"/>
        <v>308.82777300085979</v>
      </c>
      <c r="J3" s="62">
        <f t="shared" si="0"/>
        <v>316.76698194325019</v>
      </c>
      <c r="K3" s="62">
        <f t="shared" si="0"/>
        <v>321.92605331040409</v>
      </c>
      <c r="L3" s="62">
        <f t="shared" si="0"/>
        <v>361.13499570077397</v>
      </c>
      <c r="M3" s="62">
        <f t="shared" si="0"/>
        <v>365.26225279449699</v>
      </c>
      <c r="N3" s="62">
        <f t="shared" si="0"/>
        <v>336.37145313843507</v>
      </c>
      <c r="O3" s="62">
        <f t="shared" si="0"/>
        <v>357.00773860705073</v>
      </c>
      <c r="P3" s="62">
        <f t="shared" si="0"/>
        <v>310.57609630266552</v>
      </c>
      <c r="Q3" s="62">
        <f t="shared" si="0"/>
        <v>371.44995700773859</v>
      </c>
      <c r="R3" s="62">
        <f t="shared" si="0"/>
        <v>346.89054170249346</v>
      </c>
      <c r="S3" s="62">
        <f t="shared" si="0"/>
        <v>337.85907136715389</v>
      </c>
      <c r="T3" s="62">
        <f t="shared" si="0"/>
        <v>339.90429922613924</v>
      </c>
      <c r="U3" s="62">
        <f t="shared" si="0"/>
        <v>315.47979363714529</v>
      </c>
      <c r="V3" s="62">
        <f t="shared" si="0"/>
        <v>247.97506448839212</v>
      </c>
      <c r="W3" s="62">
        <f t="shared" ref="W3:Y3" si="1">SUM(W4,W10)</f>
        <v>273.9006878761823</v>
      </c>
      <c r="X3" s="62">
        <f t="shared" si="1"/>
        <v>290.05417024935514</v>
      </c>
      <c r="Y3" s="62">
        <f t="shared" si="1"/>
        <v>306.39036973344793</v>
      </c>
      <c r="Z3" s="62"/>
      <c r="AA3" s="62"/>
      <c r="AB3" s="62"/>
      <c r="AC3" s="62"/>
      <c r="AD3" s="62"/>
      <c r="AE3" s="62"/>
      <c r="AF3" s="62"/>
      <c r="AG3" s="62"/>
      <c r="DA3" s="172" t="s">
        <v>1007</v>
      </c>
    </row>
    <row r="4" spans="1:105" ht="11.45" customHeight="1" x14ac:dyDescent="0.25">
      <c r="A4" s="70" t="s">
        <v>30</v>
      </c>
      <c r="B4" s="71">
        <f>SUM(B5:B9)</f>
        <v>0.28288372402280343</v>
      </c>
      <c r="C4" s="71">
        <f t="shared" ref="C4:V4" si="2">SUM(C5:C9)</f>
        <v>0.24352752332015293</v>
      </c>
      <c r="D4" s="71">
        <f t="shared" si="2"/>
        <v>0.26538927181296607</v>
      </c>
      <c r="E4" s="71">
        <f t="shared" si="2"/>
        <v>0.25930176608648303</v>
      </c>
      <c r="F4" s="71">
        <f t="shared" si="2"/>
        <v>0.29367614268320891</v>
      </c>
      <c r="G4" s="71">
        <f t="shared" si="2"/>
        <v>0.37206647254624958</v>
      </c>
      <c r="H4" s="71">
        <f t="shared" si="2"/>
        <v>0.38530431712015034</v>
      </c>
      <c r="I4" s="71">
        <f t="shared" si="2"/>
        <v>0.43592506783058538</v>
      </c>
      <c r="J4" s="71">
        <f t="shared" si="2"/>
        <v>0.54044272264223736</v>
      </c>
      <c r="K4" s="71">
        <f t="shared" si="2"/>
        <v>0.54397426054004505</v>
      </c>
      <c r="L4" s="71">
        <f t="shared" si="2"/>
        <v>0.75955060925916085</v>
      </c>
      <c r="M4" s="71">
        <f t="shared" si="2"/>
        <v>0.75233566970031707</v>
      </c>
      <c r="N4" s="71">
        <f t="shared" si="2"/>
        <v>0.69319290320888993</v>
      </c>
      <c r="O4" s="71">
        <f t="shared" si="2"/>
        <v>0.55915194711339022</v>
      </c>
      <c r="P4" s="71">
        <f t="shared" si="2"/>
        <v>0.6386138863818297</v>
      </c>
      <c r="Q4" s="71">
        <f t="shared" si="2"/>
        <v>1.0027025646927923</v>
      </c>
      <c r="R4" s="71">
        <f t="shared" si="2"/>
        <v>1.0796030347765477</v>
      </c>
      <c r="S4" s="71">
        <f t="shared" si="2"/>
        <v>1.2829843042357232</v>
      </c>
      <c r="T4" s="71">
        <f t="shared" si="2"/>
        <v>1.7149032235263164</v>
      </c>
      <c r="U4" s="71">
        <f t="shared" si="2"/>
        <v>1.9358145414900225</v>
      </c>
      <c r="V4" s="71">
        <f t="shared" si="2"/>
        <v>1.3774009089269055</v>
      </c>
      <c r="W4" s="71">
        <f t="shared" ref="W4:Y4" si="3">SUM(W5:W9)</f>
        <v>1.0125088003457758</v>
      </c>
      <c r="X4" s="71">
        <f t="shared" si="3"/>
        <v>1.4877637486466591</v>
      </c>
      <c r="Y4" s="71">
        <f t="shared" si="3"/>
        <v>1.7367721947860169</v>
      </c>
      <c r="Z4" s="71"/>
      <c r="AA4" s="71"/>
      <c r="AB4" s="71"/>
      <c r="AC4" s="71"/>
      <c r="AD4" s="71"/>
      <c r="AE4" s="71"/>
      <c r="AF4" s="71"/>
      <c r="AG4" s="71"/>
      <c r="DA4" s="186" t="s">
        <v>1008</v>
      </c>
    </row>
    <row r="5" spans="1:105" ht="11.45" customHeight="1" x14ac:dyDescent="0.25">
      <c r="A5" s="72" t="s">
        <v>144</v>
      </c>
      <c r="B5" s="73">
        <v>0.28288372402280343</v>
      </c>
      <c r="C5" s="73">
        <v>0.24352752332015293</v>
      </c>
      <c r="D5" s="73">
        <v>0.26538927181296607</v>
      </c>
      <c r="E5" s="73">
        <v>0.25930176608648303</v>
      </c>
      <c r="F5" s="73">
        <v>0.29367614268320891</v>
      </c>
      <c r="G5" s="73">
        <v>0.37206647254624958</v>
      </c>
      <c r="H5" s="73">
        <v>0.38530431712015034</v>
      </c>
      <c r="I5" s="73">
        <v>0.43592506783058538</v>
      </c>
      <c r="J5" s="73">
        <v>0.54044272264223736</v>
      </c>
      <c r="K5" s="73">
        <v>0.54397426054004505</v>
      </c>
      <c r="L5" s="73">
        <v>0.75955060925916085</v>
      </c>
      <c r="M5" s="73">
        <v>0.75233566970031707</v>
      </c>
      <c r="N5" s="73">
        <v>0.69319290320888993</v>
      </c>
      <c r="O5" s="73">
        <v>0.55915194711339022</v>
      </c>
      <c r="P5" s="73">
        <v>0.6386138863818297</v>
      </c>
      <c r="Q5" s="73">
        <v>0.9164290185811883</v>
      </c>
      <c r="R5" s="73">
        <v>0.97823185403315949</v>
      </c>
      <c r="S5" s="73">
        <v>1.1564474666806488</v>
      </c>
      <c r="T5" s="73">
        <v>1.5356132348555018</v>
      </c>
      <c r="U5" s="73">
        <v>1.7042256924368311</v>
      </c>
      <c r="V5" s="73">
        <v>1.1688490525874389</v>
      </c>
      <c r="W5" s="73">
        <v>0.87387573552955233</v>
      </c>
      <c r="X5" s="73">
        <v>1.2884290835091441</v>
      </c>
      <c r="Y5" s="73">
        <v>1.5178864147079794</v>
      </c>
      <c r="Z5" s="73"/>
      <c r="AA5" s="73"/>
      <c r="AB5" s="73"/>
      <c r="AC5" s="73"/>
      <c r="AD5" s="73"/>
      <c r="AE5" s="73"/>
      <c r="AF5" s="73"/>
      <c r="AG5" s="73"/>
      <c r="DA5" s="187" t="s">
        <v>1009</v>
      </c>
    </row>
    <row r="6" spans="1:105" ht="11.45" customHeight="1" x14ac:dyDescent="0.25">
      <c r="A6" s="72" t="s">
        <v>145</v>
      </c>
      <c r="B6" s="73">
        <v>0</v>
      </c>
      <c r="C6" s="73">
        <v>0</v>
      </c>
      <c r="D6" s="73">
        <v>0</v>
      </c>
      <c r="E6" s="73">
        <v>0</v>
      </c>
      <c r="F6" s="73">
        <v>0</v>
      </c>
      <c r="G6" s="73">
        <v>0</v>
      </c>
      <c r="H6" s="73">
        <v>0</v>
      </c>
      <c r="I6" s="73">
        <v>0</v>
      </c>
      <c r="J6" s="73">
        <v>0</v>
      </c>
      <c r="K6" s="73">
        <v>0</v>
      </c>
      <c r="L6" s="73">
        <v>0</v>
      </c>
      <c r="M6" s="73">
        <v>0</v>
      </c>
      <c r="N6" s="73">
        <v>0</v>
      </c>
      <c r="O6" s="73">
        <v>0</v>
      </c>
      <c r="P6" s="73">
        <v>0</v>
      </c>
      <c r="Q6" s="73">
        <v>8.6273546111603913E-2</v>
      </c>
      <c r="R6" s="73">
        <v>0.10137118074338825</v>
      </c>
      <c r="S6" s="73">
        <v>0.12653683755507428</v>
      </c>
      <c r="T6" s="73">
        <v>0.17217848099510014</v>
      </c>
      <c r="U6" s="73">
        <v>0.21435660000109694</v>
      </c>
      <c r="V6" s="73">
        <v>0.20022712885022587</v>
      </c>
      <c r="W6" s="73">
        <v>0.13512619545987692</v>
      </c>
      <c r="X6" s="73">
        <v>0.19280422849887865</v>
      </c>
      <c r="Y6" s="73">
        <v>0.2131261410263143</v>
      </c>
      <c r="Z6" s="73"/>
      <c r="AA6" s="73"/>
      <c r="AB6" s="73"/>
      <c r="AC6" s="73"/>
      <c r="AD6" s="73"/>
      <c r="AE6" s="73"/>
      <c r="AF6" s="73"/>
      <c r="AG6" s="73"/>
      <c r="DA6" s="187" t="s">
        <v>1010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7.1115076757144267E-3</v>
      </c>
      <c r="U7" s="73">
        <v>1.7232249052094317E-2</v>
      </c>
      <c r="V7" s="73">
        <v>8.3247274892407838E-3</v>
      </c>
      <c r="W7" s="73">
        <v>3.5068693563467014E-3</v>
      </c>
      <c r="X7" s="73">
        <v>6.5304366386363293E-3</v>
      </c>
      <c r="Y7" s="73">
        <v>5.7596390517232147E-3</v>
      </c>
      <c r="Z7" s="73"/>
      <c r="AA7" s="73"/>
      <c r="AB7" s="73"/>
      <c r="AC7" s="73"/>
      <c r="AD7" s="73"/>
      <c r="AE7" s="73"/>
      <c r="AF7" s="73"/>
      <c r="AG7" s="73"/>
      <c r="DA7" s="187" t="s">
        <v>1011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0</v>
      </c>
      <c r="P8" s="73">
        <v>0</v>
      </c>
      <c r="Q8" s="73">
        <v>0</v>
      </c>
      <c r="R8" s="73">
        <v>0</v>
      </c>
      <c r="S8" s="73">
        <v>0</v>
      </c>
      <c r="T8" s="73">
        <v>0</v>
      </c>
      <c r="U8" s="73">
        <v>0</v>
      </c>
      <c r="V8" s="73">
        <v>0</v>
      </c>
      <c r="W8" s="73">
        <v>0</v>
      </c>
      <c r="X8" s="73">
        <v>0</v>
      </c>
      <c r="Y8" s="73">
        <v>0</v>
      </c>
      <c r="Z8" s="73"/>
      <c r="AA8" s="73"/>
      <c r="AB8" s="73"/>
      <c r="AC8" s="73"/>
      <c r="AD8" s="73"/>
      <c r="AE8" s="73"/>
      <c r="AF8" s="73"/>
      <c r="AG8" s="73"/>
      <c r="DA8" s="187" t="s">
        <v>1012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0</v>
      </c>
      <c r="P9" s="75">
        <v>0</v>
      </c>
      <c r="Q9" s="75">
        <v>0</v>
      </c>
      <c r="R9" s="75">
        <v>0</v>
      </c>
      <c r="S9" s="75">
        <v>0</v>
      </c>
      <c r="T9" s="75">
        <v>0</v>
      </c>
      <c r="U9" s="75">
        <v>0</v>
      </c>
      <c r="V9" s="75">
        <v>0</v>
      </c>
      <c r="W9" s="75">
        <v>0</v>
      </c>
      <c r="X9" s="75">
        <v>0</v>
      </c>
      <c r="Y9" s="75">
        <v>0</v>
      </c>
      <c r="Z9" s="75"/>
      <c r="AA9" s="75"/>
      <c r="AB9" s="75"/>
      <c r="AC9" s="75"/>
      <c r="AD9" s="75"/>
      <c r="AE9" s="75"/>
      <c r="AF9" s="75"/>
      <c r="AG9" s="75"/>
      <c r="DA9" s="188" t="s">
        <v>1013</v>
      </c>
    </row>
    <row r="10" spans="1:105" ht="11.45" customHeight="1" x14ac:dyDescent="0.25">
      <c r="A10" s="70" t="s">
        <v>31</v>
      </c>
      <c r="B10" s="71">
        <f>SUM(B11:B15)</f>
        <v>243.69106296557308</v>
      </c>
      <c r="C10" s="71">
        <f t="shared" ref="C10:V10" si="4">SUM(C11:C15)</f>
        <v>252.99525149645626</v>
      </c>
      <c r="D10" s="71">
        <f t="shared" si="4"/>
        <v>262.23822207814408</v>
      </c>
      <c r="E10" s="71">
        <f t="shared" si="4"/>
        <v>246.80286504388772</v>
      </c>
      <c r="F10" s="71">
        <f t="shared" si="4"/>
        <v>249.8567967721921</v>
      </c>
      <c r="G10" s="71">
        <f t="shared" si="4"/>
        <v>271.39637720759129</v>
      </c>
      <c r="H10" s="71">
        <f t="shared" si="4"/>
        <v>284.76568450489185</v>
      </c>
      <c r="I10" s="71">
        <f t="shared" si="4"/>
        <v>308.39184793302923</v>
      </c>
      <c r="J10" s="71">
        <f t="shared" si="4"/>
        <v>316.22653922060795</v>
      </c>
      <c r="K10" s="71">
        <f t="shared" si="4"/>
        <v>321.38207904986405</v>
      </c>
      <c r="L10" s="71">
        <f t="shared" si="4"/>
        <v>360.37544509151479</v>
      </c>
      <c r="M10" s="71">
        <f t="shared" si="4"/>
        <v>364.50991712479669</v>
      </c>
      <c r="N10" s="71">
        <f t="shared" si="4"/>
        <v>335.67826023522616</v>
      </c>
      <c r="O10" s="71">
        <f t="shared" si="4"/>
        <v>356.44858665993735</v>
      </c>
      <c r="P10" s="71">
        <f t="shared" si="4"/>
        <v>309.93748241628367</v>
      </c>
      <c r="Q10" s="71">
        <f t="shared" si="4"/>
        <v>370.44725444304578</v>
      </c>
      <c r="R10" s="71">
        <f t="shared" si="4"/>
        <v>345.81093866771693</v>
      </c>
      <c r="S10" s="71">
        <f t="shared" si="4"/>
        <v>336.57608706291819</v>
      </c>
      <c r="T10" s="71">
        <f t="shared" si="4"/>
        <v>338.18939600261291</v>
      </c>
      <c r="U10" s="71">
        <f t="shared" si="4"/>
        <v>313.54397909565529</v>
      </c>
      <c r="V10" s="71">
        <f t="shared" si="4"/>
        <v>246.59766357946521</v>
      </c>
      <c r="W10" s="71">
        <f t="shared" ref="W10:Y10" si="5">SUM(W11:W15)</f>
        <v>272.88817907583655</v>
      </c>
      <c r="X10" s="71">
        <f t="shared" si="5"/>
        <v>288.56640650070847</v>
      </c>
      <c r="Y10" s="71">
        <f t="shared" si="5"/>
        <v>304.65359753866193</v>
      </c>
      <c r="Z10" s="71"/>
      <c r="AA10" s="71"/>
      <c r="AB10" s="71"/>
      <c r="AC10" s="71"/>
      <c r="AD10" s="71"/>
      <c r="AE10" s="71"/>
      <c r="AF10" s="71"/>
      <c r="AG10" s="71"/>
      <c r="DA10" s="186" t="s">
        <v>1014</v>
      </c>
    </row>
    <row r="11" spans="1:105" ht="11.45" customHeight="1" x14ac:dyDescent="0.25">
      <c r="A11" s="72" t="s">
        <v>144</v>
      </c>
      <c r="B11" s="73">
        <v>243.69106296557308</v>
      </c>
      <c r="C11" s="73">
        <v>252.99525149645626</v>
      </c>
      <c r="D11" s="73">
        <v>262.23822207814408</v>
      </c>
      <c r="E11" s="73">
        <v>246.80286504388772</v>
      </c>
      <c r="F11" s="73">
        <v>249.8567967721921</v>
      </c>
      <c r="G11" s="73">
        <v>271.39637720759129</v>
      </c>
      <c r="H11" s="73">
        <v>284.76568450489185</v>
      </c>
      <c r="I11" s="73">
        <v>308.39184793302923</v>
      </c>
      <c r="J11" s="73">
        <v>316.22653922060795</v>
      </c>
      <c r="K11" s="73">
        <v>321.38207904986405</v>
      </c>
      <c r="L11" s="73">
        <v>360.37544509151479</v>
      </c>
      <c r="M11" s="73">
        <v>364.50991712479669</v>
      </c>
      <c r="N11" s="73">
        <v>335.67826023522616</v>
      </c>
      <c r="O11" s="73">
        <v>356.44858665993735</v>
      </c>
      <c r="P11" s="73">
        <v>309.93748241628367</v>
      </c>
      <c r="Q11" s="73">
        <v>338.57359677677562</v>
      </c>
      <c r="R11" s="73">
        <v>313.34042678741133</v>
      </c>
      <c r="S11" s="73">
        <v>303.38061186264008</v>
      </c>
      <c r="T11" s="73">
        <v>302.83231453814528</v>
      </c>
      <c r="U11" s="73">
        <v>276.0335215130662</v>
      </c>
      <c r="V11" s="73">
        <v>209.26038568515978</v>
      </c>
      <c r="W11" s="73">
        <v>235.5242326049692</v>
      </c>
      <c r="X11" s="73">
        <v>249.903488371349</v>
      </c>
      <c r="Y11" s="73">
        <v>266.25803791891195</v>
      </c>
      <c r="Z11" s="73"/>
      <c r="AA11" s="73"/>
      <c r="AB11" s="73"/>
      <c r="AC11" s="73"/>
      <c r="AD11" s="73"/>
      <c r="AE11" s="73"/>
      <c r="AF11" s="73"/>
      <c r="AG11" s="73"/>
      <c r="DA11" s="187" t="s">
        <v>1015</v>
      </c>
    </row>
    <row r="12" spans="1:105" ht="11.45" customHeight="1" x14ac:dyDescent="0.25">
      <c r="A12" s="72" t="s">
        <v>145</v>
      </c>
      <c r="B12" s="73">
        <v>0</v>
      </c>
      <c r="C12" s="73">
        <v>0</v>
      </c>
      <c r="D12" s="73">
        <v>0</v>
      </c>
      <c r="E12" s="73">
        <v>0</v>
      </c>
      <c r="F12" s="73">
        <v>0</v>
      </c>
      <c r="G12" s="73">
        <v>0</v>
      </c>
      <c r="H12" s="73">
        <v>0</v>
      </c>
      <c r="I12" s="73">
        <v>0</v>
      </c>
      <c r="J12" s="73">
        <v>0</v>
      </c>
      <c r="K12" s="73">
        <v>0</v>
      </c>
      <c r="L12" s="73">
        <v>0</v>
      </c>
      <c r="M12" s="73">
        <v>0</v>
      </c>
      <c r="N12" s="73">
        <v>0</v>
      </c>
      <c r="O12" s="73">
        <v>0</v>
      </c>
      <c r="P12" s="73">
        <v>0</v>
      </c>
      <c r="Q12" s="73">
        <v>31.873657666270169</v>
      </c>
      <c r="R12" s="73">
        <v>32.470511880305608</v>
      </c>
      <c r="S12" s="73">
        <v>33.195475200278118</v>
      </c>
      <c r="T12" s="73">
        <v>33.954648690114098</v>
      </c>
      <c r="U12" s="73">
        <v>34.719349332930975</v>
      </c>
      <c r="V12" s="73">
        <v>35.846892389636452</v>
      </c>
      <c r="W12" s="73">
        <v>36.418786100326869</v>
      </c>
      <c r="X12" s="73">
        <v>37.396275737107331</v>
      </c>
      <c r="Y12" s="73">
        <v>37.385240153040719</v>
      </c>
      <c r="Z12" s="73"/>
      <c r="AA12" s="73"/>
      <c r="AB12" s="73"/>
      <c r="AC12" s="73"/>
      <c r="AD12" s="73"/>
      <c r="AE12" s="73"/>
      <c r="AF12" s="73"/>
      <c r="AG12" s="73"/>
      <c r="DA12" s="187" t="s">
        <v>1016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1.4024327743535205</v>
      </c>
      <c r="U13" s="73">
        <v>2.7911082496581381</v>
      </c>
      <c r="V13" s="73">
        <v>1.4903855046689702</v>
      </c>
      <c r="W13" s="73">
        <v>0.94516037054047186</v>
      </c>
      <c r="X13" s="73">
        <v>1.2666423922521639</v>
      </c>
      <c r="Y13" s="73">
        <v>1.0103194667092399</v>
      </c>
      <c r="Z13" s="73"/>
      <c r="AA13" s="73"/>
      <c r="AB13" s="73"/>
      <c r="AC13" s="73"/>
      <c r="AD13" s="73"/>
      <c r="AE13" s="73"/>
      <c r="AF13" s="73"/>
      <c r="AG13" s="73"/>
      <c r="DA13" s="187" t="s">
        <v>1017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</v>
      </c>
      <c r="P14" s="73">
        <v>0</v>
      </c>
      <c r="Q14" s="73">
        <v>0</v>
      </c>
      <c r="R14" s="73">
        <v>0</v>
      </c>
      <c r="S14" s="73">
        <v>0</v>
      </c>
      <c r="T14" s="73">
        <v>0</v>
      </c>
      <c r="U14" s="73">
        <v>0</v>
      </c>
      <c r="V14" s="73">
        <v>0</v>
      </c>
      <c r="W14" s="73">
        <v>0</v>
      </c>
      <c r="X14" s="73">
        <v>0</v>
      </c>
      <c r="Y14" s="73">
        <v>0</v>
      </c>
      <c r="Z14" s="73"/>
      <c r="AA14" s="73"/>
      <c r="AB14" s="73"/>
      <c r="AC14" s="73"/>
      <c r="AD14" s="73"/>
      <c r="AE14" s="73"/>
      <c r="AF14" s="73"/>
      <c r="AG14" s="73"/>
      <c r="DA14" s="187" t="s">
        <v>1018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0</v>
      </c>
      <c r="P15" s="75">
        <v>0</v>
      </c>
      <c r="Q15" s="75">
        <v>0</v>
      </c>
      <c r="R15" s="75">
        <v>0</v>
      </c>
      <c r="S15" s="75">
        <v>0</v>
      </c>
      <c r="T15" s="75">
        <v>0</v>
      </c>
      <c r="U15" s="75">
        <v>0</v>
      </c>
      <c r="V15" s="75">
        <v>0</v>
      </c>
      <c r="W15" s="75">
        <v>0</v>
      </c>
      <c r="X15" s="75">
        <v>0</v>
      </c>
      <c r="Y15" s="75">
        <v>0</v>
      </c>
      <c r="Z15" s="75"/>
      <c r="AA15" s="75"/>
      <c r="AB15" s="75"/>
      <c r="AC15" s="75"/>
      <c r="AD15" s="75"/>
      <c r="AE15" s="75"/>
      <c r="AF15" s="75"/>
      <c r="AG15" s="75"/>
      <c r="DA15" s="188" t="s">
        <v>1019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  <c r="AB18" s="51"/>
      <c r="AC18" s="51"/>
      <c r="AD18" s="51"/>
      <c r="AE18" s="51"/>
      <c r="AF18" s="51"/>
      <c r="AG18" s="51"/>
      <c r="DA18" s="181"/>
    </row>
    <row r="19" spans="1:105" ht="11.45" customHeight="1" x14ac:dyDescent="0.25">
      <c r="A19" s="53" t="s">
        <v>62</v>
      </c>
      <c r="B19" s="62">
        <f>IF(B3=0,0,B3/TrNavi_act!B7*100)</f>
        <v>510.1496041518817</v>
      </c>
      <c r="C19" s="62">
        <f>IF(C3=0,0,C3/TrNavi_act!C7*100)</f>
        <v>516.49761170666204</v>
      </c>
      <c r="D19" s="62">
        <f>IF(D3=0,0,D3/TrNavi_act!D7*100)</f>
        <v>531.0290926101128</v>
      </c>
      <c r="E19" s="62">
        <f>IF(E3=0,0,E3/TrNavi_act!E7*100)</f>
        <v>527.89933294154866</v>
      </c>
      <c r="F19" s="62">
        <f>IF(F3=0,0,F3/TrNavi_act!F7*100)</f>
        <v>505.7836404926914</v>
      </c>
      <c r="G19" s="62">
        <f>IF(G3=0,0,G3/TrNavi_act!G7*100)</f>
        <v>532.24269732307926</v>
      </c>
      <c r="H19" s="62">
        <f>IF(H3=0,0,H3/TrNavi_act!H7*100)</f>
        <v>545.31561611369455</v>
      </c>
      <c r="I19" s="62">
        <f>IF(I3=0,0,I3/TrNavi_act!I7*100)</f>
        <v>540.79741708552478</v>
      </c>
      <c r="J19" s="62">
        <f>IF(J3=0,0,J3/TrNavi_act!J7*100)</f>
        <v>568.88578345470739</v>
      </c>
      <c r="K19" s="62">
        <f>IF(K3=0,0,K3/TrNavi_act!K7*100)</f>
        <v>658.95536355345325</v>
      </c>
      <c r="L19" s="62">
        <f>IF(L3=0,0,L3/TrNavi_act!L7*100)</f>
        <v>731.87215406285247</v>
      </c>
      <c r="M19" s="62">
        <f>IF(M3=0,0,M3/TrNavi_act!M7*100)</f>
        <v>639.58789822006509</v>
      </c>
      <c r="N19" s="62">
        <f>IF(N3=0,0,N3/TrNavi_act!N7*100)</f>
        <v>606.81817927990153</v>
      </c>
      <c r="O19" s="62">
        <f>IF(O3=0,0,O3/TrNavi_act!O7*100)</f>
        <v>618.10959279589099</v>
      </c>
      <c r="P19" s="62">
        <f>IF(P3=0,0,P3/TrNavi_act!P7*100)</f>
        <v>572.56437937183694</v>
      </c>
      <c r="Q19" s="62">
        <f>IF(Q3=0,0,Q3/TrNavi_act!Q7*100)</f>
        <v>660.050389167209</v>
      </c>
      <c r="R19" s="62">
        <f>IF(R3=0,0,R3/TrNavi_act!R7*100)</f>
        <v>638.88784017698072</v>
      </c>
      <c r="S19" s="62">
        <f>IF(S3=0,0,S3/TrNavi_act!S7*100)</f>
        <v>630.72240627093902</v>
      </c>
      <c r="T19" s="62">
        <f>IF(T3=0,0,T3/TrNavi_act!T7*100)</f>
        <v>647.35044703780306</v>
      </c>
      <c r="U19" s="62">
        <f>IF(U3=0,0,U3/TrNavi_act!U7*100)</f>
        <v>626.51135664213143</v>
      </c>
      <c r="V19" s="62">
        <f>IF(V3=0,0,V3/TrNavi_act!V7*100)</f>
        <v>577.94962123803691</v>
      </c>
      <c r="W19" s="62">
        <f>IF(W3=0,0,W3/TrNavi_act!W7*100)</f>
        <v>588.95774282067327</v>
      </c>
      <c r="X19" s="62">
        <f>IF(X3=0,0,X3/TrNavi_act!X7*100)</f>
        <v>625.04939176673884</v>
      </c>
      <c r="Y19" s="62">
        <f>IF(Y3=0,0,Y3/TrNavi_act!Y7*100)</f>
        <v>664.52028918265751</v>
      </c>
      <c r="Z19" s="62"/>
      <c r="AA19" s="62"/>
      <c r="AB19" s="62"/>
      <c r="AC19" s="62"/>
      <c r="AD19" s="62"/>
      <c r="AE19" s="62"/>
      <c r="AF19" s="62"/>
      <c r="AG19" s="62"/>
      <c r="DA19" s="172" t="s">
        <v>1020</v>
      </c>
    </row>
    <row r="20" spans="1:105" ht="11.45" customHeight="1" x14ac:dyDescent="0.25">
      <c r="A20" s="55" t="s">
        <v>30</v>
      </c>
      <c r="B20" s="63">
        <f>IF(B4=0,0,B4/TrNavi_act!B8*100)</f>
        <v>4714.7287337133903</v>
      </c>
      <c r="C20" s="63">
        <f>IF(C4=0,0,C4/TrNavi_act!C8*100)</f>
        <v>4870.5504664030586</v>
      </c>
      <c r="D20" s="63">
        <f>IF(D4=0,0,D4/TrNavi_act!D8*100)</f>
        <v>5307.7854362593216</v>
      </c>
      <c r="E20" s="63">
        <f>IF(E4=0,0,E4/TrNavi_act!E8*100)</f>
        <v>5186.0353217296606</v>
      </c>
      <c r="F20" s="63">
        <f>IF(F4=0,0,F4/TrNavi_act!F8*100)</f>
        <v>4894.6023780534815</v>
      </c>
      <c r="G20" s="63">
        <f>IF(G4=0,0,G4/TrNavi_act!G8*100)</f>
        <v>5315.2353220892801</v>
      </c>
      <c r="H20" s="63">
        <f>IF(H4=0,0,H4/TrNavi_act!H8*100)</f>
        <v>5504.3473874307192</v>
      </c>
      <c r="I20" s="63">
        <f>IF(I4=0,0,I4/TrNavi_act!I8*100)</f>
        <v>5449.0633478823174</v>
      </c>
      <c r="J20" s="63">
        <f>IF(J4=0,0,J4/TrNavi_act!J8*100)</f>
        <v>6004.9191404693047</v>
      </c>
      <c r="K20" s="63">
        <f>IF(K4=0,0,K4/TrNavi_act!K8*100)</f>
        <v>6799.6782567505634</v>
      </c>
      <c r="L20" s="63">
        <f>IF(L4=0,0,L4/TrNavi_act!L8*100)</f>
        <v>7595.5060925916086</v>
      </c>
      <c r="M20" s="63">
        <f>IF(M4=0,0,M4/TrNavi_act!M8*100)</f>
        <v>6839.4151790937922</v>
      </c>
      <c r="N20" s="63">
        <f>IF(N4=0,0,N4/TrNavi_act!N8*100)</f>
        <v>6301.7536655353633</v>
      </c>
      <c r="O20" s="63">
        <f>IF(O4=0,0,O4/TrNavi_act!O8*100)</f>
        <v>6212.7994123710032</v>
      </c>
      <c r="P20" s="63">
        <f>IF(P4=0,0,P4/TrNavi_act!P8*100)</f>
        <v>5805.5807852893613</v>
      </c>
      <c r="Q20" s="63">
        <f>IF(Q4=0,0,Q4/TrNavi_act!Q8*100)</f>
        <v>6684.6837646186159</v>
      </c>
      <c r="R20" s="63">
        <f>IF(R4=0,0,R4/TrNavi_act!R8*100)</f>
        <v>6747.5189673534232</v>
      </c>
      <c r="S20" s="63">
        <f>IF(S4=0,0,S4/TrNavi_act!S8*100)</f>
        <v>7127.6905790873516</v>
      </c>
      <c r="T20" s="63">
        <f>IF(T4=0,0,T4/TrNavi_act!T8*100)</f>
        <v>7145.4300980263188</v>
      </c>
      <c r="U20" s="63">
        <f>IF(U4=0,0,U4/TrNavi_act!U8*100)</f>
        <v>6675.222556862147</v>
      </c>
      <c r="V20" s="63">
        <f>IF(V4=0,0,V4/TrNavi_act!V8*100)</f>
        <v>5739.1704538621061</v>
      </c>
      <c r="W20" s="63">
        <f>IF(W4=0,0,W4/TrNavi_act!W8*100)</f>
        <v>5955.9341196810337</v>
      </c>
      <c r="X20" s="63">
        <f>IF(X4=0,0,X4/TrNavi_act!X8*100)</f>
        <v>6762.5624938484507</v>
      </c>
      <c r="Y20" s="63">
        <f>IF(Y4=0,0,Y4/TrNavi_act!Y8*100)</f>
        <v>7236.5508116084029</v>
      </c>
      <c r="Z20" s="63"/>
      <c r="AA20" s="63"/>
      <c r="AB20" s="63"/>
      <c r="AC20" s="63"/>
      <c r="AD20" s="63"/>
      <c r="AE20" s="63"/>
      <c r="AF20" s="63"/>
      <c r="AG20" s="63"/>
      <c r="DA20" s="181" t="s">
        <v>1021</v>
      </c>
    </row>
    <row r="21" spans="1:105" ht="11.45" customHeight="1" x14ac:dyDescent="0.25">
      <c r="A21" s="57" t="s">
        <v>31</v>
      </c>
      <c r="B21" s="64">
        <f>IF(B10=0,0,B10/TrNavi_act!B9*100)</f>
        <v>509.62203138059533</v>
      </c>
      <c r="C21" s="64">
        <f>IF(C10=0,0,C10/TrNavi_act!C9*100)</f>
        <v>516.05354716258296</v>
      </c>
      <c r="D21" s="64">
        <f>IF(D10=0,0,D10/TrNavi_act!D9*100)</f>
        <v>530.54588912791155</v>
      </c>
      <c r="E21" s="64">
        <f>IF(E10=0,0,E10/TrNavi_act!E9*100)</f>
        <v>527.40162630115344</v>
      </c>
      <c r="F21" s="64">
        <f>IF(F10=0,0,F10/TrNavi_act!F9*100)</f>
        <v>505.25114610570273</v>
      </c>
      <c r="G21" s="64">
        <f>IF(G10=0,0,G10/TrNavi_act!G9*100)</f>
        <v>531.5869025102661</v>
      </c>
      <c r="H21" s="64">
        <f>IF(H10=0,0,H10/TrNavi_act!H9*100)</f>
        <v>544.65168025570324</v>
      </c>
      <c r="I21" s="64">
        <f>IF(I10=0,0,I10/TrNavi_act!I9*100)</f>
        <v>540.10972001301138</v>
      </c>
      <c r="J21" s="64">
        <f>IF(J10=0,0,J10/TrNavi_act!J9*100)</f>
        <v>568.00700379107991</v>
      </c>
      <c r="K21" s="64">
        <f>IF(K10=0,0,K10/TrNavi_act!K9*100)</f>
        <v>657.94963569148774</v>
      </c>
      <c r="L21" s="64">
        <f>IF(L10=0,0,L10/TrNavi_act!L9*100)</f>
        <v>730.48089571393916</v>
      </c>
      <c r="M21" s="64">
        <f>IF(M10=0,0,M10/TrNavi_act!M9*100)</f>
        <v>638.39349386107517</v>
      </c>
      <c r="N21" s="64">
        <f>IF(N10=0,0,N10/TrNavi_act!N9*100)</f>
        <v>605.68784438250157</v>
      </c>
      <c r="O21" s="64">
        <f>IF(O10=0,0,O10/TrNavi_act!O9*100)</f>
        <v>617.23767798565746</v>
      </c>
      <c r="P21" s="64">
        <f>IF(P10=0,0,P10/TrNavi_act!P9*100)</f>
        <v>571.50295474311042</v>
      </c>
      <c r="Q21" s="64">
        <f>IF(Q10=0,0,Q10/TrNavi_act!Q9*100)</f>
        <v>658.44413437913602</v>
      </c>
      <c r="R21" s="64">
        <f>IF(R10=0,0,R10/TrNavi_act!R9*100)</f>
        <v>637.08721198916157</v>
      </c>
      <c r="S21" s="64">
        <f>IF(S10=0,0,S10/TrNavi_act!S9*100)</f>
        <v>628.5385106405688</v>
      </c>
      <c r="T21" s="64">
        <f>IF(T10=0,0,T10/TrNavi_act!T9*100)</f>
        <v>644.37893413603058</v>
      </c>
      <c r="U21" s="64">
        <f>IF(U10=0,0,U10/TrNavi_act!U9*100)</f>
        <v>623.02582978113753</v>
      </c>
      <c r="V21" s="64">
        <f>IF(V10=0,0,V10/TrNavi_act!V9*100)</f>
        <v>575.06101296456609</v>
      </c>
      <c r="W21" s="64">
        <f>IF(W10=0,0,W10/TrNavi_act!W9*100)</f>
        <v>586.99515815749214</v>
      </c>
      <c r="X21" s="64">
        <f>IF(X10=0,0,X10/TrNavi_act!X9*100)</f>
        <v>622.13829743808822</v>
      </c>
      <c r="Y21" s="64">
        <f>IF(Y10=0,0,Y10/TrNavi_act!Y9*100)</f>
        <v>661.097579451559</v>
      </c>
      <c r="Z21" s="64"/>
      <c r="AA21" s="64"/>
      <c r="AB21" s="64"/>
      <c r="AC21" s="64"/>
      <c r="AD21" s="64"/>
      <c r="AE21" s="64"/>
      <c r="AF21" s="64"/>
      <c r="AG21" s="64"/>
      <c r="DA21" s="182" t="s">
        <v>1022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  <c r="AB22" s="51"/>
      <c r="AC22" s="51"/>
      <c r="AD22" s="51"/>
      <c r="AE22" s="51"/>
      <c r="AF22" s="51"/>
      <c r="AG22" s="51"/>
      <c r="DA22" s="181"/>
    </row>
    <row r="23" spans="1:105" ht="11.45" customHeight="1" x14ac:dyDescent="0.25">
      <c r="A23" s="53" t="s">
        <v>162</v>
      </c>
      <c r="B23" s="62">
        <f>IF(B3=0,0,B3/TrNavi_act!B3*1000)</f>
        <v>5.9094472502281832</v>
      </c>
      <c r="C23" s="62">
        <f>IF(C3=0,0,C3/TrNavi_act!C3*1000)</f>
        <v>6.0573671365528448</v>
      </c>
      <c r="D23" s="62">
        <f>IF(D3=0,0,D3/TrNavi_act!D3*1000)</f>
        <v>6.4030192015478322</v>
      </c>
      <c r="E23" s="62">
        <f>IF(E3=0,0,E3/TrNavi_act!E3*1000)</f>
        <v>6.3275341982468847</v>
      </c>
      <c r="F23" s="62">
        <f>IF(F3=0,0,F3/TrNavi_act!F3*1000)</f>
        <v>5.8085506467477517</v>
      </c>
      <c r="G23" s="62">
        <f>IF(G3=0,0,G3/TrNavi_act!G3*1000)</f>
        <v>6.4320935515848605</v>
      </c>
      <c r="H23" s="62">
        <f>IF(H3=0,0,H3/TrNavi_act!H3*1000)</f>
        <v>6.7513964692985358</v>
      </c>
      <c r="I23" s="62">
        <f>IF(I3=0,0,I3/TrNavi_act!I3*1000)</f>
        <v>6.6399973984400162</v>
      </c>
      <c r="J23" s="62">
        <f>IF(J3=0,0,J3/TrNavi_act!J3*1000)</f>
        <v>6.8475718394616205</v>
      </c>
      <c r="K23" s="62">
        <f>IF(K3=0,0,K3/TrNavi_act!K3*1000)</f>
        <v>8.4969314230765978</v>
      </c>
      <c r="L23" s="62">
        <f>IF(L3=0,0,L3/TrNavi_act!L3*1000)</f>
        <v>7.7511034905083189</v>
      </c>
      <c r="M23" s="62">
        <f>IF(M3=0,0,M3/TrNavi_act!M3*1000)</f>
        <v>7.8564253002370563</v>
      </c>
      <c r="N23" s="62">
        <f>IF(N3=0,0,N3/TrNavi_act!N3*1000)</f>
        <v>7.0718844294297236</v>
      </c>
      <c r="O23" s="62">
        <f>IF(O3=0,0,O3/TrNavi_act!O3*1000)</f>
        <v>7.3379698556371178</v>
      </c>
      <c r="P23" s="62">
        <f>IF(P3=0,0,P3/TrNavi_act!P3*1000)</f>
        <v>6.2964798246083653</v>
      </c>
      <c r="Q23" s="62">
        <f>IF(Q3=0,0,Q3/TrNavi_act!Q3*1000)</f>
        <v>7.645980128471801</v>
      </c>
      <c r="R23" s="62">
        <f>IF(R3=0,0,R3/TrNavi_act!R3*1000)</f>
        <v>7.1012252230543265</v>
      </c>
      <c r="S23" s="62">
        <f>IF(S3=0,0,S3/TrNavi_act!S3*1000)</f>
        <v>6.8848488315909888</v>
      </c>
      <c r="T23" s="62">
        <f>IF(T3=0,0,T3/TrNavi_act!T3*1000)</f>
        <v>7.2368328721137978</v>
      </c>
      <c r="U23" s="62">
        <f>IF(U3=0,0,U3/TrNavi_act!U3*1000)</f>
        <v>6.7008500649651381</v>
      </c>
      <c r="V23" s="62">
        <f>IF(V3=0,0,V3/TrNavi_act!V3*1000)</f>
        <v>5.4808379365963331</v>
      </c>
      <c r="W23" s="62">
        <f>IF(W3=0,0,W3/TrNavi_act!W3*1000)</f>
        <v>5.772595177477398</v>
      </c>
      <c r="X23" s="62">
        <f>IF(X3=0,0,X3/TrNavi_act!X3*1000)</f>
        <v>6.5005354264081534</v>
      </c>
      <c r="Y23" s="62">
        <f>IF(Y3=0,0,Y3/TrNavi_act!Y3*1000)</f>
        <v>7.3463806437081836</v>
      </c>
      <c r="Z23" s="62"/>
      <c r="AA23" s="62"/>
      <c r="AB23" s="62"/>
      <c r="AC23" s="62"/>
      <c r="AD23" s="62"/>
      <c r="AE23" s="62"/>
      <c r="AF23" s="62"/>
      <c r="AG23" s="62"/>
      <c r="DA23" s="172" t="s">
        <v>429</v>
      </c>
    </row>
    <row r="24" spans="1:105" ht="11.45" customHeight="1" x14ac:dyDescent="0.25">
      <c r="A24" s="55" t="s">
        <v>30</v>
      </c>
      <c r="B24" s="63">
        <f>IF(B4=0,0,B4/TrNavi_act!B4*1000)</f>
        <v>19.63243278664747</v>
      </c>
      <c r="C24" s="63">
        <f>IF(C4=0,0,C4/TrNavi_act!C4*1000)</f>
        <v>17.722692913190667</v>
      </c>
      <c r="D24" s="63">
        <f>IF(D4=0,0,D4/TrNavi_act!D4*1000)</f>
        <v>19.163063890025711</v>
      </c>
      <c r="E24" s="63">
        <f>IF(E4=0,0,E4/TrNavi_act!E4*1000)</f>
        <v>17.799407337073244</v>
      </c>
      <c r="F24" s="63">
        <f>IF(F4=0,0,F4/TrNavi_act!F4*1000)</f>
        <v>17.375230309029043</v>
      </c>
      <c r="G24" s="63">
        <f>IF(G4=0,0,G4/TrNavi_act!G4*1000)</f>
        <v>19.642406955244937</v>
      </c>
      <c r="H24" s="63">
        <f>IF(H4=0,0,H4/TrNavi_act!H4*1000)</f>
        <v>18.477164778216579</v>
      </c>
      <c r="I24" s="63">
        <f>IF(I4=0,0,I4/TrNavi_act!I4*1000)</f>
        <v>17.994842841303832</v>
      </c>
      <c r="J24" s="63">
        <f>IF(J4=0,0,J4/TrNavi_act!J4*1000)</f>
        <v>20.985621971895988</v>
      </c>
      <c r="K24" s="63">
        <f>IF(K4=0,0,K4/TrNavi_act!K4*1000)</f>
        <v>22.357250443469034</v>
      </c>
      <c r="L24" s="63">
        <f>IF(L4=0,0,L4/TrNavi_act!L4*1000)</f>
        <v>25.80871930883999</v>
      </c>
      <c r="M24" s="63">
        <f>IF(M4=0,0,M4/TrNavi_act!M4*1000)</f>
        <v>24.937375110222977</v>
      </c>
      <c r="N24" s="63">
        <f>IF(N4=0,0,N4/TrNavi_act!N4*1000)</f>
        <v>21.92676988704023</v>
      </c>
      <c r="O24" s="63">
        <f>IF(O4=0,0,O4/TrNavi_act!O4*1000)</f>
        <v>22.265438104304152</v>
      </c>
      <c r="P24" s="63">
        <f>IF(P4=0,0,P4/TrNavi_act!P4*1000)</f>
        <v>21.038870869797382</v>
      </c>
      <c r="Q24" s="63">
        <f>IF(Q4=0,0,Q4/TrNavi_act!Q4*1000)</f>
        <v>21.760982783384527</v>
      </c>
      <c r="R24" s="63">
        <f>IF(R4=0,0,R4/TrNavi_act!R4*1000)</f>
        <v>21.006810942668217</v>
      </c>
      <c r="S24" s="63">
        <f>IF(S4=0,0,S4/TrNavi_act!S4*1000)</f>
        <v>22.182376711430603</v>
      </c>
      <c r="T24" s="63">
        <f>IF(T4=0,0,T4/TrNavi_act!T4*1000)</f>
        <v>22.371999158899946</v>
      </c>
      <c r="U24" s="63">
        <f>IF(U4=0,0,U4/TrNavi_act!U4*1000)</f>
        <v>22.107677232278728</v>
      </c>
      <c r="V24" s="63">
        <f>IF(V4=0,0,V4/TrNavi_act!V4*1000)</f>
        <v>17.657627732827034</v>
      </c>
      <c r="W24" s="63">
        <f>IF(W4=0,0,W4/TrNavi_act!W4*1000)</f>
        <v>18.595544460794063</v>
      </c>
      <c r="X24" s="63">
        <f>IF(X4=0,0,X4/TrNavi_act!X4*1000)</f>
        <v>21.548364767560201</v>
      </c>
      <c r="Y24" s="63">
        <f>IF(Y4=0,0,Y4/TrNavi_act!Y4*1000)</f>
        <v>23.064091189955334</v>
      </c>
      <c r="Z24" s="63"/>
      <c r="AA24" s="63"/>
      <c r="AB24" s="63"/>
      <c r="AC24" s="63"/>
      <c r="AD24" s="63"/>
      <c r="AE24" s="63"/>
      <c r="AF24" s="63"/>
      <c r="AG24" s="63"/>
      <c r="DA24" s="181" t="s">
        <v>430</v>
      </c>
    </row>
    <row r="25" spans="1:105" ht="11.45" customHeight="1" x14ac:dyDescent="0.25">
      <c r="A25" s="57" t="s">
        <v>31</v>
      </c>
      <c r="B25" s="64">
        <f>IF(B10=0,0,B10/TrNavi_act!B5*1000)</f>
        <v>5.9046561257438173</v>
      </c>
      <c r="C25" s="64">
        <f>IF(C10=0,0,C10/TrNavi_act!C5*1000)</f>
        <v>6.0535317277165142</v>
      </c>
      <c r="D25" s="64">
        <f>IF(D10=0,0,D10/TrNavi_act!D5*1000)</f>
        <v>6.3987073195750455</v>
      </c>
      <c r="E25" s="64">
        <f>IF(E10=0,0,E10/TrNavi_act!E5*1000)</f>
        <v>6.3232524158716847</v>
      </c>
      <c r="F25" s="64">
        <f>IF(F10=0,0,F10/TrNavi_act!F5*1000)</f>
        <v>5.8040093096748375</v>
      </c>
      <c r="G25" s="64">
        <f>IF(G10=0,0,G10/TrNavi_act!G5*1000)</f>
        <v>6.4261685697817175</v>
      </c>
      <c r="H25" s="64">
        <f>IF(H10=0,0,H10/TrNavi_act!H5*1000)</f>
        <v>6.7456042758472545</v>
      </c>
      <c r="I25" s="64">
        <f>IF(I10=0,0,I10/TrNavi_act!I5*1000)</f>
        <v>6.6340801087000214</v>
      </c>
      <c r="J25" s="64">
        <f>IF(J10=0,0,J10/TrNavi_act!J5*1000)</f>
        <v>6.8396967431026505</v>
      </c>
      <c r="K25" s="64">
        <f>IF(K10=0,0,K10/TrNavi_act!K5*1000)</f>
        <v>8.4880246956095409</v>
      </c>
      <c r="L25" s="64">
        <f>IF(L10=0,0,L10/TrNavi_act!L5*1000)</f>
        <v>7.7396899852135821</v>
      </c>
      <c r="M25" s="64">
        <f>IF(M10=0,0,M10/TrNavi_act!M5*1000)</f>
        <v>7.8453341897636069</v>
      </c>
      <c r="N25" s="64">
        <f>IF(N10=0,0,N10/TrNavi_act!N5*1000)</f>
        <v>7.0620045070840503</v>
      </c>
      <c r="O25" s="64">
        <f>IF(O10=0,0,O10/TrNavi_act!O5*1000)</f>
        <v>7.3302606917954503</v>
      </c>
      <c r="P25" s="64">
        <f>IF(P10=0,0,P10/TrNavi_act!P5*1000)</f>
        <v>6.2874020167620177</v>
      </c>
      <c r="Q25" s="64">
        <f>IF(Q10=0,0,Q10/TrNavi_act!Q5*1000)</f>
        <v>7.6325796732882614</v>
      </c>
      <c r="R25" s="64">
        <f>IF(R10=0,0,R10/TrNavi_act!R5*1000)</f>
        <v>7.0865801604106098</v>
      </c>
      <c r="S25" s="64">
        <f>IF(S10=0,0,S10/TrNavi_act!S5*1000)</f>
        <v>6.8667976550631069</v>
      </c>
      <c r="T25" s="64">
        <f>IF(T10=0,0,T10/TrNavi_act!T5*1000)</f>
        <v>7.2120915295276999</v>
      </c>
      <c r="U25" s="64">
        <f>IF(U10=0,0,U10/TrNavi_act!U5*1000)</f>
        <v>6.6721422147054943</v>
      </c>
      <c r="V25" s="64">
        <f>IF(V10=0,0,V10/TrNavi_act!V5*1000)</f>
        <v>5.4598074564819825</v>
      </c>
      <c r="W25" s="64">
        <f>IF(W10=0,0,W10/TrNavi_act!W5*1000)</f>
        <v>5.7578634231302814</v>
      </c>
      <c r="X25" s="64">
        <f>IF(X10=0,0,X10/TrNavi_act!X5*1000)</f>
        <v>6.4772150232477035</v>
      </c>
      <c r="Y25" s="64">
        <f>IF(Y10=0,0,Y10/TrNavi_act!Y5*1000)</f>
        <v>7.3179505065615027</v>
      </c>
      <c r="Z25" s="64"/>
      <c r="AA25" s="64"/>
      <c r="AB25" s="64"/>
      <c r="AC25" s="64"/>
      <c r="AD25" s="64"/>
      <c r="AE25" s="64"/>
      <c r="AF25" s="64"/>
      <c r="AG25" s="64"/>
      <c r="DA25" s="182" t="s">
        <v>431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  <c r="AB26" s="51"/>
      <c r="AC26" s="51"/>
      <c r="AD26" s="51"/>
      <c r="AE26" s="51"/>
      <c r="AF26" s="51"/>
      <c r="AG26" s="51"/>
      <c r="DA26" s="181"/>
    </row>
    <row r="27" spans="1:105" ht="11.45" customHeight="1" x14ac:dyDescent="0.25">
      <c r="A27" s="53" t="s">
        <v>40</v>
      </c>
      <c r="B27" s="76">
        <f t="shared" ref="B27:U27" si="6">IF(B3=0,0,B3/B$3)</f>
        <v>1</v>
      </c>
      <c r="C27" s="76">
        <f t="shared" si="6"/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ref="V27:W27" si="7">IF(V3=0,0,V3/V$3)</f>
        <v>1</v>
      </c>
      <c r="W27" s="76">
        <f t="shared" si="7"/>
        <v>1</v>
      </c>
      <c r="X27" s="76">
        <f t="shared" ref="X27:Y27" si="8">IF(X3=0,0,X3/X$3)</f>
        <v>1</v>
      </c>
      <c r="Y27" s="76">
        <f t="shared" si="8"/>
        <v>1</v>
      </c>
      <c r="Z27" s="76"/>
      <c r="AA27" s="76"/>
      <c r="AB27" s="76"/>
      <c r="AC27" s="76"/>
      <c r="AD27" s="76"/>
      <c r="AE27" s="76"/>
      <c r="AF27" s="76"/>
      <c r="AG27" s="76"/>
      <c r="DA27" s="183"/>
    </row>
    <row r="28" spans="1:105" ht="11.45" customHeight="1" x14ac:dyDescent="0.25">
      <c r="A28" s="55" t="s">
        <v>30</v>
      </c>
      <c r="B28" s="77">
        <f t="shared" ref="B28:U28" si="9">IF(B4=0,0,B4/B$3)</f>
        <v>1.1594833295159659E-3</v>
      </c>
      <c r="C28" s="77">
        <f t="shared" si="9"/>
        <v>9.6165178280667235E-4</v>
      </c>
      <c r="D28" s="77">
        <f t="shared" si="9"/>
        <v>1.0109928410057642E-3</v>
      </c>
      <c r="E28" s="77">
        <f t="shared" si="9"/>
        <v>1.0495405647677446E-3</v>
      </c>
      <c r="F28" s="77">
        <f t="shared" si="9"/>
        <v>1.1739979511577623E-3</v>
      </c>
      <c r="G28" s="77">
        <f t="shared" si="9"/>
        <v>1.3690569350434207E-3</v>
      </c>
      <c r="H28" s="77">
        <f t="shared" si="9"/>
        <v>1.351229110976897E-3</v>
      </c>
      <c r="I28" s="77">
        <f t="shared" si="9"/>
        <v>1.4115474900289221E-3</v>
      </c>
      <c r="J28" s="77">
        <f t="shared" si="9"/>
        <v>1.7061207557896908E-3</v>
      </c>
      <c r="K28" s="77">
        <f t="shared" si="9"/>
        <v>1.6897491052566039E-3</v>
      </c>
      <c r="L28" s="77">
        <f t="shared" si="9"/>
        <v>2.1032318061152471E-3</v>
      </c>
      <c r="M28" s="77">
        <f t="shared" si="9"/>
        <v>2.0597137096550582E-3</v>
      </c>
      <c r="N28" s="77">
        <f t="shared" si="9"/>
        <v>2.0607958753372673E-3</v>
      </c>
      <c r="O28" s="77">
        <f t="shared" si="9"/>
        <v>1.5662180021504643E-3</v>
      </c>
      <c r="P28" s="77">
        <f t="shared" si="9"/>
        <v>2.0562235599725026E-3</v>
      </c>
      <c r="Q28" s="77">
        <f t="shared" si="9"/>
        <v>2.6994284042194745E-3</v>
      </c>
      <c r="R28" s="77">
        <f t="shared" si="9"/>
        <v>3.1122296661015808E-3</v>
      </c>
      <c r="S28" s="77">
        <f t="shared" si="9"/>
        <v>3.7973948695356912E-3</v>
      </c>
      <c r="T28" s="77">
        <f t="shared" si="9"/>
        <v>5.0452531122161144E-3</v>
      </c>
      <c r="U28" s="77">
        <f t="shared" si="9"/>
        <v>6.1360967660468741E-3</v>
      </c>
      <c r="V28" s="77">
        <f t="shared" ref="V28:W28" si="10">IF(V4=0,0,V4/V$3)</f>
        <v>5.5545944176632429E-3</v>
      </c>
      <c r="W28" s="77">
        <f t="shared" si="10"/>
        <v>3.6966274462351249E-3</v>
      </c>
      <c r="X28" s="77">
        <f t="shared" ref="X28:Y28" si="11">IF(X4=0,0,X4/X$3)</f>
        <v>5.1292617077963445E-3</v>
      </c>
      <c r="Y28" s="77">
        <f t="shared" si="11"/>
        <v>5.6684947255260208E-3</v>
      </c>
      <c r="Z28" s="77"/>
      <c r="AA28" s="77"/>
      <c r="AB28" s="77"/>
      <c r="AC28" s="77"/>
      <c r="AD28" s="77"/>
      <c r="AE28" s="77"/>
      <c r="AF28" s="77"/>
      <c r="AG28" s="77"/>
      <c r="DA28" s="184"/>
    </row>
    <row r="29" spans="1:105" ht="11.45" customHeight="1" x14ac:dyDescent="0.25">
      <c r="A29" s="57" t="s">
        <v>31</v>
      </c>
      <c r="B29" s="78">
        <f t="shared" ref="B29:U29" si="12">IF(B10=0,0,B10/B$3)</f>
        <v>0.99884051667048401</v>
      </c>
      <c r="C29" s="78">
        <f t="shared" si="12"/>
        <v>0.99903834821719328</v>
      </c>
      <c r="D29" s="78">
        <f t="shared" si="12"/>
        <v>0.99898900715899419</v>
      </c>
      <c r="E29" s="78">
        <f t="shared" si="12"/>
        <v>0.99895045943523231</v>
      </c>
      <c r="F29" s="78">
        <f t="shared" si="12"/>
        <v>0.9988260020488422</v>
      </c>
      <c r="G29" s="78">
        <f t="shared" si="12"/>
        <v>0.99863094306495659</v>
      </c>
      <c r="H29" s="78">
        <f t="shared" si="12"/>
        <v>0.99864877088902315</v>
      </c>
      <c r="I29" s="78">
        <f t="shared" si="12"/>
        <v>0.99858845250997119</v>
      </c>
      <c r="J29" s="78">
        <f t="shared" si="12"/>
        <v>0.99829387924421031</v>
      </c>
      <c r="K29" s="78">
        <f t="shared" si="12"/>
        <v>0.99831025089474346</v>
      </c>
      <c r="L29" s="78">
        <f t="shared" si="12"/>
        <v>0.99789676819388473</v>
      </c>
      <c r="M29" s="78">
        <f t="shared" si="12"/>
        <v>0.99794028629034504</v>
      </c>
      <c r="N29" s="78">
        <f t="shared" si="12"/>
        <v>0.99793920412466264</v>
      </c>
      <c r="O29" s="78">
        <f t="shared" si="12"/>
        <v>0.9984337819978496</v>
      </c>
      <c r="P29" s="78">
        <f t="shared" si="12"/>
        <v>0.99794377644002741</v>
      </c>
      <c r="Q29" s="78">
        <f t="shared" si="12"/>
        <v>0.99730057159578045</v>
      </c>
      <c r="R29" s="78">
        <f t="shared" si="12"/>
        <v>0.99688777033389842</v>
      </c>
      <c r="S29" s="78">
        <f t="shared" si="12"/>
        <v>0.99620260513046444</v>
      </c>
      <c r="T29" s="78">
        <f t="shared" si="12"/>
        <v>0.99495474688778385</v>
      </c>
      <c r="U29" s="78">
        <f t="shared" si="12"/>
        <v>0.99386390323395324</v>
      </c>
      <c r="V29" s="78">
        <f t="shared" ref="V29:W29" si="13">IF(V10=0,0,V10/V$3)</f>
        <v>0.99444540558233674</v>
      </c>
      <c r="W29" s="78">
        <f t="shared" si="13"/>
        <v>0.996303372553765</v>
      </c>
      <c r="X29" s="78">
        <f t="shared" ref="X29:Y29" si="14">IF(X10=0,0,X10/X$3)</f>
        <v>0.99487073829220363</v>
      </c>
      <c r="Y29" s="78">
        <f t="shared" si="14"/>
        <v>0.994331505274474</v>
      </c>
      <c r="Z29" s="78"/>
      <c r="AA29" s="78"/>
      <c r="AB29" s="78"/>
      <c r="AC29" s="78"/>
      <c r="AD29" s="78"/>
      <c r="AE29" s="78"/>
      <c r="AF29" s="78"/>
      <c r="AG29" s="78"/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1023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Z1" s="49"/>
      <c r="AA1" s="49"/>
      <c r="AB1" s="49"/>
      <c r="AC1" s="49"/>
      <c r="AD1" s="49"/>
      <c r="AE1" s="49"/>
      <c r="AF1" s="49"/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  <c r="AB2" s="51"/>
      <c r="AC2" s="51"/>
      <c r="AD2" s="51"/>
      <c r="AE2" s="51"/>
      <c r="AF2" s="51"/>
      <c r="AG2" s="51"/>
      <c r="DA2" s="181"/>
    </row>
    <row r="3" spans="1:105" ht="11.45" customHeight="1" x14ac:dyDescent="0.25">
      <c r="A3" s="53" t="s">
        <v>44</v>
      </c>
      <c r="B3" s="54">
        <f t="shared" ref="B3" si="0">SUM(B4:B5)</f>
        <v>756.90935892000005</v>
      </c>
      <c r="C3" s="54">
        <f t="shared" ref="C3:V3" si="1">SUM(C4:C5)</f>
        <v>785.65274892000002</v>
      </c>
      <c r="D3" s="54">
        <f t="shared" si="1"/>
        <v>814.39613892000023</v>
      </c>
      <c r="E3" s="54">
        <f t="shared" si="1"/>
        <v>766.49031107999997</v>
      </c>
      <c r="F3" s="54">
        <f t="shared" si="1"/>
        <v>776.07153000000005</v>
      </c>
      <c r="G3" s="54">
        <f t="shared" si="1"/>
        <v>843.13952891999998</v>
      </c>
      <c r="H3" s="54">
        <f t="shared" si="1"/>
        <v>884.65778855999997</v>
      </c>
      <c r="I3" s="54">
        <f t="shared" si="1"/>
        <v>958.11308891999988</v>
      </c>
      <c r="J3" s="54">
        <f t="shared" si="1"/>
        <v>982.74383999999998</v>
      </c>
      <c r="K3" s="54">
        <f t="shared" si="1"/>
        <v>998.74943999999994</v>
      </c>
      <c r="L3" s="54">
        <f t="shared" si="1"/>
        <v>1120.3920000000003</v>
      </c>
      <c r="M3" s="54">
        <f t="shared" si="1"/>
        <v>1133.1964800000001</v>
      </c>
      <c r="N3" s="54">
        <f t="shared" si="1"/>
        <v>1043.56512</v>
      </c>
      <c r="O3" s="54">
        <f t="shared" si="1"/>
        <v>1107.58752</v>
      </c>
      <c r="P3" s="54">
        <f t="shared" si="1"/>
        <v>963.53711999999996</v>
      </c>
      <c r="Q3" s="54">
        <f t="shared" si="1"/>
        <v>1145.9704575599999</v>
      </c>
      <c r="R3" s="54">
        <f t="shared" si="1"/>
        <v>1069.6538840399999</v>
      </c>
      <c r="S3" s="54">
        <f t="shared" si="1"/>
        <v>1041.4837299600001</v>
      </c>
      <c r="T3" s="54">
        <f t="shared" si="1"/>
        <v>1043.2941458399996</v>
      </c>
      <c r="U3" s="54">
        <f t="shared" si="1"/>
        <v>963.01729332000014</v>
      </c>
      <c r="V3" s="54">
        <f t="shared" si="1"/>
        <v>757.42861535999998</v>
      </c>
      <c r="W3" s="54">
        <f t="shared" ref="W3:Y3" si="2">SUM(W4:W5)</f>
        <v>839.46537216000002</v>
      </c>
      <c r="X3" s="54">
        <f t="shared" si="2"/>
        <v>888.36545340000021</v>
      </c>
      <c r="Y3" s="54">
        <f t="shared" si="2"/>
        <v>939.84293195999987</v>
      </c>
      <c r="Z3" s="54"/>
      <c r="AA3" s="54"/>
      <c r="AB3" s="54"/>
      <c r="AC3" s="54"/>
      <c r="AD3" s="54"/>
      <c r="AE3" s="54"/>
      <c r="AF3" s="54"/>
      <c r="AG3" s="54"/>
      <c r="DA3" s="172" t="s">
        <v>1024</v>
      </c>
    </row>
    <row r="4" spans="1:105" ht="11.45" customHeight="1" x14ac:dyDescent="0.25">
      <c r="A4" s="55" t="s">
        <v>30</v>
      </c>
      <c r="B4" s="56">
        <v>0.87762378362235705</v>
      </c>
      <c r="C4" s="56">
        <v>0.75552436666588085</v>
      </c>
      <c r="D4" s="56">
        <v>0.823348666190856</v>
      </c>
      <c r="E4" s="56">
        <v>0.80446267397990745</v>
      </c>
      <c r="F4" s="56">
        <v>0.91110638617186979</v>
      </c>
      <c r="G4" s="56">
        <v>1.1543060192771686</v>
      </c>
      <c r="H4" s="56">
        <v>1.1953753571547163</v>
      </c>
      <c r="I4" s="56">
        <v>1.3524221258288833</v>
      </c>
      <c r="J4" s="56">
        <v>1.6766796630484628</v>
      </c>
      <c r="K4" s="56">
        <v>1.6876359726155341</v>
      </c>
      <c r="L4" s="56">
        <v>2.3564440897170749</v>
      </c>
      <c r="M4" s="56">
        <v>2.3340603255888541</v>
      </c>
      <c r="N4" s="56">
        <v>2.1505746949418407</v>
      </c>
      <c r="O4" s="56">
        <v>1.7347235127811877</v>
      </c>
      <c r="P4" s="56">
        <v>1.9812477270520525</v>
      </c>
      <c r="Q4" s="56">
        <v>3.0934652035338517</v>
      </c>
      <c r="R4" s="56">
        <v>3.3290085503700677</v>
      </c>
      <c r="S4" s="56">
        <v>3.9549249728549984</v>
      </c>
      <c r="T4" s="56">
        <v>5.2636830362561113</v>
      </c>
      <c r="U4" s="56">
        <v>5.9091672991880655</v>
      </c>
      <c r="V4" s="56">
        <v>4.2072087586570559</v>
      </c>
      <c r="W4" s="56">
        <v>3.10319073489064</v>
      </c>
      <c r="X4" s="56">
        <v>4.5566589026537594</v>
      </c>
      <c r="Y4" s="56">
        <v>5.3274947026381696</v>
      </c>
      <c r="Z4" s="56"/>
      <c r="AA4" s="56"/>
      <c r="AB4" s="56"/>
      <c r="AC4" s="56"/>
      <c r="AD4" s="56"/>
      <c r="AE4" s="56"/>
      <c r="AF4" s="56"/>
      <c r="AG4" s="56"/>
      <c r="DA4" s="181" t="s">
        <v>1025</v>
      </c>
    </row>
    <row r="5" spans="1:105" ht="11.45" customHeight="1" x14ac:dyDescent="0.25">
      <c r="A5" s="57" t="s">
        <v>31</v>
      </c>
      <c r="B5" s="58">
        <v>756.03173513637773</v>
      </c>
      <c r="C5" s="58">
        <v>784.89722455333413</v>
      </c>
      <c r="D5" s="58">
        <v>813.57279025380933</v>
      </c>
      <c r="E5" s="58">
        <v>765.68584840602011</v>
      </c>
      <c r="F5" s="58">
        <v>775.16042361382813</v>
      </c>
      <c r="G5" s="58">
        <v>841.98522290072276</v>
      </c>
      <c r="H5" s="58">
        <v>883.46241320284526</v>
      </c>
      <c r="I5" s="58">
        <v>956.76066679417102</v>
      </c>
      <c r="J5" s="58">
        <v>981.06716033695147</v>
      </c>
      <c r="K5" s="58">
        <v>997.06180402738437</v>
      </c>
      <c r="L5" s="58">
        <v>1118.0355559102832</v>
      </c>
      <c r="M5" s="58">
        <v>1130.8624196744113</v>
      </c>
      <c r="N5" s="58">
        <v>1041.414545305058</v>
      </c>
      <c r="O5" s="58">
        <v>1105.8527964872189</v>
      </c>
      <c r="P5" s="58">
        <v>961.55587227294791</v>
      </c>
      <c r="Q5" s="58">
        <v>1142.876992356466</v>
      </c>
      <c r="R5" s="58">
        <v>1066.3248754896299</v>
      </c>
      <c r="S5" s="58">
        <v>1037.5288049871451</v>
      </c>
      <c r="T5" s="58">
        <v>1038.0304628037436</v>
      </c>
      <c r="U5" s="58">
        <v>957.10812602081205</v>
      </c>
      <c r="V5" s="58">
        <v>753.22140660134289</v>
      </c>
      <c r="W5" s="58">
        <v>836.36218142510938</v>
      </c>
      <c r="X5" s="58">
        <v>883.80879449734641</v>
      </c>
      <c r="Y5" s="58">
        <v>934.51543725736167</v>
      </c>
      <c r="Z5" s="58"/>
      <c r="AA5" s="58"/>
      <c r="AB5" s="58"/>
      <c r="AC5" s="58"/>
      <c r="AD5" s="58"/>
      <c r="AE5" s="58"/>
      <c r="AF5" s="58"/>
      <c r="AG5" s="58"/>
      <c r="DA5" s="182" t="s">
        <v>1026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  <c r="AB6" s="51"/>
      <c r="AC6" s="51"/>
      <c r="AD6" s="51"/>
      <c r="AE6" s="51"/>
      <c r="AF6" s="51"/>
      <c r="AG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  <c r="AB8" s="51"/>
      <c r="AC8" s="51"/>
      <c r="AD8" s="51"/>
      <c r="AE8" s="51"/>
      <c r="AF8" s="51"/>
      <c r="AG8" s="51"/>
      <c r="DA8" s="181"/>
    </row>
    <row r="9" spans="1:105" ht="11.45" customHeight="1" x14ac:dyDescent="0.25">
      <c r="A9" s="53" t="s">
        <v>148</v>
      </c>
      <c r="B9" s="79">
        <f>IF(B3=0,0,B3/TrNavi_ene!B3)</f>
        <v>3.1024188000000001</v>
      </c>
      <c r="C9" s="79">
        <f>IF(C3=0,0,C3/TrNavi_ene!C3)</f>
        <v>3.1024188000000006</v>
      </c>
      <c r="D9" s="79">
        <f>IF(D3=0,0,D3/TrNavi_ene!D3)</f>
        <v>3.1024188000000001</v>
      </c>
      <c r="E9" s="79">
        <f>IF(E3=0,0,E3/TrNavi_ene!E3)</f>
        <v>3.1024188000000001</v>
      </c>
      <c r="F9" s="79">
        <f>IF(F3=0,0,F3/TrNavi_ene!F3)</f>
        <v>3.1024188000000006</v>
      </c>
      <c r="G9" s="79">
        <f>IF(G3=0,0,G3/TrNavi_ene!G3)</f>
        <v>3.1024188000000006</v>
      </c>
      <c r="H9" s="79">
        <f>IF(H3=0,0,H3/TrNavi_ene!H3)</f>
        <v>3.1024188000000006</v>
      </c>
      <c r="I9" s="79">
        <f>IF(I3=0,0,I3/TrNavi_ene!I3)</f>
        <v>3.1024188000000001</v>
      </c>
      <c r="J9" s="79">
        <f>IF(J3=0,0,J3/TrNavi_ene!J3)</f>
        <v>3.1024188000000001</v>
      </c>
      <c r="K9" s="79">
        <f>IF(K3=0,0,K3/TrNavi_ene!K3)</f>
        <v>3.1024188000000001</v>
      </c>
      <c r="L9" s="79">
        <f>IF(L3=0,0,L3/TrNavi_ene!L3)</f>
        <v>3.1024187999999997</v>
      </c>
      <c r="M9" s="79">
        <f>IF(M3=0,0,M3/TrNavi_ene!M3)</f>
        <v>3.1024188000000001</v>
      </c>
      <c r="N9" s="79">
        <f>IF(N3=0,0,N3/TrNavi_ene!N3)</f>
        <v>3.1024188000000001</v>
      </c>
      <c r="O9" s="79">
        <f>IF(O3=0,0,O3/TrNavi_ene!O3)</f>
        <v>3.1024188000000001</v>
      </c>
      <c r="P9" s="79">
        <f>IF(P3=0,0,P3/TrNavi_ene!P3)</f>
        <v>3.1024187999999997</v>
      </c>
      <c r="Q9" s="79">
        <f>IF(Q3=0,0,Q3/TrNavi_ene!Q3)</f>
        <v>3.0851274470227636</v>
      </c>
      <c r="R9" s="79">
        <f>IF(R3=0,0,R3/TrNavi_ene!R3)</f>
        <v>3.0835487147913527</v>
      </c>
      <c r="S9" s="79">
        <f>IF(S3=0,0,S3/TrNavi_ene!S3)</f>
        <v>3.0825980955479872</v>
      </c>
      <c r="T9" s="79">
        <f>IF(T3=0,0,T3/TrNavi_ene!T3)</f>
        <v>3.0693761397407133</v>
      </c>
      <c r="U9" s="79">
        <f>IF(U3=0,0,U3/TrNavi_ene!U3)</f>
        <v>3.0525482542556488</v>
      </c>
      <c r="V9" s="79">
        <f>IF(V3=0,0,V3/TrNavi_ene!V3)</f>
        <v>3.0544547570647196</v>
      </c>
      <c r="W9" s="79">
        <f>IF(W3=0,0,W3/TrNavi_ene!W3)</f>
        <v>3.0648530993813461</v>
      </c>
      <c r="X9" s="79">
        <f>IF(X3=0,0,X3/TrNavi_ene!X3)</f>
        <v>3.0627570451281083</v>
      </c>
      <c r="Y9" s="79">
        <f>IF(Y3=0,0,Y3/TrNavi_ene!Y3)</f>
        <v>3.0674689050365389</v>
      </c>
      <c r="Z9" s="79"/>
      <c r="AA9" s="79"/>
      <c r="AB9" s="79"/>
      <c r="AC9" s="79"/>
      <c r="AD9" s="79"/>
      <c r="AE9" s="79"/>
      <c r="AF9" s="79"/>
      <c r="AG9" s="79"/>
      <c r="DA9" s="172"/>
    </row>
    <row r="10" spans="1:105" ht="11.45" customHeight="1" x14ac:dyDescent="0.25">
      <c r="A10" s="55" t="s">
        <v>30</v>
      </c>
      <c r="B10" s="80">
        <f>IF(B4=0,0,B4/TrNavi_ene!B4)</f>
        <v>3.1024188000000001</v>
      </c>
      <c r="C10" s="80">
        <f>IF(C4=0,0,C4/TrNavi_ene!C4)</f>
        <v>3.1024188000000001</v>
      </c>
      <c r="D10" s="80">
        <f>IF(D4=0,0,D4/TrNavi_ene!D4)</f>
        <v>3.1024188000000001</v>
      </c>
      <c r="E10" s="80">
        <f>IF(E4=0,0,E4/TrNavi_ene!E4)</f>
        <v>3.1024188000000001</v>
      </c>
      <c r="F10" s="80">
        <f>IF(F4=0,0,F4/TrNavi_ene!F4)</f>
        <v>3.1024188000000001</v>
      </c>
      <c r="G10" s="80">
        <f>IF(G4=0,0,G4/TrNavi_ene!G4)</f>
        <v>3.1024188000000001</v>
      </c>
      <c r="H10" s="80">
        <f>IF(H4=0,0,H4/TrNavi_ene!H4)</f>
        <v>3.1024188000000001</v>
      </c>
      <c r="I10" s="80">
        <f>IF(I4=0,0,I4/TrNavi_ene!I4)</f>
        <v>3.1024188000000001</v>
      </c>
      <c r="J10" s="80">
        <f>IF(J4=0,0,J4/TrNavi_ene!J4)</f>
        <v>3.1024188000000001</v>
      </c>
      <c r="K10" s="80">
        <f>IF(K4=0,0,K4/TrNavi_ene!K4)</f>
        <v>3.1024188000000001</v>
      </c>
      <c r="L10" s="80">
        <f>IF(L4=0,0,L4/TrNavi_ene!L4)</f>
        <v>3.1024188000000001</v>
      </c>
      <c r="M10" s="80">
        <f>IF(M4=0,0,M4/TrNavi_ene!M4)</f>
        <v>3.1024188000000001</v>
      </c>
      <c r="N10" s="80">
        <f>IF(N4=0,0,N4/TrNavi_ene!N4)</f>
        <v>3.1024188000000006</v>
      </c>
      <c r="O10" s="80">
        <f>IF(O4=0,0,O4/TrNavi_ene!O4)</f>
        <v>3.1024188000000001</v>
      </c>
      <c r="P10" s="80">
        <f>IF(P4=0,0,P4/TrNavi_ene!P4)</f>
        <v>3.1024188000000001</v>
      </c>
      <c r="Q10" s="80">
        <f>IF(Q4=0,0,Q4/TrNavi_ene!Q4)</f>
        <v>3.0851274470227636</v>
      </c>
      <c r="R10" s="80">
        <f>IF(R4=0,0,R4/TrNavi_ene!R4)</f>
        <v>3.0835487147913527</v>
      </c>
      <c r="S10" s="80">
        <f>IF(S4=0,0,S4/TrNavi_ene!S4)</f>
        <v>3.0825980955479864</v>
      </c>
      <c r="T10" s="80">
        <f>IF(T4=0,0,T4/TrNavi_ene!T4)</f>
        <v>3.0693761397407138</v>
      </c>
      <c r="U10" s="80">
        <f>IF(U4=0,0,U4/TrNavi_ene!U4)</f>
        <v>3.0525482542556479</v>
      </c>
      <c r="V10" s="80">
        <f>IF(V4=0,0,V4/TrNavi_ene!V4)</f>
        <v>3.05445475706472</v>
      </c>
      <c r="W10" s="80">
        <f>IF(W4=0,0,W4/TrNavi_ene!W4)</f>
        <v>3.0648530993813465</v>
      </c>
      <c r="X10" s="80">
        <f>IF(X4=0,0,X4/TrNavi_ene!X4)</f>
        <v>3.0627570451281083</v>
      </c>
      <c r="Y10" s="80">
        <f>IF(Y4=0,0,Y4/TrNavi_ene!Y4)</f>
        <v>3.0674689050365389</v>
      </c>
      <c r="Z10" s="80"/>
      <c r="AA10" s="80"/>
      <c r="AB10" s="80"/>
      <c r="AC10" s="80"/>
      <c r="AD10" s="80"/>
      <c r="AE10" s="80"/>
      <c r="AF10" s="80"/>
      <c r="AG10" s="80"/>
      <c r="DA10" s="181"/>
    </row>
    <row r="11" spans="1:105" ht="11.45" customHeight="1" x14ac:dyDescent="0.25">
      <c r="A11" s="57" t="s">
        <v>31</v>
      </c>
      <c r="B11" s="81">
        <f>IF(B5=0,0,B5/TrNavi_ene!B10)</f>
        <v>3.1024188000000001</v>
      </c>
      <c r="C11" s="81">
        <f>IF(C5=0,0,C5/TrNavi_ene!C10)</f>
        <v>3.1024188000000001</v>
      </c>
      <c r="D11" s="81">
        <f>IF(D5=0,0,D5/TrNavi_ene!D10)</f>
        <v>3.1024188000000001</v>
      </c>
      <c r="E11" s="81">
        <f>IF(E5=0,0,E5/TrNavi_ene!E10)</f>
        <v>3.1024188000000001</v>
      </c>
      <c r="F11" s="81">
        <f>IF(F5=0,0,F5/TrNavi_ene!F10)</f>
        <v>3.1024188000000001</v>
      </c>
      <c r="G11" s="81">
        <f>IF(G5=0,0,G5/TrNavi_ene!G10)</f>
        <v>3.1024188000000001</v>
      </c>
      <c r="H11" s="81">
        <f>IF(H5=0,0,H5/TrNavi_ene!H10)</f>
        <v>3.1024188000000001</v>
      </c>
      <c r="I11" s="81">
        <f>IF(I5=0,0,I5/TrNavi_ene!I10)</f>
        <v>3.1024188000000001</v>
      </c>
      <c r="J11" s="81">
        <f>IF(J5=0,0,J5/TrNavi_ene!J10)</f>
        <v>3.1024188000000001</v>
      </c>
      <c r="K11" s="81">
        <f>IF(K5=0,0,K5/TrNavi_ene!K10)</f>
        <v>3.1024188000000001</v>
      </c>
      <c r="L11" s="81">
        <f>IF(L5=0,0,L5/TrNavi_ene!L10)</f>
        <v>3.1024187999999997</v>
      </c>
      <c r="M11" s="81">
        <f>IF(M5=0,0,M5/TrNavi_ene!M10)</f>
        <v>3.1024188000000001</v>
      </c>
      <c r="N11" s="81">
        <f>IF(N5=0,0,N5/TrNavi_ene!N10)</f>
        <v>3.1024187999999997</v>
      </c>
      <c r="O11" s="81">
        <f>IF(O5=0,0,O5/TrNavi_ene!O10)</f>
        <v>3.1024188000000001</v>
      </c>
      <c r="P11" s="81">
        <f>IF(P5=0,0,P5/TrNavi_ene!P10)</f>
        <v>3.1024188000000001</v>
      </c>
      <c r="Q11" s="81">
        <f>IF(Q5=0,0,Q5/TrNavi_ene!Q10)</f>
        <v>3.0851274470227636</v>
      </c>
      <c r="R11" s="81">
        <f>IF(R5=0,0,R5/TrNavi_ene!R10)</f>
        <v>3.0835487147913527</v>
      </c>
      <c r="S11" s="81">
        <f>IF(S5=0,0,S5/TrNavi_ene!S10)</f>
        <v>3.0825980955479872</v>
      </c>
      <c r="T11" s="81">
        <f>IF(T5=0,0,T5/TrNavi_ene!T10)</f>
        <v>3.0693761397407138</v>
      </c>
      <c r="U11" s="81">
        <f>IF(U5=0,0,U5/TrNavi_ene!U10)</f>
        <v>3.0525482542556484</v>
      </c>
      <c r="V11" s="81">
        <f>IF(V5=0,0,V5/TrNavi_ene!V10)</f>
        <v>3.0544547570647196</v>
      </c>
      <c r="W11" s="81">
        <f>IF(W5=0,0,W5/TrNavi_ene!W10)</f>
        <v>3.0648530993813461</v>
      </c>
      <c r="X11" s="81">
        <f>IF(X5=0,0,X5/TrNavi_ene!X10)</f>
        <v>3.0627570451281083</v>
      </c>
      <c r="Y11" s="81">
        <f>IF(Y5=0,0,Y5/TrNavi_ene!Y10)</f>
        <v>3.0674689050365389</v>
      </c>
      <c r="Z11" s="81"/>
      <c r="AA11" s="81"/>
      <c r="AB11" s="81"/>
      <c r="AC11" s="81"/>
      <c r="AD11" s="81"/>
      <c r="AE11" s="81"/>
      <c r="AF11" s="81"/>
      <c r="AG11" s="81"/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  <c r="AB12" s="51"/>
      <c r="AC12" s="51"/>
      <c r="AD12" s="51"/>
      <c r="AE12" s="51"/>
      <c r="AF12" s="51"/>
      <c r="AG12" s="51"/>
      <c r="DA12" s="181"/>
    </row>
    <row r="13" spans="1:105" ht="11.45" customHeight="1" x14ac:dyDescent="0.25">
      <c r="A13" s="53" t="s">
        <v>129</v>
      </c>
      <c r="B13" s="54">
        <f>IF(B3=0,0,B3/TrNavi_act!B7*1000)</f>
        <v>15826.977227333558</v>
      </c>
      <c r="C13" s="54">
        <f>IF(C3=0,0,C3/TrNavi_act!C7*1000)</f>
        <v>16023.919007138487</v>
      </c>
      <c r="D13" s="54">
        <f>IF(D3=0,0,D3/TrNavi_act!D7*1000)</f>
        <v>16474.74640260555</v>
      </c>
      <c r="E13" s="54">
        <f>IF(E3=0,0,E3/TrNavi_act!E7*1000)</f>
        <v>16377.648150253197</v>
      </c>
      <c r="F13" s="54">
        <f>IF(F3=0,0,F3/TrNavi_act!F7*1000)</f>
        <v>15691.526749969673</v>
      </c>
      <c r="G13" s="54">
        <f>IF(G3=0,0,G3/TrNavi_act!G7*1000)</f>
        <v>16512.397503378314</v>
      </c>
      <c r="H13" s="54">
        <f>IF(H3=0,0,H3/TrNavi_act!H7*1000)</f>
        <v>16917.974193647089</v>
      </c>
      <c r="I13" s="54">
        <f>IF(I3=0,0,I3/TrNavi_act!I7*1000)</f>
        <v>16777.800737575733</v>
      </c>
      <c r="J13" s="54">
        <f>IF(J3=0,0,J3/TrNavi_act!J7*1000)</f>
        <v>17649.219496426136</v>
      </c>
      <c r="K13" s="54">
        <f>IF(K3=0,0,K3/TrNavi_act!K7*1000)</f>
        <v>20443.555082490686</v>
      </c>
      <c r="L13" s="54">
        <f>IF(L3=0,0,L3/TrNavi_act!L7*1000)</f>
        <v>22705.739299610901</v>
      </c>
      <c r="M13" s="54">
        <f>IF(M3=0,0,M3/TrNavi_act!M7*1000)</f>
        <v>19842.695196904166</v>
      </c>
      <c r="N13" s="54">
        <f>IF(N3=0,0,N3/TrNavi_act!N7*1000)</f>
        <v>18826.041275797372</v>
      </c>
      <c r="O13" s="54">
        <f>IF(O3=0,0,O3/TrNavi_act!O7*1000)</f>
        <v>19176.348211503169</v>
      </c>
      <c r="P13" s="54">
        <f>IF(P3=0,0,P3/TrNavi_act!P7*1000)</f>
        <v>17763.344947735193</v>
      </c>
      <c r="Q13" s="54">
        <f>IF(Q3=0,0,Q3/TrNavi_act!Q7*1000)</f>
        <v>20363.395720378132</v>
      </c>
      <c r="R13" s="54">
        <f>IF(R3=0,0,R3/TrNavi_act!R7*1000)</f>
        <v>19700.41778473552</v>
      </c>
      <c r="S13" s="54">
        <f>IF(S3=0,0,S3/TrNavi_act!S7*1000)</f>
        <v>19442.636883902407</v>
      </c>
      <c r="T13" s="54">
        <f>IF(T3=0,0,T3/TrNavi_act!T7*1000)</f>
        <v>19869.620161883169</v>
      </c>
      <c r="U13" s="54">
        <f>IF(U3=0,0,U3/TrNavi_act!U7*1000)</f>
        <v>19124.561479892764</v>
      </c>
      <c r="V13" s="54">
        <f>IF(V3=0,0,V3/TrNavi_act!V7*1000)</f>
        <v>17653.209699342748</v>
      </c>
      <c r="W13" s="54">
        <f>IF(W3=0,0,W3/TrNavi_act!W7*1000)</f>
        <v>18050.689634885821</v>
      </c>
      <c r="X13" s="54">
        <f>IF(X3=0,0,X3/TrNavi_act!X7*1000)</f>
        <v>19143.744281866184</v>
      </c>
      <c r="Y13" s="54">
        <f>IF(Y3=0,0,Y3/TrNavi_act!Y7*1000)</f>
        <v>20383.953238336911</v>
      </c>
      <c r="Z13" s="62"/>
      <c r="AA13" s="62"/>
      <c r="AB13" s="62"/>
      <c r="AC13" s="62"/>
      <c r="AD13" s="62"/>
      <c r="AE13" s="62"/>
      <c r="AF13" s="62"/>
      <c r="AG13" s="62"/>
      <c r="DA13" s="172" t="s">
        <v>1027</v>
      </c>
    </row>
    <row r="14" spans="1:105" ht="11.45" customHeight="1" x14ac:dyDescent="0.25">
      <c r="A14" s="55" t="s">
        <v>30</v>
      </c>
      <c r="B14" s="56">
        <f>IF(B4=0,0,B4/TrNavi_act!B8*1000)</f>
        <v>146270.63060372617</v>
      </c>
      <c r="C14" s="56">
        <f>IF(C4=0,0,C4/TrNavi_act!C8*1000)</f>
        <v>151104.87333317616</v>
      </c>
      <c r="D14" s="56">
        <f>IF(D4=0,0,D4/TrNavi_act!D8*1000)</f>
        <v>164669.7332381712</v>
      </c>
      <c r="E14" s="56">
        <f>IF(E4=0,0,E4/TrNavi_act!E8*1000)</f>
        <v>160892.53479598148</v>
      </c>
      <c r="F14" s="56">
        <f>IF(F4=0,0,F4/TrNavi_act!F8*1000)</f>
        <v>151851.06436197829</v>
      </c>
      <c r="G14" s="56">
        <f>IF(G4=0,0,G4/TrNavi_act!G8*1000)</f>
        <v>164900.85989673834</v>
      </c>
      <c r="H14" s="56">
        <f>IF(H4=0,0,H4/TrNavi_act!H8*1000)</f>
        <v>170767.90816495946</v>
      </c>
      <c r="I14" s="56">
        <f>IF(I4=0,0,I4/TrNavi_act!I8*1000)</f>
        <v>169052.76572861042</v>
      </c>
      <c r="J14" s="56">
        <f>IF(J4=0,0,J4/TrNavi_act!J8*1000)</f>
        <v>186297.74033871811</v>
      </c>
      <c r="K14" s="56">
        <f>IF(K4=0,0,K4/TrNavi_act!K8*1000)</f>
        <v>210954.49657694175</v>
      </c>
      <c r="L14" s="56">
        <f>IF(L4=0,0,L4/TrNavi_act!L8*1000)</f>
        <v>235644.40897170748</v>
      </c>
      <c r="M14" s="56">
        <f>IF(M4=0,0,M4/TrNavi_act!M8*1000)</f>
        <v>212187.30232625947</v>
      </c>
      <c r="N14" s="56">
        <f>IF(N4=0,0,N4/TrNavi_act!N8*1000)</f>
        <v>195506.79044925826</v>
      </c>
      <c r="O14" s="56">
        <f>IF(O4=0,0,O4/TrNavi_act!O8*1000)</f>
        <v>192747.05697568753</v>
      </c>
      <c r="P14" s="56">
        <f>IF(P4=0,0,P4/TrNavi_act!P8*1000)</f>
        <v>180113.42973200479</v>
      </c>
      <c r="Q14" s="56">
        <f>IF(Q4=0,0,Q4/TrNavi_act!Q8*1000)</f>
        <v>206231.01356892346</v>
      </c>
      <c r="R14" s="56">
        <f>IF(R4=0,0,R4/TrNavi_act!R8*1000)</f>
        <v>208063.03439812921</v>
      </c>
      <c r="S14" s="56">
        <f>IF(S4=0,0,S4/TrNavi_act!S8*1000)</f>
        <v>219718.05404749993</v>
      </c>
      <c r="T14" s="56">
        <f>IF(T4=0,0,T4/TrNavi_act!T8*1000)</f>
        <v>219320.12651067131</v>
      </c>
      <c r="U14" s="56">
        <f>IF(U4=0,0,U4/TrNavi_act!U8*1000)</f>
        <v>203764.38962717468</v>
      </c>
      <c r="V14" s="56">
        <f>IF(V4=0,0,V4/TrNavi_act!V8*1000)</f>
        <v>175300.36494404401</v>
      </c>
      <c r="W14" s="56">
        <f>IF(W4=0,0,W4/TrNavi_act!W8*1000)</f>
        <v>182540.63146415527</v>
      </c>
      <c r="X14" s="56">
        <f>IF(X4=0,0,X4/TrNavi_act!X8*1000)</f>
        <v>207120.85921153452</v>
      </c>
      <c r="Y14" s="56">
        <f>IF(Y4=0,0,Y4/TrNavi_act!Y8*1000)</f>
        <v>221978.94594325707</v>
      </c>
      <c r="Z14" s="63"/>
      <c r="AA14" s="63"/>
      <c r="AB14" s="63"/>
      <c r="AC14" s="63"/>
      <c r="AD14" s="63"/>
      <c r="AE14" s="63"/>
      <c r="AF14" s="63"/>
      <c r="AG14" s="63"/>
      <c r="DA14" s="181" t="s">
        <v>1028</v>
      </c>
    </row>
    <row r="15" spans="1:105" ht="11.45" customHeight="1" x14ac:dyDescent="0.25">
      <c r="A15" s="57" t="s">
        <v>31</v>
      </c>
      <c r="B15" s="58">
        <f>IF(B5=0,0,B5/TrNavi_act!B9*1000)</f>
        <v>15810.609710493491</v>
      </c>
      <c r="C15" s="58">
        <f>IF(C5=0,0,C5/TrNavi_act!C9*1000)</f>
        <v>16010.142265238841</v>
      </c>
      <c r="D15" s="58">
        <f>IF(D5=0,0,D5/TrNavi_act!D9*1000)</f>
        <v>16459.755406931487</v>
      </c>
      <c r="E15" s="58">
        <f>IF(E5=0,0,E5/TrNavi_act!E9*1000)</f>
        <v>16362.207205872728</v>
      </c>
      <c r="F15" s="58">
        <f>IF(F5=0,0,F5/TrNavi_act!F9*1000)</f>
        <v>15675.00654399879</v>
      </c>
      <c r="G15" s="58">
        <f>IF(G5=0,0,G5/TrNavi_act!G9*1000)</f>
        <v>16492.05200181617</v>
      </c>
      <c r="H15" s="58">
        <f>IF(H5=0,0,H5/TrNavi_act!H9*1000)</f>
        <v>16897.376122768826</v>
      </c>
      <c r="I15" s="58">
        <f>IF(I5=0,0,I5/TrNavi_act!I9*1000)</f>
        <v>16756.465494311025</v>
      </c>
      <c r="J15" s="58">
        <f>IF(J5=0,0,J5/TrNavi_act!J9*1000)</f>
        <v>17621.956070931177</v>
      </c>
      <c r="K15" s="58">
        <f>IF(K5=0,0,K5/TrNavi_act!K9*1000)</f>
        <v>20412.353192224222</v>
      </c>
      <c r="L15" s="58">
        <f>IF(L5=0,0,L5/TrNavi_act!L9*1000)</f>
        <v>22662.576639037641</v>
      </c>
      <c r="M15" s="58">
        <f>IF(M5=0,0,M5/TrNavi_act!M9*1000)</f>
        <v>19805.639771522845</v>
      </c>
      <c r="N15" s="58">
        <f>IF(N5=0,0,N5/TrNavi_act!N9*1000)</f>
        <v>18790.97355343747</v>
      </c>
      <c r="O15" s="58">
        <f>IF(O5=0,0,O5/TrNavi_act!O9*1000)</f>
        <v>19149.297762510501</v>
      </c>
      <c r="P15" s="58">
        <f>IF(P5=0,0,P5/TrNavi_act!P9*1000)</f>
        <v>17730.415110505754</v>
      </c>
      <c r="Q15" s="58">
        <f>IF(Q5=0,0,Q5/TrNavi_act!Q9*1000)</f>
        <v>20313.840713042177</v>
      </c>
      <c r="R15" s="58">
        <f>IF(R5=0,0,R5/TrNavi_act!R9*1000)</f>
        <v>19644.894537391858</v>
      </c>
      <c r="S15" s="58">
        <f>IF(S5=0,0,S5/TrNavi_act!S9*1000)</f>
        <v>19375.316158791858</v>
      </c>
      <c r="T15" s="58">
        <f>IF(T5=0,0,T5/TrNavi_act!T9*1000)</f>
        <v>19778.413253886854</v>
      </c>
      <c r="U15" s="58">
        <f>IF(U5=0,0,U5/TrNavi_act!U9*1000)</f>
        <v>19018.164090545881</v>
      </c>
      <c r="V15" s="58">
        <f>IF(V5=0,0,V5/TrNavi_act!V9*1000)</f>
        <v>17564.978466520752</v>
      </c>
      <c r="W15" s="58">
        <f>IF(W5=0,0,W5/TrNavi_act!W9*1000)</f>
        <v>17990.539298008334</v>
      </c>
      <c r="X15" s="58">
        <f>IF(X5=0,0,X5/TrNavi_act!X9*1000)</f>
        <v>19054.584535225109</v>
      </c>
      <c r="Y15" s="58">
        <f>IF(Y5=0,0,Y5/TrNavi_act!Y9*1000)</f>
        <v>20278.962681625799</v>
      </c>
      <c r="Z15" s="64"/>
      <c r="AA15" s="64"/>
      <c r="AB15" s="64"/>
      <c r="AC15" s="64"/>
      <c r="AD15" s="64"/>
      <c r="AE15" s="64"/>
      <c r="AF15" s="64"/>
      <c r="AG15" s="64"/>
      <c r="DA15" s="182" t="s">
        <v>1029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  <c r="AB16" s="51"/>
      <c r="AC16" s="51"/>
      <c r="AD16" s="51"/>
      <c r="AE16" s="51"/>
      <c r="AF16" s="51"/>
      <c r="AG16" s="51"/>
      <c r="DA16" s="181"/>
    </row>
    <row r="17" spans="1:105" ht="11.45" customHeight="1" x14ac:dyDescent="0.25">
      <c r="A17" s="53" t="s">
        <v>163</v>
      </c>
      <c r="B17" s="62">
        <f>IF(B3=0,0,B3/TrNavi_act!B3*1000)</f>
        <v>18.33358024671622</v>
      </c>
      <c r="C17" s="62">
        <f>IF(C3=0,0,C3/TrNavi_act!C3*1000)</f>
        <v>18.792489682943714</v>
      </c>
      <c r="D17" s="62">
        <f>IF(D3=0,0,D3/TrNavi_act!D3*1000)</f>
        <v>19.864847147642987</v>
      </c>
      <c r="E17" s="62">
        <f>IF(E3=0,0,E3/TrNavi_act!E3*1000)</f>
        <v>19.630661054284062</v>
      </c>
      <c r="F17" s="62">
        <f>IF(F3=0,0,F3/TrNavi_act!F3*1000)</f>
        <v>18.020556727222388</v>
      </c>
      <c r="G17" s="62">
        <f>IF(G3=0,0,G3/TrNavi_act!G3*1000)</f>
        <v>19.955047957795642</v>
      </c>
      <c r="H17" s="62">
        <f>IF(H3=0,0,H3/TrNavi_act!H3*1000)</f>
        <v>20.945659332605402</v>
      </c>
      <c r="I17" s="62">
        <f>IF(I3=0,0,I3/TrNavi_act!I3*1000)</f>
        <v>20.600052760871399</v>
      </c>
      <c r="J17" s="62">
        <f>IF(J3=0,0,J3/TrNavi_act!J3*1000)</f>
        <v>21.244035609096311</v>
      </c>
      <c r="K17" s="62">
        <f>IF(K3=0,0,K3/TrNavi_act!K3*1000)</f>
        <v>26.361039789263593</v>
      </c>
      <c r="L17" s="62">
        <f>IF(L3=0,0,L3/TrNavi_act!L3*1000)</f>
        <v>24.047169189698625</v>
      </c>
      <c r="M17" s="62">
        <f>IF(M3=0,0,M3/TrNavi_act!M3*1000)</f>
        <v>24.37392155225109</v>
      </c>
      <c r="N17" s="62">
        <f>IF(N3=0,0,N3/TrNavi_act!N3*1000)</f>
        <v>21.93994720529005</v>
      </c>
      <c r="O17" s="62">
        <f>IF(O3=0,0,O3/TrNavi_act!O3*1000)</f>
        <v>22.765455633961881</v>
      </c>
      <c r="P17" s="62">
        <f>IF(P3=0,0,P3/TrNavi_act!P3*1000)</f>
        <v>19.534317381685693</v>
      </c>
      <c r="Q17" s="62">
        <f>IF(Q3=0,0,Q3/TrNavi_act!Q3*1000)</f>
        <v>23.588823153738989</v>
      </c>
      <c r="R17" s="62">
        <f>IF(R3=0,0,R3/TrNavi_act!R3*1000)</f>
        <v>21.896973909993108</v>
      </c>
      <c r="S17" s="62">
        <f>IF(S3=0,0,S3/TrNavi_act!S3*1000)</f>
        <v>21.223221896398169</v>
      </c>
      <c r="T17" s="62">
        <f>IF(T3=0,0,T3/TrNavi_act!T3*1000)</f>
        <v>22.212562144957349</v>
      </c>
      <c r="U17" s="62">
        <f>IF(U3=0,0,U3/TrNavi_act!U3*1000)</f>
        <v>20.454668167838182</v>
      </c>
      <c r="V17" s="62">
        <f>IF(V3=0,0,V3/TrNavi_act!V3*1000)</f>
        <v>16.740971508137452</v>
      </c>
      <c r="W17" s="62">
        <f>IF(W3=0,0,W3/TrNavi_act!W3*1000)</f>
        <v>17.692156221165416</v>
      </c>
      <c r="X17" s="62">
        <f>IF(X3=0,0,X3/TrNavi_act!X3*1000)</f>
        <v>19.909560674336422</v>
      </c>
      <c r="Y17" s="62">
        <f>IF(Y3=0,0,Y3/TrNavi_act!Y3*1000)</f>
        <v>22.53479418913717</v>
      </c>
      <c r="Z17" s="62"/>
      <c r="AA17" s="62"/>
      <c r="AB17" s="62"/>
      <c r="AC17" s="62"/>
      <c r="AD17" s="62"/>
      <c r="AE17" s="62"/>
      <c r="AF17" s="62"/>
      <c r="AG17" s="62"/>
      <c r="DA17" s="172" t="s">
        <v>449</v>
      </c>
    </row>
    <row r="18" spans="1:105" ht="11.45" customHeight="1" x14ac:dyDescent="0.25">
      <c r="A18" s="55" t="s">
        <v>30</v>
      </c>
      <c r="B18" s="63">
        <f>IF(B4=0,0,B4/TrNavi_act!B4*1000)</f>
        <v>60.908028567031508</v>
      </c>
      <c r="C18" s="63">
        <f>IF(C4=0,0,C4/TrNavi_act!C4*1000)</f>
        <v>54.983215680509488</v>
      </c>
      <c r="D18" s="63">
        <f>IF(D4=0,0,D4/TrNavi_act!D4*1000)</f>
        <v>59.451849678016892</v>
      </c>
      <c r="E18" s="63">
        <f>IF(E4=0,0,E4/TrNavi_act!E4*1000)</f>
        <v>55.221215951393972</v>
      </c>
      <c r="F18" s="63">
        <f>IF(F4=0,0,F4/TrNavi_act!F4*1000)</f>
        <v>53.905241165061511</v>
      </c>
      <c r="G18" s="63">
        <f>IF(G4=0,0,G4/TrNavi_act!G4*1000)</f>
        <v>60.938972615202644</v>
      </c>
      <c r="H18" s="63">
        <f>IF(H4=0,0,H4/TrNavi_act!H4*1000)</f>
        <v>57.323903378636942</v>
      </c>
      <c r="I18" s="63">
        <f>IF(I4=0,0,I4/TrNavi_act!I4*1000)</f>
        <v>55.82753873390643</v>
      </c>
      <c r="J18" s="63">
        <f>IF(J4=0,0,J4/TrNavi_act!J4*1000)</f>
        <v>65.106188135303185</v>
      </c>
      <c r="K18" s="63">
        <f>IF(K4=0,0,K4/TrNavi_act!K4*1000)</f>
        <v>69.361554092126667</v>
      </c>
      <c r="L18" s="63">
        <f>IF(L4=0,0,L4/TrNavi_act!L4*1000)</f>
        <v>80.069455987668192</v>
      </c>
      <c r="M18" s="63">
        <f>IF(M4=0,0,M4/TrNavi_act!M4*1000)</f>
        <v>77.366181364607854</v>
      </c>
      <c r="N18" s="63">
        <f>IF(N4=0,0,N4/TrNavi_act!N4*1000)</f>
        <v>68.026023120827503</v>
      </c>
      <c r="O18" s="63">
        <f>IF(O4=0,0,O4/TrNavi_act!O4*1000)</f>
        <v>69.076713765029581</v>
      </c>
      <c r="P18" s="63">
        <f>IF(P4=0,0,P4/TrNavi_act!P4*1000)</f>
        <v>65.271388517231756</v>
      </c>
      <c r="Q18" s="63">
        <f>IF(Q4=0,0,Q4/TrNavi_act!Q4*1000)</f>
        <v>67.135405259209406</v>
      </c>
      <c r="R18" s="63">
        <f>IF(R4=0,0,R4/TrNavi_act!R4*1000)</f>
        <v>64.77552488412951</v>
      </c>
      <c r="S18" s="63">
        <f>IF(S4=0,0,S4/TrNavi_act!S4*1000)</f>
        <v>68.379352205383981</v>
      </c>
      <c r="T18" s="63">
        <f>IF(T4=0,0,T4/TrNavi_act!T4*1000)</f>
        <v>68.668080416626808</v>
      </c>
      <c r="U18" s="63">
        <f>IF(U4=0,0,U4/TrNavi_act!U4*1000)</f>
        <v>67.48475154103977</v>
      </c>
      <c r="V18" s="63">
        <f>IF(V4=0,0,V4/TrNavi_act!V4*1000)</f>
        <v>53.934425027011457</v>
      </c>
      <c r="W18" s="63">
        <f>IF(W4=0,0,W4/TrNavi_act!W4*1000)</f>
        <v>56.992612075348312</v>
      </c>
      <c r="X18" s="63">
        <f>IF(X4=0,0,X4/TrNavi_act!X4*1000)</f>
        <v>65.997406002835319</v>
      </c>
      <c r="Y18" s="63">
        <f>IF(Y4=0,0,Y4/TrNavi_act!Y4*1000)</f>
        <v>70.748382548115174</v>
      </c>
      <c r="Z18" s="63"/>
      <c r="AA18" s="63"/>
      <c r="AB18" s="63"/>
      <c r="AC18" s="63"/>
      <c r="AD18" s="63"/>
      <c r="AE18" s="63"/>
      <c r="AF18" s="63"/>
      <c r="AG18" s="63"/>
      <c r="DA18" s="181" t="s">
        <v>450</v>
      </c>
    </row>
    <row r="19" spans="1:105" ht="11.45" customHeight="1" x14ac:dyDescent="0.25">
      <c r="A19" s="57" t="s">
        <v>31</v>
      </c>
      <c r="B19" s="64">
        <f>IF(B5=0,0,B5/TrNavi_act!B5*1000)</f>
        <v>18.318716172042784</v>
      </c>
      <c r="C19" s="64">
        <f>IF(C5=0,0,C5/TrNavi_act!C5*1000)</f>
        <v>18.780590638464194</v>
      </c>
      <c r="D19" s="64">
        <f>IF(D5=0,0,D5/TrNavi_act!D5*1000)</f>
        <v>19.851469883947232</v>
      </c>
      <c r="E19" s="64">
        <f>IF(E5=0,0,E5/TrNavi_act!E5*1000)</f>
        <v>19.617377172145734</v>
      </c>
      <c r="F19" s="64">
        <f>IF(F5=0,0,F5/TrNavi_act!F5*1000)</f>
        <v>18.006467597710241</v>
      </c>
      <c r="G19" s="64">
        <f>IF(G5=0,0,G5/TrNavi_act!G5*1000)</f>
        <v>19.936666182859913</v>
      </c>
      <c r="H19" s="64">
        <f>IF(H5=0,0,H5/TrNavi_act!H5*1000)</f>
        <v>20.92768952274891</v>
      </c>
      <c r="I19" s="64">
        <f>IF(I5=0,0,I5/TrNavi_act!I5*1000)</f>
        <v>20.581694849936994</v>
      </c>
      <c r="J19" s="64">
        <f>IF(J5=0,0,J5/TrNavi_act!J5*1000)</f>
        <v>21.219603762100434</v>
      </c>
      <c r="K19" s="64">
        <f>IF(K5=0,0,K5/TrNavi_act!K5*1000)</f>
        <v>26.33340739052332</v>
      </c>
      <c r="L19" s="64">
        <f>IF(L5=0,0,L5/TrNavi_act!L5*1000)</f>
        <v>24.011759716298336</v>
      </c>
      <c r="M19" s="64">
        <f>IF(M5=0,0,M5/TrNavi_act!M5*1000)</f>
        <v>24.339512282605384</v>
      </c>
      <c r="N19" s="64">
        <f>IF(N5=0,0,N5/TrNavi_act!N5*1000)</f>
        <v>21.909295548462289</v>
      </c>
      <c r="O19" s="64">
        <f>IF(O5=0,0,O5/TrNavi_act!O5*1000)</f>
        <v>22.741538579127212</v>
      </c>
      <c r="P19" s="64">
        <f>IF(P5=0,0,P5/TrNavi_act!P5*1000)</f>
        <v>19.506154219960397</v>
      </c>
      <c r="Q19" s="64">
        <f>IF(Q5=0,0,Q5/TrNavi_act!Q5*1000)</f>
        <v>23.547481041649654</v>
      </c>
      <c r="R19" s="64">
        <f>IF(R5=0,0,R5/TrNavi_act!R5*1000)</f>
        <v>21.851815145900034</v>
      </c>
      <c r="S19" s="64">
        <f>IF(S5=0,0,S5/TrNavi_act!S5*1000)</f>
        <v>21.167577374010914</v>
      </c>
      <c r="T19" s="64">
        <f>IF(T5=0,0,T5/TrNavi_act!T5*1000)</f>
        <v>22.136621658358433</v>
      </c>
      <c r="U19" s="64">
        <f>IF(U5=0,0,U5/TrNavi_act!U5*1000)</f>
        <v>20.367036069644669</v>
      </c>
      <c r="V19" s="64">
        <f>IF(V5=0,0,V5/TrNavi_act!V5*1000)</f>
        <v>16.676734858108819</v>
      </c>
      <c r="W19" s="64">
        <f>IF(W5=0,0,W5/TrNavi_act!W5*1000)</f>
        <v>17.647005558195328</v>
      </c>
      <c r="X19" s="64">
        <f>IF(X5=0,0,X5/TrNavi_act!X5*1000)</f>
        <v>19.838135945261527</v>
      </c>
      <c r="Y19" s="64">
        <f>IF(Y5=0,0,Y5/TrNavi_act!Y5*1000)</f>
        <v>22.447585627473799</v>
      </c>
      <c r="Z19" s="64"/>
      <c r="AA19" s="64"/>
      <c r="AB19" s="64"/>
      <c r="AC19" s="64"/>
      <c r="AD19" s="64"/>
      <c r="AE19" s="64"/>
      <c r="AF19" s="64"/>
      <c r="AG19" s="64"/>
      <c r="DA19" s="182" t="s">
        <v>451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  <c r="AB20" s="51"/>
      <c r="AC20" s="51"/>
      <c r="AD20" s="51"/>
      <c r="AE20" s="51"/>
      <c r="AF20" s="51"/>
      <c r="AG20" s="51"/>
      <c r="DA20" s="181"/>
    </row>
    <row r="21" spans="1:105" ht="11.45" customHeight="1" x14ac:dyDescent="0.25">
      <c r="A21" s="53" t="s">
        <v>41</v>
      </c>
      <c r="B21" s="76">
        <f t="shared" ref="B21:U21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ref="V21:W21" si="4">IF(V3=0,0,V3/V$3)</f>
        <v>1</v>
      </c>
      <c r="W21" s="76">
        <f t="shared" si="4"/>
        <v>1</v>
      </c>
      <c r="X21" s="76">
        <f t="shared" ref="X21:Y21" si="5">IF(X3=0,0,X3/X$3)</f>
        <v>1</v>
      </c>
      <c r="Y21" s="76">
        <f t="shared" si="5"/>
        <v>1</v>
      </c>
      <c r="Z21" s="76"/>
      <c r="AA21" s="76"/>
      <c r="AB21" s="76"/>
      <c r="AC21" s="76"/>
      <c r="AD21" s="76"/>
      <c r="AE21" s="76"/>
      <c r="AF21" s="76"/>
      <c r="AG21" s="76"/>
      <c r="DA21" s="183"/>
    </row>
    <row r="22" spans="1:105" ht="11.45" customHeight="1" x14ac:dyDescent="0.25">
      <c r="A22" s="55" t="s">
        <v>30</v>
      </c>
      <c r="B22" s="77">
        <f t="shared" ref="B22:U22" si="6">IF(B4=0,0,B4/B$3)</f>
        <v>1.1594833295159662E-3</v>
      </c>
      <c r="C22" s="77">
        <f t="shared" si="6"/>
        <v>9.6165178280667224E-4</v>
      </c>
      <c r="D22" s="77">
        <f t="shared" si="6"/>
        <v>1.0109928410057642E-3</v>
      </c>
      <c r="E22" s="77">
        <f t="shared" si="6"/>
        <v>1.0495405647677446E-3</v>
      </c>
      <c r="F22" s="77">
        <f t="shared" si="6"/>
        <v>1.1739979511577621E-3</v>
      </c>
      <c r="G22" s="77">
        <f t="shared" si="6"/>
        <v>1.3690569350434205E-3</v>
      </c>
      <c r="H22" s="77">
        <f t="shared" si="6"/>
        <v>1.3512291109768967E-3</v>
      </c>
      <c r="I22" s="77">
        <f t="shared" si="6"/>
        <v>1.4115474900289221E-3</v>
      </c>
      <c r="J22" s="77">
        <f t="shared" si="6"/>
        <v>1.7061207557896908E-3</v>
      </c>
      <c r="K22" s="77">
        <f t="shared" si="6"/>
        <v>1.6897491052566039E-3</v>
      </c>
      <c r="L22" s="77">
        <f t="shared" si="6"/>
        <v>2.1032318061152476E-3</v>
      </c>
      <c r="M22" s="77">
        <f t="shared" si="6"/>
        <v>2.0597137096550582E-3</v>
      </c>
      <c r="N22" s="77">
        <f t="shared" si="6"/>
        <v>2.0607958753372678E-3</v>
      </c>
      <c r="O22" s="77">
        <f t="shared" si="6"/>
        <v>1.5662180021504646E-3</v>
      </c>
      <c r="P22" s="77">
        <f t="shared" si="6"/>
        <v>2.0562235599725026E-3</v>
      </c>
      <c r="Q22" s="77">
        <f t="shared" si="6"/>
        <v>2.6994284042194745E-3</v>
      </c>
      <c r="R22" s="77">
        <f t="shared" si="6"/>
        <v>3.1122296661015808E-3</v>
      </c>
      <c r="S22" s="77">
        <f t="shared" si="6"/>
        <v>3.7973948695356899E-3</v>
      </c>
      <c r="T22" s="77">
        <f t="shared" si="6"/>
        <v>5.0452531122161153E-3</v>
      </c>
      <c r="U22" s="77">
        <f t="shared" si="6"/>
        <v>6.1360967660468724E-3</v>
      </c>
      <c r="V22" s="77">
        <f t="shared" ref="V22:W22" si="7">IF(V4=0,0,V4/V$3)</f>
        <v>5.5545944176632438E-3</v>
      </c>
      <c r="W22" s="77">
        <f t="shared" si="7"/>
        <v>3.6966274462351253E-3</v>
      </c>
      <c r="X22" s="77">
        <f t="shared" ref="X22:Y22" si="8">IF(X4=0,0,X4/X$3)</f>
        <v>5.1292617077963454E-3</v>
      </c>
      <c r="Y22" s="77">
        <f t="shared" si="8"/>
        <v>5.66849472552602E-3</v>
      </c>
      <c r="Z22" s="77"/>
      <c r="AA22" s="77"/>
      <c r="AB22" s="77"/>
      <c r="AC22" s="77"/>
      <c r="AD22" s="77"/>
      <c r="AE22" s="77"/>
      <c r="AF22" s="77"/>
      <c r="AG22" s="77"/>
      <c r="DA22" s="184"/>
    </row>
    <row r="23" spans="1:105" ht="11.45" customHeight="1" x14ac:dyDescent="0.25">
      <c r="A23" s="57" t="s">
        <v>31</v>
      </c>
      <c r="B23" s="78">
        <f t="shared" ref="B23:U23" si="9">IF(B5=0,0,B5/B$3)</f>
        <v>0.99884051667048412</v>
      </c>
      <c r="C23" s="78">
        <f t="shared" si="9"/>
        <v>0.99903834821719328</v>
      </c>
      <c r="D23" s="78">
        <f t="shared" si="9"/>
        <v>0.99898900715899419</v>
      </c>
      <c r="E23" s="78">
        <f t="shared" si="9"/>
        <v>0.99895045943523231</v>
      </c>
      <c r="F23" s="78">
        <f t="shared" si="9"/>
        <v>0.9988260020488422</v>
      </c>
      <c r="G23" s="78">
        <f t="shared" si="9"/>
        <v>0.99863094306495648</v>
      </c>
      <c r="H23" s="78">
        <f t="shared" si="9"/>
        <v>0.99864877088902315</v>
      </c>
      <c r="I23" s="78">
        <f t="shared" si="9"/>
        <v>0.99858845250997108</v>
      </c>
      <c r="J23" s="78">
        <f t="shared" si="9"/>
        <v>0.99829387924421031</v>
      </c>
      <c r="K23" s="78">
        <f t="shared" si="9"/>
        <v>0.99831025089474335</v>
      </c>
      <c r="L23" s="78">
        <f t="shared" si="9"/>
        <v>0.99789676819388473</v>
      </c>
      <c r="M23" s="78">
        <f t="shared" si="9"/>
        <v>0.99794028629034504</v>
      </c>
      <c r="N23" s="78">
        <f t="shared" si="9"/>
        <v>0.99793920412466264</v>
      </c>
      <c r="O23" s="78">
        <f t="shared" si="9"/>
        <v>0.9984337819978496</v>
      </c>
      <c r="P23" s="78">
        <f t="shared" si="9"/>
        <v>0.99794377644002752</v>
      </c>
      <c r="Q23" s="78">
        <f t="shared" si="9"/>
        <v>0.99730057159578045</v>
      </c>
      <c r="R23" s="78">
        <f t="shared" si="9"/>
        <v>0.99688777033389853</v>
      </c>
      <c r="S23" s="78">
        <f t="shared" si="9"/>
        <v>0.99620260513046432</v>
      </c>
      <c r="T23" s="78">
        <f t="shared" si="9"/>
        <v>0.99495474688778396</v>
      </c>
      <c r="U23" s="78">
        <f t="shared" si="9"/>
        <v>0.99386390323395313</v>
      </c>
      <c r="V23" s="78">
        <f t="shared" ref="V23:W23" si="10">IF(V5=0,0,V5/V$3)</f>
        <v>0.99444540558233674</v>
      </c>
      <c r="W23" s="78">
        <f t="shared" si="10"/>
        <v>0.99630337255376489</v>
      </c>
      <c r="X23" s="78">
        <f t="shared" ref="X23:Y23" si="11">IF(X5=0,0,X5/X$3)</f>
        <v>0.99487073829220363</v>
      </c>
      <c r="Y23" s="78">
        <f t="shared" si="11"/>
        <v>0.99433150527447389</v>
      </c>
      <c r="Z23" s="78"/>
      <c r="AA23" s="78"/>
      <c r="AB23" s="78"/>
      <c r="AC23" s="78"/>
      <c r="AD23" s="78"/>
      <c r="AE23" s="78"/>
      <c r="AF23" s="78"/>
      <c r="AG23" s="78"/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5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962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164</v>
      </c>
      <c r="B3" s="54">
        <f t="shared" ref="B3:Q3" si="0">SUM(B4:B5)</f>
        <v>1425829.755079</v>
      </c>
      <c r="C3" s="54">
        <f t="shared" si="0"/>
        <v>1405452.462202</v>
      </c>
      <c r="D3" s="54">
        <f t="shared" si="0"/>
        <v>1418649.3495829999</v>
      </c>
      <c r="E3" s="54">
        <f t="shared" si="0"/>
        <v>1431216.3752230001</v>
      </c>
      <c r="F3" s="54">
        <f t="shared" si="0"/>
        <v>1521083.40711</v>
      </c>
      <c r="G3" s="54">
        <f t="shared" si="0"/>
        <v>1625727.0990980002</v>
      </c>
      <c r="H3" s="54">
        <f t="shared" si="0"/>
        <v>1699342.068885</v>
      </c>
      <c r="I3" s="54">
        <f t="shared" si="0"/>
        <v>1803464.1262359999</v>
      </c>
      <c r="J3" s="54">
        <f t="shared" si="0"/>
        <v>1909604.3617489999</v>
      </c>
      <c r="K3" s="54">
        <f t="shared" si="0"/>
        <v>1660241.7556649998</v>
      </c>
      <c r="L3" s="54">
        <f t="shared" si="0"/>
        <v>1788266.8077160001</v>
      </c>
      <c r="M3" s="54">
        <f t="shared" si="0"/>
        <v>1937410.9227120001</v>
      </c>
      <c r="N3" s="54">
        <f t="shared" si="0"/>
        <v>1958327.812832</v>
      </c>
      <c r="O3" s="54">
        <f t="shared" si="0"/>
        <v>1927767.1762099999</v>
      </c>
      <c r="P3" s="54">
        <f t="shared" si="0"/>
        <v>2007574.2927380002</v>
      </c>
      <c r="Q3" s="54">
        <f t="shared" si="0"/>
        <v>2039927.4794949999</v>
      </c>
      <c r="R3" s="54">
        <f t="shared" ref="R3:W3" si="1">SUM(R4:R5)</f>
        <v>2014682.214567</v>
      </c>
      <c r="S3" s="54">
        <f t="shared" si="1"/>
        <v>2041435.3229779999</v>
      </c>
      <c r="T3" s="54">
        <f t="shared" si="1"/>
        <v>2020853.3803590001</v>
      </c>
      <c r="U3" s="54">
        <f t="shared" si="1"/>
        <v>1991035.6287749999</v>
      </c>
      <c r="V3" s="54">
        <f t="shared" si="1"/>
        <v>1791629.7819119999</v>
      </c>
      <c r="W3" s="54">
        <f t="shared" si="1"/>
        <v>1927887.881363</v>
      </c>
      <c r="X3" s="54">
        <f t="shared" ref="X3:Y3" si="2">SUM(X4:X5)</f>
        <v>2014600.682633</v>
      </c>
      <c r="Y3" s="54">
        <f t="shared" si="2"/>
        <v>1867808.6822589999</v>
      </c>
      <c r="DA3" s="172" t="s">
        <v>388</v>
      </c>
    </row>
    <row r="4" spans="1:105" ht="11.45" customHeight="1" x14ac:dyDescent="0.25">
      <c r="A4" s="55" t="s">
        <v>166</v>
      </c>
      <c r="B4" s="56">
        <v>94601.033876000001</v>
      </c>
      <c r="C4" s="56">
        <v>92289.525219000003</v>
      </c>
      <c r="D4" s="56">
        <v>94843.520669000005</v>
      </c>
      <c r="E4" s="56">
        <v>92337.272712999998</v>
      </c>
      <c r="F4" s="56">
        <v>97763.616949999996</v>
      </c>
      <c r="G4" s="56">
        <v>91424.384980999996</v>
      </c>
      <c r="H4" s="56">
        <v>89925.031071000005</v>
      </c>
      <c r="I4" s="56">
        <v>93735.807945000008</v>
      </c>
      <c r="J4" s="56">
        <v>91687.35349400001</v>
      </c>
      <c r="K4" s="56">
        <v>98345.730855000002</v>
      </c>
      <c r="L4" s="56">
        <v>112189.20738399999</v>
      </c>
      <c r="M4" s="56">
        <v>107291.387323</v>
      </c>
      <c r="N4" s="56">
        <v>107789.28956599999</v>
      </c>
      <c r="O4" s="56">
        <v>107857.71390300001</v>
      </c>
      <c r="P4" s="56">
        <v>114307.331582</v>
      </c>
      <c r="Q4" s="56">
        <v>110636.42813300001</v>
      </c>
      <c r="R4" s="56">
        <v>102711.777433</v>
      </c>
      <c r="S4" s="56">
        <v>102209.260398</v>
      </c>
      <c r="T4" s="56">
        <v>105826.32567199999</v>
      </c>
      <c r="U4" s="56">
        <v>107255.711612</v>
      </c>
      <c r="V4" s="56">
        <v>103578.60172499999</v>
      </c>
      <c r="W4" s="56">
        <v>104064.804672</v>
      </c>
      <c r="X4" s="56">
        <v>109867.10468600001</v>
      </c>
      <c r="Y4" s="56">
        <v>113857.09896</v>
      </c>
      <c r="DA4" s="181" t="s">
        <v>389</v>
      </c>
    </row>
    <row r="5" spans="1:105" ht="11.45" customHeight="1" x14ac:dyDescent="0.25">
      <c r="A5" s="57" t="s">
        <v>167</v>
      </c>
      <c r="B5" s="58">
        <v>1331228.7212030001</v>
      </c>
      <c r="C5" s="58">
        <v>1313162.936983</v>
      </c>
      <c r="D5" s="58">
        <v>1323805.828914</v>
      </c>
      <c r="E5" s="58">
        <v>1338879.1025100001</v>
      </c>
      <c r="F5" s="58">
        <v>1423319.7901600001</v>
      </c>
      <c r="G5" s="58">
        <v>1534302.7141170001</v>
      </c>
      <c r="H5" s="58">
        <v>1609417.0378139999</v>
      </c>
      <c r="I5" s="58">
        <v>1709728.3182909999</v>
      </c>
      <c r="J5" s="58">
        <v>1817917.008255</v>
      </c>
      <c r="K5" s="58">
        <v>1561896.0248099999</v>
      </c>
      <c r="L5" s="58">
        <v>1676077.6003320001</v>
      </c>
      <c r="M5" s="58">
        <v>1830119.5353890001</v>
      </c>
      <c r="N5" s="58">
        <v>1850538.523266</v>
      </c>
      <c r="O5" s="58">
        <v>1819909.4623069998</v>
      </c>
      <c r="P5" s="58">
        <v>1893266.9611560002</v>
      </c>
      <c r="Q5" s="58">
        <v>1929291.0513619999</v>
      </c>
      <c r="R5" s="58">
        <v>1911970.437134</v>
      </c>
      <c r="S5" s="58">
        <v>1939226.0625799999</v>
      </c>
      <c r="T5" s="58">
        <v>1915027.0546870001</v>
      </c>
      <c r="U5" s="58">
        <v>1883779.917163</v>
      </c>
      <c r="V5" s="58">
        <v>1688051.180187</v>
      </c>
      <c r="W5" s="58">
        <v>1823823.076691</v>
      </c>
      <c r="X5" s="58">
        <v>1904733.577947</v>
      </c>
      <c r="Y5" s="58">
        <v>1753951.5832989998</v>
      </c>
      <c r="DA5" s="182" t="s">
        <v>390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53" t="s">
        <v>64</v>
      </c>
      <c r="B7" s="59">
        <f t="shared" ref="B7:W7" si="3">SUM(B8:B9)</f>
        <v>61.805542000000003</v>
      </c>
      <c r="C7" s="59">
        <f t="shared" si="3"/>
        <v>57.753627000000009</v>
      </c>
      <c r="D7" s="59">
        <f t="shared" si="3"/>
        <v>56.433185000000002</v>
      </c>
      <c r="E7" s="59">
        <f t="shared" si="3"/>
        <v>57.162741999999994</v>
      </c>
      <c r="F7" s="59">
        <f t="shared" si="3"/>
        <v>59.310751000000003</v>
      </c>
      <c r="G7" s="59">
        <f t="shared" si="3"/>
        <v>61.684480999999998</v>
      </c>
      <c r="H7" s="59">
        <f t="shared" si="3"/>
        <v>62.320139999999995</v>
      </c>
      <c r="I7" s="59">
        <f t="shared" si="3"/>
        <v>64.989198999999999</v>
      </c>
      <c r="J7" s="59">
        <f t="shared" si="3"/>
        <v>66.394092999999998</v>
      </c>
      <c r="K7" s="59">
        <f t="shared" si="3"/>
        <v>61.768759000000003</v>
      </c>
      <c r="L7" s="59">
        <f t="shared" si="3"/>
        <v>63.641825999999995</v>
      </c>
      <c r="M7" s="59">
        <f t="shared" si="3"/>
        <v>66.036540000000002</v>
      </c>
      <c r="N7" s="59">
        <f t="shared" si="3"/>
        <v>64.362813000000003</v>
      </c>
      <c r="O7" s="59">
        <f t="shared" si="3"/>
        <v>62.357862000000004</v>
      </c>
      <c r="P7" s="59">
        <f t="shared" si="3"/>
        <v>64.198295000000002</v>
      </c>
      <c r="Q7" s="59">
        <f t="shared" si="3"/>
        <v>61.210886000000002</v>
      </c>
      <c r="R7" s="59">
        <f t="shared" si="3"/>
        <v>58.963369999999998</v>
      </c>
      <c r="S7" s="59">
        <f t="shared" si="3"/>
        <v>58.596565000000005</v>
      </c>
      <c r="T7" s="59">
        <f t="shared" si="3"/>
        <v>58.524999000000008</v>
      </c>
      <c r="U7" s="59">
        <f t="shared" si="3"/>
        <v>58.306288000000002</v>
      </c>
      <c r="V7" s="59">
        <f t="shared" si="3"/>
        <v>52.908132999999992</v>
      </c>
      <c r="W7" s="59">
        <f t="shared" si="3"/>
        <v>55.237006000000001</v>
      </c>
      <c r="X7" s="59">
        <f t="shared" ref="X7:Y7" si="4">SUM(X8:X9)</f>
        <v>62.380113000000001</v>
      </c>
      <c r="Y7" s="59">
        <f t="shared" si="4"/>
        <v>57.718236999999995</v>
      </c>
      <c r="DA7" s="172" t="s">
        <v>963</v>
      </c>
    </row>
    <row r="8" spans="1:105" ht="11.45" customHeight="1" x14ac:dyDescent="0.25">
      <c r="A8" s="55" t="s">
        <v>166</v>
      </c>
      <c r="B8" s="60">
        <v>14.306620000000001</v>
      </c>
      <c r="C8" s="60">
        <v>13.403392</v>
      </c>
      <c r="D8" s="60">
        <v>13.050699999999999</v>
      </c>
      <c r="E8" s="60">
        <v>12.595015</v>
      </c>
      <c r="F8" s="60">
        <v>13.143583</v>
      </c>
      <c r="G8" s="60">
        <v>12.287509999999999</v>
      </c>
      <c r="H8" s="60">
        <v>12.046882999999999</v>
      </c>
      <c r="I8" s="60">
        <v>12.179304</v>
      </c>
      <c r="J8" s="60">
        <v>11.680794000000001</v>
      </c>
      <c r="K8" s="60">
        <v>12.539531999999999</v>
      </c>
      <c r="L8" s="60">
        <v>14.374213000000001</v>
      </c>
      <c r="M8" s="60">
        <v>14.669525</v>
      </c>
      <c r="N8" s="60">
        <v>14.516515</v>
      </c>
      <c r="O8" s="60">
        <v>14.279361</v>
      </c>
      <c r="P8" s="60">
        <v>15.144307999999999</v>
      </c>
      <c r="Q8" s="60">
        <v>13.573952</v>
      </c>
      <c r="R8" s="60">
        <v>12.265673999999999</v>
      </c>
      <c r="S8" s="60">
        <v>12.15372</v>
      </c>
      <c r="T8" s="60">
        <v>12.811638</v>
      </c>
      <c r="U8" s="60">
        <v>13.224669</v>
      </c>
      <c r="V8" s="60">
        <v>11.753271999999999</v>
      </c>
      <c r="W8" s="60">
        <v>12.352424000000001</v>
      </c>
      <c r="X8" s="60">
        <v>13.275715</v>
      </c>
      <c r="Y8" s="60">
        <v>13.207603000000001</v>
      </c>
      <c r="DA8" s="181" t="s">
        <v>964</v>
      </c>
    </row>
    <row r="9" spans="1:105" ht="11.45" customHeight="1" x14ac:dyDescent="0.25">
      <c r="A9" s="57" t="s">
        <v>167</v>
      </c>
      <c r="B9" s="61">
        <v>47.498922</v>
      </c>
      <c r="C9" s="61">
        <v>44.350235000000005</v>
      </c>
      <c r="D9" s="61">
        <v>43.382485000000003</v>
      </c>
      <c r="E9" s="61">
        <v>44.567726999999998</v>
      </c>
      <c r="F9" s="61">
        <v>46.167168000000004</v>
      </c>
      <c r="G9" s="61">
        <v>49.396971000000001</v>
      </c>
      <c r="H9" s="61">
        <v>50.273256999999994</v>
      </c>
      <c r="I9" s="61">
        <v>52.809894999999997</v>
      </c>
      <c r="J9" s="61">
        <v>54.713298999999999</v>
      </c>
      <c r="K9" s="61">
        <v>49.229227000000002</v>
      </c>
      <c r="L9" s="61">
        <v>49.267612999999997</v>
      </c>
      <c r="M9" s="61">
        <v>51.367014999999995</v>
      </c>
      <c r="N9" s="61">
        <v>49.846298000000004</v>
      </c>
      <c r="O9" s="61">
        <v>48.078501000000003</v>
      </c>
      <c r="P9" s="61">
        <v>49.053986999999999</v>
      </c>
      <c r="Q9" s="61">
        <v>47.636934000000004</v>
      </c>
      <c r="R9" s="61">
        <v>46.697696000000001</v>
      </c>
      <c r="S9" s="61">
        <v>46.442845000000005</v>
      </c>
      <c r="T9" s="61">
        <v>45.713361000000006</v>
      </c>
      <c r="U9" s="61">
        <v>45.081619000000003</v>
      </c>
      <c r="V9" s="61">
        <v>41.154860999999997</v>
      </c>
      <c r="W9" s="61">
        <v>42.884582000000002</v>
      </c>
      <c r="X9" s="61">
        <v>49.104398000000003</v>
      </c>
      <c r="Y9" s="61">
        <v>44.510633999999996</v>
      </c>
      <c r="DA9" s="182" t="s">
        <v>965</v>
      </c>
    </row>
    <row r="10" spans="1:105" ht="11.45" customHeight="1" x14ac:dyDescent="0.25">
      <c r="A10" s="50"/>
      <c r="B10" s="50"/>
      <c r="C10" s="50"/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DA10" s="181"/>
    </row>
    <row r="11" spans="1:105" ht="11.45" customHeight="1" x14ac:dyDescent="0.25">
      <c r="A11" s="68" t="s">
        <v>36</v>
      </c>
      <c r="B11" s="69"/>
      <c r="C11" s="69"/>
      <c r="D11" s="69"/>
      <c r="E11" s="69"/>
      <c r="F11" s="69"/>
      <c r="G11" s="69"/>
      <c r="H11" s="69"/>
      <c r="I11" s="69"/>
      <c r="J11" s="69"/>
      <c r="K11" s="69"/>
      <c r="L11" s="69"/>
      <c r="M11" s="69"/>
      <c r="N11" s="69"/>
      <c r="O11" s="69"/>
      <c r="P11" s="69"/>
      <c r="Q11" s="69"/>
      <c r="R11" s="69"/>
      <c r="S11" s="69"/>
      <c r="T11" s="69"/>
      <c r="U11" s="69"/>
      <c r="V11" s="69"/>
      <c r="W11" s="69"/>
      <c r="X11" s="69"/>
      <c r="Y11" s="69"/>
      <c r="DA11" s="179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143</v>
      </c>
      <c r="B13" s="62">
        <f t="shared" ref="B13:W15" si="5">IF(B3=0,0,B3/B7)</f>
        <v>23069.610085758977</v>
      </c>
      <c r="C13" s="62">
        <f t="shared" si="5"/>
        <v>24335.31078839429</v>
      </c>
      <c r="D13" s="62">
        <f t="shared" si="5"/>
        <v>25138.566068581807</v>
      </c>
      <c r="E13" s="62">
        <f t="shared" si="5"/>
        <v>25037.573866260653</v>
      </c>
      <c r="F13" s="62">
        <f t="shared" si="5"/>
        <v>25645.998094173516</v>
      </c>
      <c r="G13" s="62">
        <f t="shared" si="5"/>
        <v>26355.528533959787</v>
      </c>
      <c r="H13" s="62">
        <f t="shared" si="5"/>
        <v>27267.943699821601</v>
      </c>
      <c r="I13" s="62">
        <f t="shared" si="5"/>
        <v>27750.213173669057</v>
      </c>
      <c r="J13" s="62">
        <f t="shared" si="5"/>
        <v>28761.660495143748</v>
      </c>
      <c r="K13" s="62">
        <f t="shared" si="5"/>
        <v>26878.340807607932</v>
      </c>
      <c r="L13" s="62">
        <f t="shared" si="5"/>
        <v>28098.923618502089</v>
      </c>
      <c r="M13" s="62">
        <f t="shared" si="5"/>
        <v>29338.468107384186</v>
      </c>
      <c r="N13" s="62">
        <f t="shared" si="5"/>
        <v>30426.386317701807</v>
      </c>
      <c r="O13" s="62">
        <f t="shared" si="5"/>
        <v>30914.581006802317</v>
      </c>
      <c r="P13" s="62">
        <f t="shared" si="5"/>
        <v>31271.458108630457</v>
      </c>
      <c r="Q13" s="62">
        <f t="shared" si="5"/>
        <v>33326.220429075307</v>
      </c>
      <c r="R13" s="62">
        <f t="shared" si="5"/>
        <v>34168.369524452217</v>
      </c>
      <c r="S13" s="62">
        <f t="shared" si="5"/>
        <v>34838.822428891515</v>
      </c>
      <c r="T13" s="62">
        <f t="shared" si="5"/>
        <v>34529.74651668084</v>
      </c>
      <c r="U13" s="62">
        <f t="shared" si="5"/>
        <v>34147.871474428277</v>
      </c>
      <c r="V13" s="62">
        <f t="shared" si="5"/>
        <v>33863.031642261885</v>
      </c>
      <c r="W13" s="62">
        <f t="shared" si="5"/>
        <v>34902.106775356362</v>
      </c>
      <c r="X13" s="62">
        <f t="shared" ref="X13:Y13" si="6">IF(X3=0,0,X3/X7)</f>
        <v>32295.560006968888</v>
      </c>
      <c r="Y13" s="62">
        <f t="shared" si="6"/>
        <v>32360.806208599199</v>
      </c>
      <c r="DA13" s="172" t="s">
        <v>966</v>
      </c>
    </row>
    <row r="14" spans="1:105" ht="11.45" customHeight="1" x14ac:dyDescent="0.25">
      <c r="A14" s="55" t="s">
        <v>166</v>
      </c>
      <c r="B14" s="63">
        <f t="shared" si="5"/>
        <v>6612.3957913189834</v>
      </c>
      <c r="C14" s="63">
        <f t="shared" si="5"/>
        <v>6885.535036131153</v>
      </c>
      <c r="D14" s="63">
        <f t="shared" si="5"/>
        <v>7267.3129157056719</v>
      </c>
      <c r="E14" s="63">
        <f t="shared" si="5"/>
        <v>7331.2554779013763</v>
      </c>
      <c r="F14" s="63">
        <f t="shared" si="5"/>
        <v>7438.1252775593994</v>
      </c>
      <c r="G14" s="63">
        <f t="shared" si="5"/>
        <v>7440.4321934224263</v>
      </c>
      <c r="H14" s="63">
        <f t="shared" si="5"/>
        <v>7464.589061834502</v>
      </c>
      <c r="I14" s="63">
        <f t="shared" si="5"/>
        <v>7696.3189312788327</v>
      </c>
      <c r="J14" s="63">
        <f t="shared" si="5"/>
        <v>7849.4110497967868</v>
      </c>
      <c r="K14" s="63">
        <f t="shared" si="5"/>
        <v>7842.8549689892734</v>
      </c>
      <c r="L14" s="63">
        <f t="shared" si="5"/>
        <v>7804.8939016000377</v>
      </c>
      <c r="M14" s="63">
        <f t="shared" si="5"/>
        <v>7313.8964842419919</v>
      </c>
      <c r="N14" s="63">
        <f t="shared" si="5"/>
        <v>7425.2869621944383</v>
      </c>
      <c r="O14" s="63">
        <f t="shared" si="5"/>
        <v>7553.3991964346314</v>
      </c>
      <c r="P14" s="63">
        <f t="shared" si="5"/>
        <v>7547.8741968269533</v>
      </c>
      <c r="Q14" s="63">
        <f t="shared" si="5"/>
        <v>8150.642357730454</v>
      </c>
      <c r="R14" s="63">
        <f t="shared" si="5"/>
        <v>8373.9203759206393</v>
      </c>
      <c r="S14" s="63">
        <f t="shared" si="5"/>
        <v>8409.7099816352529</v>
      </c>
      <c r="T14" s="63">
        <f t="shared" si="5"/>
        <v>8260.1713904186163</v>
      </c>
      <c r="U14" s="63">
        <f t="shared" si="5"/>
        <v>8110.2756985448932</v>
      </c>
      <c r="V14" s="63">
        <f t="shared" si="5"/>
        <v>8812.7460782835624</v>
      </c>
      <c r="W14" s="63">
        <f t="shared" si="5"/>
        <v>8424.6464234064497</v>
      </c>
      <c r="X14" s="63">
        <f t="shared" ref="X14:Y14" si="7">IF(X4=0,0,X4/X8)</f>
        <v>8275.7956679546078</v>
      </c>
      <c r="Y14" s="63">
        <f t="shared" si="7"/>
        <v>8620.572480865756</v>
      </c>
      <c r="DA14" s="181" t="s">
        <v>967</v>
      </c>
    </row>
    <row r="15" spans="1:105" ht="11.45" customHeight="1" x14ac:dyDescent="0.25">
      <c r="A15" s="57" t="s">
        <v>167</v>
      </c>
      <c r="B15" s="64">
        <f t="shared" si="5"/>
        <v>28026.503868929911</v>
      </c>
      <c r="C15" s="64">
        <f t="shared" si="5"/>
        <v>29608.928497966241</v>
      </c>
      <c r="D15" s="64">
        <f t="shared" si="5"/>
        <v>30514.753336836282</v>
      </c>
      <c r="E15" s="64">
        <f t="shared" si="5"/>
        <v>30041.449107557139</v>
      </c>
      <c r="F15" s="64">
        <f t="shared" si="5"/>
        <v>30829.696769791033</v>
      </c>
      <c r="G15" s="64">
        <f t="shared" si="5"/>
        <v>31060.663904209836</v>
      </c>
      <c r="H15" s="64">
        <f t="shared" si="5"/>
        <v>32013.383135570471</v>
      </c>
      <c r="I15" s="64">
        <f t="shared" si="5"/>
        <v>32375.150874490471</v>
      </c>
      <c r="J15" s="64">
        <f t="shared" si="5"/>
        <v>33226.236426631847</v>
      </c>
      <c r="K15" s="64">
        <f t="shared" si="5"/>
        <v>31727.006902017776</v>
      </c>
      <c r="L15" s="64">
        <f t="shared" si="5"/>
        <v>34019.866161001148</v>
      </c>
      <c r="M15" s="64">
        <f t="shared" si="5"/>
        <v>35628.302236152915</v>
      </c>
      <c r="N15" s="64">
        <f t="shared" si="5"/>
        <v>37124.893874084686</v>
      </c>
      <c r="O15" s="64">
        <f t="shared" si="5"/>
        <v>37852.8744543637</v>
      </c>
      <c r="P15" s="64">
        <f t="shared" si="5"/>
        <v>38595.577585895313</v>
      </c>
      <c r="Q15" s="64">
        <f t="shared" si="5"/>
        <v>40499.89974925758</v>
      </c>
      <c r="R15" s="64">
        <f t="shared" si="5"/>
        <v>40943.571116099607</v>
      </c>
      <c r="S15" s="64">
        <f t="shared" si="5"/>
        <v>41755.109157933795</v>
      </c>
      <c r="T15" s="64">
        <f t="shared" si="5"/>
        <v>41892.064219189655</v>
      </c>
      <c r="U15" s="64">
        <f t="shared" si="5"/>
        <v>41785.986372028914</v>
      </c>
      <c r="V15" s="64">
        <f t="shared" si="5"/>
        <v>41017.0545877193</v>
      </c>
      <c r="W15" s="64">
        <f t="shared" si="5"/>
        <v>42528.64296755883</v>
      </c>
      <c r="X15" s="64">
        <f t="shared" ref="X15:Y15" si="8">IF(X5=0,0,X5/X9)</f>
        <v>38789.470098930855</v>
      </c>
      <c r="Y15" s="64">
        <f t="shared" si="8"/>
        <v>39405.225800625529</v>
      </c>
      <c r="DA15" s="182" t="s">
        <v>968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65</v>
      </c>
      <c r="B17" s="65">
        <f t="shared" ref="B17:W19" si="9">IF(B3=0,0,B3/B$3)</f>
        <v>1</v>
      </c>
      <c r="C17" s="65">
        <f t="shared" si="9"/>
        <v>1</v>
      </c>
      <c r="D17" s="65">
        <f t="shared" si="9"/>
        <v>1</v>
      </c>
      <c r="E17" s="65">
        <f t="shared" si="9"/>
        <v>1</v>
      </c>
      <c r="F17" s="65">
        <f t="shared" si="9"/>
        <v>1</v>
      </c>
      <c r="G17" s="65">
        <f t="shared" si="9"/>
        <v>1</v>
      </c>
      <c r="H17" s="65">
        <f t="shared" si="9"/>
        <v>1</v>
      </c>
      <c r="I17" s="65">
        <f t="shared" si="9"/>
        <v>1</v>
      </c>
      <c r="J17" s="65">
        <f t="shared" si="9"/>
        <v>1</v>
      </c>
      <c r="K17" s="65">
        <f t="shared" si="9"/>
        <v>1</v>
      </c>
      <c r="L17" s="65">
        <f t="shared" si="9"/>
        <v>1</v>
      </c>
      <c r="M17" s="65">
        <f t="shared" si="9"/>
        <v>1</v>
      </c>
      <c r="N17" s="65">
        <f t="shared" si="9"/>
        <v>1</v>
      </c>
      <c r="O17" s="65">
        <f t="shared" si="9"/>
        <v>1</v>
      </c>
      <c r="P17" s="65">
        <f t="shared" si="9"/>
        <v>1</v>
      </c>
      <c r="Q17" s="65">
        <f t="shared" si="9"/>
        <v>1</v>
      </c>
      <c r="R17" s="65">
        <f t="shared" si="9"/>
        <v>1</v>
      </c>
      <c r="S17" s="65">
        <f t="shared" si="9"/>
        <v>1</v>
      </c>
      <c r="T17" s="65">
        <f t="shared" si="9"/>
        <v>1</v>
      </c>
      <c r="U17" s="65">
        <f t="shared" si="9"/>
        <v>1</v>
      </c>
      <c r="V17" s="65">
        <f t="shared" si="9"/>
        <v>1</v>
      </c>
      <c r="W17" s="65">
        <f t="shared" si="9"/>
        <v>1</v>
      </c>
      <c r="X17" s="65">
        <f t="shared" ref="X17:Y17" si="10">IF(X3=0,0,X3/X$3)</f>
        <v>1</v>
      </c>
      <c r="Y17" s="65">
        <f t="shared" si="10"/>
        <v>1</v>
      </c>
      <c r="DA17" s="172"/>
    </row>
    <row r="18" spans="1:105" ht="11.45" customHeight="1" x14ac:dyDescent="0.25">
      <c r="A18" s="55" t="s">
        <v>166</v>
      </c>
      <c r="B18" s="66">
        <f t="shared" si="9"/>
        <v>6.6348057009624192E-2</v>
      </c>
      <c r="C18" s="66">
        <f t="shared" si="9"/>
        <v>6.566534813593404E-2</v>
      </c>
      <c r="D18" s="66">
        <f t="shared" si="9"/>
        <v>6.685480150318926E-2</v>
      </c>
      <c r="E18" s="66">
        <f t="shared" si="9"/>
        <v>6.4516640748057949E-2</v>
      </c>
      <c r="F18" s="66">
        <f t="shared" si="9"/>
        <v>6.4272357776715944E-2</v>
      </c>
      <c r="G18" s="66">
        <f t="shared" si="9"/>
        <v>5.6235997438761308E-2</v>
      </c>
      <c r="H18" s="66">
        <f t="shared" si="9"/>
        <v>5.2917557163757546E-2</v>
      </c>
      <c r="I18" s="66">
        <f t="shared" si="9"/>
        <v>5.197542140227402E-2</v>
      </c>
      <c r="J18" s="66">
        <f t="shared" si="9"/>
        <v>4.8013795595870906E-2</v>
      </c>
      <c r="K18" s="66">
        <f t="shared" si="9"/>
        <v>5.9235789317687783E-2</v>
      </c>
      <c r="L18" s="66">
        <f t="shared" si="9"/>
        <v>6.2736280123260602E-2</v>
      </c>
      <c r="M18" s="66">
        <f t="shared" si="9"/>
        <v>5.5378745967227666E-2</v>
      </c>
      <c r="N18" s="66">
        <f t="shared" si="9"/>
        <v>5.5041494513690475E-2</v>
      </c>
      <c r="O18" s="66">
        <f t="shared" si="9"/>
        <v>5.5949554092444308E-2</v>
      </c>
      <c r="P18" s="66">
        <f t="shared" si="9"/>
        <v>5.6938033125590412E-2</v>
      </c>
      <c r="Q18" s="66">
        <f t="shared" si="9"/>
        <v>5.4235471233707255E-2</v>
      </c>
      <c r="R18" s="66">
        <f t="shared" si="9"/>
        <v>5.0981627122307742E-2</v>
      </c>
      <c r="S18" s="66">
        <f t="shared" si="9"/>
        <v>5.0067351753715829E-2</v>
      </c>
      <c r="T18" s="66">
        <f t="shared" si="9"/>
        <v>5.2367146820518067E-2</v>
      </c>
      <c r="U18" s="66">
        <f t="shared" si="9"/>
        <v>5.3869308043467762E-2</v>
      </c>
      <c r="V18" s="66">
        <f t="shared" si="9"/>
        <v>5.7812502767431384E-2</v>
      </c>
      <c r="W18" s="66">
        <f t="shared" si="9"/>
        <v>5.3978660106741828E-2</v>
      </c>
      <c r="X18" s="66">
        <f t="shared" ref="X18:Y18" si="11">IF(X4=0,0,X4/X$3)</f>
        <v>5.4535425125741659E-2</v>
      </c>
      <c r="Y18" s="66">
        <f t="shared" si="11"/>
        <v>6.0957580956469713E-2</v>
      </c>
      <c r="DA18" s="181"/>
    </row>
    <row r="19" spans="1:105" ht="11.45" customHeight="1" x14ac:dyDescent="0.25">
      <c r="A19" s="57" t="s">
        <v>167</v>
      </c>
      <c r="B19" s="67">
        <f t="shared" si="9"/>
        <v>0.93365194299037579</v>
      </c>
      <c r="C19" s="67">
        <f t="shared" si="9"/>
        <v>0.93433465186406606</v>
      </c>
      <c r="D19" s="67">
        <f t="shared" si="9"/>
        <v>0.93314519849681077</v>
      </c>
      <c r="E19" s="67">
        <f t="shared" si="9"/>
        <v>0.93548335925194204</v>
      </c>
      <c r="F19" s="67">
        <f t="shared" si="9"/>
        <v>0.93572764222328408</v>
      </c>
      <c r="G19" s="67">
        <f t="shared" si="9"/>
        <v>0.9437640025612386</v>
      </c>
      <c r="H19" s="67">
        <f t="shared" si="9"/>
        <v>0.94708244283624243</v>
      </c>
      <c r="I19" s="67">
        <f t="shared" si="9"/>
        <v>0.94802457859772593</v>
      </c>
      <c r="J19" s="67">
        <f t="shared" si="9"/>
        <v>0.95198620440412918</v>
      </c>
      <c r="K19" s="67">
        <f t="shared" si="9"/>
        <v>0.9407642106823122</v>
      </c>
      <c r="L19" s="67">
        <f t="shared" si="9"/>
        <v>0.9372637198767394</v>
      </c>
      <c r="M19" s="67">
        <f t="shared" si="9"/>
        <v>0.94462125403277231</v>
      </c>
      <c r="N19" s="67">
        <f t="shared" si="9"/>
        <v>0.94495850548630955</v>
      </c>
      <c r="O19" s="67">
        <f t="shared" si="9"/>
        <v>0.9440504459075556</v>
      </c>
      <c r="P19" s="67">
        <f t="shared" si="9"/>
        <v>0.94306196687440957</v>
      </c>
      <c r="Q19" s="67">
        <f t="shared" si="9"/>
        <v>0.9457645287662928</v>
      </c>
      <c r="R19" s="67">
        <f t="shared" si="9"/>
        <v>0.9490183728776922</v>
      </c>
      <c r="S19" s="67">
        <f t="shared" si="9"/>
        <v>0.94993264824628421</v>
      </c>
      <c r="T19" s="67">
        <f t="shared" si="9"/>
        <v>0.94763285317948198</v>
      </c>
      <c r="U19" s="67">
        <f t="shared" si="9"/>
        <v>0.94613069195653232</v>
      </c>
      <c r="V19" s="67">
        <f t="shared" si="9"/>
        <v>0.94218749723256867</v>
      </c>
      <c r="W19" s="67">
        <f t="shared" si="9"/>
        <v>0.94602133989325821</v>
      </c>
      <c r="X19" s="67">
        <f t="shared" ref="X19:Y19" si="12">IF(X5=0,0,X5/X$3)</f>
        <v>0.94546457487425839</v>
      </c>
      <c r="Y19" s="67">
        <f t="shared" si="12"/>
        <v>0.93904241904353025</v>
      </c>
      <c r="DA19" s="182"/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66</v>
      </c>
      <c r="B21" s="65">
        <f t="shared" ref="B21:W23" si="13">IF(B7=0,0,B7/B$7)</f>
        <v>1</v>
      </c>
      <c r="C21" s="65">
        <f t="shared" si="13"/>
        <v>1</v>
      </c>
      <c r="D21" s="65">
        <f t="shared" si="13"/>
        <v>1</v>
      </c>
      <c r="E21" s="65">
        <f t="shared" si="13"/>
        <v>1</v>
      </c>
      <c r="F21" s="65">
        <f t="shared" si="13"/>
        <v>1</v>
      </c>
      <c r="G21" s="65">
        <f t="shared" si="13"/>
        <v>1</v>
      </c>
      <c r="H21" s="65">
        <f t="shared" si="13"/>
        <v>1</v>
      </c>
      <c r="I21" s="65">
        <f t="shared" si="13"/>
        <v>1</v>
      </c>
      <c r="J21" s="65">
        <f t="shared" si="13"/>
        <v>1</v>
      </c>
      <c r="K21" s="65">
        <f t="shared" si="13"/>
        <v>1</v>
      </c>
      <c r="L21" s="65">
        <f t="shared" si="13"/>
        <v>1</v>
      </c>
      <c r="M21" s="65">
        <f t="shared" si="13"/>
        <v>1</v>
      </c>
      <c r="N21" s="65">
        <f t="shared" si="13"/>
        <v>1</v>
      </c>
      <c r="O21" s="65">
        <f t="shared" si="13"/>
        <v>1</v>
      </c>
      <c r="P21" s="65">
        <f t="shared" si="13"/>
        <v>1</v>
      </c>
      <c r="Q21" s="65">
        <f t="shared" si="13"/>
        <v>1</v>
      </c>
      <c r="R21" s="65">
        <f t="shared" si="13"/>
        <v>1</v>
      </c>
      <c r="S21" s="65">
        <f t="shared" si="13"/>
        <v>1</v>
      </c>
      <c r="T21" s="65">
        <f t="shared" si="13"/>
        <v>1</v>
      </c>
      <c r="U21" s="65">
        <f t="shared" si="13"/>
        <v>1</v>
      </c>
      <c r="V21" s="65">
        <f t="shared" si="13"/>
        <v>1</v>
      </c>
      <c r="W21" s="65">
        <f t="shared" si="13"/>
        <v>1</v>
      </c>
      <c r="X21" s="65">
        <f t="shared" ref="X21:Y21" si="14">IF(X7=0,0,X7/X$7)</f>
        <v>1</v>
      </c>
      <c r="Y21" s="65">
        <f t="shared" si="14"/>
        <v>1</v>
      </c>
      <c r="DA21" s="172"/>
    </row>
    <row r="22" spans="1:105" ht="11.45" customHeight="1" x14ac:dyDescent="0.25">
      <c r="A22" s="55" t="s">
        <v>166</v>
      </c>
      <c r="B22" s="66">
        <f t="shared" si="13"/>
        <v>0.23147794739830937</v>
      </c>
      <c r="C22" s="66">
        <f t="shared" si="13"/>
        <v>0.23207879221161293</v>
      </c>
      <c r="D22" s="66">
        <f t="shared" si="13"/>
        <v>0.23125932020317475</v>
      </c>
      <c r="E22" s="66">
        <f t="shared" si="13"/>
        <v>0.22033608884612291</v>
      </c>
      <c r="F22" s="66">
        <f t="shared" si="13"/>
        <v>0.22160540506391496</v>
      </c>
      <c r="G22" s="66">
        <f t="shared" si="13"/>
        <v>0.19919937398841048</v>
      </c>
      <c r="H22" s="66">
        <f t="shared" si="13"/>
        <v>0.19330641747595562</v>
      </c>
      <c r="I22" s="66">
        <f t="shared" si="13"/>
        <v>0.18740504864508331</v>
      </c>
      <c r="J22" s="66">
        <f t="shared" si="13"/>
        <v>0.17593122327915528</v>
      </c>
      <c r="K22" s="66">
        <f t="shared" si="13"/>
        <v>0.20300767253556121</v>
      </c>
      <c r="L22" s="66">
        <f t="shared" si="13"/>
        <v>0.22586110272825927</v>
      </c>
      <c r="M22" s="66">
        <f t="shared" si="13"/>
        <v>0.22214254411269882</v>
      </c>
      <c r="N22" s="66">
        <f t="shared" si="13"/>
        <v>0.22554196007561073</v>
      </c>
      <c r="O22" s="66">
        <f t="shared" si="13"/>
        <v>0.22899054813649639</v>
      </c>
      <c r="P22" s="66">
        <f t="shared" si="13"/>
        <v>0.23589891289168971</v>
      </c>
      <c r="Q22" s="66">
        <f t="shared" si="13"/>
        <v>0.2217571560718791</v>
      </c>
      <c r="R22" s="66">
        <f t="shared" si="13"/>
        <v>0.20802192954710694</v>
      </c>
      <c r="S22" s="66">
        <f t="shared" si="13"/>
        <v>0.20741352330123786</v>
      </c>
      <c r="T22" s="66">
        <f t="shared" si="13"/>
        <v>0.21890881194205572</v>
      </c>
      <c r="U22" s="66">
        <f t="shared" si="13"/>
        <v>0.22681377006884745</v>
      </c>
      <c r="V22" s="66">
        <f t="shared" si="13"/>
        <v>0.22214490161654354</v>
      </c>
      <c r="W22" s="66">
        <f t="shared" si="13"/>
        <v>0.22362587863650685</v>
      </c>
      <c r="X22" s="66">
        <f t="shared" ref="X22:Y22" si="15">IF(X8=0,0,X8/X$7)</f>
        <v>0.21281966898649254</v>
      </c>
      <c r="Y22" s="66">
        <f t="shared" si="15"/>
        <v>0.22882894014936739</v>
      </c>
      <c r="DA22" s="181"/>
    </row>
    <row r="23" spans="1:105" ht="11.45" customHeight="1" x14ac:dyDescent="0.25">
      <c r="A23" s="57" t="s">
        <v>167</v>
      </c>
      <c r="B23" s="67">
        <f t="shared" si="13"/>
        <v>0.7685220526016906</v>
      </c>
      <c r="C23" s="67">
        <f t="shared" si="13"/>
        <v>0.76792120778838702</v>
      </c>
      <c r="D23" s="67">
        <f t="shared" si="13"/>
        <v>0.76874067979682525</v>
      </c>
      <c r="E23" s="67">
        <f t="shared" si="13"/>
        <v>0.77966391115387712</v>
      </c>
      <c r="F23" s="67">
        <f t="shared" si="13"/>
        <v>0.77839459493608509</v>
      </c>
      <c r="G23" s="67">
        <f t="shared" si="13"/>
        <v>0.80080062601158952</v>
      </c>
      <c r="H23" s="67">
        <f t="shared" si="13"/>
        <v>0.80669358252404433</v>
      </c>
      <c r="I23" s="67">
        <f t="shared" si="13"/>
        <v>0.81259495135491666</v>
      </c>
      <c r="J23" s="67">
        <f t="shared" si="13"/>
        <v>0.82406877672084478</v>
      </c>
      <c r="K23" s="67">
        <f t="shared" si="13"/>
        <v>0.79699232746443882</v>
      </c>
      <c r="L23" s="67">
        <f t="shared" si="13"/>
        <v>0.77413889727174079</v>
      </c>
      <c r="M23" s="67">
        <f t="shared" si="13"/>
        <v>0.77785745588730104</v>
      </c>
      <c r="N23" s="67">
        <f t="shared" si="13"/>
        <v>0.77445803992438933</v>
      </c>
      <c r="O23" s="67">
        <f t="shared" si="13"/>
        <v>0.77100945186350356</v>
      </c>
      <c r="P23" s="67">
        <f t="shared" si="13"/>
        <v>0.76410108710831026</v>
      </c>
      <c r="Q23" s="67">
        <f t="shared" si="13"/>
        <v>0.77824284392812093</v>
      </c>
      <c r="R23" s="67">
        <f t="shared" si="13"/>
        <v>0.79197807045289303</v>
      </c>
      <c r="S23" s="67">
        <f t="shared" si="13"/>
        <v>0.79258647669876214</v>
      </c>
      <c r="T23" s="67">
        <f t="shared" si="13"/>
        <v>0.78109118805794431</v>
      </c>
      <c r="U23" s="67">
        <f t="shared" si="13"/>
        <v>0.7731862299311526</v>
      </c>
      <c r="V23" s="67">
        <f t="shared" si="13"/>
        <v>0.77785509838345657</v>
      </c>
      <c r="W23" s="67">
        <f t="shared" si="13"/>
        <v>0.77637412136349315</v>
      </c>
      <c r="X23" s="67">
        <f t="shared" ref="X23:Y23" si="16">IF(X9=0,0,X9/X$7)</f>
        <v>0.78718033101350748</v>
      </c>
      <c r="Y23" s="67">
        <f t="shared" si="16"/>
        <v>0.77117105985063261</v>
      </c>
      <c r="DA23" s="182"/>
    </row>
    <row r="24" spans="1:105" ht="11.45" customHeight="1" x14ac:dyDescent="0.25">
      <c r="B24" s="19"/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19"/>
      <c r="S24" s="19"/>
      <c r="T24" s="19"/>
      <c r="U24" s="19"/>
      <c r="V24" s="19"/>
      <c r="W24" s="19"/>
      <c r="X24" s="19"/>
      <c r="Y24" s="19"/>
    </row>
    <row r="25" spans="1:105" ht="11.45" customHeight="1" x14ac:dyDescent="0.25">
      <c r="A25" s="18" t="s">
        <v>168</v>
      </c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9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969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61</v>
      </c>
      <c r="B3" s="62">
        <f>SUM(B4,B10)</f>
        <v>13160.272742906278</v>
      </c>
      <c r="C3" s="62">
        <f t="shared" ref="C3:W3" si="0">SUM(C4,C10)</f>
        <v>14389.196990541701</v>
      </c>
      <c r="D3" s="62">
        <f t="shared" si="0"/>
        <v>14266.351418744627</v>
      </c>
      <c r="E3" s="62">
        <f t="shared" si="0"/>
        <v>13387.759157351677</v>
      </c>
      <c r="F3" s="62">
        <f t="shared" si="0"/>
        <v>14583.703525365429</v>
      </c>
      <c r="G3" s="62">
        <f t="shared" si="0"/>
        <v>15618.524935511614</v>
      </c>
      <c r="H3" s="62">
        <f t="shared" si="0"/>
        <v>16655.612897678413</v>
      </c>
      <c r="I3" s="62">
        <f t="shared" si="0"/>
        <v>17072.327343078243</v>
      </c>
      <c r="J3" s="62">
        <f t="shared" si="0"/>
        <v>16397.043078245923</v>
      </c>
      <c r="K3" s="62">
        <f t="shared" si="0"/>
        <v>14637.900085984522</v>
      </c>
      <c r="L3" s="62">
        <f t="shared" si="0"/>
        <v>13859.893035253659</v>
      </c>
      <c r="M3" s="62">
        <f t="shared" si="0"/>
        <v>14919.198452278588</v>
      </c>
      <c r="N3" s="62">
        <f t="shared" si="0"/>
        <v>13829.793637145312</v>
      </c>
      <c r="O3" s="62">
        <f t="shared" si="0"/>
        <v>13135.267239896821</v>
      </c>
      <c r="P3" s="62">
        <f t="shared" si="0"/>
        <v>12937.835597592426</v>
      </c>
      <c r="Q3" s="62">
        <f t="shared" si="0"/>
        <v>11947.705245055888</v>
      </c>
      <c r="R3" s="62">
        <f t="shared" si="0"/>
        <v>11869.917712811692</v>
      </c>
      <c r="S3" s="62">
        <f t="shared" si="0"/>
        <v>11656.214875322443</v>
      </c>
      <c r="T3" s="62">
        <f t="shared" si="0"/>
        <v>11218.956491831472</v>
      </c>
      <c r="U3" s="62">
        <f t="shared" si="0"/>
        <v>11427.211607910576</v>
      </c>
      <c r="V3" s="62">
        <f t="shared" si="0"/>
        <v>11880.531900257951</v>
      </c>
      <c r="W3" s="62">
        <f t="shared" si="0"/>
        <v>11425.604041272569</v>
      </c>
      <c r="X3" s="62">
        <f t="shared" ref="X3:Y3" si="1">SUM(X4,X10)</f>
        <v>11563.47815993121</v>
      </c>
      <c r="Y3" s="62">
        <f t="shared" si="1"/>
        <v>10703.630352536542</v>
      </c>
      <c r="DA3" s="172" t="s">
        <v>970</v>
      </c>
    </row>
    <row r="4" spans="1:105" ht="11.45" customHeight="1" x14ac:dyDescent="0.25">
      <c r="A4" s="70" t="s">
        <v>166</v>
      </c>
      <c r="B4" s="71">
        <f>SUM(B5:B9)</f>
        <v>3184.9670953726586</v>
      </c>
      <c r="C4" s="71">
        <f t="shared" ref="C4:W4" si="2">SUM(C5:C9)</f>
        <v>3464.4491615626248</v>
      </c>
      <c r="D4" s="71">
        <f t="shared" si="2"/>
        <v>3469.467370817039</v>
      </c>
      <c r="E4" s="71">
        <f t="shared" si="2"/>
        <v>3167.8797672119022</v>
      </c>
      <c r="F4" s="71">
        <f t="shared" si="2"/>
        <v>3444.3233880156913</v>
      </c>
      <c r="G4" s="71">
        <f t="shared" si="2"/>
        <v>3356.5623593253231</v>
      </c>
      <c r="H4" s="71">
        <f t="shared" si="2"/>
        <v>3425.1070046459154</v>
      </c>
      <c r="I4" s="71">
        <f t="shared" si="2"/>
        <v>3455.1979741245868</v>
      </c>
      <c r="J4" s="71">
        <f t="shared" si="2"/>
        <v>3131.1330508737346</v>
      </c>
      <c r="K4" s="71">
        <f t="shared" si="2"/>
        <v>3252.1801887013562</v>
      </c>
      <c r="L4" s="71">
        <f t="shared" si="2"/>
        <v>3240.6058442076824</v>
      </c>
      <c r="M4" s="71">
        <f t="shared" si="2"/>
        <v>3229.8449179061413</v>
      </c>
      <c r="N4" s="71">
        <f t="shared" si="2"/>
        <v>2995.8520858050397</v>
      </c>
      <c r="O4" s="71">
        <f t="shared" si="2"/>
        <v>2881.941964421977</v>
      </c>
      <c r="P4" s="71">
        <f t="shared" si="2"/>
        <v>2891.6086950113845</v>
      </c>
      <c r="Q4" s="71">
        <f t="shared" si="2"/>
        <v>2570.4362916463333</v>
      </c>
      <c r="R4" s="71">
        <f t="shared" si="2"/>
        <v>2421.5186640827105</v>
      </c>
      <c r="S4" s="71">
        <f t="shared" si="2"/>
        <v>2350.3476501785667</v>
      </c>
      <c r="T4" s="71">
        <f t="shared" si="2"/>
        <v>2346.1939028845477</v>
      </c>
      <c r="U4" s="71">
        <f t="shared" si="2"/>
        <v>2463.7313113168138</v>
      </c>
      <c r="V4" s="71">
        <f t="shared" si="2"/>
        <v>2304.956801109282</v>
      </c>
      <c r="W4" s="71">
        <f t="shared" si="2"/>
        <v>2214.278301843271</v>
      </c>
      <c r="X4" s="71">
        <f t="shared" ref="X4:Y4" si="3">SUM(X5:X9)</f>
        <v>2414.4096829291598</v>
      </c>
      <c r="Y4" s="71">
        <f t="shared" si="3"/>
        <v>2413.869798971828</v>
      </c>
      <c r="DA4" s="186" t="s">
        <v>971</v>
      </c>
    </row>
    <row r="5" spans="1:105" ht="11.45" customHeight="1" x14ac:dyDescent="0.25">
      <c r="A5" s="72" t="s">
        <v>144</v>
      </c>
      <c r="B5" s="73">
        <v>1103.327536490669</v>
      </c>
      <c r="C5" s="73">
        <v>1123.4550339114419</v>
      </c>
      <c r="D5" s="73">
        <v>1091.9510238039015</v>
      </c>
      <c r="E5" s="73">
        <v>1011.2777138851338</v>
      </c>
      <c r="F5" s="73">
        <v>988.02981287090643</v>
      </c>
      <c r="G5" s="73">
        <v>947.18878693959232</v>
      </c>
      <c r="H5" s="73">
        <v>915.09504585491231</v>
      </c>
      <c r="I5" s="73">
        <v>936.09904698987862</v>
      </c>
      <c r="J5" s="73">
        <v>849.63873957151895</v>
      </c>
      <c r="K5" s="73">
        <v>886.95978232471634</v>
      </c>
      <c r="L5" s="73">
        <v>977.343541949258</v>
      </c>
      <c r="M5" s="73">
        <v>901.00385196478737</v>
      </c>
      <c r="N5" s="73">
        <v>909.10566325152706</v>
      </c>
      <c r="O5" s="73">
        <v>831.13092796789272</v>
      </c>
      <c r="P5" s="73">
        <v>850.34828204295752</v>
      </c>
      <c r="Q5" s="73">
        <v>1238.3035960172322</v>
      </c>
      <c r="R5" s="73">
        <v>1215.5594810628072</v>
      </c>
      <c r="S5" s="73">
        <v>1241.1938196676126</v>
      </c>
      <c r="T5" s="73">
        <v>1209.9468174440722</v>
      </c>
      <c r="U5" s="73">
        <v>1212.8115141371006</v>
      </c>
      <c r="V5" s="73">
        <v>1057.5247102604749</v>
      </c>
      <c r="W5" s="73">
        <v>1119.5153985335419</v>
      </c>
      <c r="X5" s="73">
        <v>1132.5080428610222</v>
      </c>
      <c r="Y5" s="73">
        <v>927.21204125105305</v>
      </c>
      <c r="DA5" s="187" t="s">
        <v>972</v>
      </c>
    </row>
    <row r="6" spans="1:105" ht="11.45" customHeight="1" x14ac:dyDescent="0.25">
      <c r="A6" s="72" t="s">
        <v>145</v>
      </c>
      <c r="B6" s="73">
        <v>2081.6395588819896</v>
      </c>
      <c r="C6" s="73">
        <v>2340.9941276511831</v>
      </c>
      <c r="D6" s="73">
        <v>2377.5163470131374</v>
      </c>
      <c r="E6" s="73">
        <v>2156.6020533267683</v>
      </c>
      <c r="F6" s="73">
        <v>2456.2935751447849</v>
      </c>
      <c r="G6" s="73">
        <v>2409.3735723857308</v>
      </c>
      <c r="H6" s="73">
        <v>2510.0119587910031</v>
      </c>
      <c r="I6" s="73">
        <v>2519.0989271347084</v>
      </c>
      <c r="J6" s="73">
        <v>2281.4943113022155</v>
      </c>
      <c r="K6" s="73">
        <v>2365.2204063766399</v>
      </c>
      <c r="L6" s="73">
        <v>2263.2623022584244</v>
      </c>
      <c r="M6" s="73">
        <v>2328.8410659413539</v>
      </c>
      <c r="N6" s="73">
        <v>2086.7464225535127</v>
      </c>
      <c r="O6" s="73">
        <v>2050.7420267278922</v>
      </c>
      <c r="P6" s="73">
        <v>2041.1434933513235</v>
      </c>
      <c r="Q6" s="73">
        <v>1331.9744757305191</v>
      </c>
      <c r="R6" s="73">
        <v>1205.7222008090384</v>
      </c>
      <c r="S6" s="73">
        <v>1108.2268632046544</v>
      </c>
      <c r="T6" s="73">
        <v>1129.4392165098905</v>
      </c>
      <c r="U6" s="73">
        <v>1227.6310024296024</v>
      </c>
      <c r="V6" s="73">
        <v>1179.5330424466197</v>
      </c>
      <c r="W6" s="73">
        <v>1039.4563432597231</v>
      </c>
      <c r="X6" s="73">
        <v>1175.2792683388145</v>
      </c>
      <c r="Y6" s="73">
        <v>1365.9290350661529</v>
      </c>
      <c r="DA6" s="187" t="s">
        <v>973</v>
      </c>
    </row>
    <row r="7" spans="1:105" ht="11.45" customHeight="1" x14ac:dyDescent="0.25">
      <c r="A7" s="72" t="s">
        <v>146</v>
      </c>
      <c r="B7" s="73">
        <v>0</v>
      </c>
      <c r="C7" s="73">
        <v>0</v>
      </c>
      <c r="D7" s="73">
        <v>0</v>
      </c>
      <c r="E7" s="73">
        <v>0</v>
      </c>
      <c r="F7" s="73">
        <v>0</v>
      </c>
      <c r="G7" s="73">
        <v>0</v>
      </c>
      <c r="H7" s="73">
        <v>0</v>
      </c>
      <c r="I7" s="73">
        <v>0</v>
      </c>
      <c r="J7" s="73">
        <v>0</v>
      </c>
      <c r="K7" s="73">
        <v>0</v>
      </c>
      <c r="L7" s="73">
        <v>0</v>
      </c>
      <c r="M7" s="73">
        <v>0</v>
      </c>
      <c r="N7" s="73">
        <v>0</v>
      </c>
      <c r="O7" s="73">
        <v>0</v>
      </c>
      <c r="P7" s="73">
        <v>0</v>
      </c>
      <c r="Q7" s="73">
        <v>0</v>
      </c>
      <c r="R7" s="73">
        <v>0</v>
      </c>
      <c r="S7" s="73">
        <v>0</v>
      </c>
      <c r="T7" s="73">
        <v>3.4864796445609123</v>
      </c>
      <c r="U7" s="73">
        <v>10.205396743417724</v>
      </c>
      <c r="V7" s="73">
        <v>45.849695278993877</v>
      </c>
      <c r="W7" s="73">
        <v>32.188575588388488</v>
      </c>
      <c r="X7" s="73">
        <v>90.394458723338772</v>
      </c>
      <c r="Y7" s="73">
        <v>74.168108751442062</v>
      </c>
      <c r="DA7" s="187" t="s">
        <v>974</v>
      </c>
    </row>
    <row r="8" spans="1:105" ht="11.45" customHeight="1" x14ac:dyDescent="0.25">
      <c r="A8" s="72" t="s">
        <v>55</v>
      </c>
      <c r="B8" s="73">
        <v>0</v>
      </c>
      <c r="C8" s="73">
        <v>0</v>
      </c>
      <c r="D8" s="73">
        <v>0</v>
      </c>
      <c r="E8" s="73">
        <v>0</v>
      </c>
      <c r="F8" s="73">
        <v>0</v>
      </c>
      <c r="G8" s="73">
        <v>0</v>
      </c>
      <c r="H8" s="73">
        <v>0</v>
      </c>
      <c r="I8" s="73">
        <v>0</v>
      </c>
      <c r="J8" s="73">
        <v>0</v>
      </c>
      <c r="K8" s="73">
        <v>0</v>
      </c>
      <c r="L8" s="73">
        <v>0</v>
      </c>
      <c r="M8" s="73">
        <v>0</v>
      </c>
      <c r="N8" s="73">
        <v>0</v>
      </c>
      <c r="O8" s="73">
        <v>6.8928747837372961E-2</v>
      </c>
      <c r="P8" s="73">
        <v>0.1167121676460563</v>
      </c>
      <c r="Q8" s="73">
        <v>0.15785464367079818</v>
      </c>
      <c r="R8" s="73">
        <v>0.23644118270349213</v>
      </c>
      <c r="S8" s="73">
        <v>0.92451350740594906</v>
      </c>
      <c r="T8" s="73">
        <v>3.3117253736561616</v>
      </c>
      <c r="U8" s="73">
        <v>13.034837674191243</v>
      </c>
      <c r="V8" s="73">
        <v>21.931015061854058</v>
      </c>
      <c r="W8" s="73">
        <v>22.971964813864037</v>
      </c>
      <c r="X8" s="73">
        <v>16.085853047298038</v>
      </c>
      <c r="Y8" s="73">
        <v>46.041056389779087</v>
      </c>
      <c r="DA8" s="187" t="s">
        <v>975</v>
      </c>
    </row>
    <row r="9" spans="1:105" ht="11.45" customHeight="1" x14ac:dyDescent="0.25">
      <c r="A9" s="74" t="s">
        <v>147</v>
      </c>
      <c r="B9" s="75">
        <v>0</v>
      </c>
      <c r="C9" s="75">
        <v>0</v>
      </c>
      <c r="D9" s="75">
        <v>0</v>
      </c>
      <c r="E9" s="75">
        <v>0</v>
      </c>
      <c r="F9" s="75">
        <v>0</v>
      </c>
      <c r="G9" s="75">
        <v>0</v>
      </c>
      <c r="H9" s="75">
        <v>0</v>
      </c>
      <c r="I9" s="75">
        <v>0</v>
      </c>
      <c r="J9" s="75">
        <v>0</v>
      </c>
      <c r="K9" s="75">
        <v>0</v>
      </c>
      <c r="L9" s="75">
        <v>0</v>
      </c>
      <c r="M9" s="75">
        <v>0</v>
      </c>
      <c r="N9" s="75">
        <v>0</v>
      </c>
      <c r="O9" s="75">
        <v>8.097835495666566E-5</v>
      </c>
      <c r="P9" s="75">
        <v>2.0744945736163767E-4</v>
      </c>
      <c r="Q9" s="75">
        <v>3.6525491138864708E-4</v>
      </c>
      <c r="R9" s="75">
        <v>5.41028161657094E-4</v>
      </c>
      <c r="S9" s="75">
        <v>2.4537988935428769E-3</v>
      </c>
      <c r="T9" s="75">
        <v>9.663912367881014E-3</v>
      </c>
      <c r="U9" s="75">
        <v>4.8560332501953934E-2</v>
      </c>
      <c r="V9" s="75">
        <v>0.11833806133955205</v>
      </c>
      <c r="W9" s="75">
        <v>0.14601964775328424</v>
      </c>
      <c r="X9" s="75">
        <v>0.14205995868651428</v>
      </c>
      <c r="Y9" s="75">
        <v>0.51955751340086975</v>
      </c>
      <c r="DA9" s="188" t="s">
        <v>976</v>
      </c>
    </row>
    <row r="10" spans="1:105" ht="11.45" customHeight="1" x14ac:dyDescent="0.25">
      <c r="A10" s="70" t="s">
        <v>167</v>
      </c>
      <c r="B10" s="71">
        <f>SUM(B11:B15)</f>
        <v>9975.3056475336198</v>
      </c>
      <c r="C10" s="71">
        <f t="shared" ref="C10:W10" si="4">SUM(C11:C15)</f>
        <v>10924.747828979076</v>
      </c>
      <c r="D10" s="71">
        <f t="shared" si="4"/>
        <v>10796.884047927588</v>
      </c>
      <c r="E10" s="71">
        <f t="shared" si="4"/>
        <v>10219.879390139775</v>
      </c>
      <c r="F10" s="71">
        <f t="shared" si="4"/>
        <v>11139.380137349737</v>
      </c>
      <c r="G10" s="71">
        <f t="shared" si="4"/>
        <v>12261.96257618629</v>
      </c>
      <c r="H10" s="71">
        <f t="shared" si="4"/>
        <v>13230.505893032498</v>
      </c>
      <c r="I10" s="71">
        <f t="shared" si="4"/>
        <v>13617.129368953656</v>
      </c>
      <c r="J10" s="71">
        <f t="shared" si="4"/>
        <v>13265.910027372189</v>
      </c>
      <c r="K10" s="71">
        <f t="shared" si="4"/>
        <v>11385.719897283165</v>
      </c>
      <c r="L10" s="71">
        <f t="shared" si="4"/>
        <v>10619.287191045976</v>
      </c>
      <c r="M10" s="71">
        <f t="shared" si="4"/>
        <v>11689.353534372447</v>
      </c>
      <c r="N10" s="71">
        <f t="shared" si="4"/>
        <v>10833.941551340273</v>
      </c>
      <c r="O10" s="71">
        <f t="shared" si="4"/>
        <v>10253.325275474843</v>
      </c>
      <c r="P10" s="71">
        <f t="shared" si="4"/>
        <v>10046.226902581042</v>
      </c>
      <c r="Q10" s="71">
        <f t="shared" si="4"/>
        <v>9377.2689534095553</v>
      </c>
      <c r="R10" s="71">
        <f t="shared" si="4"/>
        <v>9448.3990487289811</v>
      </c>
      <c r="S10" s="71">
        <f t="shared" si="4"/>
        <v>9305.8672251438766</v>
      </c>
      <c r="T10" s="71">
        <f t="shared" si="4"/>
        <v>8872.7625889469236</v>
      </c>
      <c r="U10" s="71">
        <f t="shared" si="4"/>
        <v>8963.4802965937615</v>
      </c>
      <c r="V10" s="71">
        <f t="shared" si="4"/>
        <v>9575.5750991486693</v>
      </c>
      <c r="W10" s="71">
        <f t="shared" si="4"/>
        <v>9211.3257394292978</v>
      </c>
      <c r="X10" s="71">
        <f t="shared" ref="X10:Y10" si="5">SUM(X11:X15)</f>
        <v>9149.0684770020507</v>
      </c>
      <c r="Y10" s="71">
        <f t="shared" si="5"/>
        <v>8289.7605535647144</v>
      </c>
      <c r="DA10" s="186" t="s">
        <v>977</v>
      </c>
    </row>
    <row r="11" spans="1:105" ht="11.45" customHeight="1" x14ac:dyDescent="0.25">
      <c r="A11" s="72" t="s">
        <v>144</v>
      </c>
      <c r="B11" s="73">
        <v>631.25492266668198</v>
      </c>
      <c r="C11" s="73">
        <v>648.18675456663209</v>
      </c>
      <c r="D11" s="73">
        <v>621.01355057271053</v>
      </c>
      <c r="E11" s="73">
        <v>597.71480546138309</v>
      </c>
      <c r="F11" s="73">
        <v>588.02108996658262</v>
      </c>
      <c r="G11" s="73">
        <v>640.1858476261857</v>
      </c>
      <c r="H11" s="73">
        <v>655.80873746409065</v>
      </c>
      <c r="I11" s="73">
        <v>688.33491689662128</v>
      </c>
      <c r="J11" s="73">
        <v>674.35094228574712</v>
      </c>
      <c r="K11" s="73">
        <v>575.12104312670272</v>
      </c>
      <c r="L11" s="73">
        <v>589.9823393920999</v>
      </c>
      <c r="M11" s="73">
        <v>606.47680151758573</v>
      </c>
      <c r="N11" s="73">
        <v>612.82039005887702</v>
      </c>
      <c r="O11" s="73">
        <v>547.37294133563239</v>
      </c>
      <c r="P11" s="73">
        <v>534.34647290115242</v>
      </c>
      <c r="Q11" s="73">
        <v>820.73053983831392</v>
      </c>
      <c r="R11" s="73">
        <v>873.42495573856888</v>
      </c>
      <c r="S11" s="73">
        <v>910.44874267116643</v>
      </c>
      <c r="T11" s="73">
        <v>844.71431755162894</v>
      </c>
      <c r="U11" s="73">
        <v>813.71574295662231</v>
      </c>
      <c r="V11" s="73">
        <v>822.98406016084914</v>
      </c>
      <c r="W11" s="73">
        <v>868.57995830222706</v>
      </c>
      <c r="X11" s="73">
        <v>795.90949798162558</v>
      </c>
      <c r="Y11" s="73">
        <v>586.950297527967</v>
      </c>
      <c r="DA11" s="187" t="s">
        <v>978</v>
      </c>
    </row>
    <row r="12" spans="1:105" ht="11.45" customHeight="1" x14ac:dyDescent="0.25">
      <c r="A12" s="72" t="s">
        <v>145</v>
      </c>
      <c r="B12" s="73">
        <v>9344.0507248669383</v>
      </c>
      <c r="C12" s="73">
        <v>10276.561074412444</v>
      </c>
      <c r="D12" s="73">
        <v>10175.870497354877</v>
      </c>
      <c r="E12" s="73">
        <v>9622.1645846783922</v>
      </c>
      <c r="F12" s="73">
        <v>10551.359047383155</v>
      </c>
      <c r="G12" s="73">
        <v>11621.776728560104</v>
      </c>
      <c r="H12" s="73">
        <v>12574.697155568407</v>
      </c>
      <c r="I12" s="73">
        <v>12928.794452057035</v>
      </c>
      <c r="J12" s="73">
        <v>12591.559085086441</v>
      </c>
      <c r="K12" s="73">
        <v>10810.598854156462</v>
      </c>
      <c r="L12" s="73">
        <v>10029.304851653877</v>
      </c>
      <c r="M12" s="73">
        <v>11082.876732854862</v>
      </c>
      <c r="N12" s="73">
        <v>10221.121161281395</v>
      </c>
      <c r="O12" s="73">
        <v>9705.7068124810521</v>
      </c>
      <c r="P12" s="73">
        <v>9511.4742194603641</v>
      </c>
      <c r="Q12" s="73">
        <v>8555.9612078464343</v>
      </c>
      <c r="R12" s="73">
        <v>8574.0494242984405</v>
      </c>
      <c r="S12" s="73">
        <v>8391.7482872682613</v>
      </c>
      <c r="T12" s="73">
        <v>8002.3024859836614</v>
      </c>
      <c r="U12" s="73">
        <v>8065.0358935291251</v>
      </c>
      <c r="V12" s="73">
        <v>8470.5152808551848</v>
      </c>
      <c r="W12" s="73">
        <v>8112.6722895863631</v>
      </c>
      <c r="X12" s="73">
        <v>7949.1283842837129</v>
      </c>
      <c r="Y12" s="73">
        <v>7288.2012314858666</v>
      </c>
      <c r="DA12" s="187" t="s">
        <v>979</v>
      </c>
    </row>
    <row r="13" spans="1:105" ht="11.45" customHeight="1" x14ac:dyDescent="0.25">
      <c r="A13" s="72" t="s">
        <v>146</v>
      </c>
      <c r="B13" s="73">
        <v>0</v>
      </c>
      <c r="C13" s="73">
        <v>0</v>
      </c>
      <c r="D13" s="73">
        <v>0</v>
      </c>
      <c r="E13" s="73">
        <v>0</v>
      </c>
      <c r="F13" s="73">
        <v>0</v>
      </c>
      <c r="G13" s="73">
        <v>0</v>
      </c>
      <c r="H13" s="73">
        <v>0</v>
      </c>
      <c r="I13" s="73">
        <v>0</v>
      </c>
      <c r="J13" s="73">
        <v>0</v>
      </c>
      <c r="K13" s="73">
        <v>0</v>
      </c>
      <c r="L13" s="73">
        <v>0</v>
      </c>
      <c r="M13" s="73">
        <v>0</v>
      </c>
      <c r="N13" s="73">
        <v>0</v>
      </c>
      <c r="O13" s="73">
        <v>0</v>
      </c>
      <c r="P13" s="73">
        <v>0</v>
      </c>
      <c r="Q13" s="73">
        <v>0</v>
      </c>
      <c r="R13" s="73">
        <v>0</v>
      </c>
      <c r="S13" s="73">
        <v>0</v>
      </c>
      <c r="T13" s="73">
        <v>13.185059478396948</v>
      </c>
      <c r="U13" s="73">
        <v>37.128997065696637</v>
      </c>
      <c r="V13" s="73">
        <v>190.475240232614</v>
      </c>
      <c r="W13" s="73">
        <v>133.90342785099241</v>
      </c>
      <c r="X13" s="73">
        <v>342.53718358104641</v>
      </c>
      <c r="Y13" s="73">
        <v>254.70962125715639</v>
      </c>
      <c r="DA13" s="187" t="s">
        <v>980</v>
      </c>
    </row>
    <row r="14" spans="1:105" ht="11.45" customHeight="1" x14ac:dyDescent="0.25">
      <c r="A14" s="72" t="s">
        <v>55</v>
      </c>
      <c r="B14" s="73">
        <v>0</v>
      </c>
      <c r="C14" s="73">
        <v>0</v>
      </c>
      <c r="D14" s="73">
        <v>0</v>
      </c>
      <c r="E14" s="73">
        <v>0</v>
      </c>
      <c r="F14" s="73">
        <v>0</v>
      </c>
      <c r="G14" s="73">
        <v>0</v>
      </c>
      <c r="H14" s="73">
        <v>0</v>
      </c>
      <c r="I14" s="73">
        <v>0</v>
      </c>
      <c r="J14" s="73">
        <v>0</v>
      </c>
      <c r="K14" s="73">
        <v>0</v>
      </c>
      <c r="L14" s="73">
        <v>0</v>
      </c>
      <c r="M14" s="73">
        <v>0</v>
      </c>
      <c r="N14" s="73">
        <v>0</v>
      </c>
      <c r="O14" s="73">
        <v>0.24523355471161223</v>
      </c>
      <c r="P14" s="73">
        <v>0.40548948427468445</v>
      </c>
      <c r="Q14" s="73">
        <v>0.57587322979229527</v>
      </c>
      <c r="R14" s="73">
        <v>0.92255768203309851</v>
      </c>
      <c r="S14" s="73">
        <v>3.6604797367394535</v>
      </c>
      <c r="T14" s="73">
        <v>12.524179252241717</v>
      </c>
      <c r="U14" s="73">
        <v>47.422992160400803</v>
      </c>
      <c r="V14" s="73">
        <v>91.108901314019704</v>
      </c>
      <c r="W14" s="73">
        <v>95.56262670282328</v>
      </c>
      <c r="X14" s="73">
        <v>60.955094771726827</v>
      </c>
      <c r="Y14" s="73">
        <v>158.11512835821094</v>
      </c>
      <c r="DA14" s="187" t="s">
        <v>981</v>
      </c>
    </row>
    <row r="15" spans="1:105" ht="11.45" customHeight="1" x14ac:dyDescent="0.25">
      <c r="A15" s="74" t="s">
        <v>147</v>
      </c>
      <c r="B15" s="75">
        <v>0</v>
      </c>
      <c r="C15" s="75">
        <v>0</v>
      </c>
      <c r="D15" s="75">
        <v>0</v>
      </c>
      <c r="E15" s="75">
        <v>0</v>
      </c>
      <c r="F15" s="75">
        <v>0</v>
      </c>
      <c r="G15" s="75">
        <v>0</v>
      </c>
      <c r="H15" s="75">
        <v>0</v>
      </c>
      <c r="I15" s="75">
        <v>0</v>
      </c>
      <c r="J15" s="75">
        <v>0</v>
      </c>
      <c r="K15" s="75">
        <v>0</v>
      </c>
      <c r="L15" s="75">
        <v>0</v>
      </c>
      <c r="M15" s="75">
        <v>0</v>
      </c>
      <c r="N15" s="75">
        <v>0</v>
      </c>
      <c r="O15" s="75">
        <v>2.881034468749561E-4</v>
      </c>
      <c r="P15" s="75">
        <v>7.2073525130415968E-4</v>
      </c>
      <c r="Q15" s="75">
        <v>1.3324950133081835E-3</v>
      </c>
      <c r="R15" s="75">
        <v>2.1110099392411185E-3</v>
      </c>
      <c r="S15" s="75">
        <v>9.7154677091195879E-3</v>
      </c>
      <c r="T15" s="75">
        <v>3.6546680994770084E-2</v>
      </c>
      <c r="U15" s="75">
        <v>0.17667088191717753</v>
      </c>
      <c r="V15" s="75">
        <v>0.49161658600247993</v>
      </c>
      <c r="W15" s="75">
        <v>0.60743698689209724</v>
      </c>
      <c r="X15" s="75">
        <v>0.5383163839395253</v>
      </c>
      <c r="Y15" s="75">
        <v>1.7842749355136069</v>
      </c>
      <c r="DA15" s="188" t="s">
        <v>982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68" t="s">
        <v>36</v>
      </c>
      <c r="B17" s="69"/>
      <c r="C17" s="69"/>
      <c r="D17" s="69"/>
      <c r="E17" s="69"/>
      <c r="F17" s="69"/>
      <c r="G17" s="69"/>
      <c r="H17" s="69"/>
      <c r="I17" s="69"/>
      <c r="J17" s="69"/>
      <c r="K17" s="69"/>
      <c r="L17" s="69"/>
      <c r="M17" s="69"/>
      <c r="N17" s="69"/>
      <c r="O17" s="69"/>
      <c r="P17" s="69"/>
      <c r="Q17" s="69"/>
      <c r="R17" s="69"/>
      <c r="S17" s="69"/>
      <c r="T17" s="69"/>
      <c r="U17" s="69"/>
      <c r="V17" s="69"/>
      <c r="W17" s="69"/>
      <c r="X17" s="69"/>
      <c r="Y17" s="69"/>
      <c r="DA17" s="179"/>
    </row>
    <row r="18" spans="1:105" ht="11.45" customHeight="1" x14ac:dyDescent="0.25">
      <c r="A18" s="50"/>
      <c r="B18" s="50"/>
      <c r="C18" s="50"/>
      <c r="D18" s="51"/>
      <c r="E18" s="51"/>
      <c r="F18" s="51"/>
      <c r="G18" s="51"/>
      <c r="H18" s="51"/>
      <c r="I18" s="51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DA18" s="181"/>
    </row>
    <row r="19" spans="1:105" ht="11.45" customHeight="1" x14ac:dyDescent="0.25">
      <c r="A19" s="53" t="s">
        <v>62</v>
      </c>
      <c r="B19" s="62">
        <f>IF(B3=0,0,B3/MBunk_act!B7*100)</f>
        <v>21293.030231668024</v>
      </c>
      <c r="C19" s="62">
        <f>IF(C3=0,0,C3/MBunk_act!C7*100)</f>
        <v>24914.793646711918</v>
      </c>
      <c r="D19" s="62">
        <f>IF(D3=0,0,D3/MBunk_act!D7*100)</f>
        <v>25280.074868616095</v>
      </c>
      <c r="E19" s="62">
        <f>IF(E3=0,0,E3/MBunk_act!E7*100)</f>
        <v>23420.428567530365</v>
      </c>
      <c r="F19" s="62">
        <f>IF(F3=0,0,F3/MBunk_act!F7*100)</f>
        <v>24588.634066301787</v>
      </c>
      <c r="G19" s="62">
        <f>IF(G3=0,0,G3/MBunk_act!G7*100)</f>
        <v>25320.023257570432</v>
      </c>
      <c r="H19" s="62">
        <f>IF(H3=0,0,H3/MBunk_act!H7*100)</f>
        <v>26725.891337340407</v>
      </c>
      <c r="I19" s="62">
        <f>IF(I3=0,0,I3/MBunk_act!I7*100)</f>
        <v>26269.484169328261</v>
      </c>
      <c r="J19" s="62">
        <f>IF(J3=0,0,J3/MBunk_act!J7*100)</f>
        <v>24696.539010248885</v>
      </c>
      <c r="K19" s="62">
        <f>IF(K3=0,0,K3/MBunk_act!K7*100)</f>
        <v>23697.902180590227</v>
      </c>
      <c r="L19" s="62">
        <f>IF(L3=0,0,L3/MBunk_act!L7*100)</f>
        <v>21777.962554458543</v>
      </c>
      <c r="M19" s="62">
        <f>IF(M3=0,0,M3/MBunk_act!M7*100)</f>
        <v>22592.338199849033</v>
      </c>
      <c r="N19" s="62">
        <f>IF(N3=0,0,N3/MBunk_act!N7*100)</f>
        <v>21487.242388155581</v>
      </c>
      <c r="O19" s="62">
        <f>IF(O3=0,0,O3/MBunk_act!O7*100)</f>
        <v>21064.332256767913</v>
      </c>
      <c r="P19" s="62">
        <f>IF(P3=0,0,P3/MBunk_act!P7*100)</f>
        <v>20152.927110591372</v>
      </c>
      <c r="Q19" s="62">
        <f>IF(Q3=0,0,Q3/MBunk_act!Q7*100)</f>
        <v>19518.922247026268</v>
      </c>
      <c r="R19" s="62">
        <f>IF(R3=0,0,R3/MBunk_act!R7*100)</f>
        <v>20131.002879943415</v>
      </c>
      <c r="S19" s="62">
        <f>IF(S3=0,0,S3/MBunk_act!S7*100)</f>
        <v>19892.317707228132</v>
      </c>
      <c r="T19" s="62">
        <f>IF(T3=0,0,T3/MBunk_act!T7*100)</f>
        <v>19169.511633535389</v>
      </c>
      <c r="U19" s="62">
        <f>IF(U3=0,0,U3/MBunk_act!U7*100)</f>
        <v>19598.592192853324</v>
      </c>
      <c r="V19" s="62">
        <f>IF(V3=0,0,V3/MBunk_act!V7*100)</f>
        <v>22455.020101083424</v>
      </c>
      <c r="W19" s="62">
        <f>IF(W3=0,0,W3/MBunk_act!W7*100)</f>
        <v>20684.691058875582</v>
      </c>
      <c r="X19" s="62">
        <f>IF(X3=0,0,X3/MBunk_act!X7*100)</f>
        <v>18537.122816579715</v>
      </c>
      <c r="Y19" s="62">
        <f>IF(Y3=0,0,Y3/MBunk_act!Y7*100)</f>
        <v>18544.62455694297</v>
      </c>
      <c r="DA19" s="172" t="s">
        <v>983</v>
      </c>
    </row>
    <row r="20" spans="1:105" ht="11.45" customHeight="1" x14ac:dyDescent="0.25">
      <c r="A20" s="55" t="s">
        <v>166</v>
      </c>
      <c r="B20" s="63">
        <f>IF(B4=0,0,B4/MBunk_act!B8*100)</f>
        <v>22262.191177040128</v>
      </c>
      <c r="C20" s="63">
        <f>IF(C4=0,0,C4/MBunk_act!C8*100)</f>
        <v>25847.555317061717</v>
      </c>
      <c r="D20" s="63">
        <f>IF(D4=0,0,D4/MBunk_act!D8*100)</f>
        <v>26584.530874336542</v>
      </c>
      <c r="E20" s="63">
        <f>IF(E4=0,0,E4/MBunk_act!E8*100)</f>
        <v>25151.85386608831</v>
      </c>
      <c r="F20" s="63">
        <f>IF(F4=0,0,F4/MBunk_act!F8*100)</f>
        <v>26205.361110556318</v>
      </c>
      <c r="G20" s="63">
        <f>IF(G4=0,0,G4/MBunk_act!G8*100)</f>
        <v>27316.863704080999</v>
      </c>
      <c r="H20" s="63">
        <f>IF(H4=0,0,H4/MBunk_act!H8*100)</f>
        <v>28431.478953069563</v>
      </c>
      <c r="I20" s="63">
        <f>IF(I4=0,0,I4/MBunk_act!I8*100)</f>
        <v>28369.420568897756</v>
      </c>
      <c r="J20" s="63">
        <f>IF(J4=0,0,J4/MBunk_act!J8*100)</f>
        <v>26805.823738298393</v>
      </c>
      <c r="K20" s="63">
        <f>IF(K4=0,0,K4/MBunk_act!K8*100)</f>
        <v>25935.419190296387</v>
      </c>
      <c r="L20" s="63">
        <f>IF(L4=0,0,L4/MBunk_act!L8*100)</f>
        <v>22544.579269888949</v>
      </c>
      <c r="M20" s="63">
        <f>IF(M4=0,0,M4/MBunk_act!M8*100)</f>
        <v>22017.379007882948</v>
      </c>
      <c r="N20" s="63">
        <f>IF(N4=0,0,N4/MBunk_act!N8*100)</f>
        <v>20637.543417308079</v>
      </c>
      <c r="O20" s="63">
        <f>IF(O4=0,0,O4/MBunk_act!O8*100)</f>
        <v>20182.569545107635</v>
      </c>
      <c r="P20" s="63">
        <f>IF(P4=0,0,P4/MBunk_act!P8*100)</f>
        <v>19093.699725410926</v>
      </c>
      <c r="Q20" s="63">
        <f>IF(Q4=0,0,Q4/MBunk_act!Q8*100)</f>
        <v>18936.535886132006</v>
      </c>
      <c r="R20" s="63">
        <f>IF(R4=0,0,R4/MBunk_act!R8*100)</f>
        <v>19742.238902507201</v>
      </c>
      <c r="S20" s="63">
        <f>IF(S4=0,0,S4/MBunk_act!S8*100)</f>
        <v>19338.504179613868</v>
      </c>
      <c r="T20" s="63">
        <f>IF(T4=0,0,T4/MBunk_act!T8*100)</f>
        <v>18312.989352997232</v>
      </c>
      <c r="U20" s="63">
        <f>IF(U4=0,0,U4/MBunk_act!U8*100)</f>
        <v>18629.814563349857</v>
      </c>
      <c r="V20" s="63">
        <f>IF(V4=0,0,V4/MBunk_act!V8*100)</f>
        <v>19611.192535230039</v>
      </c>
      <c r="W20" s="63">
        <f>IF(W4=0,0,W4/MBunk_act!W8*100)</f>
        <v>17925.860558569482</v>
      </c>
      <c r="X20" s="63">
        <f>IF(X4=0,0,X4/MBunk_act!X8*100)</f>
        <v>18186.664017185965</v>
      </c>
      <c r="Y20" s="63">
        <f>IF(Y4=0,0,Y4/MBunk_act!Y8*100)</f>
        <v>18276.365506835933</v>
      </c>
      <c r="DA20" s="181" t="s">
        <v>984</v>
      </c>
    </row>
    <row r="21" spans="1:105" ht="11.45" customHeight="1" x14ac:dyDescent="0.25">
      <c r="A21" s="57" t="s">
        <v>167</v>
      </c>
      <c r="B21" s="64">
        <f>IF(B10=0,0,B10/MBunk_act!B9*100)</f>
        <v>21001.120083385511</v>
      </c>
      <c r="C21" s="64">
        <f>IF(C10=0,0,C10/MBunk_act!C9*100)</f>
        <v>24632.897275468946</v>
      </c>
      <c r="D21" s="64">
        <f>IF(D10=0,0,D10/MBunk_act!D9*100)</f>
        <v>24887.656960931556</v>
      </c>
      <c r="E21" s="64">
        <f>IF(E10=0,0,E10/MBunk_act!E9*100)</f>
        <v>22931.120965939714</v>
      </c>
      <c r="F21" s="64">
        <f>IF(F10=0,0,F10/MBunk_act!F9*100)</f>
        <v>24128.359221318788</v>
      </c>
      <c r="G21" s="64">
        <f>IF(G10=0,0,G10/MBunk_act!G9*100)</f>
        <v>24823.308652237582</v>
      </c>
      <c r="H21" s="64">
        <f>IF(H10=0,0,H10/MBunk_act!H9*100)</f>
        <v>26317.184687342815</v>
      </c>
      <c r="I21" s="64">
        <f>IF(I10=0,0,I10/MBunk_act!I9*100)</f>
        <v>25785.185463734888</v>
      </c>
      <c r="J21" s="64">
        <f>IF(J10=0,0,J10/MBunk_act!J9*100)</f>
        <v>24246.225816820493</v>
      </c>
      <c r="K21" s="64">
        <f>IF(K10=0,0,K10/MBunk_act!K9*100)</f>
        <v>23127.968061093394</v>
      </c>
      <c r="L21" s="64">
        <f>IF(L10=0,0,L10/MBunk_act!L9*100)</f>
        <v>21554.296107355509</v>
      </c>
      <c r="M21" s="64">
        <f>IF(M10=0,0,M10/MBunk_act!M9*100)</f>
        <v>22756.53653297247</v>
      </c>
      <c r="N21" s="64">
        <f>IF(N10=0,0,N10/MBunk_act!N9*100)</f>
        <v>21734.696428890813</v>
      </c>
      <c r="O21" s="64">
        <f>IF(O10=0,0,O10/MBunk_act!O9*100)</f>
        <v>21326.216629496917</v>
      </c>
      <c r="P21" s="64">
        <f>IF(P10=0,0,P10/MBunk_act!P9*100)</f>
        <v>20479.939586931112</v>
      </c>
      <c r="Q21" s="64">
        <f>IF(Q10=0,0,Q10/MBunk_act!Q9*100)</f>
        <v>19684.87088906594</v>
      </c>
      <c r="R21" s="64">
        <f>IF(R10=0,0,R10/MBunk_act!R9*100)</f>
        <v>20233.116102192667</v>
      </c>
      <c r="S21" s="64">
        <f>IF(S10=0,0,S10/MBunk_act!S9*100)</f>
        <v>20037.24626504659</v>
      </c>
      <c r="T21" s="64">
        <f>IF(T10=0,0,T10/MBunk_act!T9*100)</f>
        <v>19409.560782343091</v>
      </c>
      <c r="U21" s="64">
        <f>IF(U10=0,0,U10/MBunk_act!U9*100)</f>
        <v>19882.782596148023</v>
      </c>
      <c r="V21" s="64">
        <f>IF(V10=0,0,V10/MBunk_act!V9*100)</f>
        <v>23267.178813090075</v>
      </c>
      <c r="W21" s="64">
        <f>IF(W10=0,0,W10/MBunk_act!W9*100)</f>
        <v>21479.341315322363</v>
      </c>
      <c r="X21" s="64">
        <f>IF(X10=0,0,X10/MBunk_act!X9*100)</f>
        <v>18631.87178672275</v>
      </c>
      <c r="Y21" s="64">
        <f>IF(Y10=0,0,Y10/MBunk_act!Y9*100)</f>
        <v>18624.224839315288</v>
      </c>
      <c r="DA21" s="182" t="s">
        <v>985</v>
      </c>
    </row>
    <row r="22" spans="1:105" ht="11.45" customHeight="1" x14ac:dyDescent="0.25">
      <c r="A22" s="50"/>
      <c r="B22" s="50"/>
      <c r="C22" s="50"/>
      <c r="D22" s="51"/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DA22" s="181"/>
    </row>
    <row r="23" spans="1:105" ht="11.45" customHeight="1" x14ac:dyDescent="0.25">
      <c r="A23" s="53" t="s">
        <v>63</v>
      </c>
      <c r="B23" s="62">
        <f>IF(B3=0,0,B3/MBunk_act!B3*1000)</f>
        <v>9.2299046895518853</v>
      </c>
      <c r="C23" s="62">
        <f>IF(C3=0,0,C3/MBunk_act!C3*1000)</f>
        <v>10.238124289168308</v>
      </c>
      <c r="D23" s="62">
        <f>IF(D3=0,0,D3/MBunk_act!D3*1000)</f>
        <v>10.056291516249665</v>
      </c>
      <c r="E23" s="62">
        <f>IF(E3=0,0,E3/MBunk_act!E3*1000)</f>
        <v>9.3541126199493831</v>
      </c>
      <c r="F23" s="62">
        <f>IF(F3=0,0,F3/MBunk_act!F3*1000)</f>
        <v>9.587707983136772</v>
      </c>
      <c r="G23" s="62">
        <f>IF(G3=0,0,G3/MBunk_act!G3*1000)</f>
        <v>9.6071013051189311</v>
      </c>
      <c r="H23" s="62">
        <f>IF(H3=0,0,H3/MBunk_act!H3*1000)</f>
        <v>9.8012126002428488</v>
      </c>
      <c r="I23" s="62">
        <f>IF(I3=0,0,I3/MBunk_act!I3*1000)</f>
        <v>9.4664080614177788</v>
      </c>
      <c r="J23" s="62">
        <f>IF(J3=0,0,J3/MBunk_act!J3*1000)</f>
        <v>8.5866179438488128</v>
      </c>
      <c r="K23" s="62">
        <f>IF(K3=0,0,K3/MBunk_act!K3*1000)</f>
        <v>8.8167280674864124</v>
      </c>
      <c r="L23" s="62">
        <f>IF(L3=0,0,L3/MBunk_act!L3*1000)</f>
        <v>7.7504614945885582</v>
      </c>
      <c r="M23" s="62">
        <f>IF(M3=0,0,M3/MBunk_act!M3*1000)</f>
        <v>7.7005854965422618</v>
      </c>
      <c r="N23" s="62">
        <f>IF(N3=0,0,N3/MBunk_act!N3*1000)</f>
        <v>7.0620421905490938</v>
      </c>
      <c r="O23" s="62">
        <f>IF(O3=0,0,O3/MBunk_act!O3*1000)</f>
        <v>6.813720765658446</v>
      </c>
      <c r="P23" s="62">
        <f>IF(P3=0,0,P3/MBunk_act!P3*1000)</f>
        <v>6.4445114905049685</v>
      </c>
      <c r="Q23" s="62">
        <f>IF(Q3=0,0,Q3/MBunk_act!Q3*1000)</f>
        <v>5.8569264668240253</v>
      </c>
      <c r="R23" s="62">
        <f>IF(R3=0,0,R3/MBunk_act!R3*1000)</f>
        <v>5.8917072017547936</v>
      </c>
      <c r="S23" s="62">
        <f>IF(S3=0,0,S3/MBunk_act!S3*1000)</f>
        <v>5.7098134553283906</v>
      </c>
      <c r="T23" s="62">
        <f>IF(T3=0,0,T3/MBunk_act!T3*1000)</f>
        <v>5.5515935004836665</v>
      </c>
      <c r="U23" s="62">
        <f>IF(U3=0,0,U3/MBunk_act!U3*1000)</f>
        <v>5.7393305487663513</v>
      </c>
      <c r="V23" s="62">
        <f>IF(V3=0,0,V3/MBunk_act!V3*1000)</f>
        <v>6.6311310630141618</v>
      </c>
      <c r="W23" s="62">
        <f>IF(W3=0,0,W3/MBunk_act!W3*1000)</f>
        <v>5.9264878169132764</v>
      </c>
      <c r="X23" s="62">
        <f>IF(X3=0,0,X3/MBunk_act!X3*1000)</f>
        <v>5.7398363157597174</v>
      </c>
      <c r="Y23" s="62">
        <f>IF(Y3=0,0,Y3/MBunk_act!Y3*1000)</f>
        <v>5.7305817529401128</v>
      </c>
      <c r="DA23" s="172" t="s">
        <v>432</v>
      </c>
    </row>
    <row r="24" spans="1:105" ht="11.45" customHeight="1" x14ac:dyDescent="0.25">
      <c r="A24" s="55" t="s">
        <v>166</v>
      </c>
      <c r="B24" s="63">
        <f>IF(B4=0,0,B4/MBunk_act!B4*1000)</f>
        <v>33.667360332947432</v>
      </c>
      <c r="C24" s="63">
        <f>IF(C4=0,0,C4/MBunk_act!C4*1000)</f>
        <v>37.538920623349192</v>
      </c>
      <c r="D24" s="63">
        <f>IF(D4=0,0,D4/MBunk_act!D4*1000)</f>
        <v>36.580963531766578</v>
      </c>
      <c r="E24" s="63">
        <f>IF(E4=0,0,E4/MBunk_act!E4*1000)</f>
        <v>34.307703423927336</v>
      </c>
      <c r="F24" s="63">
        <f>IF(F4=0,0,F4/MBunk_act!F4*1000)</f>
        <v>35.231137057636154</v>
      </c>
      <c r="G24" s="63">
        <f>IF(G4=0,0,G4/MBunk_act!G4*1000)</f>
        <v>36.714081916141858</v>
      </c>
      <c r="H24" s="63">
        <f>IF(H4=0,0,H4/MBunk_act!H4*1000)</f>
        <v>38.088471739772139</v>
      </c>
      <c r="I24" s="63">
        <f>IF(I4=0,0,I4/MBunk_act!I4*1000)</f>
        <v>36.861025150089311</v>
      </c>
      <c r="J24" s="63">
        <f>IF(J4=0,0,J4/MBunk_act!J4*1000)</f>
        <v>34.150108292509884</v>
      </c>
      <c r="K24" s="63">
        <f>IF(K4=0,0,K4/MBunk_act!K4*1000)</f>
        <v>33.068849663605015</v>
      </c>
      <c r="L24" s="63">
        <f>IF(L4=0,0,L4/MBunk_act!L4*1000)</f>
        <v>28.885183519621204</v>
      </c>
      <c r="M24" s="63">
        <f>IF(M4=0,0,M4/MBunk_act!M4*1000)</f>
        <v>30.103487320773613</v>
      </c>
      <c r="N24" s="63">
        <f>IF(N4=0,0,N4/MBunk_act!N4*1000)</f>
        <v>27.79359709918732</v>
      </c>
      <c r="O24" s="63">
        <f>IF(O4=0,0,O4/MBunk_act!O4*1000)</f>
        <v>26.719850255808336</v>
      </c>
      <c r="P24" s="63">
        <f>IF(P4=0,0,P4/MBunk_act!P4*1000)</f>
        <v>25.296791159340884</v>
      </c>
      <c r="Q24" s="63">
        <f>IF(Q4=0,0,Q4/MBunk_act!Q4*1000)</f>
        <v>23.233182189832807</v>
      </c>
      <c r="R24" s="63">
        <f>IF(R4=0,0,R4/MBunk_act!R4*1000)</f>
        <v>23.575861742459804</v>
      </c>
      <c r="S24" s="63">
        <f>IF(S4=0,0,S4/MBunk_act!S4*1000)</f>
        <v>22.995447193594579</v>
      </c>
      <c r="T24" s="63">
        <f>IF(T4=0,0,T4/MBunk_act!T4*1000)</f>
        <v>22.170229269382205</v>
      </c>
      <c r="U24" s="63">
        <f>IF(U4=0,0,U4/MBunk_act!U4*1000)</f>
        <v>22.970630414811087</v>
      </c>
      <c r="V24" s="63">
        <f>IF(V4=0,0,V4/MBunk_act!V4*1000)</f>
        <v>22.253214107185151</v>
      </c>
      <c r="W24" s="63">
        <f>IF(W4=0,0,W4/MBunk_act!W4*1000)</f>
        <v>21.277878806599556</v>
      </c>
      <c r="X24" s="63">
        <f>IF(X4=0,0,X4/MBunk_act!X4*1000)</f>
        <v>21.975728675380484</v>
      </c>
      <c r="Y24" s="63">
        <f>IF(Y4=0,0,Y4/MBunk_act!Y4*1000)</f>
        <v>21.200872154839136</v>
      </c>
      <c r="DA24" s="181" t="s">
        <v>433</v>
      </c>
    </row>
    <row r="25" spans="1:105" ht="11.45" customHeight="1" x14ac:dyDescent="0.25">
      <c r="A25" s="57" t="s">
        <v>167</v>
      </c>
      <c r="B25" s="64">
        <f>IF(B10=0,0,B10/MBunk_act!B5*1000)</f>
        <v>7.4933071144372327</v>
      </c>
      <c r="C25" s="64">
        <f>IF(C10=0,0,C10/MBunk_act!C5*1000)</f>
        <v>8.3194152997332917</v>
      </c>
      <c r="D25" s="64">
        <f>IF(D10=0,0,D10/MBunk_act!D5*1000)</f>
        <v>8.1559423686666666</v>
      </c>
      <c r="E25" s="64">
        <f>IF(E10=0,0,E10/MBunk_act!E5*1000)</f>
        <v>7.6331607319738879</v>
      </c>
      <c r="F25" s="64">
        <f>IF(F10=0,0,F10/MBunk_act!F5*1000)</f>
        <v>7.8263368600372809</v>
      </c>
      <c r="G25" s="64">
        <f>IF(G10=0,0,G10/MBunk_act!G5*1000)</f>
        <v>7.9918796097829485</v>
      </c>
      <c r="H25" s="64">
        <f>IF(H10=0,0,H10/MBunk_act!H5*1000)</f>
        <v>8.2206821365597751</v>
      </c>
      <c r="I25" s="64">
        <f>IF(I10=0,0,I10/MBunk_act!I5*1000)</f>
        <v>7.9644989342897397</v>
      </c>
      <c r="J25" s="64">
        <f>IF(J10=0,0,J10/MBunk_act!J5*1000)</f>
        <v>7.2973133356104087</v>
      </c>
      <c r="K25" s="64">
        <f>IF(K10=0,0,K10/MBunk_act!K5*1000)</f>
        <v>7.289678516640187</v>
      </c>
      <c r="L25" s="64">
        <f>IF(L10=0,0,L10/MBunk_act!L5*1000)</f>
        <v>6.3357968562687619</v>
      </c>
      <c r="M25" s="64">
        <f>IF(M10=0,0,M10/MBunk_act!M5*1000)</f>
        <v>6.3872076705021472</v>
      </c>
      <c r="N25" s="64">
        <f>IF(N10=0,0,N10/MBunk_act!N5*1000)</f>
        <v>5.8544804202289935</v>
      </c>
      <c r="O25" s="64">
        <f>IF(O10=0,0,O10/MBunk_act!O5*1000)</f>
        <v>5.6339754739652061</v>
      </c>
      <c r="P25" s="64">
        <f>IF(P10=0,0,P10/MBunk_act!P5*1000)</f>
        <v>5.3062917743237685</v>
      </c>
      <c r="Q25" s="64">
        <f>IF(Q10=0,0,Q10/MBunk_act!Q5*1000)</f>
        <v>4.8604739791798606</v>
      </c>
      <c r="R25" s="64">
        <f>IF(R10=0,0,R10/MBunk_act!R5*1000)</f>
        <v>4.9417077090856667</v>
      </c>
      <c r="S25" s="64">
        <f>IF(S10=0,0,S10/MBunk_act!S5*1000)</f>
        <v>4.7987531751523047</v>
      </c>
      <c r="T25" s="64">
        <f>IF(T10=0,0,T10/MBunk_act!T5*1000)</f>
        <v>4.6332309338559838</v>
      </c>
      <c r="U25" s="64">
        <f>IF(U10=0,0,U10/MBunk_act!U5*1000)</f>
        <v>4.7582417749165167</v>
      </c>
      <c r="V25" s="64">
        <f>IF(V10=0,0,V10/MBunk_act!V5*1000)</f>
        <v>5.6725620713039637</v>
      </c>
      <c r="W25" s="64">
        <f>IF(W10=0,0,W10/MBunk_act!W5*1000)</f>
        <v>5.0505588273077429</v>
      </c>
      <c r="X25" s="64">
        <f>IF(X10=0,0,X10/MBunk_act!X5*1000)</f>
        <v>4.8033323835574384</v>
      </c>
      <c r="Y25" s="64">
        <f>IF(Y10=0,0,Y10/MBunk_act!Y5*1000)</f>
        <v>4.7263337440435729</v>
      </c>
      <c r="DA25" s="182" t="s">
        <v>434</v>
      </c>
    </row>
    <row r="26" spans="1:105" ht="11.45" customHeight="1" x14ac:dyDescent="0.25">
      <c r="A26" s="50"/>
      <c r="B26" s="50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DA26" s="181"/>
    </row>
    <row r="27" spans="1:105" ht="11.45" customHeight="1" x14ac:dyDescent="0.25">
      <c r="A27" s="53" t="s">
        <v>40</v>
      </c>
      <c r="B27" s="76">
        <f>IF(B3=0,0,B3/B$3)</f>
        <v>1</v>
      </c>
      <c r="C27" s="76">
        <f t="shared" ref="C27:W28" si="6">IF(C3=0,0,C3/C$3)</f>
        <v>1</v>
      </c>
      <c r="D27" s="76">
        <f t="shared" si="6"/>
        <v>1</v>
      </c>
      <c r="E27" s="76">
        <f t="shared" si="6"/>
        <v>1</v>
      </c>
      <c r="F27" s="76">
        <f t="shared" si="6"/>
        <v>1</v>
      </c>
      <c r="G27" s="76">
        <f t="shared" si="6"/>
        <v>1</v>
      </c>
      <c r="H27" s="76">
        <f t="shared" si="6"/>
        <v>1</v>
      </c>
      <c r="I27" s="76">
        <f t="shared" si="6"/>
        <v>1</v>
      </c>
      <c r="J27" s="76">
        <f t="shared" si="6"/>
        <v>1</v>
      </c>
      <c r="K27" s="76">
        <f t="shared" si="6"/>
        <v>1</v>
      </c>
      <c r="L27" s="76">
        <f t="shared" si="6"/>
        <v>1</v>
      </c>
      <c r="M27" s="76">
        <f t="shared" si="6"/>
        <v>1</v>
      </c>
      <c r="N27" s="76">
        <f t="shared" si="6"/>
        <v>1</v>
      </c>
      <c r="O27" s="76">
        <f t="shared" si="6"/>
        <v>1</v>
      </c>
      <c r="P27" s="76">
        <f t="shared" si="6"/>
        <v>1</v>
      </c>
      <c r="Q27" s="76">
        <f t="shared" si="6"/>
        <v>1</v>
      </c>
      <c r="R27" s="76">
        <f t="shared" si="6"/>
        <v>1</v>
      </c>
      <c r="S27" s="76">
        <f t="shared" si="6"/>
        <v>1</v>
      </c>
      <c r="T27" s="76">
        <f t="shared" si="6"/>
        <v>1</v>
      </c>
      <c r="U27" s="76">
        <f t="shared" si="6"/>
        <v>1</v>
      </c>
      <c r="V27" s="76">
        <f t="shared" si="6"/>
        <v>1</v>
      </c>
      <c r="W27" s="76">
        <f t="shared" si="6"/>
        <v>1</v>
      </c>
      <c r="X27" s="76">
        <f t="shared" ref="X27:Y27" si="7">IF(X3=0,0,X3/X$3)</f>
        <v>1</v>
      </c>
      <c r="Y27" s="76">
        <f t="shared" si="7"/>
        <v>1</v>
      </c>
      <c r="DA27" s="183"/>
    </row>
    <row r="28" spans="1:105" ht="11.45" customHeight="1" x14ac:dyDescent="0.25">
      <c r="A28" s="55" t="s">
        <v>166</v>
      </c>
      <c r="B28" s="77">
        <f>IF(B4=0,0,B4/B$3)</f>
        <v>0.24201376047388051</v>
      </c>
      <c r="C28" s="77">
        <f t="shared" si="6"/>
        <v>0.24076737317863356</v>
      </c>
      <c r="D28" s="77">
        <f t="shared" si="6"/>
        <v>0.24319233902078771</v>
      </c>
      <c r="E28" s="77">
        <f t="shared" si="6"/>
        <v>0.23662509386212785</v>
      </c>
      <c r="F28" s="77">
        <f t="shared" si="6"/>
        <v>0.23617617994119131</v>
      </c>
      <c r="G28" s="77">
        <f t="shared" si="6"/>
        <v>0.21490905019420597</v>
      </c>
      <c r="H28" s="77">
        <f t="shared" si="6"/>
        <v>0.20564280796435494</v>
      </c>
      <c r="I28" s="77">
        <f t="shared" si="6"/>
        <v>0.20238587889573548</v>
      </c>
      <c r="J28" s="77">
        <f t="shared" si="6"/>
        <v>0.19095717660386169</v>
      </c>
      <c r="K28" s="77">
        <f t="shared" si="6"/>
        <v>0.22217532361866915</v>
      </c>
      <c r="L28" s="77">
        <f t="shared" si="6"/>
        <v>0.2338117499150219</v>
      </c>
      <c r="M28" s="77">
        <f t="shared" si="6"/>
        <v>0.21648917187054723</v>
      </c>
      <c r="N28" s="77">
        <f t="shared" si="6"/>
        <v>0.21662305052466646</v>
      </c>
      <c r="O28" s="77">
        <f t="shared" si="6"/>
        <v>0.21940489765357946</v>
      </c>
      <c r="P28" s="77">
        <f t="shared" si="6"/>
        <v>0.22350018851294398</v>
      </c>
      <c r="Q28" s="77">
        <f t="shared" si="6"/>
        <v>0.21514058464992786</v>
      </c>
      <c r="R28" s="77">
        <f t="shared" si="6"/>
        <v>0.20400467152936247</v>
      </c>
      <c r="S28" s="77">
        <f t="shared" si="6"/>
        <v>0.20163901191925734</v>
      </c>
      <c r="T28" s="77">
        <f t="shared" si="6"/>
        <v>0.20912764075632281</v>
      </c>
      <c r="U28" s="77">
        <f t="shared" si="6"/>
        <v>0.21560214301197297</v>
      </c>
      <c r="V28" s="77">
        <f t="shared" si="6"/>
        <v>0.19401124633647393</v>
      </c>
      <c r="W28" s="77">
        <f t="shared" si="6"/>
        <v>0.19379967079593</v>
      </c>
      <c r="X28" s="77">
        <f t="shared" ref="X28:Y28" si="8">IF(X4=0,0,X4/X$3)</f>
        <v>0.20879614675931751</v>
      </c>
      <c r="Y28" s="77">
        <f t="shared" si="8"/>
        <v>0.22551879310740491</v>
      </c>
      <c r="DA28" s="184"/>
    </row>
    <row r="29" spans="1:105" ht="11.45" customHeight="1" x14ac:dyDescent="0.25">
      <c r="A29" s="57" t="s">
        <v>167</v>
      </c>
      <c r="B29" s="78">
        <f>IF(B10=0,0,B10/B$3)</f>
        <v>0.75798623952611954</v>
      </c>
      <c r="C29" s="78">
        <f t="shared" ref="C29:W29" si="9">IF(C10=0,0,C10/C$3)</f>
        <v>0.75923262682136639</v>
      </c>
      <c r="D29" s="78">
        <f t="shared" si="9"/>
        <v>0.75680766097921226</v>
      </c>
      <c r="E29" s="78">
        <f t="shared" si="9"/>
        <v>0.76337490613787218</v>
      </c>
      <c r="F29" s="78">
        <f t="shared" si="9"/>
        <v>0.76382382005880867</v>
      </c>
      <c r="G29" s="78">
        <f t="shared" si="9"/>
        <v>0.78509094980579397</v>
      </c>
      <c r="H29" s="78">
        <f t="shared" si="9"/>
        <v>0.79435719203564503</v>
      </c>
      <c r="I29" s="78">
        <f t="shared" si="9"/>
        <v>0.79761412110426455</v>
      </c>
      <c r="J29" s="78">
        <f t="shared" si="9"/>
        <v>0.80904282339613831</v>
      </c>
      <c r="K29" s="78">
        <f t="shared" si="9"/>
        <v>0.77782467638133079</v>
      </c>
      <c r="L29" s="78">
        <f t="shared" si="9"/>
        <v>0.76618825008497804</v>
      </c>
      <c r="M29" s="78">
        <f t="shared" si="9"/>
        <v>0.78351082812945283</v>
      </c>
      <c r="N29" s="78">
        <f t="shared" si="9"/>
        <v>0.78337694947533354</v>
      </c>
      <c r="O29" s="78">
        <f t="shared" si="9"/>
        <v>0.78059510234642049</v>
      </c>
      <c r="P29" s="78">
        <f t="shared" si="9"/>
        <v>0.77649981148705605</v>
      </c>
      <c r="Q29" s="78">
        <f t="shared" si="9"/>
        <v>0.7848594153500722</v>
      </c>
      <c r="R29" s="78">
        <f t="shared" si="9"/>
        <v>0.79599532847063759</v>
      </c>
      <c r="S29" s="78">
        <f t="shared" si="9"/>
        <v>0.79836098808074274</v>
      </c>
      <c r="T29" s="78">
        <f t="shared" si="9"/>
        <v>0.79087235924367716</v>
      </c>
      <c r="U29" s="78">
        <f t="shared" si="9"/>
        <v>0.78439785698802689</v>
      </c>
      <c r="V29" s="78">
        <f t="shared" si="9"/>
        <v>0.80598875366352607</v>
      </c>
      <c r="W29" s="78">
        <f t="shared" si="9"/>
        <v>0.80620032920407003</v>
      </c>
      <c r="X29" s="78">
        <f t="shared" ref="X29:Y29" si="10">IF(X10=0,0,X10/X$3)</f>
        <v>0.79120385324068254</v>
      </c>
      <c r="Y29" s="78">
        <f t="shared" si="10"/>
        <v>0.77448120689259514</v>
      </c>
      <c r="DA29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DA23"/>
  <sheetViews>
    <sheetView showGridLines="0" workbookViewId="0">
      <pane xSplit="1" ySplit="1" topLeftCell="E2" activePane="bottomRight" state="frozen"/>
      <selection activeCell="DA2" sqref="DA2"/>
      <selection pane="topRight" activeCell="DA2" sqref="DA2"/>
      <selection pane="bottomLeft" activeCell="DA2" sqref="DA2"/>
      <selection pane="bottomRight" activeCell="DA2" sqref="DA2"/>
    </sheetView>
  </sheetViews>
  <sheetFormatPr defaultColWidth="9.140625" defaultRowHeight="11.45" customHeight="1" x14ac:dyDescent="0.25"/>
  <cols>
    <col min="1" max="1" width="50.7109375" style="18" customWidth="1"/>
    <col min="2" max="25" width="9.7109375" style="18" customWidth="1"/>
    <col min="26" max="103" width="9.140625" style="18" hidden="1" customWidth="1"/>
    <col min="104" max="104" width="2.7109375" style="18" customWidth="1"/>
    <col min="105" max="105" width="9.7109375" style="180" customWidth="1"/>
    <col min="106" max="16384" width="9.140625" style="18"/>
  </cols>
  <sheetData>
    <row r="1" spans="1:105" ht="13.5" customHeight="1" x14ac:dyDescent="0.25">
      <c r="A1" s="48" t="s">
        <v>986</v>
      </c>
      <c r="B1" s="49">
        <v>2000</v>
      </c>
      <c r="C1" s="49">
        <v>2001</v>
      </c>
      <c r="D1" s="49">
        <v>2002</v>
      </c>
      <c r="E1" s="49">
        <v>2003</v>
      </c>
      <c r="F1" s="49">
        <v>2004</v>
      </c>
      <c r="G1" s="49">
        <v>2005</v>
      </c>
      <c r="H1" s="49">
        <v>2006</v>
      </c>
      <c r="I1" s="49">
        <v>2007</v>
      </c>
      <c r="J1" s="49">
        <v>2008</v>
      </c>
      <c r="K1" s="49">
        <v>2009</v>
      </c>
      <c r="L1" s="49">
        <v>2010</v>
      </c>
      <c r="M1" s="49">
        <v>2011</v>
      </c>
      <c r="N1" s="49">
        <v>2012</v>
      </c>
      <c r="O1" s="49">
        <v>2013</v>
      </c>
      <c r="P1" s="49">
        <v>2014</v>
      </c>
      <c r="Q1" s="49">
        <v>2015</v>
      </c>
      <c r="R1" s="49">
        <v>2016</v>
      </c>
      <c r="S1" s="49">
        <v>2017</v>
      </c>
      <c r="T1" s="49">
        <v>2018</v>
      </c>
      <c r="U1" s="49">
        <v>2019</v>
      </c>
      <c r="V1" s="49">
        <v>2020</v>
      </c>
      <c r="W1" s="49">
        <v>2021</v>
      </c>
      <c r="X1" s="49">
        <v>2022</v>
      </c>
      <c r="Y1" s="49">
        <v>2023</v>
      </c>
      <c r="DA1" s="170" t="s">
        <v>152</v>
      </c>
    </row>
    <row r="2" spans="1:105" ht="11.45" customHeight="1" x14ac:dyDescent="0.25">
      <c r="A2" s="50"/>
      <c r="B2" s="50"/>
      <c r="C2" s="50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DA2" s="181"/>
    </row>
    <row r="3" spans="1:105" ht="11.45" customHeight="1" x14ac:dyDescent="0.25">
      <c r="A3" s="53" t="s">
        <v>44</v>
      </c>
      <c r="B3" s="62">
        <f t="shared" ref="B3" si="0">SUM(B4:B5)</f>
        <v>42379.803333360018</v>
      </c>
      <c r="C3" s="62">
        <f t="shared" ref="C3:W3" si="1">SUM(C4:C5)</f>
        <v>46355.416924320001</v>
      </c>
      <c r="D3" s="62">
        <f t="shared" si="1"/>
        <v>45974.598690240011</v>
      </c>
      <c r="E3" s="62">
        <f t="shared" si="1"/>
        <v>43142.152084919988</v>
      </c>
      <c r="F3" s="62">
        <f t="shared" si="1"/>
        <v>47023.958070719993</v>
      </c>
      <c r="G3" s="62">
        <f t="shared" si="1"/>
        <v>50372.932830840022</v>
      </c>
      <c r="H3" s="62">
        <f t="shared" si="1"/>
        <v>53738.354703240002</v>
      </c>
      <c r="I3" s="62">
        <f t="shared" si="1"/>
        <v>55083.563188919987</v>
      </c>
      <c r="J3" s="62">
        <f t="shared" si="1"/>
        <v>52909.295909040025</v>
      </c>
      <c r="K3" s="62">
        <f t="shared" si="1"/>
        <v>47220.085861920008</v>
      </c>
      <c r="L3" s="62">
        <f t="shared" si="1"/>
        <v>44683.499463840017</v>
      </c>
      <c r="M3" s="62">
        <f t="shared" si="1"/>
        <v>48127.251121920002</v>
      </c>
      <c r="N3" s="62">
        <f t="shared" si="1"/>
        <v>44598.173399999992</v>
      </c>
      <c r="O3" s="62">
        <f t="shared" si="1"/>
        <v>42369.243922782596</v>
      </c>
      <c r="P3" s="62">
        <f t="shared" si="1"/>
        <v>41730.953660684565</v>
      </c>
      <c r="Q3" s="62">
        <f t="shared" si="1"/>
        <v>38419.459519733813</v>
      </c>
      <c r="R3" s="62">
        <f t="shared" si="1"/>
        <v>38161.760217466697</v>
      </c>
      <c r="S3" s="62">
        <f t="shared" si="1"/>
        <v>37452.214348729896</v>
      </c>
      <c r="T3" s="62">
        <f t="shared" si="1"/>
        <v>35984.836962798603</v>
      </c>
      <c r="U3" s="62">
        <f t="shared" si="1"/>
        <v>36527.099134574775</v>
      </c>
      <c r="V3" s="62">
        <f t="shared" si="1"/>
        <v>37352.45740557609</v>
      </c>
      <c r="W3" s="62">
        <f t="shared" si="1"/>
        <v>36085.394644174521</v>
      </c>
      <c r="X3" s="62">
        <f t="shared" ref="X3:Y3" si="2">SUM(X4:X5)</f>
        <v>35712.710789824399</v>
      </c>
      <c r="Y3" s="62">
        <f t="shared" si="2"/>
        <v>33202.062370243926</v>
      </c>
      <c r="DA3" s="172" t="s">
        <v>987</v>
      </c>
    </row>
    <row r="4" spans="1:105" ht="11.45" customHeight="1" x14ac:dyDescent="0.25">
      <c r="A4" s="55" t="s">
        <v>166</v>
      </c>
      <c r="B4" s="63">
        <v>10163.70045271331</v>
      </c>
      <c r="C4" s="63">
        <v>11066.197522453458</v>
      </c>
      <c r="D4" s="63">
        <v>11088.435515345633</v>
      </c>
      <c r="E4" s="63">
        <v>10122.450315615361</v>
      </c>
      <c r="F4" s="63">
        <v>11021.708366887669</v>
      </c>
      <c r="G4" s="63">
        <v>10742.766730021309</v>
      </c>
      <c r="H4" s="63">
        <v>10969.832085863636</v>
      </c>
      <c r="I4" s="63">
        <v>11064.863700726961</v>
      </c>
      <c r="J4" s="63">
        <v>10026.83374871719</v>
      </c>
      <c r="K4" s="63">
        <v>10414.037525360218</v>
      </c>
      <c r="L4" s="63">
        <v>10363.824864363511</v>
      </c>
      <c r="M4" s="63">
        <v>10340.1197624092</v>
      </c>
      <c r="N4" s="63">
        <v>9581.3205232001928</v>
      </c>
      <c r="O4" s="63">
        <v>9223.2419711623443</v>
      </c>
      <c r="P4" s="63">
        <v>9252.3061418369689</v>
      </c>
      <c r="Q4" s="63">
        <v>8156.7396966980868</v>
      </c>
      <c r="R4" s="63">
        <v>7677.243293645326</v>
      </c>
      <c r="S4" s="63">
        <v>7441.9231402869627</v>
      </c>
      <c r="T4" s="63">
        <v>7419.2387227321688</v>
      </c>
      <c r="U4" s="63">
        <v>7769.431664362558</v>
      </c>
      <c r="V4" s="63">
        <v>7152.4534131172895</v>
      </c>
      <c r="W4" s="63">
        <v>6893.4309948736518</v>
      </c>
      <c r="X4" s="63">
        <v>7357.3875656539249</v>
      </c>
      <c r="Y4" s="63">
        <v>7408.0772968025531</v>
      </c>
      <c r="DA4" s="181" t="s">
        <v>988</v>
      </c>
    </row>
    <row r="5" spans="1:105" ht="11.45" customHeight="1" x14ac:dyDescent="0.25">
      <c r="A5" s="57" t="s">
        <v>167</v>
      </c>
      <c r="B5" s="64">
        <v>32216.102880646704</v>
      </c>
      <c r="C5" s="64">
        <v>35289.219401866547</v>
      </c>
      <c r="D5" s="64">
        <v>34886.163174894376</v>
      </c>
      <c r="E5" s="64">
        <v>33019.701769304629</v>
      </c>
      <c r="F5" s="64">
        <v>36002.24970383232</v>
      </c>
      <c r="G5" s="64">
        <v>39630.166100818715</v>
      </c>
      <c r="H5" s="64">
        <v>42768.522617376366</v>
      </c>
      <c r="I5" s="64">
        <v>44018.69948819303</v>
      </c>
      <c r="J5" s="64">
        <v>42882.462160322837</v>
      </c>
      <c r="K5" s="64">
        <v>36806.04833655979</v>
      </c>
      <c r="L5" s="64">
        <v>34319.674599476508</v>
      </c>
      <c r="M5" s="64">
        <v>37787.1313595108</v>
      </c>
      <c r="N5" s="64">
        <v>35016.8528767998</v>
      </c>
      <c r="O5" s="64">
        <v>33146.001951620252</v>
      </c>
      <c r="P5" s="64">
        <v>32478.647518847592</v>
      </c>
      <c r="Q5" s="64">
        <v>30262.719823035724</v>
      </c>
      <c r="R5" s="64">
        <v>30484.516923821368</v>
      </c>
      <c r="S5" s="64">
        <v>30010.291208442934</v>
      </c>
      <c r="T5" s="64">
        <v>28565.598240066436</v>
      </c>
      <c r="U5" s="64">
        <v>28757.667470212215</v>
      </c>
      <c r="V5" s="64">
        <v>30200.003992458798</v>
      </c>
      <c r="W5" s="64">
        <v>29191.963649300869</v>
      </c>
      <c r="X5" s="64">
        <v>28355.323224170472</v>
      </c>
      <c r="Y5" s="64">
        <v>25793.98507344137</v>
      </c>
      <c r="DA5" s="182" t="s">
        <v>989</v>
      </c>
    </row>
    <row r="6" spans="1:105" ht="11.45" customHeight="1" x14ac:dyDescent="0.25">
      <c r="A6" s="50"/>
      <c r="B6" s="50"/>
      <c r="C6" s="50"/>
      <c r="D6" s="51"/>
      <c r="E6" s="51"/>
      <c r="F6" s="51"/>
      <c r="G6" s="51"/>
      <c r="H6" s="51"/>
      <c r="I6" s="51"/>
      <c r="J6" s="51"/>
      <c r="K6" s="51"/>
      <c r="L6" s="51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DA6" s="181"/>
    </row>
    <row r="7" spans="1:105" ht="11.45" customHeight="1" x14ac:dyDescent="0.25">
      <c r="A7" s="68" t="s">
        <v>36</v>
      </c>
      <c r="B7" s="69"/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DA7" s="179"/>
    </row>
    <row r="8" spans="1:105" ht="11.45" customHeight="1" x14ac:dyDescent="0.25">
      <c r="A8" s="50"/>
      <c r="B8" s="50"/>
      <c r="C8" s="50"/>
      <c r="D8" s="51"/>
      <c r="E8" s="51"/>
      <c r="F8" s="51"/>
      <c r="G8" s="51"/>
      <c r="H8" s="51"/>
      <c r="I8" s="51"/>
      <c r="J8" s="51"/>
      <c r="K8" s="51"/>
      <c r="L8" s="51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DA8" s="181"/>
    </row>
    <row r="9" spans="1:105" ht="11.45" customHeight="1" x14ac:dyDescent="0.25">
      <c r="A9" s="53" t="s">
        <v>148</v>
      </c>
      <c r="B9" s="79">
        <f>IF(B3=0,0,B3/MBunk_ene!B3)</f>
        <v>3.2202830565349649</v>
      </c>
      <c r="C9" s="79">
        <f>IF(C3=0,0,C3/MBunk_ene!C3)</f>
        <v>3.221543005825156</v>
      </c>
      <c r="D9" s="79">
        <f>IF(D3=0,0,D3/MBunk_ene!D3)</f>
        <v>3.2225898087603371</v>
      </c>
      <c r="E9" s="79">
        <f>IF(E3=0,0,E3/MBunk_ene!E3)</f>
        <v>3.2225073350852114</v>
      </c>
      <c r="F9" s="79">
        <f>IF(F3=0,0,F3/MBunk_ene!F3)</f>
        <v>3.2244181314390579</v>
      </c>
      <c r="G9" s="79">
        <f>IF(G3=0,0,G3/MBunk_ene!G3)</f>
        <v>3.2252042391216991</v>
      </c>
      <c r="H9" s="79">
        <f>IF(H3=0,0,H3/MBunk_ene!H3)</f>
        <v>3.2264411422968688</v>
      </c>
      <c r="I9" s="79">
        <f>IF(I3=0,0,I3/MBunk_ene!I3)</f>
        <v>3.2264823700942515</v>
      </c>
      <c r="J9" s="79">
        <f>IF(J3=0,0,J3/MBunk_ene!J3)</f>
        <v>3.2267583646977895</v>
      </c>
      <c r="K9" s="79">
        <f>IF(K3=0,0,K3/MBunk_ene!K3)</f>
        <v>3.2258784104649161</v>
      </c>
      <c r="L9" s="79">
        <f>IF(L3=0,0,L3/MBunk_ene!L3)</f>
        <v>3.2239425910563844</v>
      </c>
      <c r="M9" s="79">
        <f>IF(M3=0,0,M3/MBunk_ene!M3)</f>
        <v>3.2258603755330832</v>
      </c>
      <c r="N9" s="79">
        <f>IF(N3=0,0,N3/MBunk_ene!N3)</f>
        <v>3.2247895066354553</v>
      </c>
      <c r="O9" s="79">
        <f>IF(O3=0,0,O3/MBunk_ene!O3)</f>
        <v>3.2256095859314553</v>
      </c>
      <c r="P9" s="79">
        <f>IF(P3=0,0,P3/MBunk_ene!P3)</f>
        <v>3.2254972901688586</v>
      </c>
      <c r="Q9" s="79">
        <f>IF(Q3=0,0,Q3/MBunk_ene!Q3)</f>
        <v>3.2156350304701626</v>
      </c>
      <c r="R9" s="79">
        <f>IF(R3=0,0,R3/MBunk_ene!R3)</f>
        <v>3.2149978745241961</v>
      </c>
      <c r="S9" s="79">
        <f>IF(S3=0,0,S3/MBunk_ene!S3)</f>
        <v>3.213068285830984</v>
      </c>
      <c r="T9" s="79">
        <f>IF(T3=0,0,T3/MBunk_ene!T3)</f>
        <v>3.2075030319441189</v>
      </c>
      <c r="U9" s="79">
        <f>IF(U3=0,0,U3/MBunk_ene!U3)</f>
        <v>3.1965015077946579</v>
      </c>
      <c r="V9" s="79">
        <f>IF(V3=0,0,V3/MBunk_ene!V3)</f>
        <v>3.1440054804924258</v>
      </c>
      <c r="W9" s="79">
        <f>IF(W3=0,0,W3/MBunk_ene!W3)</f>
        <v>3.1582920704956776</v>
      </c>
      <c r="X9" s="79">
        <f>IF(X3=0,0,X3/MBunk_ene!X3)</f>
        <v>3.088405607369336</v>
      </c>
      <c r="Y9" s="79">
        <f>IF(Y3=0,0,Y3/MBunk_ene!Y3)</f>
        <v>3.101944039236717</v>
      </c>
      <c r="DA9" s="172"/>
    </row>
    <row r="10" spans="1:105" ht="11.45" customHeight="1" x14ac:dyDescent="0.25">
      <c r="A10" s="55" t="s">
        <v>166</v>
      </c>
      <c r="B10" s="80">
        <f>IF(B4=0,0,B4/MBunk_ene!B4)</f>
        <v>3.1911477099653056</v>
      </c>
      <c r="C10" s="80">
        <f>IF(C4=0,0,C4/MBunk_ene!C4)</f>
        <v>3.1942155899502644</v>
      </c>
      <c r="D10" s="80">
        <f>IF(D4=0,0,D4/MBunk_ene!D4)</f>
        <v>3.1960051299558327</v>
      </c>
      <c r="E10" s="80">
        <f>IF(E4=0,0,E4/MBunk_ene!E4)</f>
        <v>3.1953391730281098</v>
      </c>
      <c r="F10" s="80">
        <f>IF(F4=0,0,F4/MBunk_ene!F4)</f>
        <v>3.1999632802300204</v>
      </c>
      <c r="G10" s="80">
        <f>IF(G4=0,0,G4/MBunk_ene!G4)</f>
        <v>3.2005264851330306</v>
      </c>
      <c r="H10" s="80">
        <f>IF(H4=0,0,H4/MBunk_ene!H4)</f>
        <v>3.2027706202999893</v>
      </c>
      <c r="I10" s="80">
        <f>IF(I4=0,0,I4/MBunk_ene!I4)</f>
        <v>3.2023819716235993</v>
      </c>
      <c r="J10" s="80">
        <f>IF(J4=0,0,J4/MBunk_ene!J4)</f>
        <v>3.2023020375704663</v>
      </c>
      <c r="K10" s="80">
        <f>IF(K4=0,0,K4/MBunk_ene!K4)</f>
        <v>3.2021711347791886</v>
      </c>
      <c r="L10" s="80">
        <f>IF(L4=0,0,L4/MBunk_ene!L4)</f>
        <v>3.198113366020122</v>
      </c>
      <c r="M10" s="80">
        <f>IF(M4=0,0,M4/MBunk_ene!M4)</f>
        <v>3.2014291785602329</v>
      </c>
      <c r="N10" s="80">
        <f>IF(N4=0,0,N4/MBunk_ene!N4)</f>
        <v>3.1981954545080682</v>
      </c>
      <c r="O10" s="80">
        <f>IF(O4=0,0,O4/MBunk_ene!O4)</f>
        <v>3.2003565946242865</v>
      </c>
      <c r="P10" s="80">
        <f>IF(P4=0,0,P4/MBunk_ene!P4)</f>
        <v>3.199708922510534</v>
      </c>
      <c r="Q10" s="80">
        <f>IF(Q4=0,0,Q4/MBunk_ene!Q4)</f>
        <v>3.1732899676240542</v>
      </c>
      <c r="R10" s="80">
        <f>IF(R4=0,0,R4/MBunk_ene!R4)</f>
        <v>3.1704249930088908</v>
      </c>
      <c r="S10" s="80">
        <f>IF(S4=0,0,S4/MBunk_ene!S4)</f>
        <v>3.166307392747437</v>
      </c>
      <c r="T10" s="80">
        <f>IF(T4=0,0,T4/MBunk_ene!T4)</f>
        <v>3.162244481843774</v>
      </c>
      <c r="U10" s="80">
        <f>IF(U4=0,0,U4/MBunk_ene!U4)</f>
        <v>3.1535223133605248</v>
      </c>
      <c r="V10" s="80">
        <f>IF(V4=0,0,V4/MBunk_ene!V4)</f>
        <v>3.1030748210444137</v>
      </c>
      <c r="W10" s="80">
        <f>IF(W4=0,0,W4/MBunk_ene!W4)</f>
        <v>3.1131728062977588</v>
      </c>
      <c r="X10" s="80">
        <f>IF(X4=0,0,X4/MBunk_ene!X4)</f>
        <v>3.0472821649422599</v>
      </c>
      <c r="Y10" s="80">
        <f>IF(Y4=0,0,Y4/MBunk_ene!Y4)</f>
        <v>3.0689630815870745</v>
      </c>
      <c r="DA10" s="181"/>
    </row>
    <row r="11" spans="1:105" ht="11.45" customHeight="1" x14ac:dyDescent="0.25">
      <c r="A11" s="57" t="s">
        <v>167</v>
      </c>
      <c r="B11" s="81">
        <f>IF(B5=0,0,B5/MBunk_ene!B10)</f>
        <v>3.2295855404302412</v>
      </c>
      <c r="C11" s="81">
        <f>IF(C5=0,0,C5/MBunk_ene!C10)</f>
        <v>3.2302090587627177</v>
      </c>
      <c r="D11" s="81">
        <f>IF(D5=0,0,D5/MBunk_ene!D10)</f>
        <v>3.2311325212009305</v>
      </c>
      <c r="E11" s="81">
        <f>IF(E5=0,0,E5/MBunk_ene!E10)</f>
        <v>3.2309287134212479</v>
      </c>
      <c r="F11" s="81">
        <f>IF(F5=0,0,F5/MBunk_ene!F10)</f>
        <v>3.2319796308161468</v>
      </c>
      <c r="G11" s="81">
        <f>IF(G5=0,0,G5/MBunk_ene!G10)</f>
        <v>3.2319594726038114</v>
      </c>
      <c r="H11" s="81">
        <f>IF(H5=0,0,H5/MBunk_ene!H10)</f>
        <v>3.2325689556511441</v>
      </c>
      <c r="I11" s="81">
        <f>IF(I5=0,0,I5/MBunk_ene!I10)</f>
        <v>3.2325975831993903</v>
      </c>
      <c r="J11" s="81">
        <f>IF(J5=0,0,J5/MBunk_ene!J10)</f>
        <v>3.2325307552848916</v>
      </c>
      <c r="K11" s="81">
        <f>IF(K5=0,0,K5/MBunk_ene!K10)</f>
        <v>3.2326500799780229</v>
      </c>
      <c r="L11" s="81">
        <f>IF(L5=0,0,L5/MBunk_ene!L10)</f>
        <v>3.2318246961447978</v>
      </c>
      <c r="M11" s="81">
        <f>IF(M5=0,0,M5/MBunk_ene!M10)</f>
        <v>3.232610875220606</v>
      </c>
      <c r="N11" s="81">
        <f>IF(N5=0,0,N5/MBunk_ene!N10)</f>
        <v>3.2321434180589468</v>
      </c>
      <c r="O11" s="81">
        <f>IF(O5=0,0,O5/MBunk_ene!O10)</f>
        <v>3.2327075422939044</v>
      </c>
      <c r="P11" s="81">
        <f>IF(P5=0,0,P5/MBunk_ene!P10)</f>
        <v>3.2329199642607405</v>
      </c>
      <c r="Q11" s="81">
        <f>IF(Q5=0,0,Q5/MBunk_ene!Q10)</f>
        <v>3.2272423851117402</v>
      </c>
      <c r="R11" s="81">
        <f>IF(R5=0,0,R5/MBunk_ene!R10)</f>
        <v>3.2264214039437942</v>
      </c>
      <c r="S11" s="81">
        <f>IF(S5=0,0,S5/MBunk_ene!S10)</f>
        <v>3.2248785075459692</v>
      </c>
      <c r="T11" s="81">
        <f>IF(T5=0,0,T5/MBunk_ene!T10)</f>
        <v>3.2194705937079271</v>
      </c>
      <c r="U11" s="81">
        <f>IF(U5=0,0,U5/MBunk_ene!U10)</f>
        <v>3.208314908790562</v>
      </c>
      <c r="V11" s="81">
        <f>IF(V5=0,0,V5/MBunk_ene!V10)</f>
        <v>3.1538579855265061</v>
      </c>
      <c r="W11" s="81">
        <f>IF(W5=0,0,W5/MBunk_ene!W10)</f>
        <v>3.1691381322390955</v>
      </c>
      <c r="X11" s="81">
        <f>IF(X5=0,0,X5/MBunk_ene!X10)</f>
        <v>3.0992579512818215</v>
      </c>
      <c r="Y11" s="81">
        <f>IF(Y5=0,0,Y5/MBunk_ene!Y10)</f>
        <v>3.1115476625376823</v>
      </c>
      <c r="DA11" s="182"/>
    </row>
    <row r="12" spans="1:105" ht="11.45" customHeight="1" x14ac:dyDescent="0.25">
      <c r="A12" s="50"/>
      <c r="B12" s="50"/>
      <c r="C12" s="50"/>
      <c r="D12" s="51"/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DA12" s="181"/>
    </row>
    <row r="13" spans="1:105" ht="11.45" customHeight="1" x14ac:dyDescent="0.25">
      <c r="A13" s="53" t="s">
        <v>49</v>
      </c>
      <c r="B13" s="62">
        <f>IF(B3=0,0,B3/MBunk_act!B7*100)</f>
        <v>68569.584477327313</v>
      </c>
      <c r="C13" s="62">
        <f>IF(C3=0,0,C3/MBunk_act!C7*100)</f>
        <v>80264.079214141821</v>
      </c>
      <c r="D13" s="62">
        <f>IF(D3=0,0,D3/MBunk_act!D7*100)</f>
        <v>81467.311636300539</v>
      </c>
      <c r="E13" s="62">
        <f>IF(E3=0,0,E3/MBunk_act!E7*100)</f>
        <v>75472.502849705837</v>
      </c>
      <c r="F13" s="62">
        <f>IF(F3=0,0,F3/MBunk_act!F7*100)</f>
        <v>79284.037510703565</v>
      </c>
      <c r="G13" s="62">
        <f>IF(G3=0,0,G3/MBunk_act!G7*100)</f>
        <v>81662.246344976171</v>
      </c>
      <c r="H13" s="62">
        <f>IF(H3=0,0,H3/MBunk_act!H7*100)</f>
        <v>86229.515375350587</v>
      </c>
      <c r="I13" s="62">
        <f>IF(I3=0,0,I3/MBunk_act!I7*100)</f>
        <v>84758.027543807679</v>
      </c>
      <c r="J13" s="62">
        <f>IF(J3=0,0,J3/MBunk_act!J7*100)</f>
        <v>79689.763830405849</v>
      </c>
      <c r="K13" s="62">
        <f>IF(K3=0,0,K3/MBunk_act!K7*100)</f>
        <v>76446.551017675461</v>
      </c>
      <c r="L13" s="62">
        <f>IF(L3=0,0,L3/MBunk_act!L7*100)</f>
        <v>70210.901025749976</v>
      </c>
      <c r="M13" s="62">
        <f>IF(M3=0,0,M3/MBunk_act!M7*100)</f>
        <v>72879.728589535429</v>
      </c>
      <c r="N13" s="62">
        <f>IF(N3=0,0,N3/MBunk_act!N7*100)</f>
        <v>69291.833779856694</v>
      </c>
      <c r="O13" s="62">
        <f>IF(O3=0,0,O3/MBunk_act!O7*100)</f>
        <v>67945.312048675754</v>
      </c>
      <c r="P13" s="62">
        <f>IF(P3=0,0,P3/MBunk_act!P7*100)</f>
        <v>65003.211784182997</v>
      </c>
      <c r="Q13" s="62">
        <f>IF(Q3=0,0,Q3/MBunk_act!Q7*100)</f>
        <v>62765.730134561054</v>
      </c>
      <c r="R13" s="62">
        <f>IF(R3=0,0,R3/MBunk_act!R7*100)</f>
        <v>64721.13147105855</v>
      </c>
      <c r="S13" s="62">
        <f>IF(S3=0,0,S3/MBunk_act!S7*100)</f>
        <v>63915.375156768823</v>
      </c>
      <c r="T13" s="62">
        <f>IF(T3=0,0,T3/MBunk_act!T7*100)</f>
        <v>61486.266685452822</v>
      </c>
      <c r="U13" s="62">
        <f>IF(U3=0,0,U3/MBunk_act!U7*100)</f>
        <v>62646.92949510827</v>
      </c>
      <c r="V13" s="62">
        <f>IF(V3=0,0,V3/MBunk_act!V7*100)</f>
        <v>70598.70626237386</v>
      </c>
      <c r="W13" s="62">
        <f>IF(W3=0,0,W3/MBunk_act!W7*100)</f>
        <v>65328.29575189959</v>
      </c>
      <c r="X13" s="62">
        <f>IF(X3=0,0,X3/MBunk_act!X7*100)</f>
        <v>57250.154051218851</v>
      </c>
      <c r="Y13" s="62">
        <f>IF(Y3=0,0,Y3/MBunk_act!Y7*100)</f>
        <v>57524.387604292089</v>
      </c>
      <c r="DA13" s="172" t="s">
        <v>990</v>
      </c>
    </row>
    <row r="14" spans="1:105" ht="11.45" customHeight="1" x14ac:dyDescent="0.25">
      <c r="A14" s="55" t="s">
        <v>166</v>
      </c>
      <c r="B14" s="63">
        <f>IF(B4=0,0,B4/MBunk_act!B8*100)</f>
        <v>71041.940393421435</v>
      </c>
      <c r="C14" s="63">
        <f>IF(C4=0,0,C4/MBunk_act!C8*100)</f>
        <v>82562.664155860388</v>
      </c>
      <c r="D14" s="63">
        <f>IF(D4=0,0,D4/MBunk_act!D8*100)</f>
        <v>84964.297051848815</v>
      </c>
      <c r="E14" s="63">
        <f>IF(E4=0,0,E4/MBunk_act!E8*100)</f>
        <v>80368.703932590477</v>
      </c>
      <c r="F14" s="63">
        <f>IF(F4=0,0,F4/MBunk_act!F8*100)</f>
        <v>83856.193298948012</v>
      </c>
      <c r="G14" s="63">
        <f>IF(G4=0,0,G4/MBunk_act!G8*100)</f>
        <v>87428.345775680413</v>
      </c>
      <c r="H14" s="63">
        <f>IF(H4=0,0,H4/MBunk_act!H8*100)</f>
        <v>91059.505482568711</v>
      </c>
      <c r="I14" s="63">
        <f>IF(I4=0,0,I4/MBunk_act!I8*100)</f>
        <v>90849.720975245888</v>
      </c>
      <c r="J14" s="63">
        <f>IF(J4=0,0,J4/MBunk_act!J8*100)</f>
        <v>85840.343975907716</v>
      </c>
      <c r="K14" s="63">
        <f>IF(K4=0,0,K4/MBunk_act!K8*100)</f>
        <v>83049.650699565318</v>
      </c>
      <c r="L14" s="63">
        <f>IF(L4=0,0,L4/MBunk_act!L8*100)</f>
        <v>72100.12029433201</v>
      </c>
      <c r="M14" s="63">
        <f>IF(M4=0,0,M4/MBunk_act!M8*100)</f>
        <v>70487.079591256013</v>
      </c>
      <c r="N14" s="63">
        <f>IF(N4=0,0,N4/MBunk_act!N8*100)</f>
        <v>66002.897549447589</v>
      </c>
      <c r="O14" s="63">
        <f>IF(O4=0,0,O4/MBunk_act!O8*100)</f>
        <v>64591.419540148505</v>
      </c>
      <c r="P14" s="63">
        <f>IF(P4=0,0,P4/MBunk_act!P8*100)</f>
        <v>61094.281375134269</v>
      </c>
      <c r="Q14" s="63">
        <f>IF(Q4=0,0,Q4/MBunk_act!Q8*100)</f>
        <v>60091.119349015571</v>
      </c>
      <c r="R14" s="63">
        <f>IF(R4=0,0,R4/MBunk_act!R8*100)</f>
        <v>62591.28763446123</v>
      </c>
      <c r="S14" s="63">
        <f>IF(S4=0,0,S4/MBunk_act!S8*100)</f>
        <v>61231.648748588603</v>
      </c>
      <c r="T14" s="63">
        <f>IF(T4=0,0,T4/MBunk_act!T8*100)</f>
        <v>57910.149527579291</v>
      </c>
      <c r="U14" s="63">
        <f>IF(U4=0,0,U4/MBunk_act!U8*100)</f>
        <v>58749.535919292633</v>
      </c>
      <c r="V14" s="63">
        <f>IF(V4=0,0,V4/MBunk_act!V8*100)</f>
        <v>60854.99776672649</v>
      </c>
      <c r="W14" s="63">
        <f>IF(W4=0,0,W4/MBunk_act!W8*100)</f>
        <v>55806.301620424063</v>
      </c>
      <c r="X14" s="63">
        <f>IF(X4=0,0,X4/MBunk_act!X8*100)</f>
        <v>55419.896899367937</v>
      </c>
      <c r="Y14" s="63">
        <f>IF(Y4=0,0,Y4/MBunk_act!Y8*100)</f>
        <v>56089.491006070923</v>
      </c>
      <c r="DA14" s="181" t="s">
        <v>991</v>
      </c>
    </row>
    <row r="15" spans="1:105" ht="11.45" customHeight="1" x14ac:dyDescent="0.25">
      <c r="A15" s="57" t="s">
        <v>167</v>
      </c>
      <c r="B15" s="64">
        <f>IF(B5=0,0,B5/MBunk_act!B9*100)</f>
        <v>67824.913754140987</v>
      </c>
      <c r="C15" s="64">
        <f>IF(C5=0,0,C5/MBunk_act!C9*100)</f>
        <v>79569.407922791259</v>
      </c>
      <c r="D15" s="64">
        <f>IF(D5=0,0,D5/MBunk_act!D9*100)</f>
        <v>80415.317782958664</v>
      </c>
      <c r="E15" s="64">
        <f>IF(E5=0,0,E5/MBunk_act!E9*100)</f>
        <v>74088.817159790604</v>
      </c>
      <c r="F15" s="64">
        <f>IF(F5=0,0,F5/MBunk_act!F9*100)</f>
        <v>77982.365528317256</v>
      </c>
      <c r="G15" s="64">
        <f>IF(G5=0,0,G5/MBunk_act!G9*100)</f>
        <v>80227.927539967408</v>
      </c>
      <c r="H15" s="64">
        <f>IF(H5=0,0,H5/MBunk_act!H9*100)</f>
        <v>85072.114220442047</v>
      </c>
      <c r="I15" s="64">
        <f>IF(I5=0,0,I5/MBunk_act!I9*100)</f>
        <v>83353.128212417447</v>
      </c>
      <c r="J15" s="64">
        <f>IF(J5=0,0,J5/MBunk_act!J9*100)</f>
        <v>78376.670652454792</v>
      </c>
      <c r="K15" s="64">
        <f>IF(K5=0,0,K5/MBunk_act!K9*100)</f>
        <v>74764.627802422721</v>
      </c>
      <c r="L15" s="64">
        <f>IF(L5=0,0,L5/MBunk_act!L9*100)</f>
        <v>69659.706467769211</v>
      </c>
      <c r="M15" s="64">
        <f>IF(M5=0,0,M5/MBunk_act!M9*100)</f>
        <v>73563.027478841832</v>
      </c>
      <c r="N15" s="64">
        <f>IF(N5=0,0,N5/MBunk_act!N9*100)</f>
        <v>70249.65600614874</v>
      </c>
      <c r="O15" s="64">
        <f>IF(O5=0,0,O5/MBunk_act!O9*100)</f>
        <v>68941.421346768373</v>
      </c>
      <c r="P15" s="64">
        <f>IF(P5=0,0,P5/MBunk_act!P9*100)</f>
        <v>66210.005557443452</v>
      </c>
      <c r="Q15" s="64">
        <f>IF(Q5=0,0,Q5/MBunk_act!Q9*100)</f>
        <v>63527.849678645813</v>
      </c>
      <c r="R15" s="64">
        <f>IF(R5=0,0,R5/MBunk_act!R9*100)</f>
        <v>65280.558860594247</v>
      </c>
      <c r="S15" s="64">
        <f>IF(S5=0,0,S5/MBunk_act!S9*100)</f>
        <v>64617.684830554485</v>
      </c>
      <c r="T15" s="64">
        <f>IF(T5=0,0,T5/MBunk_act!T9*100)</f>
        <v>62488.510175540214</v>
      </c>
      <c r="U15" s="64">
        <f>IF(U5=0,0,U5/MBunk_act!U9*100)</f>
        <v>63790.22783146322</v>
      </c>
      <c r="V15" s="64">
        <f>IF(V5=0,0,V5/MBunk_act!V9*100)</f>
        <v>73381.377700337267</v>
      </c>
      <c r="W15" s="64">
        <f>IF(W5=0,0,W5/MBunk_act!W9*100)</f>
        <v>68070.999617766749</v>
      </c>
      <c r="X15" s="64">
        <f>IF(X5=0,0,X5/MBunk_act!X9*100)</f>
        <v>57744.976782263926</v>
      </c>
      <c r="Y15" s="64">
        <f>IF(Y5=0,0,Y5/MBunk_act!Y9*100)</f>
        <v>57950.163265347728</v>
      </c>
      <c r="DA15" s="182" t="s">
        <v>992</v>
      </c>
    </row>
    <row r="16" spans="1:105" ht="11.45" customHeight="1" x14ac:dyDescent="0.25">
      <c r="A16" s="50"/>
      <c r="B16" s="50"/>
      <c r="C16" s="50"/>
      <c r="D16" s="51"/>
      <c r="E16" s="51"/>
      <c r="F16" s="51"/>
      <c r="G16" s="51"/>
      <c r="H16" s="51"/>
      <c r="I16" s="51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DA16" s="181"/>
    </row>
    <row r="17" spans="1:105" ht="11.45" customHeight="1" x14ac:dyDescent="0.25">
      <c r="A17" s="53" t="s">
        <v>50</v>
      </c>
      <c r="B17" s="62">
        <f>IF(B3=0,0,B3/MBunk_act!B3*1000)</f>
        <v>29.722905685196555</v>
      </c>
      <c r="C17" s="62">
        <f>IF(C3=0,0,C3/MBunk_act!C3*1000)</f>
        <v>32.982557696538812</v>
      </c>
      <c r="D17" s="62">
        <f>IF(D3=0,0,D3/MBunk_act!D3*1000)</f>
        <v>32.407302554189208</v>
      </c>
      <c r="E17" s="62">
        <f>IF(E3=0,0,E3/MBunk_act!E3*1000)</f>
        <v>30.143696531000032</v>
      </c>
      <c r="F17" s="62">
        <f>IF(F3=0,0,F3/MBunk_act!F3*1000)</f>
        <v>30.914779459769207</v>
      </c>
      <c r="G17" s="62">
        <f>IF(G3=0,0,G3/MBunk_act!G3*1000)</f>
        <v>30.984863854941192</v>
      </c>
      <c r="H17" s="62">
        <f>IF(H3=0,0,H3/MBunk_act!H3*1000)</f>
        <v>31.623035577821998</v>
      </c>
      <c r="I17" s="62">
        <f>IF(I3=0,0,I3/MBunk_act!I3*1000)</f>
        <v>30.543198718282568</v>
      </c>
      <c r="J17" s="62">
        <f>IF(J3=0,0,J3/MBunk_act!J3*1000)</f>
        <v>27.706941274778291</v>
      </c>
      <c r="K17" s="62">
        <f>IF(K3=0,0,K3/MBunk_act!K3*1000)</f>
        <v>28.441692723844479</v>
      </c>
      <c r="L17" s="62">
        <f>IF(L3=0,0,L3/MBunk_act!L3*1000)</f>
        <v>24.987042912746571</v>
      </c>
      <c r="M17" s="62">
        <f>IF(M3=0,0,M3/MBunk_act!M3*1000)</f>
        <v>24.841013621700437</v>
      </c>
      <c r="N17" s="62">
        <f>IF(N3=0,0,N3/MBunk_act!N3*1000)</f>
        <v>22.773599551499579</v>
      </c>
      <c r="O17" s="62">
        <f>IF(O3=0,0,O3/MBunk_act!O3*1000)</f>
        <v>21.978403017568102</v>
      </c>
      <c r="P17" s="62">
        <f>IF(P3=0,0,P3/MBunk_act!P3*1000)</f>
        <v>20.786754349085843</v>
      </c>
      <c r="Q17" s="62">
        <f>IF(Q3=0,0,Q3/MBunk_act!Q3*1000)</f>
        <v>18.833737917607174</v>
      </c>
      <c r="R17" s="62">
        <f>IF(R3=0,0,R3/MBunk_act!R3*1000)</f>
        <v>18.941826130960564</v>
      </c>
      <c r="S17" s="62">
        <f>IF(S3=0,0,S3/MBunk_act!S3*1000)</f>
        <v>18.34602053132668</v>
      </c>
      <c r="T17" s="62">
        <f>IF(T3=0,0,T3/MBunk_act!T3*1000)</f>
        <v>17.806752984922625</v>
      </c>
      <c r="U17" s="62">
        <f>IF(U3=0,0,U3/MBunk_act!U3*1000)</f>
        <v>18.345778752863581</v>
      </c>
      <c r="V17" s="62">
        <f>IF(V3=0,0,V3/MBunk_act!V3*1000)</f>
        <v>20.848312403980088</v>
      </c>
      <c r="W17" s="62">
        <f>IF(W3=0,0,W3/MBunk_act!W3*1000)</f>
        <v>18.717579478046442</v>
      </c>
      <c r="X17" s="62">
        <f>IF(X3=0,0,X3/MBunk_act!X3*1000)</f>
        <v>17.726942662974462</v>
      </c>
      <c r="Y17" s="62">
        <f>IF(Y3=0,0,Y3/MBunk_act!Y3*1000)</f>
        <v>17.775943909891279</v>
      </c>
      <c r="DA17" s="172" t="s">
        <v>452</v>
      </c>
    </row>
    <row r="18" spans="1:105" ht="11.45" customHeight="1" x14ac:dyDescent="0.25">
      <c r="A18" s="55" t="s">
        <v>166</v>
      </c>
      <c r="B18" s="63">
        <f>IF(B4=0,0,B4/MBunk_act!B4*1000)</f>
        <v>107.43751982706196</v>
      </c>
      <c r="C18" s="63">
        <f>IF(C4=0,0,C4/MBunk_act!C4*1000)</f>
        <v>119.90740548500749</v>
      </c>
      <c r="D18" s="63">
        <f>IF(D4=0,0,D4/MBunk_act!D4*1000)</f>
        <v>116.91294710625323</v>
      </c>
      <c r="E18" s="63">
        <f>IF(E4=0,0,E4/MBunk_act!E4*1000)</f>
        <v>109.62474868710564</v>
      </c>
      <c r="F18" s="63">
        <f>IF(F4=0,0,F4/MBunk_act!F4*1000)</f>
        <v>112.73834490518684</v>
      </c>
      <c r="G18" s="63">
        <f>IF(G4=0,0,G4/MBunk_act!G4*1000)</f>
        <v>117.50439154995567</v>
      </c>
      <c r="H18" s="63">
        <f>IF(H4=0,0,H4/MBunk_act!H4*1000)</f>
        <v>121.98863826026863</v>
      </c>
      <c r="I18" s="63">
        <f>IF(I4=0,0,I4/MBunk_act!I4*1000)</f>
        <v>118.0430823962101</v>
      </c>
      <c r="J18" s="63">
        <f>IF(J4=0,0,J4/MBunk_act!J4*1000)</f>
        <v>109.35896136835646</v>
      </c>
      <c r="K18" s="63">
        <f>IF(K4=0,0,K4/MBunk_act!K4*1000)</f>
        <v>105.89211585314847</v>
      </c>
      <c r="L18" s="63">
        <f>IF(L4=0,0,L4/MBunk_act!L4*1000)</f>
        <v>92.378091494044725</v>
      </c>
      <c r="M18" s="63">
        <f>IF(M4=0,0,M4/MBunk_act!M4*1000)</f>
        <v>96.374182685142657</v>
      </c>
      <c r="N18" s="63">
        <f>IF(N4=0,0,N4/MBunk_act!N4*1000)</f>
        <v>88.88935590704952</v>
      </c>
      <c r="O18" s="63">
        <f>IF(O4=0,0,O4/MBunk_act!O4*1000)</f>
        <v>85.51304897354963</v>
      </c>
      <c r="P18" s="63">
        <f>IF(P4=0,0,P4/MBunk_act!P4*1000)</f>
        <v>80.942368383428629</v>
      </c>
      <c r="Q18" s="63">
        <f>IF(Q4=0,0,Q4/MBunk_act!Q4*1000)</f>
        <v>73.725623958978304</v>
      </c>
      <c r="R18" s="63">
        <f>IF(R4=0,0,R4/MBunk_act!R4*1000)</f>
        <v>74.745501300016684</v>
      </c>
      <c r="S18" s="63">
        <f>IF(S4=0,0,S4/MBunk_act!S4*1000)</f>
        <v>72.810654448611814</v>
      </c>
      <c r="T18" s="63">
        <f>IF(T4=0,0,T4/MBunk_act!T4*1000)</f>
        <v>70.107685168315214</v>
      </c>
      <c r="U18" s="63">
        <f>IF(U4=0,0,U4/MBunk_act!U4*1000)</f>
        <v>72.438395565064695</v>
      </c>
      <c r="V18" s="63">
        <f>IF(V4=0,0,V4/MBunk_act!V4*1000)</f>
        <v>69.053388383316587</v>
      </c>
      <c r="W18" s="63">
        <f>IF(W4=0,0,W4/MBunk_act!W4*1000)</f>
        <v>66.241713676405141</v>
      </c>
      <c r="X18" s="63">
        <f>IF(X4=0,0,X4/MBunk_act!X4*1000)</f>
        <v>66.966246054097141</v>
      </c>
      <c r="Y18" s="63">
        <f>IF(Y4=0,0,Y4/MBunk_act!Y4*1000)</f>
        <v>65.064693940648723</v>
      </c>
      <c r="DA18" s="181" t="s">
        <v>453</v>
      </c>
    </row>
    <row r="19" spans="1:105" ht="11.45" customHeight="1" x14ac:dyDescent="0.25">
      <c r="A19" s="57" t="s">
        <v>167</v>
      </c>
      <c r="B19" s="64">
        <f>IF(B5=0,0,B5/MBunk_act!B5*1000)</f>
        <v>24.20027630678954</v>
      </c>
      <c r="C19" s="64">
        <f>IF(C5=0,0,C5/MBunk_act!C5*1000)</f>
        <v>26.873450664807631</v>
      </c>
      <c r="D19" s="64">
        <f>IF(D5=0,0,D5/MBunk_act!D5*1000)</f>
        <v>26.352930628439417</v>
      </c>
      <c r="E19" s="64">
        <f>IF(E5=0,0,E5/MBunk_act!E5*1000)</f>
        <v>24.662198183093984</v>
      </c>
      <c r="F19" s="64">
        <f>IF(F5=0,0,F5/MBunk_act!F5*1000)</f>
        <v>25.294561315546094</v>
      </c>
      <c r="G19" s="64">
        <f>IF(G5=0,0,G5/MBunk_act!G5*1000)</f>
        <v>25.829431008747253</v>
      </c>
      <c r="H19" s="64">
        <f>IF(H5=0,0,H5/MBunk_act!H5*1000)</f>
        <v>26.573921868919047</v>
      </c>
      <c r="I19" s="64">
        <f>IF(I5=0,0,I5/MBunk_act!I5*1000)</f>
        <v>25.74602000637913</v>
      </c>
      <c r="J19" s="64">
        <f>IF(J5=0,0,J5/MBunk_act!J5*1000)</f>
        <v>23.588789788311225</v>
      </c>
      <c r="K19" s="64">
        <f>IF(K5=0,0,K5/MBunk_act!K5*1000)</f>
        <v>23.564979839830976</v>
      </c>
      <c r="L19" s="64">
        <f>IF(L5=0,0,L5/MBunk_act!L5*1000)</f>
        <v>20.476184749845956</v>
      </c>
      <c r="M19" s="64">
        <f>IF(M5=0,0,M5/MBunk_act!M5*1000)</f>
        <v>20.647356977957713</v>
      </c>
      <c r="N19" s="64">
        <f>IF(N5=0,0,N5/MBunk_act!N5*1000)</f>
        <v>18.92252035639812</v>
      </c>
      <c r="O19" s="64">
        <f>IF(O5=0,0,O5/MBunk_act!O5*1000)</f>
        <v>18.212995007786198</v>
      </c>
      <c r="P19" s="64">
        <f>IF(P5=0,0,P5/MBunk_act!P5*1000)</f>
        <v>17.15481661340386</v>
      </c>
      <c r="Q19" s="64">
        <f>IF(Q5=0,0,Q5/MBunk_act!Q5*1000)</f>
        <v>15.685927637341964</v>
      </c>
      <c r="R19" s="64">
        <f>IF(R5=0,0,R5/MBunk_act!R5*1000)</f>
        <v>15.94403152462805</v>
      </c>
      <c r="S19" s="64">
        <f>IF(S5=0,0,S5/MBunk_act!S5*1000)</f>
        <v>15.475395977566645</v>
      </c>
      <c r="T19" s="64">
        <f>IF(T5=0,0,T5/MBunk_act!T5*1000)</f>
        <v>14.916550745407257</v>
      </c>
      <c r="U19" s="64">
        <f>IF(U5=0,0,U5/MBunk_act!U5*1000)</f>
        <v>15.265938026094727</v>
      </c>
      <c r="V19" s="64">
        <f>IF(V5=0,0,V5/MBunk_act!V5*1000)</f>
        <v>17.890455186976784</v>
      </c>
      <c r="W19" s="64">
        <f>IF(W5=0,0,W5/MBunk_act!W5*1000)</f>
        <v>16.005918568737737</v>
      </c>
      <c r="X19" s="64">
        <f>IF(X5=0,0,X5/MBunk_act!X5*1000)</f>
        <v>14.886766082389855</v>
      </c>
      <c r="Y19" s="64">
        <f>IF(Y5=0,0,Y5/MBunk_act!Y5*1000)</f>
        <v>14.706212713651752</v>
      </c>
      <c r="DA19" s="182" t="s">
        <v>454</v>
      </c>
    </row>
    <row r="20" spans="1:105" ht="11.45" customHeight="1" x14ac:dyDescent="0.25">
      <c r="A20" s="50"/>
      <c r="B20" s="50"/>
      <c r="C20" s="50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DA20" s="181"/>
    </row>
    <row r="21" spans="1:105" ht="11.45" customHeight="1" x14ac:dyDescent="0.25">
      <c r="A21" s="53" t="s">
        <v>41</v>
      </c>
      <c r="B21" s="76">
        <f t="shared" ref="B21:W23" si="3">IF(B3=0,0,B3/B$3)</f>
        <v>1</v>
      </c>
      <c r="C21" s="76">
        <f t="shared" si="3"/>
        <v>1</v>
      </c>
      <c r="D21" s="76">
        <f t="shared" si="3"/>
        <v>1</v>
      </c>
      <c r="E21" s="76">
        <f t="shared" si="3"/>
        <v>1</v>
      </c>
      <c r="F21" s="76">
        <f t="shared" si="3"/>
        <v>1</v>
      </c>
      <c r="G21" s="76">
        <f t="shared" si="3"/>
        <v>1</v>
      </c>
      <c r="H21" s="76">
        <f t="shared" si="3"/>
        <v>1</v>
      </c>
      <c r="I21" s="76">
        <f t="shared" si="3"/>
        <v>1</v>
      </c>
      <c r="J21" s="76">
        <f t="shared" si="3"/>
        <v>1</v>
      </c>
      <c r="K21" s="76">
        <f t="shared" si="3"/>
        <v>1</v>
      </c>
      <c r="L21" s="76">
        <f t="shared" si="3"/>
        <v>1</v>
      </c>
      <c r="M21" s="76">
        <f t="shared" si="3"/>
        <v>1</v>
      </c>
      <c r="N21" s="76">
        <f t="shared" si="3"/>
        <v>1</v>
      </c>
      <c r="O21" s="76">
        <f t="shared" si="3"/>
        <v>1</v>
      </c>
      <c r="P21" s="76">
        <f t="shared" si="3"/>
        <v>1</v>
      </c>
      <c r="Q21" s="76">
        <f t="shared" si="3"/>
        <v>1</v>
      </c>
      <c r="R21" s="76">
        <f t="shared" si="3"/>
        <v>1</v>
      </c>
      <c r="S21" s="76">
        <f t="shared" si="3"/>
        <v>1</v>
      </c>
      <c r="T21" s="76">
        <f t="shared" si="3"/>
        <v>1</v>
      </c>
      <c r="U21" s="76">
        <f t="shared" si="3"/>
        <v>1</v>
      </c>
      <c r="V21" s="76">
        <f t="shared" si="3"/>
        <v>1</v>
      </c>
      <c r="W21" s="76">
        <f t="shared" si="3"/>
        <v>1</v>
      </c>
      <c r="X21" s="76">
        <f t="shared" ref="X21:Y21" si="4">IF(X3=0,0,X3/X$3)</f>
        <v>1</v>
      </c>
      <c r="Y21" s="76">
        <f t="shared" si="4"/>
        <v>1</v>
      </c>
      <c r="DA21" s="183"/>
    </row>
    <row r="22" spans="1:105" ht="11.45" customHeight="1" x14ac:dyDescent="0.25">
      <c r="A22" s="55" t="s">
        <v>166</v>
      </c>
      <c r="B22" s="77">
        <f t="shared" si="3"/>
        <v>0.23982415332996065</v>
      </c>
      <c r="C22" s="77">
        <f t="shared" si="3"/>
        <v>0.23872501331441301</v>
      </c>
      <c r="D22" s="77">
        <f t="shared" si="3"/>
        <v>0.24118612954199872</v>
      </c>
      <c r="E22" s="77">
        <f t="shared" si="3"/>
        <v>0.23463016623951835</v>
      </c>
      <c r="F22" s="77">
        <f t="shared" si="3"/>
        <v>0.23438495650051336</v>
      </c>
      <c r="G22" s="77">
        <f t="shared" si="3"/>
        <v>0.21326466668314023</v>
      </c>
      <c r="H22" s="77">
        <f t="shared" si="3"/>
        <v>0.20413412629475686</v>
      </c>
      <c r="I22" s="77">
        <f t="shared" si="3"/>
        <v>0.20087414575520141</v>
      </c>
      <c r="J22" s="77">
        <f t="shared" si="3"/>
        <v>0.18950986922893481</v>
      </c>
      <c r="K22" s="77">
        <f t="shared" si="3"/>
        <v>0.22054253683088865</v>
      </c>
      <c r="L22" s="77">
        <f t="shared" si="3"/>
        <v>0.23193852291605771</v>
      </c>
      <c r="M22" s="77">
        <f t="shared" si="3"/>
        <v>0.21484958150247849</v>
      </c>
      <c r="N22" s="77">
        <f t="shared" si="3"/>
        <v>0.21483661308873683</v>
      </c>
      <c r="O22" s="77">
        <f t="shared" si="3"/>
        <v>0.21768719753346519</v>
      </c>
      <c r="P22" s="77">
        <f t="shared" si="3"/>
        <v>0.22171326869420965</v>
      </c>
      <c r="Q22" s="77">
        <f t="shared" si="3"/>
        <v>0.21230750767090958</v>
      </c>
      <c r="R22" s="77">
        <f t="shared" si="3"/>
        <v>0.20117634118280109</v>
      </c>
      <c r="S22" s="77">
        <f t="shared" si="3"/>
        <v>0.19870448969966814</v>
      </c>
      <c r="T22" s="77">
        <f t="shared" si="3"/>
        <v>0.2061768052583435</v>
      </c>
      <c r="U22" s="77">
        <f t="shared" si="3"/>
        <v>0.21270322167490141</v>
      </c>
      <c r="V22" s="77">
        <f t="shared" si="3"/>
        <v>0.19148548475553712</v>
      </c>
      <c r="W22" s="77">
        <f t="shared" si="3"/>
        <v>0.19103105460941658</v>
      </c>
      <c r="X22" s="77">
        <f t="shared" ref="X22:Y22" si="5">IF(X4=0,0,X4/X$3)</f>
        <v>0.20601593670537777</v>
      </c>
      <c r="Y22" s="77">
        <f t="shared" si="5"/>
        <v>0.22312099815346886</v>
      </c>
      <c r="DA22" s="184"/>
    </row>
    <row r="23" spans="1:105" ht="11.45" customHeight="1" x14ac:dyDescent="0.25">
      <c r="A23" s="57" t="s">
        <v>167</v>
      </c>
      <c r="B23" s="78">
        <f t="shared" si="3"/>
        <v>0.76017584667003923</v>
      </c>
      <c r="C23" s="78">
        <f t="shared" si="3"/>
        <v>0.76127498668558713</v>
      </c>
      <c r="D23" s="78">
        <f t="shared" si="3"/>
        <v>0.75881387045800119</v>
      </c>
      <c r="E23" s="78">
        <f t="shared" si="3"/>
        <v>0.76536983376048173</v>
      </c>
      <c r="F23" s="78">
        <f t="shared" si="3"/>
        <v>0.76561504349948661</v>
      </c>
      <c r="G23" s="78">
        <f t="shared" si="3"/>
        <v>0.78673533331685985</v>
      </c>
      <c r="H23" s="78">
        <f t="shared" si="3"/>
        <v>0.79586587370524309</v>
      </c>
      <c r="I23" s="78">
        <f t="shared" si="3"/>
        <v>0.79912585424479865</v>
      </c>
      <c r="J23" s="78">
        <f t="shared" si="3"/>
        <v>0.81049013077106524</v>
      </c>
      <c r="K23" s="78">
        <f t="shared" si="3"/>
        <v>0.77945746316911135</v>
      </c>
      <c r="L23" s="78">
        <f t="shared" si="3"/>
        <v>0.76806147708394235</v>
      </c>
      <c r="M23" s="78">
        <f t="shared" si="3"/>
        <v>0.78515041849752154</v>
      </c>
      <c r="N23" s="78">
        <f t="shared" si="3"/>
        <v>0.78516338691126319</v>
      </c>
      <c r="O23" s="78">
        <f t="shared" si="3"/>
        <v>0.78231280246653478</v>
      </c>
      <c r="P23" s="78">
        <f t="shared" si="3"/>
        <v>0.77828673130579029</v>
      </c>
      <c r="Q23" s="78">
        <f t="shared" si="3"/>
        <v>0.78769249232909033</v>
      </c>
      <c r="R23" s="78">
        <f t="shared" si="3"/>
        <v>0.79882365881719886</v>
      </c>
      <c r="S23" s="78">
        <f t="shared" si="3"/>
        <v>0.80129551030033186</v>
      </c>
      <c r="T23" s="78">
        <f t="shared" si="3"/>
        <v>0.79382319474165652</v>
      </c>
      <c r="U23" s="78">
        <f t="shared" si="3"/>
        <v>0.78729677832509848</v>
      </c>
      <c r="V23" s="78">
        <f t="shared" si="3"/>
        <v>0.80851451524446283</v>
      </c>
      <c r="W23" s="78">
        <f t="shared" si="3"/>
        <v>0.80896894539058339</v>
      </c>
      <c r="X23" s="78">
        <f t="shared" ref="X23:Y23" si="6">IF(X5=0,0,X5/X$3)</f>
        <v>0.79398406329462212</v>
      </c>
      <c r="Y23" s="78">
        <f t="shared" si="6"/>
        <v>0.77687900184653103</v>
      </c>
      <c r="DA23" s="185"/>
    </row>
  </sheetData>
  <pageMargins left="0.39370078740157483" right="0.39370078740157483" top="0.39370078740157483" bottom="0.39370078740157483" header="0.31496062992125984" footer="0.31496062992125984"/>
  <pageSetup paperSize="9" scale="52" fitToHeight="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cover</vt:lpstr>
      <vt:lpstr>index</vt:lpstr>
      <vt:lpstr>Transport</vt:lpstr>
      <vt:lpstr>TrRoad_act</vt:lpstr>
      <vt:lpstr>TrRoad_ene</vt:lpstr>
      <vt:lpstr>TrRoad_emi</vt:lpstr>
      <vt:lpstr>TrRoad_tech</vt:lpstr>
      <vt:lpstr>TrRail_act</vt:lpstr>
      <vt:lpstr>TrRail_ene</vt:lpstr>
      <vt:lpstr>TrRail_emi</vt:lpstr>
      <vt:lpstr>TrAvia_act</vt:lpstr>
      <vt:lpstr>TrAvia_ene</vt:lpstr>
      <vt:lpstr>TrAvia_emi</vt:lpstr>
      <vt:lpstr>TrAvia_png</vt:lpstr>
      <vt:lpstr>TrNavi_act</vt:lpstr>
      <vt:lpstr>TrNavi_ene</vt:lpstr>
      <vt:lpstr>TrNavi_emi</vt:lpstr>
      <vt:lpstr>MBunk_act</vt:lpstr>
      <vt:lpstr>MBunk_ene</vt:lpstr>
      <vt:lpstr>MBunk_emi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JRC-IDEES-2023</dc:title>
  <dc:creator>JRC C.6</dc:creator>
  <dc:description>v2023-1.00</dc:description>
  <cp:lastModifiedBy>JRC-SVQ-ROZSAMA</cp:lastModifiedBy>
  <dcterms:created xsi:type="dcterms:W3CDTF">2025-11-06T10:28:57Z</dcterms:created>
  <dcterms:modified xsi:type="dcterms:W3CDTF">2025-11-06T10:28:57Z</dcterms:modified>
</cp:coreProperties>
</file>